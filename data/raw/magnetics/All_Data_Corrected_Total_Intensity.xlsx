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311783C-45A6-436F-BDD2-4963F49EA737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complet_Wadi_elbeda" localSheetId="0">Sheet1!$A$1:$G$53</definedName>
    <definedName name="gabl_2" localSheetId="0">Sheet1!$A$3037:$G$5344</definedName>
  </definedNames>
  <calcPr calcId="191029"/>
</workbook>
</file>

<file path=xl/calcChain.xml><?xml version="1.0" encoding="utf-8"?>
<calcChain xmlns="http://schemas.openxmlformats.org/spreadsheetml/2006/main">
  <c r="H12118" i="1" l="1"/>
  <c r="H12117" i="1"/>
  <c r="H12116" i="1"/>
  <c r="H12115" i="1"/>
  <c r="H12114" i="1"/>
  <c r="H12113" i="1"/>
  <c r="H12112" i="1"/>
  <c r="H12111" i="1"/>
  <c r="H12110" i="1"/>
  <c r="H12109" i="1"/>
  <c r="H12108" i="1"/>
  <c r="H12107" i="1"/>
  <c r="H12106" i="1"/>
  <c r="H12105" i="1"/>
  <c r="H12104" i="1"/>
  <c r="H12103" i="1"/>
  <c r="H12102" i="1"/>
  <c r="H12101" i="1"/>
  <c r="H12100" i="1"/>
  <c r="H12099" i="1"/>
  <c r="H12098" i="1"/>
  <c r="H12097" i="1"/>
  <c r="H12096" i="1"/>
  <c r="H12095" i="1"/>
  <c r="H12094" i="1"/>
  <c r="H12093" i="1"/>
  <c r="H12092" i="1"/>
  <c r="H12091" i="1"/>
  <c r="H12090" i="1"/>
  <c r="H12089" i="1"/>
  <c r="H12088" i="1"/>
  <c r="H12087" i="1"/>
  <c r="H12086" i="1"/>
  <c r="H12085" i="1"/>
  <c r="H12084" i="1"/>
  <c r="H12083" i="1"/>
  <c r="H12082" i="1"/>
  <c r="H12081" i="1"/>
  <c r="H12080" i="1"/>
  <c r="H12079" i="1"/>
  <c r="H12078" i="1"/>
  <c r="H12077" i="1"/>
  <c r="H12076" i="1"/>
  <c r="H12075" i="1"/>
  <c r="H12074" i="1"/>
  <c r="H12073" i="1"/>
  <c r="H12072" i="1"/>
  <c r="H12071" i="1"/>
  <c r="H12070" i="1"/>
  <c r="H12069" i="1"/>
  <c r="H12068" i="1"/>
  <c r="H12067" i="1"/>
  <c r="H12066" i="1"/>
  <c r="H12065" i="1"/>
  <c r="H12064" i="1"/>
  <c r="H12063" i="1"/>
  <c r="H12062" i="1"/>
  <c r="H12061" i="1"/>
  <c r="H12060" i="1"/>
  <c r="H12059" i="1"/>
  <c r="H12058" i="1"/>
  <c r="H12057" i="1"/>
  <c r="H12056" i="1"/>
  <c r="H12055" i="1"/>
  <c r="H12054" i="1"/>
  <c r="H12053" i="1"/>
  <c r="H12052" i="1"/>
  <c r="H12051" i="1"/>
  <c r="H12050" i="1"/>
  <c r="H12049" i="1"/>
  <c r="H12048" i="1"/>
  <c r="H12047" i="1"/>
  <c r="H12046" i="1"/>
  <c r="H12045" i="1"/>
  <c r="H12044" i="1"/>
  <c r="H12043" i="1"/>
  <c r="H12042" i="1"/>
  <c r="H12041" i="1"/>
  <c r="H12040" i="1"/>
  <c r="H12039" i="1"/>
  <c r="H12038" i="1"/>
  <c r="H12037" i="1"/>
  <c r="H12036" i="1"/>
  <c r="H12035" i="1"/>
  <c r="H12034" i="1"/>
  <c r="H12033" i="1"/>
  <c r="H12032" i="1"/>
  <c r="H12031" i="1"/>
  <c r="H12030" i="1"/>
  <c r="H12029" i="1"/>
  <c r="H12028" i="1"/>
  <c r="H12027" i="1"/>
  <c r="H12026" i="1"/>
  <c r="H12025" i="1"/>
  <c r="H12024" i="1"/>
  <c r="H12023" i="1"/>
  <c r="H12022" i="1"/>
  <c r="H12021" i="1"/>
  <c r="H12020" i="1"/>
  <c r="H12019" i="1"/>
  <c r="H12018" i="1"/>
  <c r="H12017" i="1"/>
  <c r="H12016" i="1"/>
  <c r="H12015" i="1"/>
  <c r="H12014" i="1"/>
  <c r="H12013" i="1"/>
  <c r="H12012" i="1"/>
  <c r="H12011" i="1"/>
  <c r="H12010" i="1"/>
  <c r="H12009" i="1"/>
  <c r="H12008" i="1"/>
  <c r="H12007" i="1"/>
  <c r="H12006" i="1"/>
  <c r="H12005" i="1"/>
  <c r="H12004" i="1"/>
  <c r="H12003" i="1"/>
  <c r="H12002" i="1"/>
  <c r="H12001" i="1"/>
  <c r="H12000" i="1"/>
  <c r="H11999" i="1"/>
  <c r="H11998" i="1"/>
  <c r="H11997" i="1"/>
  <c r="H11996" i="1"/>
  <c r="H11995" i="1"/>
  <c r="H11994" i="1"/>
  <c r="H11993" i="1"/>
  <c r="H11992" i="1"/>
  <c r="H11991" i="1"/>
  <c r="H11990" i="1"/>
  <c r="H11989" i="1"/>
  <c r="H11988" i="1"/>
  <c r="H11987" i="1"/>
  <c r="H11986" i="1"/>
  <c r="H11985" i="1"/>
  <c r="H11984" i="1"/>
  <c r="H11983" i="1"/>
  <c r="H11982" i="1"/>
  <c r="H11981" i="1"/>
  <c r="H11980" i="1"/>
  <c r="H11979" i="1"/>
  <c r="H11978" i="1"/>
  <c r="H11977" i="1"/>
  <c r="H11976" i="1"/>
  <c r="H11975" i="1"/>
  <c r="H11974" i="1"/>
  <c r="H11973" i="1"/>
  <c r="H11972" i="1"/>
  <c r="H11971" i="1"/>
  <c r="H11970" i="1"/>
  <c r="H11969" i="1"/>
  <c r="H11968" i="1"/>
  <c r="H11967" i="1"/>
  <c r="H11966" i="1"/>
  <c r="H11965" i="1"/>
  <c r="H11964" i="1"/>
  <c r="H11963" i="1"/>
  <c r="H11962" i="1"/>
  <c r="H11961" i="1"/>
  <c r="H11960" i="1"/>
  <c r="H11959" i="1"/>
  <c r="H11958" i="1"/>
  <c r="H11957" i="1"/>
  <c r="H11956" i="1"/>
  <c r="H11955" i="1"/>
  <c r="H11954" i="1"/>
  <c r="H11953" i="1"/>
  <c r="H11952" i="1"/>
  <c r="H11951" i="1"/>
  <c r="H11950" i="1"/>
  <c r="H11949" i="1"/>
  <c r="H11948" i="1"/>
  <c r="H11947" i="1"/>
  <c r="H11946" i="1"/>
  <c r="H11945" i="1"/>
  <c r="H11944" i="1"/>
  <c r="H11943" i="1"/>
  <c r="H11942" i="1"/>
  <c r="H11941" i="1"/>
  <c r="H11940" i="1"/>
  <c r="H11939" i="1"/>
  <c r="H11938" i="1"/>
  <c r="H11937" i="1"/>
  <c r="H11936" i="1"/>
  <c r="H11935" i="1"/>
  <c r="H11934" i="1"/>
  <c r="H11933" i="1"/>
  <c r="H11932" i="1"/>
  <c r="H11931" i="1"/>
  <c r="H11930" i="1"/>
  <c r="H11929" i="1"/>
  <c r="H11928" i="1"/>
  <c r="H11927" i="1"/>
  <c r="H11926" i="1"/>
  <c r="H11925" i="1"/>
  <c r="H11924" i="1"/>
  <c r="H11923" i="1"/>
  <c r="H11922" i="1"/>
  <c r="H11921" i="1"/>
  <c r="H11920" i="1"/>
  <c r="H11919" i="1"/>
  <c r="H11918" i="1"/>
  <c r="H11917" i="1"/>
  <c r="H11916" i="1"/>
  <c r="H11915" i="1"/>
  <c r="H11914" i="1"/>
  <c r="H11913" i="1"/>
  <c r="H11912" i="1"/>
  <c r="H11911" i="1"/>
  <c r="H11910" i="1"/>
  <c r="H11909" i="1"/>
  <c r="H11908" i="1"/>
  <c r="H11907" i="1"/>
  <c r="H11906" i="1"/>
  <c r="H11905" i="1"/>
  <c r="H11904" i="1"/>
  <c r="H11903" i="1"/>
  <c r="H11902" i="1"/>
  <c r="H11901" i="1"/>
  <c r="H11900" i="1"/>
  <c r="H11899" i="1"/>
  <c r="H11898" i="1"/>
  <c r="H11897" i="1"/>
  <c r="H11896" i="1"/>
  <c r="H11895" i="1"/>
  <c r="H11894" i="1"/>
  <c r="H11893" i="1"/>
  <c r="H11892" i="1"/>
  <c r="H11891" i="1"/>
  <c r="H11890" i="1"/>
  <c r="H11889" i="1"/>
  <c r="H11888" i="1"/>
  <c r="H11887" i="1"/>
  <c r="H11886" i="1"/>
  <c r="H11885" i="1"/>
  <c r="H11884" i="1"/>
  <c r="H11883" i="1"/>
  <c r="H11882" i="1"/>
  <c r="H11881" i="1"/>
  <c r="H11880" i="1"/>
  <c r="H11879" i="1"/>
  <c r="H11878" i="1"/>
  <c r="H11877" i="1" l="1"/>
  <c r="H11876" i="1"/>
  <c r="H11875" i="1"/>
  <c r="H11874" i="1"/>
  <c r="H11873" i="1"/>
  <c r="H11872" i="1"/>
  <c r="H11871" i="1"/>
  <c r="H11870" i="1"/>
  <c r="H11869" i="1"/>
  <c r="H11868" i="1"/>
  <c r="H11867" i="1"/>
  <c r="H11866" i="1"/>
  <c r="H11865" i="1"/>
  <c r="H11864" i="1"/>
  <c r="H11863" i="1"/>
  <c r="H11862" i="1"/>
  <c r="H11861" i="1"/>
  <c r="H11860" i="1"/>
  <c r="H11859" i="1"/>
  <c r="H11858" i="1"/>
  <c r="H11857" i="1"/>
  <c r="H11856" i="1"/>
  <c r="H11855" i="1"/>
  <c r="H11854" i="1"/>
  <c r="H11853" i="1"/>
  <c r="H11852" i="1"/>
  <c r="H11851" i="1"/>
  <c r="H11850" i="1"/>
  <c r="H11849" i="1"/>
  <c r="H11848" i="1"/>
  <c r="H11847" i="1"/>
  <c r="H11846" i="1"/>
  <c r="H11845" i="1"/>
  <c r="H11844" i="1"/>
  <c r="H11843" i="1"/>
  <c r="H11842" i="1"/>
  <c r="H11841" i="1"/>
  <c r="H11840" i="1"/>
  <c r="H11839" i="1"/>
  <c r="H11838" i="1"/>
  <c r="H11837" i="1"/>
  <c r="H11836" i="1"/>
  <c r="H11835" i="1"/>
  <c r="H11834" i="1"/>
  <c r="H11833" i="1"/>
  <c r="H11832" i="1"/>
  <c r="H11831" i="1"/>
  <c r="H11830" i="1"/>
  <c r="H11829" i="1"/>
  <c r="H11828" i="1"/>
  <c r="H11827" i="1"/>
  <c r="H11826" i="1"/>
  <c r="H11825" i="1"/>
  <c r="H11824" i="1"/>
  <c r="H11823" i="1"/>
  <c r="H11822" i="1"/>
  <c r="H11821" i="1"/>
  <c r="H11820" i="1"/>
  <c r="H11819" i="1"/>
  <c r="H11818" i="1"/>
  <c r="H11817" i="1"/>
  <c r="H11816" i="1"/>
  <c r="H11815" i="1"/>
  <c r="H11814" i="1"/>
  <c r="H11813" i="1"/>
  <c r="H11812" i="1"/>
  <c r="H11811" i="1"/>
  <c r="H11810" i="1"/>
  <c r="H11809" i="1"/>
  <c r="H11808" i="1"/>
  <c r="H11807" i="1"/>
  <c r="H11806" i="1"/>
  <c r="H11805" i="1"/>
  <c r="H11804" i="1"/>
  <c r="H11803" i="1"/>
  <c r="H11802" i="1"/>
  <c r="H11801" i="1"/>
  <c r="H11800" i="1"/>
  <c r="H11799" i="1"/>
  <c r="H11798" i="1"/>
  <c r="H11797" i="1"/>
  <c r="H11796" i="1"/>
  <c r="H11795" i="1"/>
  <c r="H11794" i="1"/>
  <c r="H11793" i="1"/>
  <c r="H11792" i="1"/>
  <c r="H11791" i="1"/>
  <c r="H11790" i="1"/>
  <c r="H11789" i="1"/>
  <c r="H11788" i="1"/>
  <c r="H11787" i="1"/>
  <c r="H11786" i="1"/>
  <c r="H11785" i="1"/>
  <c r="H11784" i="1"/>
  <c r="H11783" i="1"/>
  <c r="H11782" i="1"/>
  <c r="H11781" i="1"/>
  <c r="H11780" i="1"/>
  <c r="H11779" i="1"/>
  <c r="H11778" i="1"/>
  <c r="H11777" i="1"/>
  <c r="H11776" i="1"/>
  <c r="H11775" i="1"/>
  <c r="H11774" i="1"/>
  <c r="H11773" i="1"/>
  <c r="H11772" i="1"/>
  <c r="H11771" i="1"/>
  <c r="H11770" i="1"/>
  <c r="H11769" i="1"/>
  <c r="H11768" i="1"/>
  <c r="H11767" i="1"/>
  <c r="H11766" i="1"/>
  <c r="H11765" i="1"/>
  <c r="H11764" i="1"/>
  <c r="H11763" i="1"/>
  <c r="H11762" i="1"/>
  <c r="H11761" i="1"/>
  <c r="H11760" i="1"/>
  <c r="H11759" i="1"/>
  <c r="H11758" i="1"/>
  <c r="H11757" i="1"/>
  <c r="H11756" i="1"/>
  <c r="H11755" i="1"/>
  <c r="H11754" i="1"/>
  <c r="H11753" i="1"/>
  <c r="H11752" i="1"/>
  <c r="H11751" i="1"/>
  <c r="H11750" i="1"/>
  <c r="H11749" i="1"/>
  <c r="H11748" i="1"/>
  <c r="H11747" i="1"/>
  <c r="H11746" i="1"/>
  <c r="H11745" i="1"/>
  <c r="H11744" i="1"/>
  <c r="H11743" i="1"/>
  <c r="H11742" i="1"/>
  <c r="H11741" i="1"/>
  <c r="H11740" i="1"/>
  <c r="H11739" i="1"/>
  <c r="H11738" i="1"/>
  <c r="H11737" i="1"/>
  <c r="H11736" i="1"/>
  <c r="H11735" i="1"/>
  <c r="H11734" i="1"/>
  <c r="H11733" i="1"/>
  <c r="H11732" i="1"/>
  <c r="H11731" i="1"/>
  <c r="H11730" i="1"/>
  <c r="H11729" i="1"/>
  <c r="H11728" i="1"/>
  <c r="H11727" i="1"/>
  <c r="H11726" i="1"/>
  <c r="H11725" i="1"/>
  <c r="H11724" i="1"/>
  <c r="H11723" i="1"/>
  <c r="H11722" i="1"/>
  <c r="H11721" i="1"/>
  <c r="H11720" i="1"/>
  <c r="H11719" i="1"/>
  <c r="H11718" i="1"/>
  <c r="H11717" i="1"/>
  <c r="H11716" i="1"/>
  <c r="H11715" i="1"/>
  <c r="H11714" i="1"/>
  <c r="H11713" i="1"/>
  <c r="H11712" i="1"/>
  <c r="H11711" i="1"/>
  <c r="H11710" i="1"/>
  <c r="H11709" i="1"/>
  <c r="H11708" i="1"/>
  <c r="H11707" i="1"/>
  <c r="H11706" i="1"/>
  <c r="H11705" i="1"/>
  <c r="H11704" i="1"/>
  <c r="H11703" i="1"/>
  <c r="H11702" i="1"/>
  <c r="H11701" i="1"/>
  <c r="H11700" i="1"/>
  <c r="H11699" i="1"/>
  <c r="H11698" i="1"/>
  <c r="H11697" i="1"/>
  <c r="H11696" i="1"/>
  <c r="H11695" i="1"/>
  <c r="H11694" i="1"/>
  <c r="H11693" i="1"/>
  <c r="H11692" i="1"/>
  <c r="H11691" i="1"/>
  <c r="H11690" i="1"/>
  <c r="H11689" i="1"/>
  <c r="H11688" i="1"/>
  <c r="H11687" i="1"/>
  <c r="H11686" i="1"/>
  <c r="H11685" i="1"/>
  <c r="H11684" i="1"/>
  <c r="H11683" i="1"/>
  <c r="H11682" i="1"/>
  <c r="H11681" i="1"/>
  <c r="H11680" i="1"/>
  <c r="H11679" i="1"/>
  <c r="H11678" i="1"/>
  <c r="H11677" i="1"/>
  <c r="H11676" i="1"/>
  <c r="H11675" i="1"/>
  <c r="H11674" i="1"/>
  <c r="H11673" i="1"/>
  <c r="H11672" i="1"/>
  <c r="H11671" i="1"/>
  <c r="H11670" i="1"/>
  <c r="H11669" i="1"/>
  <c r="H11668" i="1"/>
  <c r="H11667" i="1"/>
  <c r="H11666" i="1"/>
  <c r="H11665" i="1"/>
  <c r="H11664" i="1"/>
  <c r="H11663" i="1"/>
  <c r="H11662" i="1"/>
  <c r="H11661" i="1"/>
  <c r="H11660" i="1"/>
  <c r="H11659" i="1"/>
  <c r="H11658" i="1"/>
  <c r="H11657" i="1"/>
  <c r="H11656" i="1"/>
  <c r="H11655" i="1"/>
  <c r="H11654" i="1"/>
  <c r="H11653" i="1"/>
  <c r="H11652" i="1"/>
  <c r="H11651" i="1"/>
  <c r="H11650" i="1"/>
  <c r="H11649" i="1"/>
  <c r="H11648" i="1"/>
  <c r="H11647" i="1"/>
  <c r="H11646" i="1"/>
  <c r="H11645" i="1"/>
  <c r="H11644" i="1"/>
  <c r="H11643" i="1"/>
  <c r="H11642" i="1"/>
  <c r="H11641" i="1"/>
  <c r="H11640" i="1"/>
  <c r="H11639" i="1"/>
  <c r="H11638" i="1"/>
  <c r="H11637" i="1"/>
  <c r="H11636" i="1"/>
  <c r="H11635" i="1"/>
  <c r="H11634" i="1"/>
  <c r="H11633" i="1"/>
  <c r="H11632" i="1"/>
  <c r="H11631" i="1"/>
  <c r="H11630" i="1"/>
  <c r="H11629" i="1"/>
  <c r="H11628" i="1"/>
  <c r="H11627" i="1"/>
  <c r="H11626" i="1"/>
  <c r="H11625" i="1"/>
  <c r="H11624" i="1"/>
  <c r="H11623" i="1"/>
  <c r="H11622" i="1"/>
  <c r="H11621" i="1"/>
  <c r="H11620" i="1"/>
  <c r="H11619" i="1"/>
  <c r="H11618" i="1"/>
  <c r="H11617" i="1"/>
  <c r="H11616" i="1"/>
  <c r="H11615" i="1"/>
  <c r="H11614" i="1"/>
  <c r="H11613" i="1"/>
  <c r="H11612" i="1"/>
  <c r="H11611" i="1"/>
  <c r="H11610" i="1"/>
  <c r="H11609" i="1"/>
  <c r="H11608" i="1"/>
  <c r="H11607" i="1"/>
  <c r="H11606" i="1"/>
  <c r="H11605" i="1"/>
  <c r="H11604" i="1"/>
  <c r="H11603" i="1"/>
  <c r="H11602" i="1"/>
  <c r="H11601" i="1"/>
  <c r="H11600" i="1"/>
  <c r="H11599" i="1"/>
  <c r="H11598" i="1"/>
  <c r="H11597" i="1"/>
  <c r="H11596" i="1"/>
  <c r="H11595" i="1"/>
  <c r="H11594" i="1"/>
  <c r="H11593" i="1"/>
  <c r="H11592" i="1"/>
  <c r="H11591" i="1"/>
  <c r="H11590" i="1"/>
  <c r="H11589" i="1"/>
  <c r="H11588" i="1"/>
  <c r="H11587" i="1"/>
  <c r="H11586" i="1"/>
  <c r="H11585" i="1"/>
  <c r="H11584" i="1"/>
  <c r="H11583" i="1"/>
  <c r="H11582" i="1"/>
  <c r="H11581" i="1"/>
  <c r="H11580" i="1"/>
  <c r="H11579" i="1"/>
  <c r="H11578" i="1"/>
  <c r="H11577" i="1"/>
  <c r="H11576" i="1"/>
  <c r="H11575" i="1"/>
  <c r="H11574" i="1"/>
  <c r="H11573" i="1"/>
  <c r="H11572" i="1"/>
  <c r="H11571" i="1"/>
  <c r="H11570" i="1"/>
  <c r="H11569" i="1"/>
  <c r="H11568" i="1"/>
  <c r="H11567" i="1"/>
  <c r="H11566" i="1"/>
  <c r="H11565" i="1"/>
  <c r="H11564" i="1"/>
  <c r="H11563" i="1"/>
  <c r="H11562" i="1"/>
  <c r="H11561" i="1"/>
  <c r="H11560" i="1"/>
  <c r="H11559" i="1"/>
  <c r="H11558" i="1"/>
  <c r="H11557" i="1"/>
  <c r="H11556" i="1"/>
  <c r="H11555" i="1"/>
  <c r="H11554" i="1"/>
  <c r="H11553" i="1"/>
  <c r="H11552" i="1"/>
  <c r="H11551" i="1"/>
  <c r="H11550" i="1"/>
  <c r="H11549" i="1"/>
  <c r="H11548" i="1"/>
  <c r="H11547" i="1"/>
  <c r="H11546" i="1"/>
  <c r="H11545" i="1"/>
  <c r="H11544" i="1"/>
  <c r="H11543" i="1"/>
  <c r="H11542" i="1"/>
  <c r="H11541" i="1"/>
  <c r="H11540" i="1"/>
  <c r="H11539" i="1"/>
  <c r="H11538" i="1"/>
  <c r="H11537" i="1"/>
  <c r="H11536" i="1"/>
  <c r="H11535" i="1"/>
  <c r="H11534" i="1"/>
  <c r="H11533" i="1"/>
  <c r="H11532" i="1"/>
  <c r="H11531" i="1"/>
  <c r="H11530" i="1"/>
  <c r="H11529" i="1"/>
  <c r="H11528" i="1"/>
  <c r="H11527" i="1"/>
  <c r="H11526" i="1"/>
  <c r="H11525" i="1"/>
  <c r="H11524" i="1"/>
  <c r="H11523" i="1"/>
  <c r="H11522" i="1"/>
  <c r="H11521" i="1"/>
  <c r="H11520" i="1"/>
  <c r="H11519" i="1"/>
  <c r="H11518" i="1"/>
  <c r="H11517" i="1"/>
  <c r="H11516" i="1"/>
  <c r="H11515" i="1"/>
  <c r="H11514" i="1"/>
  <c r="H11513" i="1"/>
  <c r="H11512" i="1"/>
  <c r="H11511" i="1"/>
  <c r="H11510" i="1"/>
  <c r="H11509" i="1"/>
  <c r="H11508" i="1"/>
  <c r="H11507" i="1"/>
  <c r="H11506" i="1"/>
  <c r="H11505" i="1"/>
  <c r="H11504" i="1"/>
  <c r="H11503" i="1"/>
  <c r="H11502" i="1"/>
  <c r="H11501" i="1"/>
  <c r="H11500" i="1"/>
  <c r="H11499" i="1"/>
  <c r="H11498" i="1"/>
  <c r="H11497" i="1"/>
  <c r="H11496" i="1"/>
  <c r="H11495" i="1"/>
  <c r="H11494" i="1"/>
  <c r="H11493" i="1"/>
  <c r="H11492" i="1"/>
  <c r="H11491" i="1"/>
  <c r="H11490" i="1"/>
  <c r="H11489" i="1"/>
  <c r="H11488" i="1"/>
  <c r="H11487" i="1"/>
  <c r="H11486" i="1"/>
  <c r="H11485" i="1"/>
  <c r="H11484" i="1"/>
  <c r="H11483" i="1"/>
  <c r="H11482" i="1"/>
  <c r="H11481" i="1"/>
  <c r="H11480" i="1"/>
  <c r="H11479" i="1"/>
  <c r="H11478" i="1"/>
  <c r="H11477" i="1"/>
  <c r="H11476" i="1"/>
  <c r="H11475" i="1"/>
  <c r="H11474" i="1"/>
  <c r="H11473" i="1"/>
  <c r="H11472" i="1"/>
  <c r="H11471" i="1"/>
  <c r="H11470" i="1"/>
  <c r="H11469" i="1"/>
  <c r="H11468" i="1"/>
  <c r="H11467" i="1"/>
  <c r="H11466" i="1"/>
  <c r="H11465" i="1"/>
  <c r="H11464" i="1"/>
  <c r="H11463" i="1"/>
  <c r="H11462" i="1"/>
  <c r="H11461" i="1"/>
  <c r="H11460" i="1"/>
  <c r="H11459" i="1"/>
  <c r="H11458" i="1"/>
  <c r="H11457" i="1"/>
  <c r="H11456" i="1"/>
  <c r="H11455" i="1"/>
  <c r="H11454" i="1"/>
  <c r="H11453" i="1"/>
  <c r="H11452" i="1"/>
  <c r="H11451" i="1"/>
  <c r="H11450" i="1"/>
  <c r="H11449" i="1"/>
  <c r="H11448" i="1"/>
  <c r="H11447" i="1"/>
  <c r="H11446" i="1"/>
  <c r="H11445" i="1"/>
  <c r="H11444" i="1"/>
  <c r="H11443" i="1"/>
  <c r="H11442" i="1"/>
  <c r="H11441" i="1"/>
  <c r="H11440" i="1"/>
  <c r="H11439" i="1"/>
  <c r="H11438" i="1"/>
  <c r="H11437" i="1"/>
  <c r="H11436" i="1"/>
  <c r="H11435" i="1"/>
  <c r="H11434" i="1"/>
  <c r="H11433" i="1"/>
  <c r="H11432" i="1"/>
  <c r="H11431" i="1"/>
  <c r="H11430" i="1"/>
  <c r="H11429" i="1"/>
  <c r="H11428" i="1"/>
  <c r="H11427" i="1"/>
  <c r="H11426" i="1"/>
  <c r="H11425" i="1"/>
  <c r="H11424" i="1"/>
  <c r="H11423" i="1"/>
  <c r="H11422" i="1"/>
  <c r="H11421" i="1"/>
  <c r="H11420" i="1"/>
  <c r="H11419" i="1"/>
  <c r="H11418" i="1"/>
  <c r="H11417" i="1"/>
  <c r="H11416" i="1"/>
  <c r="H11415" i="1"/>
  <c r="H11414" i="1"/>
  <c r="H11413" i="1"/>
  <c r="H11412" i="1"/>
  <c r="H11411" i="1"/>
  <c r="H11410" i="1"/>
  <c r="H11409" i="1"/>
  <c r="H11408" i="1"/>
  <c r="H11407" i="1"/>
  <c r="H11406" i="1"/>
  <c r="H11405" i="1"/>
  <c r="H11404" i="1"/>
  <c r="H11403" i="1"/>
  <c r="H11402" i="1"/>
  <c r="H11401" i="1"/>
  <c r="H11400" i="1"/>
  <c r="H11399" i="1"/>
  <c r="H11398" i="1"/>
  <c r="H11397" i="1"/>
  <c r="H11396" i="1"/>
  <c r="H11395" i="1"/>
  <c r="H11394" i="1"/>
  <c r="H11393" i="1"/>
  <c r="H11392" i="1"/>
  <c r="H11391" i="1"/>
  <c r="H11390" i="1"/>
  <c r="H11389" i="1"/>
  <c r="H11388" i="1"/>
  <c r="H11387" i="1"/>
  <c r="H11386" i="1"/>
  <c r="H11385" i="1"/>
  <c r="H11384" i="1"/>
  <c r="H11383" i="1"/>
  <c r="H11382" i="1"/>
  <c r="H11381" i="1"/>
  <c r="H11380" i="1"/>
  <c r="H11379" i="1"/>
  <c r="H11378" i="1"/>
  <c r="H11377" i="1"/>
  <c r="H11376" i="1"/>
  <c r="H11375" i="1"/>
  <c r="H11374" i="1"/>
  <c r="H11373" i="1"/>
  <c r="H11372" i="1"/>
  <c r="H11371" i="1"/>
  <c r="H11370" i="1"/>
  <c r="H11369" i="1"/>
  <c r="H11368" i="1"/>
  <c r="H11367" i="1"/>
  <c r="H11366" i="1"/>
  <c r="H11365" i="1"/>
  <c r="H11364" i="1"/>
  <c r="H11363" i="1"/>
  <c r="H11362" i="1"/>
  <c r="H11361" i="1"/>
  <c r="H11360" i="1"/>
  <c r="H11359" i="1"/>
  <c r="H11358" i="1"/>
  <c r="H11357" i="1"/>
  <c r="H11356" i="1"/>
  <c r="H11355" i="1"/>
  <c r="H11354" i="1"/>
  <c r="H11353" i="1"/>
  <c r="H11352" i="1"/>
  <c r="H11351" i="1"/>
  <c r="H11350" i="1"/>
  <c r="H11349" i="1"/>
  <c r="H11348" i="1"/>
  <c r="H11347" i="1"/>
  <c r="H11346" i="1"/>
  <c r="H11345" i="1"/>
  <c r="H11344" i="1"/>
  <c r="H11343" i="1"/>
  <c r="H11342" i="1"/>
  <c r="H11341" i="1"/>
  <c r="H11340" i="1"/>
  <c r="H11339" i="1"/>
  <c r="H11338" i="1"/>
  <c r="H11337" i="1"/>
  <c r="H11336" i="1"/>
  <c r="H11335" i="1"/>
  <c r="H11334" i="1"/>
  <c r="H11333" i="1"/>
  <c r="H11332" i="1"/>
  <c r="H11331" i="1"/>
  <c r="H11330" i="1"/>
  <c r="H11329" i="1"/>
  <c r="H11328" i="1"/>
  <c r="H11327" i="1"/>
  <c r="H11326" i="1"/>
  <c r="H11325" i="1"/>
  <c r="H11324" i="1"/>
  <c r="H11323" i="1"/>
  <c r="H11322" i="1"/>
  <c r="H11321" i="1"/>
  <c r="H11320" i="1"/>
  <c r="H11319" i="1"/>
  <c r="H11318" i="1"/>
  <c r="H11317" i="1"/>
  <c r="H11316" i="1"/>
  <c r="H11315" i="1"/>
  <c r="H11314" i="1"/>
  <c r="H11313" i="1"/>
  <c r="H11312" i="1"/>
  <c r="H11311" i="1"/>
  <c r="H11310" i="1"/>
  <c r="H11309" i="1"/>
  <c r="H11308" i="1"/>
  <c r="H11307" i="1"/>
  <c r="H11306" i="1"/>
  <c r="H11305" i="1"/>
  <c r="H11304" i="1"/>
  <c r="H11303" i="1"/>
  <c r="H11302" i="1"/>
  <c r="H11301" i="1"/>
  <c r="H11300" i="1"/>
  <c r="H11299" i="1"/>
  <c r="H11298" i="1"/>
  <c r="H11297" i="1"/>
  <c r="H11296" i="1"/>
  <c r="H11295" i="1"/>
  <c r="H11294" i="1"/>
  <c r="H11293" i="1"/>
  <c r="H11292" i="1"/>
  <c r="H11291" i="1"/>
  <c r="H11290" i="1"/>
  <c r="H11289" i="1"/>
  <c r="H11288" i="1"/>
  <c r="H11287" i="1"/>
  <c r="H11286" i="1"/>
  <c r="H11285" i="1"/>
  <c r="H11284" i="1"/>
  <c r="H11283" i="1"/>
  <c r="H11282" i="1"/>
  <c r="H11281" i="1"/>
  <c r="H11280" i="1"/>
  <c r="H11279" i="1"/>
  <c r="H11278" i="1"/>
  <c r="H11277" i="1"/>
  <c r="H11276" i="1"/>
  <c r="H11275" i="1"/>
  <c r="H11274" i="1"/>
  <c r="H11273" i="1"/>
  <c r="H11272" i="1"/>
  <c r="H11271" i="1"/>
  <c r="H11270" i="1"/>
  <c r="H11269" i="1"/>
  <c r="H11268" i="1"/>
  <c r="H11267" i="1"/>
  <c r="H11266" i="1"/>
  <c r="H11265" i="1"/>
  <c r="H11264" i="1"/>
  <c r="H11263" i="1"/>
  <c r="H11262" i="1"/>
  <c r="H11261" i="1"/>
  <c r="H11260" i="1"/>
  <c r="H11259" i="1"/>
  <c r="H11258" i="1"/>
  <c r="H11257" i="1"/>
  <c r="H11256" i="1"/>
  <c r="H11255" i="1"/>
  <c r="H11254" i="1"/>
  <c r="H11253" i="1"/>
  <c r="H11252" i="1"/>
  <c r="H11251" i="1"/>
  <c r="H11250" i="1"/>
  <c r="H11249" i="1"/>
  <c r="H11248" i="1"/>
  <c r="H11247" i="1"/>
  <c r="H11246" i="1"/>
  <c r="H11245" i="1"/>
  <c r="H11244" i="1"/>
  <c r="H11243" i="1"/>
  <c r="H11242" i="1"/>
  <c r="H11241" i="1"/>
  <c r="H11240" i="1"/>
  <c r="H11239" i="1"/>
  <c r="H11238" i="1"/>
  <c r="H11237" i="1"/>
  <c r="H11236" i="1"/>
  <c r="H11235" i="1"/>
  <c r="H11234" i="1"/>
  <c r="H11233" i="1"/>
  <c r="H11232" i="1"/>
  <c r="H11231" i="1"/>
  <c r="H11230" i="1"/>
  <c r="H11229" i="1"/>
  <c r="H11228" i="1"/>
  <c r="H11227" i="1"/>
  <c r="H11226" i="1"/>
  <c r="H11225" i="1"/>
  <c r="H11224" i="1"/>
  <c r="H11223" i="1"/>
  <c r="H11222" i="1"/>
  <c r="H11221" i="1"/>
  <c r="H11220" i="1"/>
  <c r="H11219" i="1"/>
  <c r="H11218" i="1"/>
  <c r="H11217" i="1"/>
  <c r="H11216" i="1"/>
  <c r="H11215" i="1"/>
  <c r="H11214" i="1"/>
  <c r="H11213" i="1"/>
  <c r="H11212" i="1"/>
  <c r="H11211" i="1"/>
  <c r="H11210" i="1"/>
  <c r="H11209" i="1"/>
  <c r="H11208" i="1"/>
  <c r="H11207" i="1"/>
  <c r="H11206" i="1"/>
  <c r="H11205" i="1"/>
  <c r="H11204" i="1"/>
  <c r="H11203" i="1"/>
  <c r="H11202" i="1"/>
  <c r="H11201" i="1"/>
  <c r="H11200" i="1"/>
  <c r="H11199" i="1"/>
  <c r="H11198" i="1"/>
  <c r="H11197" i="1"/>
  <c r="H11196" i="1"/>
  <c r="H11195" i="1"/>
  <c r="H11194" i="1"/>
  <c r="H11193" i="1"/>
  <c r="H11192" i="1"/>
  <c r="H11191" i="1"/>
  <c r="H11190" i="1"/>
  <c r="H11189" i="1"/>
  <c r="H11188" i="1"/>
  <c r="H11187" i="1"/>
  <c r="H11186" i="1"/>
  <c r="H11185" i="1"/>
  <c r="H11184" i="1"/>
  <c r="H11183" i="1"/>
  <c r="H11182" i="1"/>
  <c r="H11181" i="1"/>
  <c r="H11180" i="1"/>
  <c r="H11179" i="1"/>
  <c r="H11178" i="1"/>
  <c r="H11177" i="1"/>
  <c r="H11176" i="1"/>
  <c r="H11175" i="1"/>
  <c r="H11174" i="1"/>
  <c r="H11173" i="1"/>
  <c r="H11172" i="1"/>
  <c r="H11171" i="1"/>
  <c r="H11170" i="1"/>
  <c r="H11169" i="1"/>
  <c r="H11168" i="1"/>
  <c r="H11167" i="1"/>
  <c r="H11166" i="1"/>
  <c r="H11165" i="1"/>
  <c r="H11164" i="1"/>
  <c r="H11163" i="1"/>
  <c r="H11162" i="1"/>
  <c r="H11161" i="1"/>
  <c r="H11160" i="1"/>
  <c r="H11159" i="1"/>
  <c r="H11158" i="1"/>
  <c r="H11157" i="1"/>
  <c r="H11156" i="1"/>
  <c r="H11155" i="1"/>
  <c r="H11154" i="1"/>
  <c r="H11153" i="1"/>
  <c r="H11152" i="1"/>
  <c r="H11151" i="1"/>
  <c r="H11150" i="1"/>
  <c r="H11149" i="1"/>
  <c r="H11148" i="1"/>
  <c r="H11147" i="1"/>
  <c r="H11146" i="1"/>
  <c r="H11145" i="1"/>
  <c r="H11144" i="1"/>
  <c r="H11143" i="1"/>
  <c r="H11142" i="1"/>
  <c r="H11141" i="1"/>
  <c r="H11140" i="1"/>
  <c r="H11139" i="1"/>
  <c r="H11138" i="1"/>
  <c r="H11137" i="1"/>
  <c r="H11136" i="1"/>
  <c r="H11135" i="1"/>
  <c r="H11134" i="1"/>
  <c r="H11133" i="1"/>
  <c r="H11132" i="1"/>
  <c r="H11131" i="1"/>
  <c r="H11130" i="1"/>
  <c r="H11129" i="1"/>
  <c r="H11128" i="1"/>
  <c r="H11127" i="1"/>
  <c r="H11126" i="1"/>
  <c r="H11125" i="1"/>
  <c r="H11124" i="1"/>
  <c r="H11123" i="1"/>
  <c r="H11122" i="1"/>
  <c r="H11121" i="1"/>
  <c r="H11120" i="1"/>
  <c r="H11119" i="1"/>
  <c r="H11118" i="1"/>
  <c r="H11117" i="1"/>
  <c r="H11116" i="1"/>
  <c r="H11115" i="1"/>
  <c r="H11114" i="1"/>
  <c r="H11113" i="1"/>
  <c r="H11112" i="1"/>
  <c r="H11111" i="1"/>
  <c r="H11110" i="1"/>
  <c r="H11109" i="1"/>
  <c r="H11108" i="1"/>
  <c r="H11107" i="1"/>
  <c r="H11106" i="1"/>
  <c r="H11105" i="1"/>
  <c r="H11104" i="1"/>
  <c r="H11103" i="1"/>
  <c r="H11102" i="1"/>
  <c r="H11101" i="1"/>
  <c r="H11100" i="1"/>
  <c r="H11099" i="1"/>
  <c r="H11098" i="1"/>
  <c r="H11097" i="1"/>
  <c r="H11096" i="1"/>
  <c r="H11095" i="1"/>
  <c r="H11094" i="1"/>
  <c r="H11093" i="1"/>
  <c r="H11092" i="1"/>
  <c r="H11091" i="1"/>
  <c r="H11090" i="1"/>
  <c r="H11089" i="1"/>
  <c r="H11088" i="1"/>
  <c r="H11087" i="1"/>
  <c r="H11086" i="1"/>
  <c r="H11085" i="1"/>
  <c r="H11084" i="1"/>
  <c r="H11083" i="1"/>
  <c r="H11082" i="1"/>
  <c r="H11081" i="1"/>
  <c r="H11080" i="1"/>
  <c r="H11079" i="1"/>
  <c r="H11078" i="1"/>
  <c r="H11077" i="1"/>
  <c r="H11076" i="1"/>
  <c r="H11075" i="1"/>
  <c r="H11074" i="1"/>
  <c r="H11073" i="1"/>
  <c r="H11072" i="1"/>
  <c r="H11071" i="1"/>
  <c r="H11070" i="1"/>
  <c r="H11069" i="1"/>
  <c r="H11068" i="1"/>
  <c r="H11067" i="1"/>
  <c r="H11066" i="1"/>
  <c r="H11065" i="1"/>
  <c r="H11064" i="1"/>
  <c r="H11063" i="1"/>
  <c r="H11062" i="1"/>
  <c r="H11061" i="1"/>
  <c r="H11060" i="1"/>
  <c r="H11059" i="1"/>
  <c r="H11058" i="1"/>
  <c r="H11057" i="1"/>
  <c r="H11056" i="1"/>
  <c r="H11055" i="1"/>
  <c r="H11054" i="1"/>
  <c r="H11053" i="1"/>
  <c r="H11052" i="1"/>
  <c r="H11051" i="1"/>
  <c r="H11050" i="1"/>
  <c r="H11049" i="1"/>
  <c r="H11048" i="1"/>
  <c r="H11047" i="1"/>
  <c r="H11046" i="1"/>
  <c r="H11045" i="1"/>
  <c r="H11044" i="1"/>
  <c r="H11043" i="1"/>
  <c r="H11042" i="1"/>
  <c r="H11041" i="1"/>
  <c r="H11040" i="1"/>
  <c r="H11039" i="1"/>
  <c r="H11038" i="1"/>
  <c r="H11037" i="1"/>
  <c r="H11036" i="1"/>
  <c r="H11035" i="1"/>
  <c r="H11034" i="1"/>
  <c r="H11033" i="1"/>
  <c r="H11032" i="1"/>
  <c r="H11031" i="1"/>
  <c r="H11030" i="1"/>
  <c r="H11029" i="1"/>
  <c r="H11028" i="1"/>
  <c r="H11027" i="1"/>
  <c r="H11026" i="1"/>
  <c r="H11025" i="1"/>
  <c r="H11024" i="1"/>
  <c r="H11023" i="1"/>
  <c r="H11022" i="1"/>
  <c r="H11021" i="1"/>
  <c r="H11020" i="1"/>
  <c r="H11019" i="1"/>
  <c r="H11018" i="1"/>
  <c r="H11017" i="1"/>
  <c r="H11016" i="1"/>
  <c r="H11015" i="1"/>
  <c r="H11014" i="1"/>
  <c r="H11013" i="1"/>
  <c r="H11012" i="1"/>
  <c r="H11011" i="1"/>
  <c r="H11010" i="1"/>
  <c r="H11009" i="1"/>
  <c r="H11008" i="1"/>
  <c r="H11007" i="1"/>
  <c r="H11006" i="1"/>
  <c r="H11005" i="1"/>
  <c r="H11004" i="1"/>
  <c r="H11003" i="1"/>
  <c r="H11002" i="1"/>
  <c r="H11001" i="1"/>
  <c r="H11000" i="1"/>
  <c r="H10999" i="1"/>
  <c r="H10998" i="1"/>
  <c r="H10997" i="1"/>
  <c r="H10996" i="1"/>
  <c r="H10995" i="1"/>
  <c r="H10994" i="1"/>
  <c r="H10993" i="1"/>
  <c r="H10992" i="1"/>
  <c r="H10991" i="1"/>
  <c r="H10990" i="1"/>
  <c r="H10989" i="1"/>
  <c r="H10988" i="1"/>
  <c r="H10987" i="1"/>
  <c r="H10986" i="1"/>
  <c r="H10985" i="1"/>
  <c r="H10984" i="1"/>
  <c r="H10983" i="1"/>
  <c r="H10982" i="1"/>
  <c r="H10981" i="1"/>
  <c r="H10980" i="1"/>
  <c r="H10979" i="1"/>
  <c r="H10978" i="1"/>
  <c r="H10977" i="1"/>
  <c r="H10976" i="1"/>
  <c r="H10975" i="1"/>
  <c r="H10974" i="1"/>
  <c r="H10973" i="1"/>
  <c r="H10972" i="1"/>
  <c r="H10971" i="1"/>
  <c r="H10970" i="1"/>
  <c r="H10969" i="1"/>
  <c r="H10968" i="1"/>
  <c r="H10967" i="1"/>
  <c r="H10966" i="1"/>
  <c r="H10965" i="1"/>
  <c r="H10964" i="1"/>
  <c r="H10963" i="1"/>
  <c r="H10962" i="1"/>
  <c r="H10961" i="1"/>
  <c r="H10960" i="1"/>
  <c r="H10959" i="1"/>
  <c r="H10958" i="1"/>
  <c r="H10957" i="1"/>
  <c r="H10956" i="1"/>
  <c r="H10955" i="1"/>
  <c r="H10954" i="1"/>
  <c r="H10953" i="1"/>
  <c r="H10952" i="1"/>
  <c r="H10951" i="1"/>
  <c r="H10950" i="1"/>
  <c r="H10949" i="1"/>
  <c r="H10948" i="1"/>
  <c r="H10947" i="1"/>
  <c r="H10946" i="1"/>
  <c r="H10945" i="1"/>
  <c r="H10944" i="1"/>
  <c r="H10943" i="1"/>
  <c r="H10942" i="1"/>
  <c r="H10941" i="1"/>
  <c r="H10940" i="1"/>
  <c r="H10939" i="1"/>
  <c r="H10938" i="1"/>
  <c r="H10937" i="1"/>
  <c r="H10936" i="1"/>
  <c r="H10935" i="1"/>
  <c r="H10934" i="1"/>
  <c r="H10933" i="1"/>
  <c r="H10932" i="1"/>
  <c r="H10931" i="1"/>
  <c r="H10930" i="1"/>
  <c r="H10929" i="1"/>
  <c r="H10928" i="1"/>
  <c r="H10927" i="1"/>
  <c r="H10926" i="1"/>
  <c r="H10925" i="1"/>
  <c r="H10924" i="1"/>
  <c r="H10923" i="1"/>
  <c r="H10922" i="1"/>
  <c r="H10921" i="1"/>
  <c r="H10920" i="1"/>
  <c r="H10919" i="1"/>
  <c r="H10918" i="1"/>
  <c r="H10917" i="1"/>
  <c r="H10916" i="1"/>
  <c r="H10915" i="1"/>
  <c r="H10914" i="1"/>
  <c r="H10913" i="1"/>
  <c r="H10912" i="1"/>
  <c r="H10911" i="1"/>
  <c r="H10910" i="1"/>
  <c r="H10909" i="1"/>
  <c r="H10908" i="1"/>
  <c r="H10907" i="1"/>
  <c r="H10906" i="1"/>
  <c r="H10905" i="1"/>
  <c r="H10904" i="1"/>
  <c r="H10903" i="1"/>
  <c r="H10902" i="1"/>
  <c r="H10901" i="1"/>
  <c r="H10900" i="1"/>
  <c r="H10899" i="1"/>
  <c r="H10898" i="1"/>
  <c r="H10897" i="1"/>
  <c r="H10896" i="1"/>
  <c r="H10895" i="1"/>
  <c r="H10894" i="1"/>
  <c r="H10893" i="1"/>
  <c r="H10892" i="1"/>
  <c r="H10891" i="1"/>
  <c r="H10890" i="1"/>
  <c r="H10889" i="1"/>
  <c r="H10888" i="1"/>
  <c r="H10887" i="1"/>
  <c r="H10886" i="1"/>
  <c r="H10885" i="1"/>
  <c r="H10884" i="1"/>
  <c r="H10883" i="1"/>
  <c r="H10882" i="1"/>
  <c r="H10881" i="1"/>
  <c r="H10880" i="1"/>
  <c r="H10879" i="1"/>
  <c r="H10878" i="1"/>
  <c r="H10877" i="1"/>
  <c r="H10876" i="1"/>
  <c r="H10875" i="1"/>
  <c r="H10874" i="1"/>
  <c r="H10873" i="1"/>
  <c r="H10872" i="1"/>
  <c r="H10871" i="1"/>
  <c r="H10870" i="1"/>
  <c r="H10869" i="1"/>
  <c r="H10868" i="1"/>
  <c r="H10867" i="1"/>
  <c r="H10866" i="1"/>
  <c r="H10865" i="1"/>
  <c r="H10864" i="1"/>
  <c r="H10863" i="1"/>
  <c r="H10862" i="1"/>
  <c r="H10861" i="1"/>
  <c r="H10860" i="1"/>
  <c r="H10859" i="1"/>
  <c r="H10858" i="1"/>
  <c r="H10857" i="1"/>
  <c r="H10856" i="1"/>
  <c r="H10855" i="1"/>
  <c r="H10854" i="1"/>
  <c r="H10853" i="1"/>
  <c r="H10852" i="1"/>
  <c r="H10851" i="1"/>
  <c r="H10850" i="1"/>
  <c r="H10849" i="1"/>
  <c r="H10848" i="1"/>
  <c r="H10847" i="1"/>
  <c r="H10846" i="1"/>
  <c r="H10845" i="1"/>
  <c r="H10844" i="1"/>
  <c r="H10843" i="1"/>
  <c r="H10842" i="1"/>
  <c r="H10841" i="1"/>
  <c r="H10840" i="1"/>
  <c r="H10839" i="1"/>
  <c r="H10838" i="1"/>
  <c r="H10837" i="1"/>
  <c r="H10836" i="1"/>
  <c r="H10835" i="1"/>
  <c r="H10834" i="1"/>
  <c r="H10833" i="1"/>
  <c r="H10832" i="1"/>
  <c r="H10831" i="1"/>
  <c r="H10830" i="1"/>
  <c r="H10829" i="1"/>
  <c r="H10828" i="1"/>
  <c r="H10827" i="1"/>
  <c r="H10826" i="1"/>
  <c r="H10825" i="1"/>
  <c r="H10824" i="1"/>
  <c r="H10823" i="1"/>
  <c r="H10822" i="1"/>
  <c r="H10821" i="1"/>
  <c r="H10820" i="1"/>
  <c r="H10819" i="1"/>
  <c r="H10818" i="1"/>
  <c r="H10817" i="1"/>
  <c r="H10816" i="1"/>
  <c r="H10815" i="1"/>
  <c r="H10814" i="1"/>
  <c r="H10813" i="1"/>
  <c r="H10812" i="1"/>
  <c r="H10811" i="1"/>
  <c r="H10810" i="1"/>
  <c r="H10809" i="1"/>
  <c r="H10808" i="1"/>
  <c r="H10807" i="1"/>
  <c r="H10806" i="1"/>
  <c r="H10805" i="1"/>
  <c r="H10804" i="1"/>
  <c r="H10803" i="1"/>
  <c r="H10802" i="1"/>
  <c r="H10801" i="1"/>
  <c r="H10800" i="1"/>
  <c r="H10799" i="1"/>
  <c r="H10798" i="1"/>
  <c r="H10797" i="1"/>
  <c r="H10796" i="1"/>
  <c r="H10795" i="1"/>
  <c r="H10794" i="1"/>
  <c r="H10793" i="1"/>
  <c r="H10792" i="1"/>
  <c r="H10791" i="1"/>
  <c r="H10790" i="1"/>
  <c r="H10789" i="1"/>
  <c r="H10788" i="1"/>
  <c r="H10787" i="1"/>
  <c r="H10786" i="1"/>
  <c r="H10785" i="1"/>
  <c r="H10784" i="1"/>
  <c r="H10783" i="1"/>
  <c r="H10782" i="1"/>
  <c r="H10781" i="1"/>
  <c r="H10780" i="1"/>
  <c r="H10779" i="1"/>
  <c r="H10778" i="1"/>
  <c r="H10777" i="1"/>
  <c r="H10776" i="1"/>
  <c r="H10775" i="1"/>
  <c r="H10774" i="1"/>
  <c r="H10773" i="1"/>
  <c r="H10772" i="1"/>
  <c r="H10771" i="1"/>
  <c r="H10770" i="1"/>
  <c r="H10769" i="1"/>
  <c r="H10768" i="1"/>
  <c r="H10767" i="1"/>
  <c r="H10766" i="1"/>
  <c r="H10765" i="1"/>
  <c r="H10764" i="1"/>
  <c r="H10763" i="1"/>
  <c r="H10762" i="1"/>
  <c r="H10761" i="1"/>
  <c r="H10760" i="1"/>
  <c r="H10759" i="1"/>
  <c r="H10758" i="1"/>
  <c r="H10757" i="1"/>
  <c r="H10756" i="1"/>
  <c r="H10755" i="1"/>
  <c r="H10754" i="1"/>
  <c r="H10753" i="1"/>
  <c r="H10752" i="1"/>
  <c r="H10751" i="1"/>
  <c r="H10750" i="1"/>
  <c r="H10749" i="1"/>
  <c r="H10748" i="1"/>
  <c r="H10747" i="1"/>
  <c r="H10746" i="1"/>
  <c r="H10745" i="1"/>
  <c r="H10744" i="1"/>
  <c r="H10743" i="1"/>
  <c r="H10742" i="1"/>
  <c r="H10741" i="1"/>
  <c r="H10740" i="1"/>
  <c r="H10739" i="1"/>
  <c r="H10738" i="1"/>
  <c r="H10737" i="1"/>
  <c r="H10736" i="1"/>
  <c r="H10735" i="1"/>
  <c r="H10734" i="1"/>
  <c r="H10733" i="1"/>
  <c r="H10732" i="1"/>
  <c r="H10731" i="1"/>
  <c r="H10730" i="1"/>
  <c r="H10729" i="1"/>
  <c r="H10728" i="1"/>
  <c r="H10727" i="1"/>
  <c r="H10726" i="1"/>
  <c r="H10725" i="1"/>
  <c r="H10724" i="1"/>
  <c r="H10723" i="1"/>
  <c r="H10722" i="1"/>
  <c r="H10721" i="1"/>
  <c r="H10720" i="1"/>
  <c r="H10719" i="1"/>
  <c r="H10718" i="1"/>
  <c r="H10717" i="1"/>
  <c r="H10716" i="1"/>
  <c r="H10715" i="1"/>
  <c r="H10714" i="1"/>
  <c r="H10713" i="1"/>
  <c r="H10712" i="1"/>
  <c r="H10711" i="1"/>
  <c r="H10710" i="1"/>
  <c r="H10709" i="1"/>
  <c r="H10708" i="1"/>
  <c r="H10707" i="1"/>
  <c r="H10706" i="1"/>
  <c r="H10705" i="1"/>
  <c r="H10704" i="1"/>
  <c r="H10703" i="1"/>
  <c r="H10702" i="1"/>
  <c r="H10701" i="1"/>
  <c r="H10700" i="1"/>
  <c r="H10699" i="1"/>
  <c r="H10698" i="1"/>
  <c r="H10697" i="1"/>
  <c r="H10696" i="1"/>
  <c r="H10695" i="1"/>
  <c r="H10694" i="1"/>
  <c r="H10693" i="1"/>
  <c r="H10692" i="1"/>
  <c r="H10691" i="1"/>
  <c r="H10690" i="1"/>
  <c r="H10689" i="1"/>
  <c r="H10688" i="1"/>
  <c r="H10687" i="1"/>
  <c r="H10686" i="1"/>
  <c r="H10685" i="1"/>
  <c r="H10684" i="1"/>
  <c r="H10683" i="1"/>
  <c r="H10682" i="1"/>
  <c r="H10681" i="1"/>
  <c r="H10680" i="1"/>
  <c r="H10679" i="1"/>
  <c r="H10678" i="1"/>
  <c r="H10677" i="1"/>
  <c r="H10676" i="1"/>
  <c r="H10675" i="1"/>
  <c r="H10674" i="1"/>
  <c r="H10673" i="1"/>
  <c r="H10672" i="1"/>
  <c r="H10671" i="1"/>
  <c r="H10670" i="1"/>
  <c r="H10669" i="1"/>
  <c r="H10668" i="1"/>
  <c r="H10667" i="1"/>
  <c r="H10666" i="1"/>
  <c r="H10665" i="1"/>
  <c r="H10664" i="1"/>
  <c r="H10663" i="1"/>
  <c r="H10662" i="1"/>
  <c r="H10661" i="1"/>
  <c r="H10660" i="1"/>
  <c r="H10659" i="1"/>
  <c r="H10658" i="1"/>
  <c r="H10657" i="1"/>
  <c r="H10656" i="1"/>
  <c r="H10655" i="1"/>
  <c r="H10654" i="1"/>
  <c r="H10653" i="1"/>
  <c r="H10652" i="1"/>
  <c r="H10651" i="1"/>
  <c r="H10650" i="1"/>
  <c r="H10649" i="1"/>
  <c r="H10648" i="1"/>
  <c r="H10647" i="1"/>
  <c r="H10646" i="1"/>
  <c r="H10645" i="1"/>
  <c r="H10644" i="1"/>
  <c r="H10643" i="1"/>
  <c r="H10642" i="1"/>
  <c r="H10641" i="1"/>
  <c r="H10640" i="1"/>
  <c r="H10639" i="1"/>
  <c r="H10638" i="1"/>
  <c r="H10637" i="1"/>
  <c r="H10636" i="1"/>
  <c r="H10635" i="1"/>
  <c r="H10634" i="1"/>
  <c r="H10633" i="1"/>
  <c r="H10632" i="1"/>
  <c r="H10631" i="1" l="1"/>
  <c r="H10630" i="1"/>
  <c r="H10629" i="1"/>
  <c r="H10628" i="1"/>
  <c r="H10627" i="1"/>
  <c r="H10626" i="1"/>
  <c r="H10625" i="1"/>
  <c r="H10624" i="1"/>
  <c r="H10623" i="1"/>
  <c r="H10622" i="1"/>
  <c r="H10621" i="1"/>
  <c r="H10620" i="1"/>
  <c r="H10619" i="1"/>
  <c r="H10618" i="1"/>
  <c r="H10617" i="1"/>
  <c r="H10616" i="1"/>
  <c r="H10615" i="1"/>
  <c r="H10614" i="1"/>
  <c r="H10613" i="1"/>
  <c r="H10612" i="1"/>
  <c r="H10611" i="1"/>
  <c r="H10610" i="1"/>
  <c r="H10609" i="1"/>
  <c r="H10608" i="1"/>
  <c r="H10607" i="1"/>
  <c r="H10606" i="1"/>
  <c r="H10605" i="1"/>
  <c r="H10604" i="1"/>
  <c r="H10603" i="1"/>
  <c r="H10602" i="1"/>
  <c r="H10601" i="1"/>
  <c r="H10600" i="1"/>
  <c r="H10599" i="1"/>
  <c r="H10598" i="1"/>
  <c r="H10597" i="1"/>
  <c r="H10596" i="1"/>
  <c r="H10595" i="1"/>
  <c r="H10594" i="1"/>
  <c r="H10593" i="1"/>
  <c r="H10592" i="1"/>
  <c r="H10591" i="1"/>
  <c r="H10590" i="1"/>
  <c r="H10589" i="1"/>
  <c r="H10588" i="1"/>
  <c r="H10587" i="1"/>
  <c r="H10586" i="1"/>
  <c r="H10585" i="1"/>
  <c r="H10584" i="1"/>
  <c r="H10583" i="1"/>
  <c r="H10582" i="1"/>
  <c r="H10581" i="1"/>
  <c r="H10580" i="1"/>
  <c r="H10579" i="1"/>
  <c r="H10578" i="1"/>
  <c r="H10577" i="1"/>
  <c r="H10576" i="1"/>
  <c r="H10575" i="1"/>
  <c r="H10574" i="1"/>
  <c r="H10573" i="1"/>
  <c r="H10572" i="1"/>
  <c r="H10571" i="1"/>
  <c r="H10570" i="1"/>
  <c r="H10569" i="1"/>
  <c r="H10568" i="1"/>
  <c r="H10567" i="1"/>
  <c r="H10566" i="1"/>
  <c r="H10565" i="1"/>
  <c r="H10564" i="1"/>
  <c r="H10563" i="1"/>
  <c r="H10562" i="1"/>
  <c r="H10561" i="1"/>
  <c r="H10560" i="1"/>
  <c r="H10559" i="1"/>
  <c r="H10558" i="1"/>
  <c r="H10557" i="1"/>
  <c r="H10556" i="1"/>
  <c r="H10555" i="1"/>
  <c r="H10554" i="1"/>
  <c r="H10553" i="1"/>
  <c r="H10552" i="1"/>
  <c r="H10551" i="1"/>
  <c r="H10550" i="1"/>
  <c r="H10549" i="1"/>
  <c r="H10548" i="1"/>
  <c r="H10547" i="1"/>
  <c r="H10546" i="1"/>
  <c r="H10545" i="1"/>
  <c r="H10544" i="1"/>
  <c r="H10543" i="1"/>
  <c r="H10542" i="1"/>
  <c r="H10541" i="1"/>
  <c r="H10540" i="1"/>
  <c r="H10539" i="1"/>
  <c r="H10538" i="1"/>
  <c r="H10537" i="1"/>
  <c r="H10536" i="1"/>
  <c r="H10535" i="1"/>
  <c r="H10534" i="1"/>
  <c r="H10533" i="1"/>
  <c r="H10532" i="1"/>
  <c r="H10531" i="1"/>
  <c r="H10530" i="1"/>
  <c r="H10529" i="1"/>
  <c r="H10528" i="1"/>
  <c r="H10527" i="1"/>
  <c r="H10526" i="1"/>
  <c r="H10525" i="1"/>
  <c r="H10524" i="1"/>
  <c r="H10523" i="1"/>
  <c r="H10522" i="1"/>
  <c r="H10521" i="1"/>
  <c r="H10520" i="1"/>
  <c r="H10519" i="1"/>
  <c r="H10518" i="1"/>
  <c r="H10517" i="1"/>
  <c r="H10516" i="1"/>
  <c r="H10515" i="1"/>
  <c r="H10514" i="1"/>
  <c r="H10513" i="1"/>
  <c r="H10512" i="1"/>
  <c r="H10511" i="1"/>
  <c r="H10510" i="1"/>
  <c r="H10509" i="1"/>
  <c r="H10508" i="1"/>
  <c r="H10507" i="1"/>
  <c r="H10506" i="1"/>
  <c r="H10505" i="1"/>
  <c r="H10504" i="1"/>
  <c r="H10503" i="1"/>
  <c r="H10502" i="1"/>
  <c r="H10501" i="1"/>
  <c r="H10500" i="1"/>
  <c r="H10499" i="1"/>
  <c r="H10498" i="1"/>
  <c r="H10497" i="1"/>
  <c r="H10496" i="1"/>
  <c r="H10495" i="1"/>
  <c r="H10494" i="1"/>
  <c r="H10493" i="1"/>
  <c r="H10492" i="1"/>
  <c r="H10491" i="1"/>
  <c r="H10490" i="1"/>
  <c r="H10489" i="1"/>
  <c r="H10488" i="1"/>
  <c r="H10487" i="1"/>
  <c r="H10486" i="1"/>
  <c r="H10485" i="1"/>
  <c r="H10484" i="1"/>
  <c r="H10483" i="1"/>
  <c r="H10482" i="1"/>
  <c r="H10481" i="1"/>
  <c r="H10480" i="1"/>
  <c r="H10479" i="1"/>
  <c r="H10478" i="1"/>
  <c r="H10477" i="1"/>
  <c r="H10476" i="1"/>
  <c r="H10475" i="1"/>
  <c r="H10474" i="1"/>
  <c r="H10473" i="1"/>
  <c r="H10472" i="1"/>
  <c r="H10471" i="1"/>
  <c r="H10470" i="1"/>
  <c r="H10469" i="1"/>
  <c r="H10468" i="1"/>
  <c r="H10467" i="1"/>
  <c r="H10466" i="1"/>
  <c r="H10465" i="1"/>
  <c r="H10464" i="1"/>
  <c r="H10463" i="1"/>
  <c r="H10462" i="1"/>
  <c r="H10461" i="1"/>
  <c r="H10460" i="1"/>
  <c r="H10459" i="1"/>
  <c r="H10458" i="1"/>
  <c r="H10457" i="1"/>
  <c r="H10456" i="1"/>
  <c r="H10455" i="1"/>
  <c r="H10454" i="1"/>
  <c r="H10453" i="1"/>
  <c r="H10452" i="1"/>
  <c r="H10451" i="1"/>
  <c r="H10450" i="1"/>
  <c r="H10449" i="1"/>
  <c r="H10448" i="1"/>
  <c r="H10447" i="1"/>
  <c r="H10446" i="1"/>
  <c r="H10445" i="1"/>
  <c r="H10444" i="1"/>
  <c r="H10443" i="1"/>
  <c r="H10442" i="1"/>
  <c r="H10441" i="1"/>
  <c r="H10440" i="1"/>
  <c r="H10439" i="1"/>
  <c r="H10438" i="1"/>
  <c r="H10437" i="1"/>
  <c r="H10436" i="1"/>
  <c r="H10435" i="1"/>
  <c r="H10434" i="1"/>
  <c r="H10433" i="1"/>
  <c r="H10432" i="1"/>
  <c r="H10431" i="1"/>
  <c r="H10430" i="1"/>
  <c r="H10429" i="1"/>
  <c r="H10428" i="1"/>
  <c r="H10427" i="1"/>
  <c r="H10426" i="1"/>
  <c r="H10425" i="1"/>
  <c r="H10424" i="1" l="1"/>
  <c r="H10423" i="1"/>
  <c r="H10422" i="1"/>
  <c r="H10421" i="1"/>
  <c r="H10420" i="1"/>
  <c r="H10419" i="1"/>
  <c r="H10418" i="1"/>
  <c r="H10417" i="1"/>
  <c r="H10416" i="1"/>
  <c r="H10415" i="1"/>
  <c r="H10414" i="1"/>
  <c r="H10413" i="1"/>
  <c r="H10412" i="1"/>
  <c r="H10411" i="1"/>
  <c r="H10410" i="1"/>
  <c r="H10409" i="1"/>
  <c r="H10408" i="1"/>
  <c r="H10407" i="1"/>
  <c r="H10406" i="1"/>
  <c r="H10405" i="1"/>
  <c r="H10404" i="1"/>
  <c r="H10403" i="1"/>
  <c r="H10402" i="1"/>
  <c r="H10401" i="1"/>
  <c r="H10400" i="1"/>
  <c r="H10399" i="1"/>
  <c r="H10398" i="1"/>
  <c r="H10397" i="1"/>
  <c r="H10396" i="1"/>
  <c r="H10395" i="1"/>
  <c r="H10394" i="1"/>
  <c r="H10393" i="1"/>
  <c r="H10392" i="1"/>
  <c r="H10391" i="1"/>
  <c r="H10390" i="1"/>
  <c r="H10389" i="1"/>
  <c r="H10388" i="1"/>
  <c r="H10387" i="1"/>
  <c r="H10386" i="1"/>
  <c r="H10385" i="1"/>
  <c r="H10384" i="1"/>
  <c r="H10383" i="1"/>
  <c r="H10382" i="1"/>
  <c r="H10381" i="1"/>
  <c r="H10380" i="1"/>
  <c r="H10379" i="1"/>
  <c r="H10378" i="1"/>
  <c r="H10377" i="1"/>
  <c r="H10376" i="1"/>
  <c r="H10375" i="1"/>
  <c r="H10374" i="1"/>
  <c r="H10373" i="1"/>
  <c r="H10372" i="1"/>
  <c r="H10371" i="1"/>
  <c r="H10370" i="1"/>
  <c r="H10369" i="1"/>
  <c r="H10368" i="1"/>
  <c r="H10367" i="1"/>
  <c r="H10366" i="1"/>
  <c r="H10365" i="1"/>
  <c r="H10364" i="1"/>
  <c r="H10363" i="1"/>
  <c r="H10362" i="1"/>
  <c r="H10361" i="1"/>
  <c r="H10360" i="1"/>
  <c r="H10359" i="1"/>
  <c r="H10358" i="1"/>
  <c r="H10357" i="1"/>
  <c r="H10356" i="1"/>
  <c r="H10355" i="1"/>
  <c r="H10354" i="1"/>
  <c r="H10353" i="1"/>
  <c r="H10352" i="1"/>
  <c r="H10351" i="1"/>
  <c r="H10350" i="1"/>
  <c r="H10349" i="1"/>
  <c r="H10348" i="1"/>
  <c r="H10347" i="1"/>
  <c r="H10346" i="1"/>
  <c r="H10345" i="1"/>
  <c r="H10344" i="1"/>
  <c r="H10343" i="1"/>
  <c r="H10342" i="1"/>
  <c r="H10341" i="1"/>
  <c r="H10340" i="1"/>
  <c r="H10339" i="1"/>
  <c r="H10338" i="1"/>
  <c r="H10337" i="1"/>
  <c r="H10336" i="1"/>
  <c r="H10335" i="1"/>
  <c r="H10334" i="1"/>
  <c r="H10333" i="1"/>
  <c r="H10332" i="1"/>
  <c r="H10331" i="1"/>
  <c r="H10330" i="1"/>
  <c r="H10329" i="1"/>
  <c r="H10328" i="1"/>
  <c r="H10327" i="1"/>
  <c r="H10326" i="1"/>
  <c r="H10325" i="1"/>
  <c r="H10324" i="1"/>
  <c r="H10323" i="1"/>
  <c r="H10322" i="1"/>
  <c r="H10321" i="1"/>
  <c r="H10320" i="1"/>
  <c r="H10319" i="1"/>
  <c r="H10318" i="1"/>
  <c r="H10317" i="1"/>
  <c r="H10316" i="1"/>
  <c r="H10315" i="1"/>
  <c r="H10314" i="1"/>
  <c r="H10313" i="1"/>
  <c r="H10312" i="1"/>
  <c r="H10311" i="1"/>
  <c r="H10310" i="1"/>
  <c r="H10309" i="1"/>
  <c r="H10308" i="1"/>
  <c r="H10307" i="1"/>
  <c r="H10306" i="1"/>
  <c r="H10305" i="1"/>
  <c r="H10304" i="1"/>
  <c r="H10303" i="1"/>
  <c r="H10302" i="1"/>
  <c r="H10301" i="1"/>
  <c r="H10300" i="1"/>
  <c r="H10299" i="1"/>
  <c r="H10298" i="1"/>
  <c r="H10297" i="1"/>
  <c r="H10296" i="1"/>
  <c r="H10295" i="1"/>
  <c r="H10294" i="1"/>
  <c r="H10293" i="1"/>
  <c r="H10292" i="1"/>
  <c r="H10291" i="1"/>
  <c r="H10290" i="1"/>
  <c r="H10289" i="1"/>
  <c r="H10288" i="1"/>
  <c r="H10287" i="1"/>
  <c r="H10286" i="1"/>
  <c r="H10285" i="1"/>
  <c r="H10284" i="1"/>
  <c r="H10283" i="1"/>
  <c r="H10282" i="1"/>
  <c r="H10281" i="1"/>
  <c r="H10280" i="1"/>
  <c r="H10279" i="1"/>
  <c r="H10278" i="1"/>
  <c r="H10277" i="1"/>
  <c r="H10276" i="1"/>
  <c r="H10275" i="1"/>
  <c r="H10274" i="1"/>
  <c r="H10273" i="1"/>
  <c r="H10272" i="1"/>
  <c r="H10271" i="1"/>
  <c r="H10270" i="1"/>
  <c r="H10269" i="1"/>
  <c r="H10268" i="1"/>
  <c r="H10267" i="1"/>
  <c r="H10266" i="1"/>
  <c r="H10265" i="1"/>
  <c r="H10264" i="1"/>
  <c r="H10263" i="1"/>
  <c r="H10262" i="1"/>
  <c r="H10261" i="1"/>
  <c r="H10260" i="1"/>
  <c r="H10259" i="1"/>
  <c r="H10258" i="1"/>
  <c r="H10257" i="1"/>
  <c r="H10256" i="1"/>
  <c r="H10255" i="1"/>
  <c r="H10254" i="1"/>
  <c r="H10253" i="1"/>
  <c r="H10252" i="1"/>
  <c r="H10251" i="1"/>
  <c r="H10250" i="1"/>
  <c r="H10249" i="1"/>
  <c r="H10248" i="1"/>
  <c r="H10247" i="1"/>
  <c r="H10246" i="1"/>
  <c r="H10245" i="1"/>
  <c r="H10244" i="1"/>
  <c r="H10243" i="1"/>
  <c r="H10242" i="1"/>
  <c r="H10241" i="1"/>
  <c r="H10240" i="1"/>
  <c r="H10239" i="1"/>
  <c r="H10238" i="1"/>
  <c r="H10237" i="1"/>
  <c r="H10236" i="1"/>
  <c r="H10235" i="1"/>
  <c r="H10234" i="1"/>
  <c r="H10233" i="1"/>
  <c r="H10232" i="1"/>
  <c r="H10231" i="1"/>
  <c r="H10230" i="1"/>
  <c r="H10229" i="1"/>
  <c r="H10228" i="1"/>
  <c r="H10227" i="1"/>
  <c r="H10226" i="1"/>
  <c r="H10225" i="1"/>
  <c r="H10224" i="1"/>
  <c r="H10223" i="1"/>
  <c r="H10222" i="1"/>
  <c r="H10221" i="1"/>
  <c r="H10220" i="1"/>
  <c r="H10219" i="1"/>
  <c r="H10218" i="1"/>
  <c r="H10217" i="1"/>
  <c r="H10216" i="1"/>
  <c r="H10215" i="1"/>
  <c r="H10214" i="1"/>
  <c r="H10213" i="1"/>
  <c r="H10212" i="1"/>
  <c r="H10211" i="1"/>
  <c r="H10210" i="1"/>
  <c r="H10209" i="1"/>
  <c r="H10208" i="1"/>
  <c r="H10207" i="1"/>
  <c r="H10206" i="1"/>
  <c r="H10205" i="1"/>
  <c r="H10204" i="1"/>
  <c r="H10203" i="1"/>
  <c r="H10202" i="1"/>
  <c r="H10201" i="1"/>
  <c r="H10200" i="1"/>
  <c r="H10199" i="1"/>
  <c r="H10198" i="1"/>
  <c r="H10197" i="1"/>
  <c r="H10196" i="1"/>
  <c r="H10195" i="1"/>
  <c r="H10194" i="1"/>
  <c r="H10193" i="1"/>
  <c r="H10192" i="1"/>
  <c r="H10191" i="1"/>
  <c r="H10190" i="1"/>
  <c r="H10189" i="1"/>
  <c r="H10188" i="1"/>
  <c r="H10187" i="1"/>
  <c r="H10186" i="1"/>
  <c r="H10185" i="1"/>
  <c r="H10184" i="1"/>
  <c r="H10183" i="1"/>
  <c r="H10182" i="1"/>
  <c r="H10181" i="1"/>
  <c r="H10180" i="1"/>
  <c r="H10179" i="1"/>
  <c r="H10178" i="1"/>
  <c r="H10177" i="1"/>
  <c r="H10176" i="1"/>
  <c r="H10175" i="1"/>
  <c r="H10174" i="1"/>
  <c r="H10173" i="1"/>
  <c r="H10172" i="1"/>
  <c r="H10171" i="1"/>
  <c r="H10170" i="1"/>
  <c r="H10169" i="1"/>
  <c r="H10168" i="1"/>
  <c r="H10167" i="1"/>
  <c r="H10166" i="1"/>
  <c r="H10165" i="1"/>
  <c r="H10164" i="1"/>
  <c r="H10163" i="1"/>
  <c r="H10162" i="1"/>
  <c r="H10161" i="1"/>
  <c r="H10160" i="1"/>
  <c r="H10159" i="1"/>
  <c r="H10158" i="1"/>
  <c r="H10157" i="1"/>
  <c r="H10156" i="1"/>
  <c r="H10155" i="1"/>
  <c r="H10154" i="1"/>
  <c r="H10153" i="1"/>
  <c r="H10152" i="1"/>
  <c r="H10151" i="1"/>
  <c r="H10150" i="1"/>
  <c r="H10149" i="1"/>
  <c r="H10148" i="1"/>
  <c r="H10147" i="1"/>
  <c r="H10146" i="1"/>
  <c r="H10145" i="1"/>
  <c r="H10144" i="1"/>
  <c r="H10143" i="1"/>
  <c r="H10142" i="1"/>
  <c r="H10141" i="1"/>
  <c r="H10140" i="1"/>
  <c r="H10139" i="1"/>
  <c r="H10138" i="1"/>
  <c r="H10137" i="1"/>
  <c r="H10136" i="1"/>
  <c r="H10135" i="1"/>
  <c r="H10134" i="1"/>
  <c r="H10133" i="1"/>
  <c r="H10132" i="1"/>
  <c r="H10131" i="1"/>
  <c r="H10130" i="1"/>
  <c r="H10129" i="1"/>
  <c r="H10128" i="1"/>
  <c r="H10127" i="1"/>
  <c r="H10126" i="1"/>
  <c r="H10125" i="1"/>
  <c r="H10124" i="1"/>
  <c r="H10123" i="1"/>
  <c r="H10122" i="1"/>
  <c r="H10121" i="1"/>
  <c r="H10120" i="1"/>
  <c r="H10119" i="1"/>
  <c r="H10118" i="1"/>
  <c r="H10117" i="1"/>
  <c r="H10116" i="1"/>
  <c r="H10115" i="1"/>
  <c r="H10114" i="1"/>
  <c r="H10113" i="1"/>
  <c r="H10112" i="1"/>
  <c r="H10111" i="1"/>
  <c r="H10110" i="1"/>
  <c r="H10109" i="1"/>
  <c r="H10108" i="1"/>
  <c r="H10107" i="1"/>
  <c r="H10106" i="1"/>
  <c r="H10105" i="1"/>
  <c r="H10104" i="1"/>
  <c r="H10103" i="1"/>
  <c r="H10102" i="1"/>
  <c r="H10101" i="1"/>
  <c r="H10100" i="1"/>
  <c r="H10099" i="1"/>
  <c r="H10098" i="1"/>
  <c r="H10097" i="1"/>
  <c r="H10096" i="1"/>
  <c r="H10095" i="1"/>
  <c r="H10094" i="1" l="1"/>
  <c r="H10093" i="1"/>
  <c r="H10092" i="1"/>
  <c r="H10091" i="1"/>
  <c r="H10090" i="1"/>
  <c r="H10089" i="1"/>
  <c r="H10088" i="1"/>
  <c r="H10087" i="1"/>
  <c r="H10086" i="1"/>
  <c r="H10085" i="1"/>
  <c r="H10084" i="1"/>
  <c r="H10083" i="1"/>
  <c r="H10082" i="1"/>
  <c r="H10081" i="1"/>
  <c r="H10080" i="1"/>
  <c r="H10079" i="1"/>
  <c r="H10078" i="1"/>
  <c r="H10077" i="1"/>
  <c r="H10076" i="1"/>
  <c r="H10075" i="1"/>
  <c r="H10074" i="1"/>
  <c r="H10073" i="1"/>
  <c r="H10072" i="1"/>
  <c r="H10071" i="1"/>
  <c r="H10070" i="1"/>
  <c r="H10069" i="1"/>
  <c r="H10068" i="1"/>
  <c r="H10067" i="1"/>
  <c r="H10066" i="1"/>
  <c r="H10065" i="1"/>
  <c r="H10064" i="1"/>
  <c r="H10063" i="1"/>
  <c r="H10062" i="1"/>
  <c r="H10061" i="1"/>
  <c r="H10060" i="1"/>
  <c r="H10059" i="1"/>
  <c r="H10058" i="1"/>
  <c r="H10057" i="1"/>
  <c r="H10056" i="1"/>
  <c r="H10055" i="1"/>
  <c r="H10054" i="1"/>
  <c r="H10053" i="1"/>
  <c r="H10052" i="1"/>
  <c r="H10051" i="1"/>
  <c r="H10050" i="1"/>
  <c r="H10049" i="1"/>
  <c r="H10048" i="1" l="1"/>
  <c r="H10047" i="1"/>
  <c r="H10046" i="1"/>
  <c r="H10045" i="1"/>
  <c r="H10044" i="1"/>
  <c r="H10043" i="1"/>
  <c r="H10042" i="1"/>
  <c r="H10041" i="1"/>
  <c r="H10040" i="1"/>
  <c r="H10039" i="1"/>
  <c r="H10038" i="1"/>
  <c r="H10037" i="1"/>
  <c r="H10036" i="1"/>
  <c r="H10035" i="1"/>
  <c r="H10034" i="1"/>
  <c r="H10033" i="1"/>
  <c r="H10032" i="1"/>
  <c r="H10031" i="1"/>
  <c r="H10030" i="1"/>
  <c r="H10029" i="1"/>
  <c r="H10028" i="1"/>
  <c r="H10027" i="1"/>
  <c r="H10026" i="1"/>
  <c r="H10025" i="1"/>
  <c r="H10024" i="1"/>
  <c r="H10023" i="1"/>
  <c r="H10022" i="1"/>
  <c r="H10021" i="1"/>
  <c r="H10020" i="1"/>
  <c r="H10019" i="1"/>
  <c r="H10018" i="1"/>
  <c r="H10017" i="1"/>
  <c r="H10016" i="1"/>
  <c r="H10015" i="1"/>
  <c r="H10014" i="1"/>
  <c r="H10013" i="1"/>
  <c r="H10012" i="1"/>
  <c r="H10011" i="1"/>
  <c r="H10010" i="1"/>
  <c r="H10009" i="1"/>
  <c r="H10008" i="1"/>
  <c r="H10007" i="1"/>
  <c r="H10006" i="1"/>
  <c r="H10005" i="1"/>
  <c r="H10004" i="1"/>
  <c r="H10003" i="1"/>
  <c r="H10002" i="1"/>
  <c r="H10001" i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 l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 l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 l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 l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 l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 l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 l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 l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 l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 l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 l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 l="1"/>
  <c r="H52" i="1"/>
  <c r="H51" i="1"/>
  <c r="H50" i="1"/>
  <c r="H49" i="1"/>
  <c r="H48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mplet Wadi elbeda" type="6" refreshedVersion="6" background="1" saveData="1">
    <textPr codePage="720" sourceFile="E:\Marsi alam\complet Wadi elbeda.txt" delimited="0">
      <textFields count="13">
        <textField/>
        <textField position="13"/>
        <textField position="25"/>
        <textField position="35"/>
        <textField position="48"/>
        <textField position="55"/>
        <textField position="65"/>
        <textField position="68"/>
        <textField position="79"/>
        <textField position="82"/>
        <textField position="84"/>
        <textField position="93"/>
        <textField position="96"/>
      </textFields>
    </textPr>
  </connection>
  <connection id="2" xr16:uid="{00000000-0015-0000-FFFF-FFFF01000000}" name="gabl 2" type="6" refreshedVersion="6" background="1" saveData="1">
    <textPr codePage="720" sourceFile="D:\Marsi alam\5 day\gabl 2.txt" delimited="0">
      <textFields count="16">
        <textField/>
        <textField position="12"/>
        <textField position="13"/>
        <textField position="25"/>
        <textField position="26"/>
        <textField position="35"/>
        <textField position="36"/>
        <textField position="46"/>
        <textField position="47"/>
        <textField position="55"/>
        <textField position="56"/>
        <textField position="65"/>
        <textField position="69"/>
        <textField position="82"/>
        <textField position="85"/>
        <textField position="91"/>
      </textFields>
    </textPr>
  </connection>
</connections>
</file>

<file path=xl/sharedStrings.xml><?xml version="1.0" encoding="utf-8"?>
<sst xmlns="http://schemas.openxmlformats.org/spreadsheetml/2006/main" count="10" uniqueCount="9">
  <si>
    <t>lat</t>
  </si>
  <si>
    <t>long</t>
  </si>
  <si>
    <t>x</t>
  </si>
  <si>
    <t>y</t>
  </si>
  <si>
    <t>E</t>
  </si>
  <si>
    <t>Reading</t>
  </si>
  <si>
    <t>Time</t>
  </si>
  <si>
    <t>/line  00000</t>
  </si>
  <si>
    <t xml:space="preserve">Corrected data (Total Intensity)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</si>
</sst>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mplet Wadi elbeda" connectionId="1" xr16:uid="{00000000-0016-0000-0000-000001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bl 2" connectionId="2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64"/>
  <sheetViews>
    <sheetView tabSelected="1" topLeftCell="B1" workbookViewId="0">
      <selection activeCell="J3" sqref="J3"/>
    </sheetView>
  </sheetViews>
  <sheetFormatPr defaultRowHeight="14.4" x14ac:dyDescent="0.55000000000000004"/>
  <cols>
    <col min="1" max="1" width="15.1015625" style="18" customWidth="1"/>
    <col min="2" max="2" width="11.734375" style="18" customWidth="1"/>
    <col min="3" max="3" width="12.734375" style="18" customWidth="1"/>
    <col min="4" max="4" width="13" style="18" customWidth="1"/>
    <col min="5" max="5" width="10.62890625" style="18" customWidth="1"/>
    <col min="6" max="6" width="12.3671875" style="18" customWidth="1"/>
    <col min="7" max="7" width="12.1015625" style="18" customWidth="1"/>
    <col min="8" max="8" width="34" style="18" bestFit="1" customWidth="1"/>
  </cols>
  <sheetData>
    <row r="1" spans="1:9" s="1" customFormat="1" ht="21.75" customHeight="1" x14ac:dyDescent="0.5500000000000000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8</v>
      </c>
      <c r="I1" s="11"/>
    </row>
    <row r="2" spans="1:9" s="2" customFormat="1" ht="21.75" customHeight="1" x14ac:dyDescent="0.55000000000000004">
      <c r="A2" s="18">
        <v>24.778880399999998</v>
      </c>
      <c r="B2" s="18">
        <v>34.85904</v>
      </c>
      <c r="C2" s="18">
        <v>687951.08</v>
      </c>
      <c r="D2" s="18">
        <v>2741742.11</v>
      </c>
      <c r="E2" s="18">
        <v>234.4</v>
      </c>
      <c r="F2" s="18">
        <v>42096.89</v>
      </c>
      <c r="G2" s="18">
        <v>114913</v>
      </c>
      <c r="H2" s="18">
        <f>SUM(F2-11)</f>
        <v>42085.89</v>
      </c>
      <c r="I2" s="12"/>
    </row>
    <row r="3" spans="1:9" s="2" customFormat="1" ht="21.75" customHeight="1" x14ac:dyDescent="0.55000000000000004">
      <c r="A3" s="18">
        <v>24.778882500000002</v>
      </c>
      <c r="B3" s="18">
        <v>34.859036699999997</v>
      </c>
      <c r="C3" s="18">
        <v>687950.74</v>
      </c>
      <c r="D3" s="18">
        <v>2741742.34</v>
      </c>
      <c r="E3" s="18">
        <v>235.28</v>
      </c>
      <c r="F3" s="18">
        <v>42097.14</v>
      </c>
      <c r="G3" s="18">
        <v>115007</v>
      </c>
      <c r="H3" s="18">
        <f t="shared" ref="H3:H5" si="0">SUM(F3-11)</f>
        <v>42086.14</v>
      </c>
      <c r="I3" s="12"/>
    </row>
    <row r="4" spans="1:9" s="2" customFormat="1" ht="21.75" customHeight="1" x14ac:dyDescent="0.55000000000000004">
      <c r="A4" s="18">
        <v>24.778883400000002</v>
      </c>
      <c r="B4" s="18">
        <v>34.859035300000002</v>
      </c>
      <c r="C4" s="18">
        <v>687950.6</v>
      </c>
      <c r="D4" s="18">
        <v>2741742.43</v>
      </c>
      <c r="E4" s="18">
        <v>235.65</v>
      </c>
      <c r="F4" s="18">
        <v>42097.34</v>
      </c>
      <c r="G4" s="18">
        <v>115022</v>
      </c>
      <c r="H4" s="18">
        <f t="shared" si="0"/>
        <v>42086.34</v>
      </c>
      <c r="I4" s="12"/>
    </row>
    <row r="5" spans="1:9" s="2" customFormat="1" ht="21.75" customHeight="1" x14ac:dyDescent="0.55000000000000004">
      <c r="A5" s="18">
        <v>24.778998600000001</v>
      </c>
      <c r="B5" s="18">
        <v>34.859123500000003</v>
      </c>
      <c r="C5" s="18">
        <v>687959.34</v>
      </c>
      <c r="D5" s="18">
        <v>2741755.32</v>
      </c>
      <c r="E5" s="18">
        <v>235.32</v>
      </c>
      <c r="F5" s="18">
        <v>42098</v>
      </c>
      <c r="G5" s="18">
        <v>115155</v>
      </c>
      <c r="H5" s="18">
        <f t="shared" si="0"/>
        <v>42087</v>
      </c>
      <c r="I5" s="12"/>
    </row>
    <row r="6" spans="1:9" s="2" customFormat="1" ht="21.75" customHeight="1" x14ac:dyDescent="0.55000000000000004">
      <c r="A6" s="18">
        <v>24.7800814</v>
      </c>
      <c r="B6" s="18">
        <v>34.858328700000001</v>
      </c>
      <c r="C6" s="18">
        <v>687877.34</v>
      </c>
      <c r="D6" s="18">
        <v>2741874.16</v>
      </c>
      <c r="E6" s="18">
        <v>240.78</v>
      </c>
      <c r="F6" s="18">
        <v>42098.17</v>
      </c>
      <c r="G6" s="18">
        <v>123025</v>
      </c>
      <c r="H6" s="18">
        <f>SUM(F6-7)</f>
        <v>42091.17</v>
      </c>
      <c r="I6" s="12"/>
    </row>
    <row r="7" spans="1:9" s="2" customFormat="1" ht="21.75" customHeight="1" x14ac:dyDescent="0.55000000000000004">
      <c r="A7" s="18">
        <v>24.780073600000001</v>
      </c>
      <c r="B7" s="18">
        <v>34.858336999999999</v>
      </c>
      <c r="C7" s="18">
        <v>687878.18</v>
      </c>
      <c r="D7" s="18">
        <v>2741873.3</v>
      </c>
      <c r="E7" s="18">
        <v>243.68</v>
      </c>
      <c r="F7" s="18">
        <v>42097.69</v>
      </c>
      <c r="G7" s="18">
        <v>123052</v>
      </c>
      <c r="H7" s="18">
        <f t="shared" ref="H7:H13" si="1">SUM(F7-7)</f>
        <v>42090.69</v>
      </c>
      <c r="I7" s="12"/>
    </row>
    <row r="8" spans="1:9" s="2" customFormat="1" ht="21.75" customHeight="1" x14ac:dyDescent="0.55000000000000004">
      <c r="A8" s="18">
        <v>24.7811193</v>
      </c>
      <c r="B8" s="18">
        <v>34.8570262</v>
      </c>
      <c r="C8" s="18">
        <v>687744.05</v>
      </c>
      <c r="D8" s="18">
        <v>2741987.34</v>
      </c>
      <c r="E8" s="18">
        <v>244.49</v>
      </c>
      <c r="F8" s="18">
        <v>42100.03</v>
      </c>
      <c r="G8" s="18">
        <v>123316</v>
      </c>
      <c r="H8" s="18">
        <f t="shared" si="1"/>
        <v>42093.03</v>
      </c>
      <c r="I8" s="12"/>
    </row>
    <row r="9" spans="1:9" s="2" customFormat="1" ht="21.75" customHeight="1" x14ac:dyDescent="0.55000000000000004">
      <c r="A9" s="18">
        <v>24.781124800000001</v>
      </c>
      <c r="B9" s="18">
        <v>34.857029900000001</v>
      </c>
      <c r="C9" s="18">
        <v>687744.42</v>
      </c>
      <c r="D9" s="18">
        <v>2741987.94</v>
      </c>
      <c r="E9" s="18">
        <v>244.45</v>
      </c>
      <c r="F9" s="18">
        <v>42098.42</v>
      </c>
      <c r="G9" s="18">
        <v>123407</v>
      </c>
      <c r="H9" s="18">
        <f t="shared" si="1"/>
        <v>42091.42</v>
      </c>
      <c r="I9" s="12"/>
    </row>
    <row r="10" spans="1:9" s="2" customFormat="1" ht="21.75" customHeight="1" x14ac:dyDescent="0.55000000000000004">
      <c r="A10" s="18">
        <v>24.781015100000001</v>
      </c>
      <c r="B10" s="18">
        <v>34.855303900000003</v>
      </c>
      <c r="C10" s="18">
        <v>687570.06</v>
      </c>
      <c r="D10" s="18">
        <v>2741973.42</v>
      </c>
      <c r="E10" s="18">
        <v>247.31</v>
      </c>
      <c r="F10" s="18">
        <v>42088.44</v>
      </c>
      <c r="G10" s="18">
        <v>123552</v>
      </c>
      <c r="H10" s="18">
        <f t="shared" si="1"/>
        <v>42081.440000000002</v>
      </c>
      <c r="I10" s="12"/>
    </row>
    <row r="11" spans="1:9" s="2" customFormat="1" ht="21.75" customHeight="1" x14ac:dyDescent="0.55000000000000004">
      <c r="A11" s="18">
        <v>24.7810147</v>
      </c>
      <c r="B11" s="18">
        <v>34.8552982</v>
      </c>
      <c r="C11" s="18">
        <v>687569.48</v>
      </c>
      <c r="D11" s="18">
        <v>2741973.37</v>
      </c>
      <c r="E11" s="18">
        <v>246.18</v>
      </c>
      <c r="F11" s="18">
        <v>42088.02</v>
      </c>
      <c r="G11" s="18">
        <v>123613</v>
      </c>
      <c r="H11" s="18">
        <f t="shared" si="1"/>
        <v>42081.02</v>
      </c>
      <c r="I11" s="12"/>
    </row>
    <row r="12" spans="1:9" s="2" customFormat="1" ht="21.75" customHeight="1" x14ac:dyDescent="0.55000000000000004">
      <c r="A12" s="18">
        <v>24.7808262</v>
      </c>
      <c r="B12" s="18">
        <v>34.853456600000001</v>
      </c>
      <c r="C12" s="18">
        <v>687383.53</v>
      </c>
      <c r="D12" s="18">
        <v>2741949.96</v>
      </c>
      <c r="E12" s="18">
        <v>248.61</v>
      </c>
      <c r="F12" s="18">
        <v>42066.43</v>
      </c>
      <c r="G12" s="18">
        <v>123801</v>
      </c>
      <c r="H12" s="18">
        <f t="shared" si="1"/>
        <v>42059.43</v>
      </c>
      <c r="I12" s="12"/>
    </row>
    <row r="13" spans="1:9" s="2" customFormat="1" ht="21.75" customHeight="1" x14ac:dyDescent="0.55000000000000004">
      <c r="A13" s="18">
        <v>24.780827500000001</v>
      </c>
      <c r="B13" s="18">
        <v>34.853455699999998</v>
      </c>
      <c r="C13" s="18">
        <v>687383.44</v>
      </c>
      <c r="D13" s="18">
        <v>2741950.11</v>
      </c>
      <c r="E13" s="18">
        <v>248.09</v>
      </c>
      <c r="F13" s="18">
        <v>42066.96</v>
      </c>
      <c r="G13" s="18">
        <v>123816</v>
      </c>
      <c r="H13" s="18">
        <f t="shared" si="1"/>
        <v>42059.96</v>
      </c>
      <c r="I13" s="12"/>
    </row>
    <row r="14" spans="1:9" s="2" customFormat="1" ht="21.75" customHeight="1" x14ac:dyDescent="0.55000000000000004">
      <c r="A14" s="18">
        <v>24.7818279</v>
      </c>
      <c r="B14" s="18">
        <v>34.851842300000001</v>
      </c>
      <c r="C14" s="18">
        <v>687218.79</v>
      </c>
      <c r="D14" s="18">
        <v>2742058.7</v>
      </c>
      <c r="E14" s="18">
        <v>255.11</v>
      </c>
      <c r="F14" s="18">
        <v>42081.84</v>
      </c>
      <c r="G14" s="18">
        <v>124010</v>
      </c>
      <c r="H14" s="18">
        <f>SUM(F14-5)</f>
        <v>42076.84</v>
      </c>
      <c r="I14" s="12"/>
    </row>
    <row r="15" spans="1:9" s="2" customFormat="1" ht="21.75" customHeight="1" x14ac:dyDescent="0.55000000000000004">
      <c r="A15" s="18">
        <v>24.781829399999999</v>
      </c>
      <c r="B15" s="18">
        <v>34.8518428</v>
      </c>
      <c r="C15" s="18">
        <v>687218.83</v>
      </c>
      <c r="D15" s="18">
        <v>2742058.87</v>
      </c>
      <c r="E15" s="18">
        <v>255.34</v>
      </c>
      <c r="F15" s="18">
        <v>42081.83</v>
      </c>
      <c r="G15" s="18">
        <v>124025</v>
      </c>
      <c r="H15" s="18">
        <f t="shared" ref="H15:H33" si="2">SUM(F15-5)</f>
        <v>42076.83</v>
      </c>
      <c r="I15" s="12"/>
    </row>
    <row r="16" spans="1:9" s="2" customFormat="1" ht="21.75" customHeight="1" x14ac:dyDescent="0.55000000000000004">
      <c r="A16" s="18">
        <v>24.782126099999999</v>
      </c>
      <c r="B16" s="18">
        <v>34.849904799999997</v>
      </c>
      <c r="C16" s="18">
        <v>687022.42</v>
      </c>
      <c r="D16" s="18">
        <v>2742089.08</v>
      </c>
      <c r="E16" s="18">
        <v>261.95</v>
      </c>
      <c r="F16" s="18">
        <v>42038.94</v>
      </c>
      <c r="G16" s="18">
        <v>124219</v>
      </c>
      <c r="H16" s="18">
        <f t="shared" si="2"/>
        <v>42033.94</v>
      </c>
      <c r="I16" s="12"/>
    </row>
    <row r="17" spans="1:9" s="2" customFormat="1" ht="21.75" customHeight="1" x14ac:dyDescent="0.55000000000000004">
      <c r="A17" s="18">
        <v>24.782128799999999</v>
      </c>
      <c r="B17" s="18">
        <v>34.849904199999997</v>
      </c>
      <c r="C17" s="18">
        <v>687022.35</v>
      </c>
      <c r="D17" s="18">
        <v>2742089.38</v>
      </c>
      <c r="E17" s="18">
        <v>262.23</v>
      </c>
      <c r="F17" s="18">
        <v>42038.7</v>
      </c>
      <c r="G17" s="18">
        <v>124237</v>
      </c>
      <c r="H17" s="18">
        <f t="shared" si="2"/>
        <v>42033.7</v>
      </c>
      <c r="I17" s="12"/>
    </row>
    <row r="18" spans="1:9" s="2" customFormat="1" ht="21.75" customHeight="1" x14ac:dyDescent="0.55000000000000004">
      <c r="A18" s="18">
        <v>24.7821377</v>
      </c>
      <c r="B18" s="18">
        <v>34.847997700000001</v>
      </c>
      <c r="C18" s="18">
        <v>686829.55</v>
      </c>
      <c r="D18" s="18">
        <v>2742087.76</v>
      </c>
      <c r="E18" s="18">
        <v>267.06</v>
      </c>
      <c r="F18" s="18">
        <v>42054.559999999998</v>
      </c>
      <c r="G18" s="18">
        <v>124428</v>
      </c>
      <c r="H18" s="18">
        <f t="shared" si="2"/>
        <v>42049.56</v>
      </c>
      <c r="I18" s="12"/>
    </row>
    <row r="19" spans="1:9" s="2" customFormat="1" ht="21.75" customHeight="1" x14ac:dyDescent="0.55000000000000004">
      <c r="A19" s="18">
        <v>24.782139699999998</v>
      </c>
      <c r="B19" s="18">
        <v>34.847995900000001</v>
      </c>
      <c r="C19" s="18">
        <v>686829.36</v>
      </c>
      <c r="D19" s="18">
        <v>2742087.97</v>
      </c>
      <c r="E19" s="18">
        <v>266.26</v>
      </c>
      <c r="F19" s="18">
        <v>42054.58</v>
      </c>
      <c r="G19" s="18">
        <v>124449</v>
      </c>
      <c r="H19" s="18">
        <f t="shared" si="2"/>
        <v>42049.58</v>
      </c>
      <c r="I19" s="12"/>
    </row>
    <row r="20" spans="1:9" s="2" customFormat="1" ht="21.75" customHeight="1" x14ac:dyDescent="0.55000000000000004">
      <c r="A20" s="18">
        <v>24.781572400000002</v>
      </c>
      <c r="B20" s="18">
        <v>34.846246399999998</v>
      </c>
      <c r="C20" s="18">
        <v>686653.31</v>
      </c>
      <c r="D20" s="18">
        <v>2742022.74</v>
      </c>
      <c r="E20" s="18">
        <v>266.14999999999998</v>
      </c>
      <c r="F20" s="18">
        <v>42056.6</v>
      </c>
      <c r="G20" s="18">
        <v>124640</v>
      </c>
      <c r="H20" s="18">
        <f t="shared" si="2"/>
        <v>42051.6</v>
      </c>
      <c r="I20" s="12"/>
    </row>
    <row r="21" spans="1:9" s="2" customFormat="1" ht="21.75" customHeight="1" x14ac:dyDescent="0.55000000000000004">
      <c r="A21" s="18">
        <v>24.7815768</v>
      </c>
      <c r="B21" s="18">
        <v>34.846248000000003</v>
      </c>
      <c r="C21" s="18">
        <v>686653.46</v>
      </c>
      <c r="D21" s="18">
        <v>2742023.24</v>
      </c>
      <c r="E21" s="18">
        <v>266.31</v>
      </c>
      <c r="F21" s="18">
        <v>42056.93</v>
      </c>
      <c r="G21" s="18">
        <v>124707</v>
      </c>
      <c r="H21" s="18">
        <f t="shared" si="2"/>
        <v>42051.93</v>
      </c>
      <c r="I21" s="12"/>
    </row>
    <row r="22" spans="1:9" s="2" customFormat="1" ht="21.75" customHeight="1" x14ac:dyDescent="0.55000000000000004">
      <c r="A22" s="18">
        <v>24.782076499999999</v>
      </c>
      <c r="B22" s="18">
        <v>34.8444784</v>
      </c>
      <c r="C22" s="18">
        <v>686473.77</v>
      </c>
      <c r="D22" s="18">
        <v>2742076.16</v>
      </c>
      <c r="E22" s="18">
        <v>269.01</v>
      </c>
      <c r="F22" s="18">
        <v>42045.83</v>
      </c>
      <c r="G22" s="18">
        <v>124901</v>
      </c>
      <c r="H22" s="18">
        <f t="shared" si="2"/>
        <v>42040.83</v>
      </c>
      <c r="I22" s="12"/>
    </row>
    <row r="23" spans="1:9" s="2" customFormat="1" ht="21.75" customHeight="1" x14ac:dyDescent="0.55000000000000004">
      <c r="A23" s="18">
        <v>24.782082500000001</v>
      </c>
      <c r="B23" s="18">
        <v>34.844480799999999</v>
      </c>
      <c r="C23" s="18">
        <v>686474</v>
      </c>
      <c r="D23" s="18">
        <v>2742076.84</v>
      </c>
      <c r="E23" s="18">
        <v>270.04000000000002</v>
      </c>
      <c r="F23" s="18">
        <v>42045.87</v>
      </c>
      <c r="G23" s="18">
        <v>124943</v>
      </c>
      <c r="H23" s="18">
        <f t="shared" si="2"/>
        <v>42040.87</v>
      </c>
      <c r="I23" s="12"/>
    </row>
    <row r="24" spans="1:9" s="2" customFormat="1" ht="21.75" customHeight="1" x14ac:dyDescent="0.55000000000000004">
      <c r="A24" s="18">
        <v>24.782586800000001</v>
      </c>
      <c r="B24" s="18">
        <v>34.8425601</v>
      </c>
      <c r="C24" s="18">
        <v>686279.02</v>
      </c>
      <c r="D24" s="18">
        <v>2742130.07</v>
      </c>
      <c r="E24" s="18">
        <v>274.55</v>
      </c>
      <c r="F24" s="18">
        <v>42034.06</v>
      </c>
      <c r="G24" s="18">
        <v>125131</v>
      </c>
      <c r="H24" s="18">
        <f t="shared" si="2"/>
        <v>42029.06</v>
      </c>
      <c r="I24" s="12"/>
    </row>
    <row r="25" spans="1:9" s="2" customFormat="1" ht="21.75" customHeight="1" x14ac:dyDescent="0.55000000000000004">
      <c r="A25" s="18">
        <v>24.782586999999999</v>
      </c>
      <c r="B25" s="18">
        <v>34.842559600000001</v>
      </c>
      <c r="C25" s="18">
        <v>686278.97</v>
      </c>
      <c r="D25" s="18">
        <v>2742130.1</v>
      </c>
      <c r="E25" s="18">
        <v>274.12</v>
      </c>
      <c r="F25" s="18">
        <v>42033.93</v>
      </c>
      <c r="G25" s="18">
        <v>125155</v>
      </c>
      <c r="H25" s="18">
        <f t="shared" si="2"/>
        <v>42028.93</v>
      </c>
      <c r="I25" s="12"/>
    </row>
    <row r="26" spans="1:9" s="2" customFormat="1" ht="21.75" customHeight="1" x14ac:dyDescent="0.55000000000000004">
      <c r="A26" s="18">
        <v>24.7833088</v>
      </c>
      <c r="B26" s="18">
        <v>34.840741700000002</v>
      </c>
      <c r="C26" s="18">
        <v>686094.07</v>
      </c>
      <c r="D26" s="18">
        <v>2742207.56</v>
      </c>
      <c r="E26" s="18">
        <v>277.89</v>
      </c>
      <c r="F26" s="18">
        <v>42015.839999999997</v>
      </c>
      <c r="G26" s="18">
        <v>125340</v>
      </c>
      <c r="H26" s="18">
        <f t="shared" si="2"/>
        <v>42010.84</v>
      </c>
      <c r="I26" s="12"/>
    </row>
    <row r="27" spans="1:9" s="2" customFormat="1" ht="21.75" customHeight="1" x14ac:dyDescent="0.55000000000000004">
      <c r="A27" s="18">
        <v>24.783305200000001</v>
      </c>
      <c r="B27" s="18">
        <v>34.840740199999999</v>
      </c>
      <c r="C27" s="18">
        <v>686093.92</v>
      </c>
      <c r="D27" s="18">
        <v>2742207.17</v>
      </c>
      <c r="E27" s="18">
        <v>277.83999999999997</v>
      </c>
      <c r="F27" s="18">
        <v>42015.49</v>
      </c>
      <c r="G27" s="18">
        <v>125410</v>
      </c>
      <c r="H27" s="18">
        <f t="shared" si="2"/>
        <v>42010.49</v>
      </c>
      <c r="I27" s="12"/>
    </row>
    <row r="28" spans="1:9" s="2" customFormat="1" ht="21.75" customHeight="1" x14ac:dyDescent="0.55000000000000004">
      <c r="A28" s="18">
        <v>24.784152299999999</v>
      </c>
      <c r="B28" s="18">
        <v>34.8390311</v>
      </c>
      <c r="C28" s="18">
        <v>685919.84</v>
      </c>
      <c r="D28" s="18">
        <v>2742298.67</v>
      </c>
      <c r="E28" s="18">
        <v>282.55</v>
      </c>
      <c r="F28" s="18">
        <v>42007.51</v>
      </c>
      <c r="G28" s="18">
        <v>125607</v>
      </c>
      <c r="H28" s="18">
        <f t="shared" si="2"/>
        <v>42002.51</v>
      </c>
      <c r="I28" s="12"/>
    </row>
    <row r="29" spans="1:9" s="2" customFormat="1" ht="21.75" customHeight="1" x14ac:dyDescent="0.55000000000000004">
      <c r="A29" s="18">
        <v>24.784151699999999</v>
      </c>
      <c r="B29" s="18">
        <v>34.8390311</v>
      </c>
      <c r="C29" s="18">
        <v>685919.84</v>
      </c>
      <c r="D29" s="18">
        <v>2742298.59</v>
      </c>
      <c r="E29" s="18">
        <v>282.95</v>
      </c>
      <c r="F29" s="18">
        <v>42007.64</v>
      </c>
      <c r="G29" s="18">
        <v>125637</v>
      </c>
      <c r="H29" s="18">
        <f t="shared" si="2"/>
        <v>42002.64</v>
      </c>
      <c r="I29" s="12"/>
    </row>
    <row r="30" spans="1:9" s="2" customFormat="1" ht="21.75" customHeight="1" x14ac:dyDescent="0.55000000000000004">
      <c r="A30" s="18">
        <v>24.785030599999999</v>
      </c>
      <c r="B30" s="18">
        <v>34.837589600000001</v>
      </c>
      <c r="C30" s="18">
        <v>685772.77</v>
      </c>
      <c r="D30" s="18">
        <v>2742393.99</v>
      </c>
      <c r="E30" s="18">
        <v>289.11</v>
      </c>
      <c r="F30" s="18">
        <v>42007.47</v>
      </c>
      <c r="G30" s="18">
        <v>125813</v>
      </c>
      <c r="H30" s="18">
        <f t="shared" si="2"/>
        <v>42002.47</v>
      </c>
      <c r="I30" s="12"/>
    </row>
    <row r="31" spans="1:9" s="2" customFormat="1" ht="21.75" customHeight="1" x14ac:dyDescent="0.55000000000000004">
      <c r="A31" s="18">
        <v>24.785029699999999</v>
      </c>
      <c r="B31" s="18">
        <v>34.8375883</v>
      </c>
      <c r="C31" s="18">
        <v>685772.63</v>
      </c>
      <c r="D31" s="18">
        <v>2742393.89</v>
      </c>
      <c r="E31" s="18">
        <v>288.89</v>
      </c>
      <c r="F31" s="18">
        <v>42007.32</v>
      </c>
      <c r="G31" s="18">
        <v>125828</v>
      </c>
      <c r="H31" s="18">
        <f t="shared" si="2"/>
        <v>42002.32</v>
      </c>
      <c r="I31" s="12"/>
    </row>
    <row r="32" spans="1:9" s="2" customFormat="1" ht="21.75" customHeight="1" x14ac:dyDescent="0.55000000000000004">
      <c r="A32" s="18">
        <v>24.785715799999998</v>
      </c>
      <c r="B32" s="18">
        <v>34.835808900000004</v>
      </c>
      <c r="C32" s="18">
        <v>685591.68</v>
      </c>
      <c r="D32" s="18">
        <v>2742467.46</v>
      </c>
      <c r="E32" s="18">
        <v>283.63</v>
      </c>
      <c r="F32" s="18">
        <v>42002.87</v>
      </c>
      <c r="G32" s="18">
        <v>130025</v>
      </c>
      <c r="H32" s="18">
        <f t="shared" si="2"/>
        <v>41997.87</v>
      </c>
      <c r="I32" s="12"/>
    </row>
    <row r="33" spans="1:9" s="2" customFormat="1" ht="21.75" customHeight="1" x14ac:dyDescent="0.55000000000000004">
      <c r="A33" s="18">
        <v>24.785717600000002</v>
      </c>
      <c r="B33" s="18">
        <v>34.835809699999999</v>
      </c>
      <c r="C33" s="18">
        <v>685591.76</v>
      </c>
      <c r="D33" s="18">
        <v>2742467.66</v>
      </c>
      <c r="E33" s="18">
        <v>283.55</v>
      </c>
      <c r="F33" s="18">
        <v>42002.49</v>
      </c>
      <c r="G33" s="18">
        <v>130043</v>
      </c>
      <c r="H33" s="18">
        <f t="shared" si="2"/>
        <v>41997.49</v>
      </c>
      <c r="I33" s="12"/>
    </row>
    <row r="34" spans="1:9" s="2" customFormat="1" ht="21.75" customHeight="1" x14ac:dyDescent="0.55000000000000004">
      <c r="A34" s="18">
        <v>24.787143100000002</v>
      </c>
      <c r="B34" s="18">
        <v>34.834539399999997</v>
      </c>
      <c r="C34" s="18">
        <v>685461.19</v>
      </c>
      <c r="D34" s="18">
        <v>2742623.82</v>
      </c>
      <c r="E34" s="18">
        <v>276.24</v>
      </c>
      <c r="F34" s="18">
        <v>41994.35</v>
      </c>
      <c r="G34" s="18">
        <v>130237</v>
      </c>
      <c r="H34" s="18">
        <v>41990.35</v>
      </c>
      <c r="I34" s="12"/>
    </row>
    <row r="35" spans="1:9" s="2" customFormat="1" ht="21.75" customHeight="1" x14ac:dyDescent="0.55000000000000004">
      <c r="A35" s="18">
        <v>24.787143700000001</v>
      </c>
      <c r="B35" s="18">
        <v>34.834539100000001</v>
      </c>
      <c r="C35" s="18">
        <v>685461.16</v>
      </c>
      <c r="D35" s="18">
        <v>2742623.89</v>
      </c>
      <c r="E35" s="18">
        <v>275.93</v>
      </c>
      <c r="F35" s="18">
        <v>41993.9</v>
      </c>
      <c r="G35" s="18">
        <v>130252</v>
      </c>
      <c r="H35" s="18">
        <v>41889.9</v>
      </c>
      <c r="I35" s="12"/>
    </row>
    <row r="36" spans="1:9" s="2" customFormat="1" ht="21.75" customHeight="1" x14ac:dyDescent="0.55000000000000004">
      <c r="A36" s="18">
        <v>24.788716999999998</v>
      </c>
      <c r="B36" s="18">
        <v>34.833876400000001</v>
      </c>
      <c r="C36" s="18">
        <v>685391.81</v>
      </c>
      <c r="D36" s="18">
        <v>2742797.26</v>
      </c>
      <c r="E36" s="18">
        <v>272.29000000000002</v>
      </c>
      <c r="F36" s="18">
        <v>41995.01</v>
      </c>
      <c r="G36" s="18">
        <v>130637</v>
      </c>
      <c r="H36" s="18">
        <v>41993.01</v>
      </c>
      <c r="I36" s="12"/>
    </row>
    <row r="37" spans="1:9" s="2" customFormat="1" ht="21.75" customHeight="1" x14ac:dyDescent="0.55000000000000004">
      <c r="A37" s="18">
        <v>24.7887156</v>
      </c>
      <c r="B37" s="18">
        <v>34.833876199999999</v>
      </c>
      <c r="C37" s="18">
        <v>685391.79</v>
      </c>
      <c r="D37" s="18">
        <v>2742797.1</v>
      </c>
      <c r="E37" s="18">
        <v>272.41000000000003</v>
      </c>
      <c r="F37" s="18">
        <v>41994.97</v>
      </c>
      <c r="G37" s="18">
        <v>130704</v>
      </c>
      <c r="H37" s="18">
        <v>41992.97</v>
      </c>
      <c r="I37" s="12"/>
    </row>
    <row r="38" spans="1:9" s="2" customFormat="1" ht="21.75" customHeight="1" x14ac:dyDescent="0.55000000000000004">
      <c r="A38" s="18">
        <v>24.790461100000002</v>
      </c>
      <c r="B38" s="18">
        <v>34.833216499999999</v>
      </c>
      <c r="C38" s="18">
        <v>685322.49</v>
      </c>
      <c r="D38" s="18">
        <v>2742989.54</v>
      </c>
      <c r="E38" s="18">
        <v>267.66000000000003</v>
      </c>
      <c r="F38" s="18">
        <v>41995.09</v>
      </c>
      <c r="G38" s="18">
        <v>130852</v>
      </c>
      <c r="H38" s="18">
        <v>41993.09</v>
      </c>
      <c r="I38" s="12"/>
    </row>
    <row r="39" spans="1:9" s="2" customFormat="1" ht="21.75" customHeight="1" x14ac:dyDescent="0.55000000000000004">
      <c r="A39" s="18">
        <v>24.790461100000002</v>
      </c>
      <c r="B39" s="18">
        <v>34.833217400000002</v>
      </c>
      <c r="C39" s="18">
        <v>685322.58</v>
      </c>
      <c r="D39" s="18">
        <v>2742989.55</v>
      </c>
      <c r="E39" s="18">
        <v>267.64999999999998</v>
      </c>
      <c r="F39" s="18">
        <v>41996.34</v>
      </c>
      <c r="G39" s="18">
        <v>130910</v>
      </c>
      <c r="H39" s="18">
        <v>41995.09</v>
      </c>
      <c r="I39" s="12"/>
    </row>
    <row r="40" spans="1:9" s="2" customFormat="1" ht="21.75" customHeight="1" x14ac:dyDescent="0.55000000000000004">
      <c r="A40" s="18">
        <v>24.791379899999999</v>
      </c>
      <c r="B40" s="18">
        <v>34.834512599999996</v>
      </c>
      <c r="C40" s="18">
        <v>685452.18</v>
      </c>
      <c r="D40" s="18">
        <v>2743093.07</v>
      </c>
      <c r="E40" s="18">
        <v>262.38</v>
      </c>
      <c r="F40" s="18">
        <v>42001.599999999999</v>
      </c>
      <c r="G40" s="18">
        <v>131522</v>
      </c>
      <c r="H40" s="18">
        <v>42001.599999999999</v>
      </c>
      <c r="I40" s="12"/>
    </row>
    <row r="41" spans="1:9" s="2" customFormat="1" ht="21.75" customHeight="1" x14ac:dyDescent="0.55000000000000004">
      <c r="A41" s="18">
        <v>24.791379500000001</v>
      </c>
      <c r="B41" s="18">
        <v>34.834517900000002</v>
      </c>
      <c r="C41" s="18">
        <v>685452.72</v>
      </c>
      <c r="D41" s="18">
        <v>2743093.03</v>
      </c>
      <c r="E41" s="18">
        <v>262.39999999999998</v>
      </c>
      <c r="F41" s="18">
        <v>42002.07</v>
      </c>
      <c r="G41" s="18">
        <v>131552</v>
      </c>
      <c r="H41" s="18">
        <v>42001.07</v>
      </c>
      <c r="I41" s="12"/>
    </row>
    <row r="42" spans="1:9" s="2" customFormat="1" ht="21.75" customHeight="1" x14ac:dyDescent="0.55000000000000004">
      <c r="A42" s="18">
        <v>24.791568300000002</v>
      </c>
      <c r="B42" s="18">
        <v>34.835912299999997</v>
      </c>
      <c r="C42" s="18">
        <v>685593.43</v>
      </c>
      <c r="D42" s="18">
        <v>2743115.84</v>
      </c>
      <c r="E42" s="18">
        <v>258.88</v>
      </c>
      <c r="F42" s="18">
        <v>42009.66</v>
      </c>
      <c r="G42" s="18">
        <v>131804</v>
      </c>
      <c r="H42" s="18">
        <v>42007.66</v>
      </c>
      <c r="I42" s="12"/>
    </row>
    <row r="43" spans="1:9" s="2" customFormat="1" ht="21.75" customHeight="1" x14ac:dyDescent="0.55000000000000004">
      <c r="A43" s="18">
        <v>24.791568399999999</v>
      </c>
      <c r="B43" s="18">
        <v>34.835912999999998</v>
      </c>
      <c r="C43" s="18">
        <v>685593.49</v>
      </c>
      <c r="D43" s="18">
        <v>2743115.85</v>
      </c>
      <c r="E43" s="18">
        <v>258.83999999999997</v>
      </c>
      <c r="F43" s="18">
        <v>42008.63</v>
      </c>
      <c r="G43" s="18">
        <v>131831</v>
      </c>
      <c r="H43" s="18">
        <v>42006.63</v>
      </c>
      <c r="I43" s="12"/>
    </row>
    <row r="44" spans="1:9" s="2" customFormat="1" ht="21.75" customHeight="1" x14ac:dyDescent="0.55000000000000004">
      <c r="A44" s="18">
        <v>24.792199</v>
      </c>
      <c r="B44" s="18">
        <v>34.8369176</v>
      </c>
      <c r="C44" s="18">
        <v>685694.14</v>
      </c>
      <c r="D44" s="18">
        <v>2743187.06</v>
      </c>
      <c r="E44" s="18">
        <v>254.61</v>
      </c>
      <c r="F44" s="18">
        <v>42030.17</v>
      </c>
      <c r="G44" s="18">
        <v>132052</v>
      </c>
      <c r="H44" s="18">
        <v>42027.17</v>
      </c>
      <c r="I44" s="12"/>
    </row>
    <row r="45" spans="1:9" s="2" customFormat="1" ht="21.75" customHeight="1" x14ac:dyDescent="0.55000000000000004">
      <c r="A45" s="18">
        <v>24.7922042</v>
      </c>
      <c r="B45" s="18">
        <v>34.836920900000003</v>
      </c>
      <c r="C45" s="18">
        <v>685694.46</v>
      </c>
      <c r="D45" s="18">
        <v>2743187.64</v>
      </c>
      <c r="E45" s="18">
        <v>254.19</v>
      </c>
      <c r="F45" s="18">
        <v>42029.93</v>
      </c>
      <c r="G45" s="18">
        <v>132137</v>
      </c>
      <c r="H45" s="18">
        <v>42025.93</v>
      </c>
      <c r="I45" s="12"/>
    </row>
    <row r="46" spans="1:9" s="2" customFormat="1" ht="21.75" customHeight="1" x14ac:dyDescent="0.55000000000000004">
      <c r="A46" s="18">
        <v>24.792695699999999</v>
      </c>
      <c r="B46" s="18">
        <v>34.837818200000001</v>
      </c>
      <c r="C46" s="18">
        <v>685784.46</v>
      </c>
      <c r="D46" s="18">
        <v>2743243.31</v>
      </c>
      <c r="E46" s="18">
        <v>248.95</v>
      </c>
      <c r="F46" s="18">
        <v>42019.9</v>
      </c>
      <c r="G46" s="18">
        <v>132331</v>
      </c>
      <c r="H46" s="18">
        <v>42015.9</v>
      </c>
      <c r="I46" s="12"/>
    </row>
    <row r="47" spans="1:9" s="2" customFormat="1" ht="21.75" customHeight="1" x14ac:dyDescent="0.55000000000000004">
      <c r="A47" s="18">
        <v>24.792693799999999</v>
      </c>
      <c r="B47" s="18">
        <v>34.837817299999998</v>
      </c>
      <c r="C47" s="18">
        <v>685784.37</v>
      </c>
      <c r="D47" s="18">
        <v>2743243.09</v>
      </c>
      <c r="E47" s="18">
        <v>249.21</v>
      </c>
      <c r="F47" s="18">
        <v>42019.21</v>
      </c>
      <c r="G47" s="18">
        <v>132401</v>
      </c>
      <c r="H47" s="18">
        <v>42015.21</v>
      </c>
      <c r="I47" s="12"/>
    </row>
    <row r="48" spans="1:9" s="2" customFormat="1" ht="21.75" customHeight="1" x14ac:dyDescent="0.55000000000000004">
      <c r="A48" s="18">
        <v>24.794259400000001</v>
      </c>
      <c r="B48" s="18">
        <v>34.8380796</v>
      </c>
      <c r="C48" s="18">
        <v>685808.56</v>
      </c>
      <c r="D48" s="18">
        <v>2743416.86</v>
      </c>
      <c r="E48" s="18">
        <v>244.81</v>
      </c>
      <c r="F48" s="18">
        <v>42053.32</v>
      </c>
      <c r="G48" s="18">
        <v>132704</v>
      </c>
      <c r="H48" s="18">
        <f>SUM(F48-5.5)</f>
        <v>42047.82</v>
      </c>
      <c r="I48" s="12"/>
    </row>
    <row r="49" spans="1:9" s="2" customFormat="1" ht="21.75" customHeight="1" x14ac:dyDescent="0.55000000000000004">
      <c r="A49" s="18">
        <v>24.794260600000001</v>
      </c>
      <c r="B49" s="18">
        <v>34.838078500000002</v>
      </c>
      <c r="C49" s="18">
        <v>685808.45</v>
      </c>
      <c r="D49" s="18">
        <v>2743416.99</v>
      </c>
      <c r="E49" s="18">
        <v>244.62</v>
      </c>
      <c r="F49" s="18">
        <v>42053.7</v>
      </c>
      <c r="G49" s="18">
        <v>132722</v>
      </c>
      <c r="H49" s="18">
        <f t="shared" ref="H49:H50" si="3">SUM(F49-5.5)</f>
        <v>42048.2</v>
      </c>
      <c r="I49" s="12"/>
    </row>
    <row r="50" spans="1:9" s="2" customFormat="1" ht="21.75" customHeight="1" x14ac:dyDescent="0.55000000000000004">
      <c r="A50" s="18">
        <v>24.794261299999999</v>
      </c>
      <c r="B50" s="18">
        <v>34.838078400000001</v>
      </c>
      <c r="C50" s="18">
        <v>685808.43</v>
      </c>
      <c r="D50" s="18">
        <v>2743417.07</v>
      </c>
      <c r="E50" s="18">
        <v>244.57</v>
      </c>
      <c r="F50" s="18">
        <v>42053.25</v>
      </c>
      <c r="G50" s="18">
        <v>132737</v>
      </c>
      <c r="H50" s="18">
        <f t="shared" si="3"/>
        <v>42047.75</v>
      </c>
      <c r="I50" s="12"/>
    </row>
    <row r="51" spans="1:9" s="2" customFormat="1" ht="21.75" customHeight="1" x14ac:dyDescent="0.55000000000000004">
      <c r="A51" s="18">
        <v>24.794818800000002</v>
      </c>
      <c r="B51" s="18">
        <v>34.8389466</v>
      </c>
      <c r="C51" s="18">
        <v>685895.39</v>
      </c>
      <c r="D51" s="18">
        <v>2743480</v>
      </c>
      <c r="E51" s="18">
        <v>241.42</v>
      </c>
      <c r="F51" s="18">
        <v>42049.75</v>
      </c>
      <c r="G51" s="18">
        <v>133001</v>
      </c>
      <c r="H51" s="18">
        <f>SUM(F51-8.5)</f>
        <v>42041.25</v>
      </c>
      <c r="I51" s="12"/>
    </row>
    <row r="52" spans="1:9" s="2" customFormat="1" ht="21.75" customHeight="1" x14ac:dyDescent="0.55000000000000004">
      <c r="A52" s="18">
        <v>24.794818200000002</v>
      </c>
      <c r="B52" s="18">
        <v>34.838947900000001</v>
      </c>
      <c r="C52" s="18">
        <v>685895.52</v>
      </c>
      <c r="D52" s="18">
        <v>2743479.94</v>
      </c>
      <c r="E52" s="18">
        <v>241.37</v>
      </c>
      <c r="F52" s="18">
        <v>42049.73</v>
      </c>
      <c r="G52" s="18">
        <v>133016</v>
      </c>
      <c r="H52" s="18">
        <f t="shared" ref="H52:H53" si="4">SUM(F52-8.5)</f>
        <v>42041.23</v>
      </c>
      <c r="I52" s="12"/>
    </row>
    <row r="53" spans="1:9" s="2" customFormat="1" ht="21.75" customHeight="1" x14ac:dyDescent="0.55000000000000004">
      <c r="A53" s="18">
        <v>24.794817500000001</v>
      </c>
      <c r="B53" s="18">
        <v>34.838949399999997</v>
      </c>
      <c r="C53" s="18">
        <v>685895.67</v>
      </c>
      <c r="D53" s="18">
        <v>2743479.85</v>
      </c>
      <c r="E53" s="18">
        <v>241.24</v>
      </c>
      <c r="F53" s="18">
        <v>42049.64</v>
      </c>
      <c r="G53" s="18">
        <v>133037</v>
      </c>
      <c r="H53" s="18">
        <f t="shared" si="4"/>
        <v>42041.14</v>
      </c>
      <c r="I53" s="12"/>
    </row>
    <row r="54" spans="1:9" ht="21" customHeight="1" x14ac:dyDescent="0.55000000000000004">
      <c r="A54" s="18">
        <v>24.821635700000002</v>
      </c>
      <c r="B54" s="18">
        <v>34.991368799999996</v>
      </c>
      <c r="C54" s="18">
        <v>701264</v>
      </c>
      <c r="D54" s="18">
        <v>2746666.62</v>
      </c>
      <c r="E54" s="18">
        <v>4.32</v>
      </c>
      <c r="F54" s="18">
        <v>42000.98</v>
      </c>
      <c r="G54" s="18">
        <v>93713</v>
      </c>
      <c r="H54" s="18">
        <f>SUM(F54-6)</f>
        <v>41994.98</v>
      </c>
    </row>
    <row r="55" spans="1:9" ht="21" customHeight="1" x14ac:dyDescent="0.55000000000000004">
      <c r="A55" s="18">
        <v>24.821635100000002</v>
      </c>
      <c r="B55" s="18">
        <v>34.991369599999999</v>
      </c>
      <c r="C55" s="18">
        <v>701264.07</v>
      </c>
      <c r="D55" s="18">
        <v>2746666.55</v>
      </c>
      <c r="E55" s="18">
        <v>4.1399999999999997</v>
      </c>
      <c r="F55" s="18">
        <v>42001.29</v>
      </c>
      <c r="G55" s="18">
        <v>93728</v>
      </c>
      <c r="H55" s="18">
        <f t="shared" ref="H55:H56" si="5">SUM(F55-6)</f>
        <v>41995.29</v>
      </c>
    </row>
    <row r="56" spans="1:9" ht="21" customHeight="1" x14ac:dyDescent="0.55000000000000004">
      <c r="A56" s="18">
        <v>24.820561300000001</v>
      </c>
      <c r="B56" s="18">
        <v>34.989152099999998</v>
      </c>
      <c r="C56" s="18">
        <v>701041.63</v>
      </c>
      <c r="D56" s="18">
        <v>2746544.33</v>
      </c>
      <c r="E56" s="18">
        <v>6.63</v>
      </c>
      <c r="F56" s="18">
        <v>42010.5</v>
      </c>
      <c r="G56" s="18">
        <v>93949</v>
      </c>
      <c r="H56" s="18">
        <f t="shared" si="5"/>
        <v>42004.5</v>
      </c>
    </row>
    <row r="57" spans="1:9" ht="21" customHeight="1" x14ac:dyDescent="0.55000000000000004">
      <c r="A57" s="18">
        <v>24.820561300000001</v>
      </c>
      <c r="B57" s="18">
        <v>34.989151499999998</v>
      </c>
      <c r="C57" s="18">
        <v>701041.58</v>
      </c>
      <c r="D57" s="18">
        <v>2746544.33</v>
      </c>
      <c r="E57" s="18">
        <v>6.64</v>
      </c>
      <c r="F57" s="18">
        <v>42010.5</v>
      </c>
      <c r="G57" s="18">
        <v>94001</v>
      </c>
      <c r="H57" s="18">
        <f>SUM(F57-8)</f>
        <v>42002.5</v>
      </c>
    </row>
    <row r="58" spans="1:9" ht="21" customHeight="1" x14ac:dyDescent="0.55000000000000004">
      <c r="A58" s="18">
        <v>24.819441399999999</v>
      </c>
      <c r="B58" s="18">
        <v>34.987617</v>
      </c>
      <c r="C58" s="18">
        <v>700888.25</v>
      </c>
      <c r="D58" s="18">
        <v>2746418.03</v>
      </c>
      <c r="E58" s="18">
        <v>8.1300000000000008</v>
      </c>
      <c r="F58" s="18">
        <v>41970.71</v>
      </c>
      <c r="G58" s="18">
        <v>94143</v>
      </c>
      <c r="H58" s="18">
        <f t="shared" ref="H58:H63" si="6">SUM(F58-8)</f>
        <v>41962.71</v>
      </c>
    </row>
    <row r="59" spans="1:9" ht="21" customHeight="1" x14ac:dyDescent="0.55000000000000004">
      <c r="A59" s="18">
        <v>24.819442299999999</v>
      </c>
      <c r="B59" s="18">
        <v>34.987615599999998</v>
      </c>
      <c r="C59" s="18">
        <v>700888.11</v>
      </c>
      <c r="D59" s="18">
        <v>2746418.12</v>
      </c>
      <c r="E59" s="18">
        <v>7.95</v>
      </c>
      <c r="F59" s="18">
        <v>41970.46</v>
      </c>
      <c r="G59" s="18">
        <v>94155</v>
      </c>
      <c r="H59" s="18">
        <f t="shared" si="6"/>
        <v>41962.46</v>
      </c>
    </row>
    <row r="60" spans="1:9" ht="21" customHeight="1" x14ac:dyDescent="0.55000000000000004">
      <c r="A60" s="18">
        <v>24.818697</v>
      </c>
      <c r="B60" s="18">
        <v>34.985939799999997</v>
      </c>
      <c r="C60" s="18">
        <v>700719.9</v>
      </c>
      <c r="D60" s="18">
        <v>2746333.09</v>
      </c>
      <c r="E60" s="18">
        <v>9.0299999999999994</v>
      </c>
      <c r="F60" s="18">
        <v>41978.12</v>
      </c>
      <c r="G60" s="18">
        <v>94331</v>
      </c>
      <c r="H60" s="18">
        <f t="shared" si="6"/>
        <v>41970.12</v>
      </c>
    </row>
    <row r="61" spans="1:9" ht="21" customHeight="1" x14ac:dyDescent="0.55000000000000004">
      <c r="A61" s="18">
        <v>24.818697199999999</v>
      </c>
      <c r="B61" s="18">
        <v>34.985939999999999</v>
      </c>
      <c r="C61" s="18">
        <v>700719.91</v>
      </c>
      <c r="D61" s="18">
        <v>2746333.11</v>
      </c>
      <c r="E61" s="18">
        <v>9.06</v>
      </c>
      <c r="F61" s="18">
        <v>41978.16</v>
      </c>
      <c r="G61" s="18">
        <v>94343</v>
      </c>
      <c r="H61" s="18">
        <f t="shared" si="6"/>
        <v>41970.16</v>
      </c>
    </row>
    <row r="62" spans="1:9" ht="21" customHeight="1" x14ac:dyDescent="0.55000000000000004">
      <c r="A62" s="18">
        <v>24.817733799999999</v>
      </c>
      <c r="B62" s="18">
        <v>34.983770800000002</v>
      </c>
      <c r="C62" s="18">
        <v>700502.16</v>
      </c>
      <c r="D62" s="18">
        <v>2746223.21</v>
      </c>
      <c r="E62" s="18">
        <v>10.86</v>
      </c>
      <c r="F62" s="18">
        <v>41987.28</v>
      </c>
      <c r="G62" s="18">
        <v>94525</v>
      </c>
      <c r="H62" s="18">
        <f t="shared" si="6"/>
        <v>41979.28</v>
      </c>
    </row>
    <row r="63" spans="1:9" ht="21" customHeight="1" x14ac:dyDescent="0.55000000000000004">
      <c r="A63" s="18">
        <v>24.817734399999999</v>
      </c>
      <c r="B63" s="18">
        <v>34.983770200000002</v>
      </c>
      <c r="C63" s="18">
        <v>700502.1</v>
      </c>
      <c r="D63" s="18">
        <v>2746223.28</v>
      </c>
      <c r="E63" s="18">
        <v>10.77</v>
      </c>
      <c r="F63" s="18">
        <v>41987.27</v>
      </c>
      <c r="G63" s="18">
        <v>94540</v>
      </c>
      <c r="H63" s="18">
        <f t="shared" si="6"/>
        <v>41979.27</v>
      </c>
    </row>
    <row r="64" spans="1:9" ht="21" customHeight="1" x14ac:dyDescent="0.55000000000000004">
      <c r="A64" s="18">
        <v>24.817149700000002</v>
      </c>
      <c r="B64" s="18">
        <v>34.982424199999997</v>
      </c>
      <c r="C64" s="18">
        <v>700366.97</v>
      </c>
      <c r="D64" s="18">
        <v>2746156.53</v>
      </c>
      <c r="E64" s="18">
        <v>12.73</v>
      </c>
      <c r="F64" s="18">
        <v>42011.51</v>
      </c>
      <c r="G64" s="18">
        <v>94701</v>
      </c>
      <c r="H64" s="18">
        <f>SUM(F64-9)</f>
        <v>42002.51</v>
      </c>
    </row>
    <row r="65" spans="1:8" ht="21" customHeight="1" x14ac:dyDescent="0.55000000000000004">
      <c r="A65" s="18">
        <v>24.817149300000001</v>
      </c>
      <c r="B65" s="18">
        <v>34.982423900000001</v>
      </c>
      <c r="C65" s="18">
        <v>700366.93</v>
      </c>
      <c r="D65" s="18">
        <v>2746156.49</v>
      </c>
      <c r="E65" s="18">
        <v>12.78</v>
      </c>
      <c r="F65" s="18">
        <v>42011.27</v>
      </c>
      <c r="G65" s="18">
        <v>94713</v>
      </c>
      <c r="H65" s="18">
        <f t="shared" ref="H65:H84" si="7">SUM(F65-9)</f>
        <v>42002.27</v>
      </c>
    </row>
    <row r="66" spans="1:8" ht="21" customHeight="1" x14ac:dyDescent="0.55000000000000004">
      <c r="A66" s="18">
        <v>24.815971300000001</v>
      </c>
      <c r="B66" s="18">
        <v>34.981042100000003</v>
      </c>
      <c r="C66" s="18">
        <v>700229.13</v>
      </c>
      <c r="D66" s="18">
        <v>2746023.98</v>
      </c>
      <c r="E66" s="18">
        <v>15.67</v>
      </c>
      <c r="F66" s="18">
        <v>42000.07</v>
      </c>
      <c r="G66" s="18">
        <v>94840</v>
      </c>
      <c r="H66" s="18">
        <f t="shared" si="7"/>
        <v>41991.07</v>
      </c>
    </row>
    <row r="67" spans="1:8" ht="21" customHeight="1" x14ac:dyDescent="0.55000000000000004">
      <c r="A67" s="18">
        <v>24.815972599999998</v>
      </c>
      <c r="B67" s="18">
        <v>34.9810424</v>
      </c>
      <c r="C67" s="18">
        <v>700229.16</v>
      </c>
      <c r="D67" s="18">
        <v>2746024.12</v>
      </c>
      <c r="E67" s="18">
        <v>15.93</v>
      </c>
      <c r="F67" s="18">
        <v>41999.6</v>
      </c>
      <c r="G67" s="18">
        <v>94852</v>
      </c>
      <c r="H67" s="18">
        <f t="shared" si="7"/>
        <v>41990.6</v>
      </c>
    </row>
    <row r="68" spans="1:8" ht="21" customHeight="1" x14ac:dyDescent="0.55000000000000004">
      <c r="A68" s="18">
        <v>24.8146776</v>
      </c>
      <c r="B68" s="18">
        <v>34.979764400000001</v>
      </c>
      <c r="C68" s="18">
        <v>700102.04</v>
      </c>
      <c r="D68" s="18">
        <v>2745878.8</v>
      </c>
      <c r="E68" s="18">
        <v>18.510000000000002</v>
      </c>
      <c r="F68" s="18">
        <v>41984.29</v>
      </c>
      <c r="G68" s="18">
        <v>95019</v>
      </c>
      <c r="H68" s="18">
        <f t="shared" si="7"/>
        <v>41975.29</v>
      </c>
    </row>
    <row r="69" spans="1:8" ht="21" customHeight="1" x14ac:dyDescent="0.55000000000000004">
      <c r="A69" s="18">
        <v>24.814680800000001</v>
      </c>
      <c r="B69" s="18">
        <v>34.979769400000002</v>
      </c>
      <c r="C69" s="18">
        <v>700102.54</v>
      </c>
      <c r="D69" s="18">
        <v>2745879.16</v>
      </c>
      <c r="E69" s="18">
        <v>18.36</v>
      </c>
      <c r="F69" s="18">
        <v>41984.11</v>
      </c>
      <c r="G69" s="18">
        <v>95031</v>
      </c>
      <c r="H69" s="18">
        <f t="shared" si="7"/>
        <v>41975.11</v>
      </c>
    </row>
    <row r="70" spans="1:8" ht="21" customHeight="1" x14ac:dyDescent="0.55000000000000004">
      <c r="A70" s="18">
        <v>24.814683800000001</v>
      </c>
      <c r="B70" s="18">
        <v>34.979773100000003</v>
      </c>
      <c r="C70" s="18">
        <v>700102.91</v>
      </c>
      <c r="D70" s="18">
        <v>2745879.5</v>
      </c>
      <c r="E70" s="18">
        <v>18.07</v>
      </c>
      <c r="F70" s="18">
        <v>41984.1</v>
      </c>
      <c r="G70" s="18">
        <v>95046</v>
      </c>
      <c r="H70" s="18">
        <f t="shared" si="7"/>
        <v>41975.1</v>
      </c>
    </row>
    <row r="71" spans="1:8" ht="21" customHeight="1" x14ac:dyDescent="0.55000000000000004">
      <c r="A71" s="18">
        <v>24.813681599999999</v>
      </c>
      <c r="B71" s="18">
        <v>34.978096200000003</v>
      </c>
      <c r="C71" s="18">
        <v>699934.98</v>
      </c>
      <c r="D71" s="18">
        <v>2745766.02</v>
      </c>
      <c r="E71" s="18">
        <v>20.29</v>
      </c>
      <c r="F71" s="18">
        <v>41968.07</v>
      </c>
      <c r="G71" s="18">
        <v>95222</v>
      </c>
      <c r="H71" s="18">
        <f t="shared" si="7"/>
        <v>41959.07</v>
      </c>
    </row>
    <row r="72" spans="1:8" ht="21" customHeight="1" x14ac:dyDescent="0.55000000000000004">
      <c r="A72" s="18">
        <v>24.813681800000001</v>
      </c>
      <c r="B72" s="18">
        <v>34.978096800000003</v>
      </c>
      <c r="C72" s="18">
        <v>699935.04</v>
      </c>
      <c r="D72" s="18">
        <v>2745766.04</v>
      </c>
      <c r="E72" s="18">
        <v>20.309999999999999</v>
      </c>
      <c r="F72" s="18">
        <v>41968.22</v>
      </c>
      <c r="G72" s="18">
        <v>95231</v>
      </c>
      <c r="H72" s="18">
        <f t="shared" si="7"/>
        <v>41959.22</v>
      </c>
    </row>
    <row r="73" spans="1:8" ht="21" customHeight="1" x14ac:dyDescent="0.55000000000000004">
      <c r="A73" s="18">
        <v>24.812950000000001</v>
      </c>
      <c r="B73" s="18">
        <v>34.976339699999997</v>
      </c>
      <c r="C73" s="18">
        <v>699758.57</v>
      </c>
      <c r="D73" s="18">
        <v>2745682.41</v>
      </c>
      <c r="E73" s="18">
        <v>22.18</v>
      </c>
      <c r="F73" s="18">
        <v>41948.54</v>
      </c>
      <c r="G73" s="18">
        <v>95401</v>
      </c>
      <c r="H73" s="18">
        <f t="shared" si="7"/>
        <v>41939.54</v>
      </c>
    </row>
    <row r="74" spans="1:8" ht="21" customHeight="1" x14ac:dyDescent="0.55000000000000004">
      <c r="A74" s="18">
        <v>24.812949799999998</v>
      </c>
      <c r="B74" s="18">
        <v>34.976339400000001</v>
      </c>
      <c r="C74" s="18">
        <v>699758.54</v>
      </c>
      <c r="D74" s="18">
        <v>2745682.39</v>
      </c>
      <c r="E74" s="18">
        <v>22.19</v>
      </c>
      <c r="F74" s="18">
        <v>41947.3</v>
      </c>
      <c r="G74" s="18">
        <v>95410</v>
      </c>
      <c r="H74" s="18">
        <f t="shared" si="7"/>
        <v>41938.300000000003</v>
      </c>
    </row>
    <row r="75" spans="1:8" ht="21" customHeight="1" x14ac:dyDescent="0.55000000000000004">
      <c r="A75" s="18">
        <v>24.812124300000001</v>
      </c>
      <c r="B75" s="18">
        <v>34.974564100000002</v>
      </c>
      <c r="C75" s="18">
        <v>699580.38</v>
      </c>
      <c r="D75" s="18">
        <v>2745588.35</v>
      </c>
      <c r="E75" s="18">
        <v>25.04</v>
      </c>
      <c r="F75" s="18">
        <v>41951.65</v>
      </c>
      <c r="G75" s="18">
        <v>95549</v>
      </c>
      <c r="H75" s="18">
        <f t="shared" si="7"/>
        <v>41942.65</v>
      </c>
    </row>
    <row r="76" spans="1:8" ht="21" customHeight="1" x14ac:dyDescent="0.55000000000000004">
      <c r="A76" s="18">
        <v>24.812124600000001</v>
      </c>
      <c r="B76" s="18">
        <v>34.9745639</v>
      </c>
      <c r="C76" s="18">
        <v>699580.36</v>
      </c>
      <c r="D76" s="18">
        <v>2745588.39</v>
      </c>
      <c r="E76" s="18">
        <v>25.01</v>
      </c>
      <c r="F76" s="18">
        <v>41951.77</v>
      </c>
      <c r="G76" s="18">
        <v>95558</v>
      </c>
      <c r="H76" s="18">
        <f t="shared" si="7"/>
        <v>41942.769999999997</v>
      </c>
    </row>
    <row r="77" spans="1:8" ht="21" customHeight="1" x14ac:dyDescent="0.55000000000000004">
      <c r="A77" s="18">
        <v>24.8109407</v>
      </c>
      <c r="B77" s="18">
        <v>34.973199700000002</v>
      </c>
      <c r="C77" s="18">
        <v>699444.34</v>
      </c>
      <c r="D77" s="18">
        <v>2745455.26</v>
      </c>
      <c r="E77" s="18">
        <v>26.75</v>
      </c>
      <c r="F77" s="18">
        <v>41933.99</v>
      </c>
      <c r="G77" s="18">
        <v>95737</v>
      </c>
      <c r="H77" s="18">
        <f t="shared" si="7"/>
        <v>41924.99</v>
      </c>
    </row>
    <row r="78" spans="1:8" ht="21" customHeight="1" x14ac:dyDescent="0.55000000000000004">
      <c r="A78" s="18">
        <v>24.810941400000001</v>
      </c>
      <c r="B78" s="18">
        <v>34.9731995</v>
      </c>
      <c r="C78" s="18">
        <v>699444.31</v>
      </c>
      <c r="D78" s="18">
        <v>2745455.33</v>
      </c>
      <c r="E78" s="18">
        <v>26.8</v>
      </c>
      <c r="F78" s="18">
        <v>41933.72</v>
      </c>
      <c r="G78" s="18">
        <v>95746</v>
      </c>
      <c r="H78" s="18">
        <f t="shared" si="7"/>
        <v>41924.720000000001</v>
      </c>
    </row>
    <row r="79" spans="1:8" ht="21" customHeight="1" x14ac:dyDescent="0.55000000000000004">
      <c r="A79" s="18">
        <v>24.809249399999999</v>
      </c>
      <c r="B79" s="18">
        <v>34.972365099999998</v>
      </c>
      <c r="C79" s="18">
        <v>699362.66</v>
      </c>
      <c r="D79" s="18">
        <v>2745266.69</v>
      </c>
      <c r="E79" s="18">
        <v>29.97</v>
      </c>
      <c r="F79" s="18">
        <v>41897.440000000002</v>
      </c>
      <c r="G79" s="18">
        <v>95928</v>
      </c>
      <c r="H79" s="18">
        <f t="shared" si="7"/>
        <v>41888.44</v>
      </c>
    </row>
    <row r="80" spans="1:8" ht="21" customHeight="1" x14ac:dyDescent="0.55000000000000004">
      <c r="A80" s="18">
        <v>24.8092495</v>
      </c>
      <c r="B80" s="18">
        <v>34.972364599999999</v>
      </c>
      <c r="C80" s="18">
        <v>699362.61</v>
      </c>
      <c r="D80" s="18">
        <v>2745266.7</v>
      </c>
      <c r="E80" s="18">
        <v>30.09</v>
      </c>
      <c r="F80" s="18">
        <v>41897.46</v>
      </c>
      <c r="G80" s="18">
        <v>95937</v>
      </c>
      <c r="H80" s="18">
        <f t="shared" si="7"/>
        <v>41888.46</v>
      </c>
    </row>
    <row r="81" spans="1:8" ht="21" customHeight="1" x14ac:dyDescent="0.55000000000000004">
      <c r="A81" s="18">
        <v>24.807883199999999</v>
      </c>
      <c r="B81" s="18">
        <v>34.971095499999997</v>
      </c>
      <c r="C81" s="18">
        <v>699236.48</v>
      </c>
      <c r="D81" s="18">
        <v>2745113.51</v>
      </c>
      <c r="E81" s="18">
        <v>32.9</v>
      </c>
      <c r="F81" s="18">
        <v>41910.699999999997</v>
      </c>
      <c r="G81" s="18">
        <v>100119</v>
      </c>
      <c r="H81" s="18">
        <f t="shared" si="7"/>
        <v>41901.699999999997</v>
      </c>
    </row>
    <row r="82" spans="1:8" ht="21" customHeight="1" x14ac:dyDescent="0.55000000000000004">
      <c r="A82" s="18">
        <v>24.807882299999999</v>
      </c>
      <c r="B82" s="18">
        <v>34.971096199999998</v>
      </c>
      <c r="C82" s="18">
        <v>699236.56</v>
      </c>
      <c r="D82" s="18">
        <v>2745113.41</v>
      </c>
      <c r="E82" s="18">
        <v>32.94</v>
      </c>
      <c r="F82" s="18">
        <v>41910.589999999997</v>
      </c>
      <c r="G82" s="18">
        <v>100128</v>
      </c>
      <c r="H82" s="18">
        <f t="shared" si="7"/>
        <v>41901.589999999997</v>
      </c>
    </row>
    <row r="83" spans="1:8" ht="21" customHeight="1" x14ac:dyDescent="0.55000000000000004">
      <c r="A83" s="18">
        <v>24.8068153</v>
      </c>
      <c r="B83" s="18">
        <v>34.9694699</v>
      </c>
      <c r="C83" s="18">
        <v>699073.84</v>
      </c>
      <c r="D83" s="18">
        <v>2744992.85</v>
      </c>
      <c r="E83" s="18">
        <v>37.15</v>
      </c>
      <c r="F83" s="18">
        <v>41935.69</v>
      </c>
      <c r="G83" s="18">
        <v>100255</v>
      </c>
      <c r="H83" s="18">
        <f t="shared" si="7"/>
        <v>41926.69</v>
      </c>
    </row>
    <row r="84" spans="1:8" ht="21" customHeight="1" x14ac:dyDescent="0.55000000000000004">
      <c r="A84" s="18">
        <v>24.8068165</v>
      </c>
      <c r="B84" s="18">
        <v>34.969470899999997</v>
      </c>
      <c r="C84" s="18">
        <v>699073.93</v>
      </c>
      <c r="D84" s="18">
        <v>2744992.98</v>
      </c>
      <c r="E84" s="18">
        <v>37.36</v>
      </c>
      <c r="F84" s="18">
        <v>41935.379999999997</v>
      </c>
      <c r="G84" s="18">
        <v>100304</v>
      </c>
      <c r="H84" s="18">
        <f t="shared" si="7"/>
        <v>41926.379999999997</v>
      </c>
    </row>
    <row r="85" spans="1:8" ht="21" customHeight="1" x14ac:dyDescent="0.55000000000000004">
      <c r="A85" s="18">
        <v>24.805287499999999</v>
      </c>
      <c r="B85" s="18">
        <v>34.968741700000002</v>
      </c>
      <c r="C85" s="18">
        <v>699002.65</v>
      </c>
      <c r="D85" s="18">
        <v>2744822.55</v>
      </c>
      <c r="E85" s="18">
        <v>40.39</v>
      </c>
      <c r="F85" s="18">
        <v>41921.93</v>
      </c>
      <c r="G85" s="18">
        <v>100428</v>
      </c>
      <c r="H85" s="18">
        <f>SUM(F85-7.5)</f>
        <v>41914.43</v>
      </c>
    </row>
    <row r="86" spans="1:8" ht="21" customHeight="1" x14ac:dyDescent="0.55000000000000004">
      <c r="A86" s="18">
        <v>24.805286800000001</v>
      </c>
      <c r="B86" s="18">
        <v>34.968741799999997</v>
      </c>
      <c r="C86" s="18">
        <v>699002.66</v>
      </c>
      <c r="D86" s="18">
        <v>2744822.47</v>
      </c>
      <c r="E86" s="18">
        <v>40.39</v>
      </c>
      <c r="F86" s="18">
        <v>41922.26</v>
      </c>
      <c r="G86" s="18">
        <v>100437</v>
      </c>
      <c r="H86" s="18">
        <f t="shared" ref="H86:H90" si="8">SUM(F86-7.5)</f>
        <v>41914.76</v>
      </c>
    </row>
    <row r="87" spans="1:8" ht="21" customHeight="1" x14ac:dyDescent="0.55000000000000004">
      <c r="A87" s="18">
        <v>24.8038363</v>
      </c>
      <c r="B87" s="18">
        <v>34.967692</v>
      </c>
      <c r="C87" s="18">
        <v>698898.84</v>
      </c>
      <c r="D87" s="18">
        <v>2744660.28</v>
      </c>
      <c r="E87" s="18">
        <v>42.4</v>
      </c>
      <c r="F87" s="18">
        <v>41932.949999999997</v>
      </c>
      <c r="G87" s="18">
        <v>100616</v>
      </c>
      <c r="H87" s="18">
        <f t="shared" si="8"/>
        <v>41925.449999999997</v>
      </c>
    </row>
    <row r="88" spans="1:8" ht="21" customHeight="1" x14ac:dyDescent="0.55000000000000004">
      <c r="A88" s="18">
        <v>24.8038366</v>
      </c>
      <c r="B88" s="18">
        <v>34.967692</v>
      </c>
      <c r="C88" s="18">
        <v>698898.83</v>
      </c>
      <c r="D88" s="18">
        <v>2744660.31</v>
      </c>
      <c r="E88" s="18">
        <v>42.46</v>
      </c>
      <c r="F88" s="18">
        <v>41933.089999999997</v>
      </c>
      <c r="G88" s="18">
        <v>100628</v>
      </c>
      <c r="H88" s="18">
        <f t="shared" si="8"/>
        <v>41925.589999999997</v>
      </c>
    </row>
    <row r="89" spans="1:8" ht="21" customHeight="1" x14ac:dyDescent="0.55000000000000004">
      <c r="A89" s="18">
        <v>24.802311199999998</v>
      </c>
      <c r="B89" s="18">
        <v>34.966374600000002</v>
      </c>
      <c r="C89" s="18">
        <v>698768.06</v>
      </c>
      <c r="D89" s="18">
        <v>2744489.41</v>
      </c>
      <c r="E89" s="18">
        <v>43.44</v>
      </c>
      <c r="F89" s="18">
        <v>41980.99</v>
      </c>
      <c r="G89" s="18">
        <v>100810</v>
      </c>
      <c r="H89" s="18">
        <f t="shared" si="8"/>
        <v>41973.49</v>
      </c>
    </row>
    <row r="90" spans="1:8" ht="21" customHeight="1" x14ac:dyDescent="0.55000000000000004">
      <c r="A90" s="18">
        <v>24.802311100000001</v>
      </c>
      <c r="B90" s="18">
        <v>34.966374100000003</v>
      </c>
      <c r="C90" s="18">
        <v>698768.02</v>
      </c>
      <c r="D90" s="18">
        <v>2744489.41</v>
      </c>
      <c r="E90" s="18">
        <v>43.32</v>
      </c>
      <c r="F90" s="18">
        <v>41981.31</v>
      </c>
      <c r="G90" s="18">
        <v>100822</v>
      </c>
      <c r="H90" s="18">
        <f t="shared" si="8"/>
        <v>41973.81</v>
      </c>
    </row>
    <row r="91" spans="1:8" ht="21" customHeight="1" x14ac:dyDescent="0.55000000000000004">
      <c r="A91" s="18">
        <v>24.802136600000001</v>
      </c>
      <c r="B91" s="18">
        <v>34.964704500000003</v>
      </c>
      <c r="C91" s="18">
        <v>698599.48</v>
      </c>
      <c r="D91" s="18">
        <v>2744467.65</v>
      </c>
      <c r="E91" s="18">
        <v>46.83</v>
      </c>
      <c r="F91" s="18">
        <v>41999.16</v>
      </c>
      <c r="G91" s="18">
        <v>101458</v>
      </c>
      <c r="H91" s="18">
        <f>SUM(F91-3.5)</f>
        <v>41995.66</v>
      </c>
    </row>
    <row r="92" spans="1:8" ht="21" customHeight="1" x14ac:dyDescent="0.55000000000000004">
      <c r="A92" s="18">
        <v>24.802135499999999</v>
      </c>
      <c r="B92" s="18">
        <v>34.964705700000003</v>
      </c>
      <c r="C92" s="18">
        <v>698599.61</v>
      </c>
      <c r="D92" s="18">
        <v>2744467.53</v>
      </c>
      <c r="E92" s="18">
        <v>47.33</v>
      </c>
      <c r="F92" s="18">
        <v>42000.11</v>
      </c>
      <c r="G92" s="18">
        <v>101507</v>
      </c>
      <c r="H92" s="18">
        <f t="shared" ref="H92:H94" si="9">SUM(F92-3.5)</f>
        <v>41996.61</v>
      </c>
    </row>
    <row r="93" spans="1:8" ht="21" customHeight="1" x14ac:dyDescent="0.55000000000000004">
      <c r="A93" s="18">
        <v>24.802885100000001</v>
      </c>
      <c r="B93" s="18">
        <v>34.962994500000001</v>
      </c>
      <c r="C93" s="18">
        <v>698425.4</v>
      </c>
      <c r="D93" s="18">
        <v>2744548.08</v>
      </c>
      <c r="E93" s="18">
        <v>50.99</v>
      </c>
      <c r="F93" s="18">
        <v>41987.95</v>
      </c>
      <c r="G93" s="18">
        <v>101710</v>
      </c>
      <c r="H93" s="18">
        <f t="shared" si="9"/>
        <v>41984.45</v>
      </c>
    </row>
    <row r="94" spans="1:8" ht="21" customHeight="1" x14ac:dyDescent="0.55000000000000004">
      <c r="A94" s="18">
        <v>24.802884899999999</v>
      </c>
      <c r="B94" s="18">
        <v>34.962994899999998</v>
      </c>
      <c r="C94" s="18">
        <v>698425.43</v>
      </c>
      <c r="D94" s="18">
        <v>2744548.05</v>
      </c>
      <c r="E94" s="18">
        <v>51.1</v>
      </c>
      <c r="F94" s="18">
        <v>41989.43</v>
      </c>
      <c r="G94" s="18">
        <v>101719</v>
      </c>
      <c r="H94" s="18">
        <f t="shared" si="9"/>
        <v>41985.93</v>
      </c>
    </row>
    <row r="95" spans="1:8" ht="21" customHeight="1" x14ac:dyDescent="0.55000000000000004">
      <c r="A95" s="18">
        <v>24.802497500000001</v>
      </c>
      <c r="B95" s="18">
        <v>34.961112200000002</v>
      </c>
      <c r="C95" s="18">
        <v>698235.7</v>
      </c>
      <c r="D95" s="18">
        <v>2744502.4</v>
      </c>
      <c r="E95" s="18">
        <v>54.86</v>
      </c>
      <c r="F95" s="18">
        <v>41957.11</v>
      </c>
      <c r="G95" s="18">
        <v>101934</v>
      </c>
      <c r="H95" s="18">
        <f>SUM(F95-2)</f>
        <v>41955.11</v>
      </c>
    </row>
    <row r="96" spans="1:8" ht="21" customHeight="1" x14ac:dyDescent="0.55000000000000004">
      <c r="A96" s="18">
        <v>24.802498</v>
      </c>
      <c r="B96" s="18">
        <v>34.9611108</v>
      </c>
      <c r="C96" s="18">
        <v>698235.56</v>
      </c>
      <c r="D96" s="18">
        <v>2744502.45</v>
      </c>
      <c r="E96" s="18">
        <v>54.63</v>
      </c>
      <c r="F96" s="18">
        <v>41957.24</v>
      </c>
      <c r="G96" s="18">
        <v>101943</v>
      </c>
      <c r="H96" s="18">
        <f t="shared" ref="H96:H113" si="10">SUM(F96-2)</f>
        <v>41955.24</v>
      </c>
    </row>
    <row r="97" spans="1:8" ht="21" customHeight="1" x14ac:dyDescent="0.55000000000000004">
      <c r="A97" s="18">
        <v>24.801865899999999</v>
      </c>
      <c r="B97" s="18">
        <v>34.959266599999999</v>
      </c>
      <c r="C97" s="18">
        <v>698050.09</v>
      </c>
      <c r="D97" s="18">
        <v>2744429.76</v>
      </c>
      <c r="E97" s="18">
        <v>55.18</v>
      </c>
      <c r="F97" s="18">
        <v>41956.24</v>
      </c>
      <c r="G97" s="18">
        <v>102143</v>
      </c>
      <c r="H97" s="18">
        <f t="shared" si="10"/>
        <v>41954.239999999998</v>
      </c>
    </row>
    <row r="98" spans="1:8" ht="21" customHeight="1" x14ac:dyDescent="0.55000000000000004">
      <c r="A98" s="18">
        <v>24.801865299999999</v>
      </c>
      <c r="B98" s="18">
        <v>34.959266499999998</v>
      </c>
      <c r="C98" s="18">
        <v>698050.09</v>
      </c>
      <c r="D98" s="18">
        <v>2744429.7</v>
      </c>
      <c r="E98" s="18">
        <v>55.09</v>
      </c>
      <c r="F98" s="18">
        <v>41956.959999999999</v>
      </c>
      <c r="G98" s="18">
        <v>102152</v>
      </c>
      <c r="H98" s="18">
        <f t="shared" si="10"/>
        <v>41954.96</v>
      </c>
    </row>
    <row r="99" spans="1:8" ht="21" customHeight="1" x14ac:dyDescent="0.55000000000000004">
      <c r="A99" s="18">
        <v>24.802025400000002</v>
      </c>
      <c r="B99" s="18">
        <v>34.957221699999998</v>
      </c>
      <c r="C99" s="18">
        <v>697843.08</v>
      </c>
      <c r="D99" s="18">
        <v>2744444.47</v>
      </c>
      <c r="E99" s="18">
        <v>57.42</v>
      </c>
      <c r="F99" s="18">
        <v>41945.02</v>
      </c>
      <c r="G99" s="18">
        <v>102346</v>
      </c>
      <c r="H99" s="18">
        <f t="shared" si="10"/>
        <v>41943.019999999997</v>
      </c>
    </row>
    <row r="100" spans="1:8" ht="21" customHeight="1" x14ac:dyDescent="0.55000000000000004">
      <c r="A100" s="18">
        <v>24.802027200000001</v>
      </c>
      <c r="B100" s="18">
        <v>34.957221599999997</v>
      </c>
      <c r="C100" s="18">
        <v>697843.07</v>
      </c>
      <c r="D100" s="18">
        <v>2744444.66</v>
      </c>
      <c r="E100" s="18">
        <v>57.38</v>
      </c>
      <c r="F100" s="18">
        <v>41943.72</v>
      </c>
      <c r="G100" s="18">
        <v>102358</v>
      </c>
      <c r="H100" s="18">
        <f t="shared" si="10"/>
        <v>41941.72</v>
      </c>
    </row>
    <row r="101" spans="1:8" ht="21" customHeight="1" x14ac:dyDescent="0.55000000000000004">
      <c r="A101" s="18">
        <v>24.8018204</v>
      </c>
      <c r="B101" s="18">
        <v>34.955389400000001</v>
      </c>
      <c r="C101" s="18">
        <v>697658.14</v>
      </c>
      <c r="D101" s="18">
        <v>2744419.1</v>
      </c>
      <c r="E101" s="18">
        <v>58.69</v>
      </c>
      <c r="F101" s="18">
        <v>41851.879999999997</v>
      </c>
      <c r="G101" s="18">
        <v>102543</v>
      </c>
      <c r="H101" s="18">
        <f t="shared" si="10"/>
        <v>41849.879999999997</v>
      </c>
    </row>
    <row r="102" spans="1:8" ht="21" customHeight="1" x14ac:dyDescent="0.55000000000000004">
      <c r="A102" s="18">
        <v>24.801821</v>
      </c>
      <c r="B102" s="18">
        <v>34.955387399999999</v>
      </c>
      <c r="C102" s="18">
        <v>697657.94</v>
      </c>
      <c r="D102" s="18">
        <v>2744419.17</v>
      </c>
      <c r="E102" s="18">
        <v>58.56</v>
      </c>
      <c r="F102" s="18">
        <v>41851.870000000003</v>
      </c>
      <c r="G102" s="18">
        <v>102552</v>
      </c>
      <c r="H102" s="18">
        <f t="shared" si="10"/>
        <v>41849.870000000003</v>
      </c>
    </row>
    <row r="103" spans="1:8" ht="21" customHeight="1" x14ac:dyDescent="0.55000000000000004">
      <c r="A103" s="18">
        <v>24.801661299999999</v>
      </c>
      <c r="B103" s="18">
        <v>34.953098400000002</v>
      </c>
      <c r="C103" s="18">
        <v>697426.75</v>
      </c>
      <c r="D103" s="18">
        <v>2744398.16</v>
      </c>
      <c r="E103" s="18">
        <v>61.81</v>
      </c>
      <c r="F103" s="18">
        <v>41984.05</v>
      </c>
      <c r="G103" s="18">
        <v>102743</v>
      </c>
      <c r="H103" s="18">
        <f t="shared" si="10"/>
        <v>41982.05</v>
      </c>
    </row>
    <row r="104" spans="1:8" ht="21" customHeight="1" x14ac:dyDescent="0.55000000000000004">
      <c r="A104" s="18">
        <v>24.801663699999999</v>
      </c>
      <c r="B104" s="18">
        <v>34.953100999999997</v>
      </c>
      <c r="C104" s="18">
        <v>697427.01</v>
      </c>
      <c r="D104" s="18">
        <v>2744398.43</v>
      </c>
      <c r="E104" s="18">
        <v>62.05</v>
      </c>
      <c r="F104" s="18">
        <v>41985.37</v>
      </c>
      <c r="G104" s="18">
        <v>102810</v>
      </c>
      <c r="H104" s="18">
        <f t="shared" si="10"/>
        <v>41983.37</v>
      </c>
    </row>
    <row r="105" spans="1:8" ht="21" customHeight="1" x14ac:dyDescent="0.55000000000000004">
      <c r="A105" s="18">
        <v>24.8005207</v>
      </c>
      <c r="B105" s="18">
        <v>34.951783499999998</v>
      </c>
      <c r="C105" s="18">
        <v>697295.61</v>
      </c>
      <c r="D105" s="18">
        <v>2744269.93</v>
      </c>
      <c r="E105" s="18">
        <v>64.430000000000007</v>
      </c>
      <c r="F105" s="18">
        <v>41935.89</v>
      </c>
      <c r="G105" s="18">
        <v>102952</v>
      </c>
      <c r="H105" s="18">
        <f t="shared" si="10"/>
        <v>41933.89</v>
      </c>
    </row>
    <row r="106" spans="1:8" ht="21" customHeight="1" x14ac:dyDescent="0.55000000000000004">
      <c r="A106" s="18">
        <v>24.800521199999999</v>
      </c>
      <c r="B106" s="18">
        <v>34.951781699999998</v>
      </c>
      <c r="C106" s="18">
        <v>697295.43</v>
      </c>
      <c r="D106" s="18">
        <v>2744269.97</v>
      </c>
      <c r="E106" s="18">
        <v>64.34</v>
      </c>
      <c r="F106" s="18">
        <v>41936.1</v>
      </c>
      <c r="G106" s="18">
        <v>103001</v>
      </c>
      <c r="H106" s="18">
        <f t="shared" si="10"/>
        <v>41934.1</v>
      </c>
    </row>
    <row r="107" spans="1:8" ht="21" customHeight="1" x14ac:dyDescent="0.55000000000000004">
      <c r="A107" s="18">
        <v>24.798994700000002</v>
      </c>
      <c r="B107" s="18">
        <v>34.951143600000002</v>
      </c>
      <c r="C107" s="18">
        <v>697233.32</v>
      </c>
      <c r="D107" s="18">
        <v>2744099.97</v>
      </c>
      <c r="E107" s="18">
        <v>67.56</v>
      </c>
      <c r="F107" s="18">
        <v>41963.92</v>
      </c>
      <c r="G107" s="18">
        <v>103140</v>
      </c>
      <c r="H107" s="18">
        <f t="shared" si="10"/>
        <v>41961.919999999998</v>
      </c>
    </row>
    <row r="108" spans="1:8" ht="21" customHeight="1" x14ac:dyDescent="0.55000000000000004">
      <c r="A108" s="18">
        <v>24.798995900000001</v>
      </c>
      <c r="B108" s="18">
        <v>34.951141999999997</v>
      </c>
      <c r="C108" s="18">
        <v>697233.17</v>
      </c>
      <c r="D108" s="18">
        <v>2744100.1</v>
      </c>
      <c r="E108" s="18">
        <v>67.650000000000006</v>
      </c>
      <c r="F108" s="18">
        <v>41963.839999999997</v>
      </c>
      <c r="G108" s="18">
        <v>103149</v>
      </c>
      <c r="H108" s="18">
        <f t="shared" si="10"/>
        <v>41961.84</v>
      </c>
    </row>
    <row r="109" spans="1:8" ht="21" customHeight="1" x14ac:dyDescent="0.55000000000000004">
      <c r="A109" s="18">
        <v>24.797303400000001</v>
      </c>
      <c r="B109" s="18">
        <v>34.951328199999999</v>
      </c>
      <c r="C109" s="18">
        <v>697254.67</v>
      </c>
      <c r="D109" s="18">
        <v>2743912.89</v>
      </c>
      <c r="E109" s="18">
        <v>70.23</v>
      </c>
      <c r="F109" s="18">
        <v>41890.39</v>
      </c>
      <c r="G109" s="18">
        <v>103331</v>
      </c>
      <c r="H109" s="18">
        <f t="shared" si="10"/>
        <v>41888.39</v>
      </c>
    </row>
    <row r="110" spans="1:8" ht="21" customHeight="1" x14ac:dyDescent="0.55000000000000004">
      <c r="A110" s="18">
        <v>24.797303500000002</v>
      </c>
      <c r="B110" s="18">
        <v>34.951328099999998</v>
      </c>
      <c r="C110" s="18">
        <v>697254.66</v>
      </c>
      <c r="D110" s="18">
        <v>2743912.9</v>
      </c>
      <c r="E110" s="18">
        <v>70.28</v>
      </c>
      <c r="F110" s="18">
        <v>41890.28</v>
      </c>
      <c r="G110" s="18">
        <v>103340</v>
      </c>
      <c r="H110" s="18">
        <f t="shared" si="10"/>
        <v>41888.28</v>
      </c>
    </row>
    <row r="111" spans="1:8" ht="21" customHeight="1" x14ac:dyDescent="0.55000000000000004">
      <c r="A111" s="18">
        <v>24.795542699999999</v>
      </c>
      <c r="B111" s="18">
        <v>34.951304100000002</v>
      </c>
      <c r="C111" s="18">
        <v>697255.02</v>
      </c>
      <c r="D111" s="18">
        <v>2743717.83</v>
      </c>
      <c r="E111" s="18">
        <v>73.47</v>
      </c>
      <c r="F111" s="18">
        <v>41918.69</v>
      </c>
      <c r="G111" s="18">
        <v>103534</v>
      </c>
      <c r="H111" s="18">
        <f t="shared" si="10"/>
        <v>41916.69</v>
      </c>
    </row>
    <row r="112" spans="1:8" ht="21" customHeight="1" x14ac:dyDescent="0.55000000000000004">
      <c r="A112" s="18">
        <v>24.7955462</v>
      </c>
      <c r="B112" s="18">
        <v>34.951304299999997</v>
      </c>
      <c r="C112" s="18">
        <v>697255.03</v>
      </c>
      <c r="D112" s="18">
        <v>2743718.22</v>
      </c>
      <c r="E112" s="18">
        <v>73.760000000000005</v>
      </c>
      <c r="F112" s="18">
        <v>41918.76</v>
      </c>
      <c r="G112" s="18">
        <v>103543</v>
      </c>
      <c r="H112" s="18">
        <f t="shared" si="10"/>
        <v>41916.76</v>
      </c>
    </row>
    <row r="113" spans="1:8" ht="21" customHeight="1" x14ac:dyDescent="0.55000000000000004">
      <c r="A113" s="18">
        <v>24.793694599999998</v>
      </c>
      <c r="B113" s="18">
        <v>34.951215300000001</v>
      </c>
      <c r="C113" s="18">
        <v>697248.96</v>
      </c>
      <c r="D113" s="18">
        <v>2743512.99</v>
      </c>
      <c r="E113" s="18">
        <v>78.09</v>
      </c>
      <c r="F113" s="18">
        <v>41893.15</v>
      </c>
      <c r="G113" s="18">
        <v>103755</v>
      </c>
      <c r="H113" s="18">
        <f t="shared" si="10"/>
        <v>41891.15</v>
      </c>
    </row>
    <row r="114" spans="1:8" ht="21" customHeight="1" x14ac:dyDescent="0.55000000000000004">
      <c r="A114" s="18">
        <v>24.793694500000001</v>
      </c>
      <c r="B114" s="18">
        <v>34.951213500000001</v>
      </c>
      <c r="C114" s="18">
        <v>697248.78</v>
      </c>
      <c r="D114" s="18">
        <v>2743512.98</v>
      </c>
      <c r="E114" s="18">
        <v>77.930000000000007</v>
      </c>
      <c r="F114" s="18">
        <v>41893.33</v>
      </c>
      <c r="G114" s="18">
        <v>103807</v>
      </c>
      <c r="H114" s="18">
        <f>SUM(F114-2)</f>
        <v>41891.33</v>
      </c>
    </row>
    <row r="115" spans="1:8" ht="21" customHeight="1" x14ac:dyDescent="0.55000000000000004">
      <c r="A115" s="18">
        <v>24.792500199999999</v>
      </c>
      <c r="B115" s="18">
        <v>34.949935799999999</v>
      </c>
      <c r="C115" s="18">
        <v>697121.48</v>
      </c>
      <c r="D115" s="18">
        <v>2743378.84</v>
      </c>
      <c r="E115" s="18">
        <v>80.930000000000007</v>
      </c>
      <c r="F115" s="18">
        <v>41904.980000000003</v>
      </c>
      <c r="G115" s="18">
        <v>104013</v>
      </c>
      <c r="H115" s="18">
        <f t="shared" ref="H115:H118" si="11">SUM(F115-2)</f>
        <v>41902.980000000003</v>
      </c>
    </row>
    <row r="116" spans="1:8" ht="21" customHeight="1" x14ac:dyDescent="0.55000000000000004">
      <c r="A116" s="18">
        <v>24.792500499999999</v>
      </c>
      <c r="B116" s="18">
        <v>34.949937300000002</v>
      </c>
      <c r="C116" s="18">
        <v>697121.63</v>
      </c>
      <c r="D116" s="18">
        <v>2743378.87</v>
      </c>
      <c r="E116" s="18">
        <v>80.62</v>
      </c>
      <c r="F116" s="18">
        <v>41904.79</v>
      </c>
      <c r="G116" s="18">
        <v>104022</v>
      </c>
      <c r="H116" s="18">
        <f t="shared" si="11"/>
        <v>41902.79</v>
      </c>
    </row>
    <row r="117" spans="1:8" ht="21" customHeight="1" x14ac:dyDescent="0.55000000000000004">
      <c r="A117" s="18">
        <v>24.792883799999998</v>
      </c>
      <c r="B117" s="18">
        <v>34.948014299999997</v>
      </c>
      <c r="C117" s="18">
        <v>696926.57</v>
      </c>
      <c r="D117" s="18">
        <v>2743418.57</v>
      </c>
      <c r="E117" s="18">
        <v>82.87</v>
      </c>
      <c r="F117" s="18">
        <v>41900.879999999997</v>
      </c>
      <c r="G117" s="18">
        <v>104225</v>
      </c>
      <c r="H117" s="18">
        <f t="shared" si="11"/>
        <v>41898.879999999997</v>
      </c>
    </row>
    <row r="118" spans="1:8" ht="21" customHeight="1" x14ac:dyDescent="0.55000000000000004">
      <c r="A118" s="18">
        <v>24.792883499999999</v>
      </c>
      <c r="B118" s="18">
        <v>34.948014499999999</v>
      </c>
      <c r="C118" s="18">
        <v>696926.59</v>
      </c>
      <c r="D118" s="18">
        <v>2743418.53</v>
      </c>
      <c r="E118" s="18">
        <v>83.02</v>
      </c>
      <c r="F118" s="18">
        <v>41902.29</v>
      </c>
      <c r="G118" s="18">
        <v>104237</v>
      </c>
      <c r="H118" s="18">
        <f t="shared" si="11"/>
        <v>41900.29</v>
      </c>
    </row>
    <row r="119" spans="1:8" ht="21" customHeight="1" x14ac:dyDescent="0.55000000000000004">
      <c r="A119" s="18">
        <v>24.7924343</v>
      </c>
      <c r="B119" s="18">
        <v>34.946171399999997</v>
      </c>
      <c r="C119" s="18">
        <v>696740.93</v>
      </c>
      <c r="D119" s="18">
        <v>2743366.11</v>
      </c>
      <c r="E119" s="18">
        <v>84.95</v>
      </c>
      <c r="F119" s="18">
        <v>41913.32</v>
      </c>
      <c r="G119" s="18">
        <v>104419</v>
      </c>
      <c r="H119" s="18">
        <f>SUM(F119-1)</f>
        <v>41912.32</v>
      </c>
    </row>
    <row r="120" spans="1:8" ht="21" customHeight="1" x14ac:dyDescent="0.55000000000000004">
      <c r="A120" s="18">
        <v>24.7924346</v>
      </c>
      <c r="B120" s="18">
        <v>34.946171200000002</v>
      </c>
      <c r="C120" s="18">
        <v>696740.92</v>
      </c>
      <c r="D120" s="18">
        <v>2743366.15</v>
      </c>
      <c r="E120" s="18">
        <v>85.09</v>
      </c>
      <c r="F120" s="18">
        <v>41912.6</v>
      </c>
      <c r="G120" s="18">
        <v>104428</v>
      </c>
      <c r="H120" s="18">
        <f t="shared" ref="H120:H132" si="12">SUM(F120-1)</f>
        <v>41911.599999999999</v>
      </c>
    </row>
    <row r="121" spans="1:8" ht="21" customHeight="1" x14ac:dyDescent="0.55000000000000004">
      <c r="A121" s="18">
        <v>24.790927199999999</v>
      </c>
      <c r="B121" s="18">
        <v>34.944915399999999</v>
      </c>
      <c r="C121" s="18">
        <v>696616.31</v>
      </c>
      <c r="D121" s="18">
        <v>2743197.37</v>
      </c>
      <c r="E121" s="18">
        <v>87.16</v>
      </c>
      <c r="F121" s="18">
        <v>41886.54</v>
      </c>
      <c r="G121" s="18">
        <v>104613</v>
      </c>
      <c r="H121" s="18">
        <f t="shared" si="12"/>
        <v>41885.54</v>
      </c>
    </row>
    <row r="122" spans="1:8" ht="21" customHeight="1" x14ac:dyDescent="0.55000000000000004">
      <c r="A122" s="18">
        <v>24.7909288</v>
      </c>
      <c r="B122" s="18">
        <v>34.944914400000002</v>
      </c>
      <c r="C122" s="18">
        <v>696616.21</v>
      </c>
      <c r="D122" s="18">
        <v>2743197.54</v>
      </c>
      <c r="E122" s="18">
        <v>87.13</v>
      </c>
      <c r="F122" s="18">
        <v>41886.61</v>
      </c>
      <c r="G122" s="18">
        <v>104622</v>
      </c>
      <c r="H122" s="18">
        <f t="shared" si="12"/>
        <v>41885.61</v>
      </c>
    </row>
    <row r="123" spans="1:8" ht="21" customHeight="1" x14ac:dyDescent="0.55000000000000004">
      <c r="A123" s="18">
        <v>24.789147700000001</v>
      </c>
      <c r="B123" s="18">
        <v>34.944100400000004</v>
      </c>
      <c r="C123" s="18">
        <v>696536.7</v>
      </c>
      <c r="D123" s="18">
        <v>2742999.09</v>
      </c>
      <c r="E123" s="18">
        <v>88.3</v>
      </c>
      <c r="F123" s="18">
        <v>41982.66</v>
      </c>
      <c r="G123" s="18">
        <v>104807</v>
      </c>
      <c r="H123" s="18">
        <f t="shared" si="12"/>
        <v>41981.66</v>
      </c>
    </row>
    <row r="124" spans="1:8" ht="21" customHeight="1" x14ac:dyDescent="0.55000000000000004">
      <c r="A124" s="18">
        <v>24.789228699999999</v>
      </c>
      <c r="B124" s="18">
        <v>34.944161200000003</v>
      </c>
      <c r="C124" s="18">
        <v>696542.71999999997</v>
      </c>
      <c r="D124" s="18">
        <v>2743008.14</v>
      </c>
      <c r="E124" s="18">
        <v>87.96</v>
      </c>
      <c r="F124" s="18">
        <v>41991.6</v>
      </c>
      <c r="G124" s="18">
        <v>104828</v>
      </c>
      <c r="H124" s="18">
        <f t="shared" si="12"/>
        <v>41990.6</v>
      </c>
    </row>
    <row r="125" spans="1:8" ht="21" customHeight="1" x14ac:dyDescent="0.55000000000000004">
      <c r="A125" s="18">
        <v>24.7883146</v>
      </c>
      <c r="B125" s="18">
        <v>34.9425594</v>
      </c>
      <c r="C125" s="18">
        <v>696382.19</v>
      </c>
      <c r="D125" s="18">
        <v>2742904.59</v>
      </c>
      <c r="E125" s="18">
        <v>90.27</v>
      </c>
      <c r="F125" s="18">
        <v>41952.58</v>
      </c>
      <c r="G125" s="18">
        <v>105016</v>
      </c>
      <c r="H125" s="18">
        <f t="shared" si="12"/>
        <v>41951.58</v>
      </c>
    </row>
    <row r="126" spans="1:8" ht="21" customHeight="1" x14ac:dyDescent="0.55000000000000004">
      <c r="A126" s="18">
        <v>24.7883146</v>
      </c>
      <c r="B126" s="18">
        <v>34.942559000000003</v>
      </c>
      <c r="C126" s="18">
        <v>696382.15</v>
      </c>
      <c r="D126" s="18">
        <v>2742904.58</v>
      </c>
      <c r="E126" s="18">
        <v>90.35</v>
      </c>
      <c r="F126" s="18">
        <v>41952.51</v>
      </c>
      <c r="G126" s="18">
        <v>105025</v>
      </c>
      <c r="H126" s="18">
        <f t="shared" si="12"/>
        <v>41951.51</v>
      </c>
    </row>
    <row r="127" spans="1:8" ht="21" customHeight="1" x14ac:dyDescent="0.55000000000000004">
      <c r="A127" s="18">
        <v>24.7886846</v>
      </c>
      <c r="B127" s="18">
        <v>34.940841399999996</v>
      </c>
      <c r="C127" s="18">
        <v>696207.88</v>
      </c>
      <c r="D127" s="18">
        <v>2742943.11</v>
      </c>
      <c r="E127" s="18">
        <v>92.39</v>
      </c>
      <c r="F127" s="18">
        <v>41924.519999999997</v>
      </c>
      <c r="G127" s="18">
        <v>105201</v>
      </c>
      <c r="H127" s="18">
        <f t="shared" si="12"/>
        <v>41923.519999999997</v>
      </c>
    </row>
    <row r="128" spans="1:8" ht="21" customHeight="1" x14ac:dyDescent="0.55000000000000004">
      <c r="A128" s="18">
        <v>24.788655299999999</v>
      </c>
      <c r="B128" s="18">
        <v>34.940891899999997</v>
      </c>
      <c r="C128" s="18">
        <v>696213.04</v>
      </c>
      <c r="D128" s="18">
        <v>2742939.93</v>
      </c>
      <c r="E128" s="18">
        <v>92.53</v>
      </c>
      <c r="F128" s="18">
        <v>41919.21</v>
      </c>
      <c r="G128" s="18">
        <v>105219</v>
      </c>
      <c r="H128" s="18">
        <f t="shared" si="12"/>
        <v>41918.21</v>
      </c>
    </row>
    <row r="129" spans="1:8" ht="21" customHeight="1" x14ac:dyDescent="0.55000000000000004">
      <c r="A129" s="18">
        <v>24.7893872</v>
      </c>
      <c r="B129" s="18">
        <v>34.939133400000003</v>
      </c>
      <c r="C129" s="18">
        <v>696034.06</v>
      </c>
      <c r="D129" s="18">
        <v>2743018.48</v>
      </c>
      <c r="E129" s="18">
        <v>95.89</v>
      </c>
      <c r="F129" s="18">
        <v>41920.639999999999</v>
      </c>
      <c r="G129" s="18">
        <v>105422</v>
      </c>
      <c r="H129" s="18">
        <f t="shared" si="12"/>
        <v>41919.64</v>
      </c>
    </row>
    <row r="130" spans="1:8" ht="21" customHeight="1" x14ac:dyDescent="0.55000000000000004">
      <c r="A130" s="18">
        <v>24.789387600000001</v>
      </c>
      <c r="B130" s="18">
        <v>34.939132600000001</v>
      </c>
      <c r="C130" s="18">
        <v>696033.98</v>
      </c>
      <c r="D130" s="18">
        <v>2743018.51</v>
      </c>
      <c r="E130" s="18">
        <v>95.9</v>
      </c>
      <c r="F130" s="18">
        <v>41920.629999999997</v>
      </c>
      <c r="G130" s="18">
        <v>105434</v>
      </c>
      <c r="H130" s="18">
        <f t="shared" si="12"/>
        <v>41919.629999999997</v>
      </c>
    </row>
    <row r="131" spans="1:8" ht="21" customHeight="1" x14ac:dyDescent="0.55000000000000004">
      <c r="A131" s="18">
        <v>24.789531799999999</v>
      </c>
      <c r="B131" s="18">
        <v>34.937143599999999</v>
      </c>
      <c r="C131" s="18">
        <v>695832.63</v>
      </c>
      <c r="D131" s="18">
        <v>2743031.64</v>
      </c>
      <c r="E131" s="18">
        <v>97.08</v>
      </c>
      <c r="F131" s="18">
        <v>42040.24</v>
      </c>
      <c r="G131" s="18">
        <v>105616</v>
      </c>
      <c r="H131" s="18">
        <f t="shared" si="12"/>
        <v>42039.24</v>
      </c>
    </row>
    <row r="132" spans="1:8" ht="21" customHeight="1" x14ac:dyDescent="0.55000000000000004">
      <c r="A132" s="18">
        <v>24.7895273</v>
      </c>
      <c r="B132" s="18">
        <v>34.9372148</v>
      </c>
      <c r="C132" s="18">
        <v>695839.84</v>
      </c>
      <c r="D132" s="18">
        <v>2743031.24</v>
      </c>
      <c r="E132" s="18">
        <v>96.57</v>
      </c>
      <c r="F132" s="18">
        <v>42025.29</v>
      </c>
      <c r="G132" s="18">
        <v>105649</v>
      </c>
      <c r="H132" s="18">
        <f t="shared" si="12"/>
        <v>42024.29</v>
      </c>
    </row>
    <row r="133" spans="1:8" ht="21" customHeight="1" x14ac:dyDescent="0.55000000000000004">
      <c r="A133" s="18">
        <v>24.788753199999999</v>
      </c>
      <c r="B133" s="18">
        <v>34.935422600000003</v>
      </c>
      <c r="C133" s="18">
        <v>695659.83</v>
      </c>
      <c r="D133" s="18">
        <v>2742942.93</v>
      </c>
      <c r="E133" s="18">
        <v>99.21</v>
      </c>
      <c r="F133" s="18">
        <v>41905.910000000003</v>
      </c>
      <c r="G133" s="18">
        <v>105849</v>
      </c>
      <c r="H133" s="18">
        <f>SUM(F133-2)</f>
        <v>41903.910000000003</v>
      </c>
    </row>
    <row r="134" spans="1:8" ht="21" customHeight="1" x14ac:dyDescent="0.55000000000000004">
      <c r="A134" s="18">
        <v>24.788753100000001</v>
      </c>
      <c r="B134" s="18">
        <v>34.935423900000004</v>
      </c>
      <c r="C134" s="18">
        <v>695659.97</v>
      </c>
      <c r="D134" s="18">
        <v>2742942.92</v>
      </c>
      <c r="E134" s="18">
        <v>99.12</v>
      </c>
      <c r="F134" s="18">
        <v>41905.629999999997</v>
      </c>
      <c r="G134" s="18">
        <v>105901</v>
      </c>
      <c r="H134" s="18">
        <f t="shared" ref="H134:H136" si="13">SUM(F134-2)</f>
        <v>41903.629999999997</v>
      </c>
    </row>
    <row r="135" spans="1:8" ht="21" customHeight="1" x14ac:dyDescent="0.55000000000000004">
      <c r="A135" s="18">
        <v>24.787357400000001</v>
      </c>
      <c r="B135" s="18">
        <v>34.934221200000003</v>
      </c>
      <c r="C135" s="18">
        <v>695540.54</v>
      </c>
      <c r="D135" s="18">
        <v>2742786.59</v>
      </c>
      <c r="E135" s="18">
        <v>103.31</v>
      </c>
      <c r="F135" s="18">
        <v>41957.04</v>
      </c>
      <c r="G135" s="18">
        <v>110058</v>
      </c>
      <c r="H135" s="18">
        <f t="shared" si="13"/>
        <v>41955.040000000001</v>
      </c>
    </row>
    <row r="136" spans="1:8" ht="21" customHeight="1" x14ac:dyDescent="0.55000000000000004">
      <c r="A136" s="18">
        <v>24.787359800000001</v>
      </c>
      <c r="B136" s="18">
        <v>34.934223099999997</v>
      </c>
      <c r="C136" s="18">
        <v>695540.72</v>
      </c>
      <c r="D136" s="18">
        <v>2742786.87</v>
      </c>
      <c r="E136" s="18">
        <v>103.43</v>
      </c>
      <c r="F136" s="18">
        <v>41957.38</v>
      </c>
      <c r="G136" s="18">
        <v>110107</v>
      </c>
      <c r="H136" s="18">
        <f t="shared" si="13"/>
        <v>41955.38</v>
      </c>
    </row>
    <row r="137" spans="1:8" ht="21" customHeight="1" x14ac:dyDescent="0.55000000000000004">
      <c r="A137" s="18">
        <v>24.787065800000001</v>
      </c>
      <c r="B137" s="18">
        <v>34.933973799999997</v>
      </c>
      <c r="C137" s="18">
        <v>695515.97</v>
      </c>
      <c r="D137" s="18">
        <v>2742753.94</v>
      </c>
      <c r="E137" s="18">
        <v>104.09</v>
      </c>
      <c r="F137" s="18">
        <v>41906.800000000003</v>
      </c>
      <c r="G137" s="18">
        <v>110201</v>
      </c>
      <c r="H137" s="18">
        <f>SUM(F137-4)</f>
        <v>41902.800000000003</v>
      </c>
    </row>
    <row r="138" spans="1:8" ht="21" customHeight="1" x14ac:dyDescent="0.55000000000000004">
      <c r="A138" s="18">
        <v>24.787071000000001</v>
      </c>
      <c r="B138" s="18">
        <v>34.933976800000003</v>
      </c>
      <c r="C138" s="18">
        <v>695516.27</v>
      </c>
      <c r="D138" s="18">
        <v>2742754.53</v>
      </c>
      <c r="E138" s="18">
        <v>103.81</v>
      </c>
      <c r="F138" s="18">
        <v>41908.300000000003</v>
      </c>
      <c r="G138" s="18">
        <v>110228</v>
      </c>
      <c r="H138" s="18">
        <f t="shared" ref="H138:H141" si="14">SUM(F138-4)</f>
        <v>41904.300000000003</v>
      </c>
    </row>
    <row r="139" spans="1:8" ht="21" customHeight="1" x14ac:dyDescent="0.55000000000000004">
      <c r="A139" s="18">
        <v>24.7869007</v>
      </c>
      <c r="B139" s="18">
        <v>34.932461400000001</v>
      </c>
      <c r="C139" s="18">
        <v>695363.3</v>
      </c>
      <c r="D139" s="18">
        <v>2742733.49</v>
      </c>
      <c r="E139" s="18">
        <v>103.27</v>
      </c>
      <c r="F139" s="18">
        <v>41911.75</v>
      </c>
      <c r="G139" s="18">
        <v>110640</v>
      </c>
      <c r="H139" s="18">
        <f t="shared" si="14"/>
        <v>41907.75</v>
      </c>
    </row>
    <row r="140" spans="1:8" ht="21" customHeight="1" x14ac:dyDescent="0.55000000000000004">
      <c r="A140" s="18">
        <v>24.7869007</v>
      </c>
      <c r="B140" s="18">
        <v>34.9324619</v>
      </c>
      <c r="C140" s="18">
        <v>695363.35</v>
      </c>
      <c r="D140" s="18">
        <v>2742733.49</v>
      </c>
      <c r="E140" s="18">
        <v>103.26</v>
      </c>
      <c r="F140" s="18">
        <v>41912.32</v>
      </c>
      <c r="G140" s="18">
        <v>110649</v>
      </c>
      <c r="H140" s="18">
        <f t="shared" si="14"/>
        <v>41908.32</v>
      </c>
    </row>
    <row r="141" spans="1:8" ht="21" customHeight="1" x14ac:dyDescent="0.55000000000000004">
      <c r="A141" s="18">
        <v>24.787244900000001</v>
      </c>
      <c r="B141" s="18">
        <v>34.930606400000002</v>
      </c>
      <c r="C141" s="18">
        <v>695175.19</v>
      </c>
      <c r="D141" s="18">
        <v>2742768.97</v>
      </c>
      <c r="E141" s="18">
        <v>104</v>
      </c>
      <c r="F141" s="18">
        <v>41899.65</v>
      </c>
      <c r="G141" s="18">
        <v>110840</v>
      </c>
      <c r="H141" s="18">
        <f t="shared" si="14"/>
        <v>41895.65</v>
      </c>
    </row>
    <row r="142" spans="1:8" ht="21" customHeight="1" x14ac:dyDescent="0.55000000000000004">
      <c r="A142" s="18">
        <v>24.787244600000001</v>
      </c>
      <c r="B142" s="18">
        <v>34.930606900000001</v>
      </c>
      <c r="C142" s="18">
        <v>695175.23</v>
      </c>
      <c r="D142" s="18">
        <v>2742768.94</v>
      </c>
      <c r="E142" s="18">
        <v>103.95</v>
      </c>
      <c r="F142" s="18">
        <v>41899.51</v>
      </c>
      <c r="G142" s="18">
        <v>110852</v>
      </c>
      <c r="H142" s="18">
        <f>SUM(F142-5)</f>
        <v>41894.51</v>
      </c>
    </row>
    <row r="143" spans="1:8" ht="21" customHeight="1" x14ac:dyDescent="0.55000000000000004">
      <c r="A143" s="18">
        <v>24.7882754</v>
      </c>
      <c r="B143" s="18">
        <v>34.9288296</v>
      </c>
      <c r="C143" s="18">
        <v>694993.9</v>
      </c>
      <c r="D143" s="18">
        <v>2742880.58</v>
      </c>
      <c r="E143" s="18">
        <v>106.1</v>
      </c>
      <c r="F143" s="18">
        <v>41834.720000000001</v>
      </c>
      <c r="G143" s="18">
        <v>111037</v>
      </c>
      <c r="H143" s="18">
        <f t="shared" ref="H143:H146" si="15">SUM(F143-5)</f>
        <v>41829.72</v>
      </c>
    </row>
    <row r="144" spans="1:8" ht="21" customHeight="1" x14ac:dyDescent="0.55000000000000004">
      <c r="A144" s="18">
        <v>24.789324199999999</v>
      </c>
      <c r="B144" s="18">
        <v>34.927368800000004</v>
      </c>
      <c r="C144" s="18">
        <v>694844.55</v>
      </c>
      <c r="D144" s="18">
        <v>2742994.66</v>
      </c>
      <c r="E144" s="18">
        <v>110.37</v>
      </c>
      <c r="F144" s="18">
        <v>41804.5</v>
      </c>
      <c r="G144" s="18">
        <v>111213</v>
      </c>
      <c r="H144" s="18">
        <f t="shared" si="15"/>
        <v>41799.5</v>
      </c>
    </row>
    <row r="145" spans="1:8" ht="21" customHeight="1" x14ac:dyDescent="0.55000000000000004">
      <c r="A145" s="18">
        <v>24.7895675</v>
      </c>
      <c r="B145" s="18">
        <v>34.9254842</v>
      </c>
      <c r="C145" s="18">
        <v>694653.6</v>
      </c>
      <c r="D145" s="18">
        <v>2743018.92</v>
      </c>
      <c r="E145" s="18">
        <v>110.39</v>
      </c>
      <c r="F145" s="18">
        <v>41725.040000000001</v>
      </c>
      <c r="G145" s="18">
        <v>111349</v>
      </c>
      <c r="H145" s="18">
        <f t="shared" si="15"/>
        <v>41720.04</v>
      </c>
    </row>
    <row r="146" spans="1:8" ht="21" customHeight="1" x14ac:dyDescent="0.55000000000000004">
      <c r="A146" s="18">
        <v>24.7895684</v>
      </c>
      <c r="B146" s="18">
        <v>34.925484300000001</v>
      </c>
      <c r="C146" s="18">
        <v>694653.61</v>
      </c>
      <c r="D146" s="18">
        <v>2743019.02</v>
      </c>
      <c r="E146" s="18">
        <v>110.48</v>
      </c>
      <c r="F146" s="18">
        <v>41725.49</v>
      </c>
      <c r="G146" s="18">
        <v>111401</v>
      </c>
      <c r="H146" s="18">
        <f t="shared" si="15"/>
        <v>41720.49</v>
      </c>
    </row>
    <row r="147" spans="1:8" ht="21" customHeight="1" x14ac:dyDescent="0.55000000000000004">
      <c r="A147" s="18">
        <v>24.789402500000001</v>
      </c>
      <c r="B147" s="18">
        <v>34.9231257</v>
      </c>
      <c r="C147" s="18">
        <v>694415.37</v>
      </c>
      <c r="D147" s="18">
        <v>2742997.29</v>
      </c>
      <c r="E147" s="18">
        <v>111.52</v>
      </c>
      <c r="F147" s="18">
        <v>41739.050000000003</v>
      </c>
      <c r="G147" s="18">
        <v>111610</v>
      </c>
      <c r="H147" s="18">
        <f>SUM(F147-3.5)</f>
        <v>41735.550000000003</v>
      </c>
    </row>
    <row r="148" spans="1:8" ht="21" customHeight="1" x14ac:dyDescent="0.55000000000000004">
      <c r="A148" s="18">
        <v>24.789402299999999</v>
      </c>
      <c r="B148" s="18">
        <v>34.923126000000003</v>
      </c>
      <c r="C148" s="18">
        <v>694415.4</v>
      </c>
      <c r="D148" s="18">
        <v>2742997.26</v>
      </c>
      <c r="E148" s="18">
        <v>111.32</v>
      </c>
      <c r="F148" s="18">
        <v>41740.230000000003</v>
      </c>
      <c r="G148" s="18">
        <v>111622</v>
      </c>
      <c r="H148" s="18">
        <f t="shared" ref="H148:H158" si="16">SUM(F148-3.5)</f>
        <v>41736.730000000003</v>
      </c>
    </row>
    <row r="149" spans="1:8" ht="21" customHeight="1" x14ac:dyDescent="0.55000000000000004">
      <c r="A149" s="18">
        <v>24.7896684</v>
      </c>
      <c r="B149" s="18">
        <v>34.921425800000002</v>
      </c>
      <c r="C149" s="18">
        <v>694243.06</v>
      </c>
      <c r="D149" s="18">
        <v>2743024.32</v>
      </c>
      <c r="E149" s="18">
        <v>111.58</v>
      </c>
      <c r="F149" s="18">
        <v>41753.629999999997</v>
      </c>
      <c r="G149" s="18">
        <v>111837</v>
      </c>
      <c r="H149" s="18">
        <f t="shared" si="16"/>
        <v>41750.129999999997</v>
      </c>
    </row>
    <row r="150" spans="1:8" ht="21" customHeight="1" x14ac:dyDescent="0.55000000000000004">
      <c r="A150" s="18">
        <v>24.7896684</v>
      </c>
      <c r="B150" s="18">
        <v>34.9214263</v>
      </c>
      <c r="C150" s="18">
        <v>694243.12</v>
      </c>
      <c r="D150" s="18">
        <v>2743024.32</v>
      </c>
      <c r="E150" s="18">
        <v>111.57</v>
      </c>
      <c r="F150" s="18">
        <v>41751.480000000003</v>
      </c>
      <c r="G150" s="18">
        <v>111852</v>
      </c>
      <c r="H150" s="18">
        <f t="shared" si="16"/>
        <v>41747.980000000003</v>
      </c>
    </row>
    <row r="151" spans="1:8" ht="21" customHeight="1" x14ac:dyDescent="0.55000000000000004">
      <c r="A151" s="18">
        <v>24.790963699999999</v>
      </c>
      <c r="B151" s="18">
        <v>34.919969700000003</v>
      </c>
      <c r="C151" s="18">
        <v>694093.81</v>
      </c>
      <c r="D151" s="18">
        <v>2743165.72</v>
      </c>
      <c r="E151" s="18">
        <v>116.01</v>
      </c>
      <c r="F151" s="18">
        <v>41854.339999999997</v>
      </c>
      <c r="G151" s="18">
        <v>112040</v>
      </c>
      <c r="H151" s="18">
        <f t="shared" si="16"/>
        <v>41850.839999999997</v>
      </c>
    </row>
    <row r="152" spans="1:8" ht="21" customHeight="1" x14ac:dyDescent="0.55000000000000004">
      <c r="A152" s="18">
        <v>24.790966000000001</v>
      </c>
      <c r="B152" s="18">
        <v>34.919969799999997</v>
      </c>
      <c r="C152" s="18">
        <v>694093.82</v>
      </c>
      <c r="D152" s="18">
        <v>2743165.98</v>
      </c>
      <c r="E152" s="18">
        <v>116.46</v>
      </c>
      <c r="F152" s="18">
        <v>41853.9</v>
      </c>
      <c r="G152" s="18">
        <v>112052</v>
      </c>
      <c r="H152" s="18">
        <f t="shared" si="16"/>
        <v>41850.400000000001</v>
      </c>
    </row>
    <row r="153" spans="1:8" ht="21" customHeight="1" x14ac:dyDescent="0.55000000000000004">
      <c r="A153" s="18">
        <v>24.791904299999999</v>
      </c>
      <c r="B153" s="18">
        <v>34.918486799999997</v>
      </c>
      <c r="C153" s="18">
        <v>693942.4</v>
      </c>
      <c r="D153" s="18">
        <v>2743267.81</v>
      </c>
      <c r="E153" s="18">
        <v>116.91</v>
      </c>
      <c r="F153" s="18">
        <v>41834.76</v>
      </c>
      <c r="G153" s="18">
        <v>112228</v>
      </c>
      <c r="H153" s="18">
        <f t="shared" si="16"/>
        <v>41831.26</v>
      </c>
    </row>
    <row r="154" spans="1:8" ht="21" customHeight="1" x14ac:dyDescent="0.55000000000000004">
      <c r="A154" s="18">
        <v>24.792815300000001</v>
      </c>
      <c r="B154" s="18">
        <v>34.9169403</v>
      </c>
      <c r="C154" s="18">
        <v>693784.6</v>
      </c>
      <c r="D154" s="18">
        <v>2743366.52</v>
      </c>
      <c r="E154" s="18">
        <v>117.78</v>
      </c>
      <c r="F154" s="18">
        <v>41766.83</v>
      </c>
      <c r="G154" s="18">
        <v>112407</v>
      </c>
      <c r="H154" s="18">
        <f t="shared" si="16"/>
        <v>41763.33</v>
      </c>
    </row>
    <row r="155" spans="1:8" ht="21" customHeight="1" x14ac:dyDescent="0.55000000000000004">
      <c r="A155" s="18">
        <v>24.7928164</v>
      </c>
      <c r="B155" s="18">
        <v>34.916940400000001</v>
      </c>
      <c r="C155" s="18">
        <v>693784.62</v>
      </c>
      <c r="D155" s="18">
        <v>2743366.63</v>
      </c>
      <c r="E155" s="18">
        <v>117.68</v>
      </c>
      <c r="F155" s="18">
        <v>41768.78</v>
      </c>
      <c r="G155" s="18">
        <v>112419</v>
      </c>
      <c r="H155" s="18">
        <f t="shared" si="16"/>
        <v>41765.279999999999</v>
      </c>
    </row>
    <row r="156" spans="1:8" ht="21" customHeight="1" x14ac:dyDescent="0.55000000000000004">
      <c r="A156" s="18">
        <v>24.793201700000001</v>
      </c>
      <c r="B156" s="18">
        <v>34.914958200000001</v>
      </c>
      <c r="C156" s="18">
        <v>693583.58</v>
      </c>
      <c r="D156" s="18">
        <v>2743406.5</v>
      </c>
      <c r="E156" s="18">
        <v>119.95</v>
      </c>
      <c r="F156" s="18">
        <v>42025.33</v>
      </c>
      <c r="G156" s="18">
        <v>112552</v>
      </c>
      <c r="H156" s="18">
        <f t="shared" si="16"/>
        <v>42021.83</v>
      </c>
    </row>
    <row r="157" spans="1:8" ht="21" customHeight="1" x14ac:dyDescent="0.55000000000000004">
      <c r="A157" s="18">
        <v>24.793190500000001</v>
      </c>
      <c r="B157" s="18">
        <v>34.914916900000001</v>
      </c>
      <c r="C157" s="18">
        <v>693579.43</v>
      </c>
      <c r="D157" s="18">
        <v>2743405.2</v>
      </c>
      <c r="E157" s="18">
        <v>120.15</v>
      </c>
      <c r="F157" s="18">
        <v>42040.51</v>
      </c>
      <c r="G157" s="18">
        <v>112640</v>
      </c>
      <c r="H157" s="18">
        <f t="shared" si="16"/>
        <v>42037.01</v>
      </c>
    </row>
    <row r="158" spans="1:8" ht="21" customHeight="1" x14ac:dyDescent="0.55000000000000004">
      <c r="A158" s="18">
        <v>24.7930806</v>
      </c>
      <c r="B158" s="18">
        <v>34.913096899999999</v>
      </c>
      <c r="C158" s="18">
        <v>693395.57</v>
      </c>
      <c r="D158" s="18">
        <v>2743390.46</v>
      </c>
      <c r="E158" s="18">
        <v>120.89</v>
      </c>
      <c r="F158" s="18">
        <v>42030.68</v>
      </c>
      <c r="G158" s="18">
        <v>113052</v>
      </c>
      <c r="H158" s="18">
        <f t="shared" si="16"/>
        <v>42027.18</v>
      </c>
    </row>
    <row r="159" spans="1:8" ht="21" customHeight="1" x14ac:dyDescent="0.55000000000000004">
      <c r="A159" s="18">
        <v>24.793094499999999</v>
      </c>
      <c r="B159" s="18">
        <v>34.911095299999999</v>
      </c>
      <c r="C159" s="18">
        <v>693193.16</v>
      </c>
      <c r="D159" s="18">
        <v>2743389.16</v>
      </c>
      <c r="E159" s="18">
        <v>122.42</v>
      </c>
      <c r="F159" s="18">
        <v>41939.89</v>
      </c>
      <c r="G159" s="18">
        <v>113252</v>
      </c>
      <c r="H159" s="18">
        <f>SUM(F159-3)</f>
        <v>41936.89</v>
      </c>
    </row>
    <row r="160" spans="1:8" ht="21" customHeight="1" x14ac:dyDescent="0.55000000000000004">
      <c r="A160" s="18">
        <v>24.793097100000001</v>
      </c>
      <c r="B160" s="18">
        <v>34.911102499999998</v>
      </c>
      <c r="C160" s="18">
        <v>693193.88</v>
      </c>
      <c r="D160" s="18">
        <v>2743389.46</v>
      </c>
      <c r="E160" s="18">
        <v>122.78</v>
      </c>
      <c r="F160" s="18">
        <v>41939.410000000003</v>
      </c>
      <c r="G160" s="18">
        <v>113307</v>
      </c>
      <c r="H160" s="18">
        <f>SUM(F160-3)</f>
        <v>41936.410000000003</v>
      </c>
    </row>
    <row r="161" spans="1:8" ht="21" customHeight="1" x14ac:dyDescent="0.55000000000000004">
      <c r="A161" s="18">
        <v>24.793857299999999</v>
      </c>
      <c r="B161" s="18">
        <v>34.909609500000002</v>
      </c>
      <c r="C161" s="18">
        <v>693041.74</v>
      </c>
      <c r="D161" s="18">
        <v>2743471.55</v>
      </c>
      <c r="E161" s="18">
        <v>123.8</v>
      </c>
      <c r="F161" s="18">
        <v>41989.21</v>
      </c>
      <c r="G161" s="18">
        <v>115543</v>
      </c>
      <c r="H161" s="18">
        <v>41989</v>
      </c>
    </row>
    <row r="162" spans="1:8" ht="21" customHeight="1" x14ac:dyDescent="0.55000000000000004">
      <c r="A162" s="18">
        <v>24.7938571</v>
      </c>
      <c r="B162" s="18">
        <v>34.909610000000001</v>
      </c>
      <c r="C162" s="18">
        <v>693041.79</v>
      </c>
      <c r="D162" s="18">
        <v>2743471.53</v>
      </c>
      <c r="E162" s="18">
        <v>123.7</v>
      </c>
      <c r="F162" s="18">
        <v>41989.4</v>
      </c>
      <c r="G162" s="18">
        <v>115555</v>
      </c>
      <c r="H162" s="18">
        <v>41989.2</v>
      </c>
    </row>
    <row r="163" spans="1:8" ht="21" customHeight="1" x14ac:dyDescent="0.55000000000000004">
      <c r="A163" s="18">
        <v>24.795534100000001</v>
      </c>
      <c r="B163" s="18">
        <v>34.909061899999998</v>
      </c>
      <c r="C163" s="18">
        <v>692983.78</v>
      </c>
      <c r="D163" s="18">
        <v>2743656.51</v>
      </c>
      <c r="E163" s="18">
        <v>128.81</v>
      </c>
      <c r="F163" s="18">
        <v>41520.639999999999</v>
      </c>
      <c r="G163" s="18">
        <v>115743</v>
      </c>
      <c r="H163" s="18">
        <v>41519.64</v>
      </c>
    </row>
    <row r="164" spans="1:8" ht="21" customHeight="1" x14ac:dyDescent="0.55000000000000004">
      <c r="A164" s="18">
        <v>24.795529899999998</v>
      </c>
      <c r="B164" s="18">
        <v>34.909057699999998</v>
      </c>
      <c r="C164" s="18">
        <v>692983.36</v>
      </c>
      <c r="D164" s="18">
        <v>2743656.04</v>
      </c>
      <c r="E164" s="18">
        <v>127.58</v>
      </c>
      <c r="F164" s="18">
        <v>41527.21</v>
      </c>
      <c r="G164" s="18">
        <v>115822</v>
      </c>
      <c r="H164" s="18">
        <v>41525.199999999997</v>
      </c>
    </row>
    <row r="165" spans="1:8" ht="21" customHeight="1" x14ac:dyDescent="0.55000000000000004">
      <c r="A165" s="18">
        <v>24.797344200000001</v>
      </c>
      <c r="B165" s="18">
        <v>34.909006099999999</v>
      </c>
      <c r="C165" s="18">
        <v>692975.33</v>
      </c>
      <c r="D165" s="18">
        <v>2743856.93</v>
      </c>
      <c r="E165" s="18">
        <v>129.28</v>
      </c>
      <c r="F165" s="18">
        <v>41725.67</v>
      </c>
      <c r="G165" s="18">
        <v>120019</v>
      </c>
      <c r="H165" s="18">
        <v>41723.67</v>
      </c>
    </row>
    <row r="166" spans="1:8" ht="21" customHeight="1" x14ac:dyDescent="0.55000000000000004">
      <c r="A166" s="18">
        <v>24.797343099999999</v>
      </c>
      <c r="B166" s="18">
        <v>34.909007500000001</v>
      </c>
      <c r="C166" s="18">
        <v>692975.47</v>
      </c>
      <c r="D166" s="18">
        <v>2743856.81</v>
      </c>
      <c r="E166" s="18">
        <v>128.99</v>
      </c>
      <c r="F166" s="18">
        <v>41724.81</v>
      </c>
      <c r="G166" s="18">
        <v>120034</v>
      </c>
      <c r="H166" s="18">
        <f>SUM(F166-4)</f>
        <v>41720.81</v>
      </c>
    </row>
    <row r="167" spans="1:8" ht="21" customHeight="1" x14ac:dyDescent="0.55000000000000004">
      <c r="A167" s="18">
        <v>24.7989085</v>
      </c>
      <c r="B167" s="18">
        <v>34.908543299999998</v>
      </c>
      <c r="C167" s="18">
        <v>692926.12</v>
      </c>
      <c r="D167" s="18">
        <v>2744029.54</v>
      </c>
      <c r="E167" s="18">
        <v>130.06</v>
      </c>
      <c r="F167" s="18">
        <v>41918.379999999997</v>
      </c>
      <c r="G167" s="18">
        <v>120225</v>
      </c>
      <c r="H167" s="18">
        <f t="shared" ref="H167:H168" si="17">SUM(F167-4)</f>
        <v>41914.379999999997</v>
      </c>
    </row>
    <row r="168" spans="1:8" ht="21" customHeight="1" x14ac:dyDescent="0.55000000000000004">
      <c r="A168" s="18">
        <v>24.798908999999998</v>
      </c>
      <c r="B168" s="18">
        <v>34.908543600000002</v>
      </c>
      <c r="C168" s="18">
        <v>692926.14</v>
      </c>
      <c r="D168" s="18">
        <v>2744029.6</v>
      </c>
      <c r="E168" s="18">
        <v>130.57</v>
      </c>
      <c r="F168" s="18">
        <v>41918.89</v>
      </c>
      <c r="G168" s="18">
        <v>120240</v>
      </c>
      <c r="H168" s="18">
        <f t="shared" si="17"/>
        <v>41914.89</v>
      </c>
    </row>
    <row r="169" spans="1:8" ht="21" customHeight="1" x14ac:dyDescent="0.55000000000000004">
      <c r="A169" s="18">
        <v>24.800604100000001</v>
      </c>
      <c r="B169" s="18">
        <v>34.9076807</v>
      </c>
      <c r="C169" s="18">
        <v>692836.27</v>
      </c>
      <c r="D169" s="18">
        <v>2744216.14</v>
      </c>
      <c r="E169" s="18">
        <v>146.13</v>
      </c>
      <c r="F169" s="18">
        <v>41808.720000000001</v>
      </c>
      <c r="G169" s="18">
        <v>120431</v>
      </c>
      <c r="H169" s="18">
        <f>SUM(F169-6)</f>
        <v>41802.720000000001</v>
      </c>
    </row>
    <row r="170" spans="1:8" ht="21" customHeight="1" x14ac:dyDescent="0.55000000000000004">
      <c r="A170" s="18">
        <v>24.800601700000001</v>
      </c>
      <c r="B170" s="18">
        <v>34.907680800000001</v>
      </c>
      <c r="C170" s="18">
        <v>692836.29</v>
      </c>
      <c r="D170" s="18">
        <v>2744215.87</v>
      </c>
      <c r="E170" s="18">
        <v>145.66999999999999</v>
      </c>
      <c r="F170" s="18">
        <v>41805.730000000003</v>
      </c>
      <c r="G170" s="18">
        <v>120446</v>
      </c>
      <c r="H170" s="18">
        <f t="shared" ref="H170:H173" si="18">SUM(F170-6)</f>
        <v>41799.730000000003</v>
      </c>
    </row>
    <row r="171" spans="1:8" ht="21" customHeight="1" x14ac:dyDescent="0.55000000000000004">
      <c r="A171" s="18">
        <v>24.8019541</v>
      </c>
      <c r="B171" s="18">
        <v>34.906379299999998</v>
      </c>
      <c r="C171" s="18">
        <v>692702.6</v>
      </c>
      <c r="D171" s="18">
        <v>2744363.84</v>
      </c>
      <c r="E171" s="18">
        <v>141.85</v>
      </c>
      <c r="F171" s="18">
        <v>41701.449999999997</v>
      </c>
      <c r="G171" s="18">
        <v>120631</v>
      </c>
      <c r="H171" s="18">
        <f t="shared" si="18"/>
        <v>41695.449999999997</v>
      </c>
    </row>
    <row r="172" spans="1:8" ht="21" customHeight="1" x14ac:dyDescent="0.55000000000000004">
      <c r="A172" s="18">
        <v>24.8019569</v>
      </c>
      <c r="B172" s="18">
        <v>34.906382600000001</v>
      </c>
      <c r="C172" s="18">
        <v>692702.93</v>
      </c>
      <c r="D172" s="18">
        <v>2744364.15</v>
      </c>
      <c r="E172" s="18">
        <v>141.47999999999999</v>
      </c>
      <c r="F172" s="18">
        <v>41700.339999999997</v>
      </c>
      <c r="G172" s="18">
        <v>120646</v>
      </c>
      <c r="H172" s="18">
        <f t="shared" si="18"/>
        <v>41694.339999999997</v>
      </c>
    </row>
    <row r="173" spans="1:8" ht="21" customHeight="1" x14ac:dyDescent="0.55000000000000004">
      <c r="A173" s="18">
        <v>24.803173000000001</v>
      </c>
      <c r="B173" s="18">
        <v>34.904966000000002</v>
      </c>
      <c r="C173" s="18">
        <v>692557.82</v>
      </c>
      <c r="D173" s="18">
        <v>2744496.85</v>
      </c>
      <c r="E173" s="18">
        <v>143.44</v>
      </c>
      <c r="F173" s="18">
        <v>41787.33</v>
      </c>
      <c r="G173" s="18">
        <v>120828</v>
      </c>
      <c r="H173" s="18">
        <f t="shared" si="18"/>
        <v>41781.33</v>
      </c>
    </row>
    <row r="174" spans="1:8" ht="21" customHeight="1" x14ac:dyDescent="0.55000000000000004">
      <c r="A174" s="18">
        <v>24.804187200000001</v>
      </c>
      <c r="B174" s="18">
        <v>34.903220300000001</v>
      </c>
      <c r="C174" s="18">
        <v>692379.76</v>
      </c>
      <c r="D174" s="18">
        <v>2744606.73</v>
      </c>
      <c r="E174" s="18">
        <v>145.75</v>
      </c>
      <c r="F174" s="18">
        <v>41920.89</v>
      </c>
      <c r="G174" s="18">
        <v>121016</v>
      </c>
      <c r="H174" s="18">
        <f>SUM(F174-7)</f>
        <v>41913.89</v>
      </c>
    </row>
    <row r="175" spans="1:8" ht="21" customHeight="1" x14ac:dyDescent="0.55000000000000004">
      <c r="A175" s="18">
        <v>24.804187200000001</v>
      </c>
      <c r="B175" s="18">
        <v>34.903221700000003</v>
      </c>
      <c r="C175" s="18">
        <v>692379.89</v>
      </c>
      <c r="D175" s="18">
        <v>2744606.73</v>
      </c>
      <c r="E175" s="18">
        <v>145.47999999999999</v>
      </c>
      <c r="F175" s="18">
        <v>41920.660000000003</v>
      </c>
      <c r="G175" s="18">
        <v>121028</v>
      </c>
      <c r="H175" s="18">
        <f t="shared" ref="H175:H179" si="19">SUM(F175-7)</f>
        <v>41913.660000000003</v>
      </c>
    </row>
    <row r="176" spans="1:8" ht="21" customHeight="1" x14ac:dyDescent="0.55000000000000004">
      <c r="A176" s="18">
        <v>24.8047583</v>
      </c>
      <c r="B176" s="18">
        <v>34.901535500000001</v>
      </c>
      <c r="C176" s="18">
        <v>692208.53</v>
      </c>
      <c r="D176" s="18">
        <v>2744667.61</v>
      </c>
      <c r="E176" s="18">
        <v>147.11000000000001</v>
      </c>
      <c r="F176" s="18">
        <v>41854.370000000003</v>
      </c>
      <c r="G176" s="18">
        <v>121207</v>
      </c>
      <c r="H176" s="18">
        <f t="shared" si="19"/>
        <v>41847.370000000003</v>
      </c>
    </row>
    <row r="177" spans="1:8" ht="21" customHeight="1" x14ac:dyDescent="0.55000000000000004">
      <c r="A177" s="18">
        <v>24.804877900000001</v>
      </c>
      <c r="B177" s="18">
        <v>34.899573199999999</v>
      </c>
      <c r="C177" s="18">
        <v>692009.95</v>
      </c>
      <c r="D177" s="18">
        <v>2744678.1</v>
      </c>
      <c r="E177" s="18">
        <v>148.19999999999999</v>
      </c>
      <c r="F177" s="18">
        <v>41911.06</v>
      </c>
      <c r="G177" s="18">
        <v>121352</v>
      </c>
      <c r="H177" s="18">
        <f t="shared" si="19"/>
        <v>41904.06</v>
      </c>
    </row>
    <row r="178" spans="1:8" ht="21" customHeight="1" x14ac:dyDescent="0.55000000000000004">
      <c r="A178" s="18">
        <v>24.8053949</v>
      </c>
      <c r="B178" s="18">
        <v>34.897487699999999</v>
      </c>
      <c r="C178" s="18">
        <v>691798.3</v>
      </c>
      <c r="D178" s="18">
        <v>2744732.43</v>
      </c>
      <c r="E178" s="18">
        <v>149.79</v>
      </c>
      <c r="F178" s="18">
        <v>41747.74</v>
      </c>
      <c r="G178" s="18">
        <v>121543</v>
      </c>
      <c r="H178" s="18">
        <f t="shared" si="19"/>
        <v>41740.74</v>
      </c>
    </row>
    <row r="179" spans="1:8" ht="21" customHeight="1" x14ac:dyDescent="0.55000000000000004">
      <c r="A179" s="18">
        <v>24.8053943</v>
      </c>
      <c r="B179" s="18">
        <v>34.897487599999998</v>
      </c>
      <c r="C179" s="18">
        <v>691798.29</v>
      </c>
      <c r="D179" s="18">
        <v>2744732.37</v>
      </c>
      <c r="E179" s="18">
        <v>149.94</v>
      </c>
      <c r="F179" s="18">
        <v>41747.78</v>
      </c>
      <c r="G179" s="18">
        <v>121555</v>
      </c>
      <c r="H179" s="18">
        <f t="shared" si="19"/>
        <v>41740.78</v>
      </c>
    </row>
    <row r="180" spans="1:8" ht="21" customHeight="1" x14ac:dyDescent="0.55000000000000004">
      <c r="A180" s="18">
        <v>24.8061857</v>
      </c>
      <c r="B180" s="18">
        <v>34.896002299999999</v>
      </c>
      <c r="C180" s="18">
        <v>691646.9</v>
      </c>
      <c r="D180" s="18">
        <v>2744817.94</v>
      </c>
      <c r="E180" s="18">
        <v>151.33000000000001</v>
      </c>
      <c r="F180" s="18">
        <v>42095.09</v>
      </c>
      <c r="G180" s="18">
        <v>121731</v>
      </c>
      <c r="H180" s="18">
        <f>SUM(F180-6.5)</f>
        <v>42088.59</v>
      </c>
    </row>
    <row r="181" spans="1:8" ht="21" customHeight="1" x14ac:dyDescent="0.55000000000000004">
      <c r="A181" s="18">
        <v>24.806185200000002</v>
      </c>
      <c r="B181" s="18">
        <v>34.896000899999997</v>
      </c>
      <c r="C181" s="18">
        <v>691646.77</v>
      </c>
      <c r="D181" s="18">
        <v>2744817.88</v>
      </c>
      <c r="E181" s="18">
        <v>151.34</v>
      </c>
      <c r="F181" s="18">
        <v>42094.29</v>
      </c>
      <c r="G181" s="18">
        <v>121743</v>
      </c>
      <c r="H181" s="18">
        <f t="shared" ref="H181:H182" si="20">SUM(F181-6.5)</f>
        <v>42087.79</v>
      </c>
    </row>
    <row r="182" spans="1:8" ht="21" customHeight="1" x14ac:dyDescent="0.55000000000000004">
      <c r="A182" s="18">
        <v>24.8069579</v>
      </c>
      <c r="B182" s="18">
        <v>34.894156799999998</v>
      </c>
      <c r="C182" s="18">
        <v>691459.13</v>
      </c>
      <c r="D182" s="18">
        <v>2744900.88</v>
      </c>
      <c r="E182" s="18">
        <v>152.91</v>
      </c>
      <c r="F182" s="18">
        <v>41949.42</v>
      </c>
      <c r="G182" s="18">
        <v>121940</v>
      </c>
      <c r="H182" s="18">
        <f t="shared" si="20"/>
        <v>41942.92</v>
      </c>
    </row>
    <row r="183" spans="1:8" ht="21" customHeight="1" x14ac:dyDescent="0.55000000000000004">
      <c r="A183" s="18">
        <v>24.808109999999999</v>
      </c>
      <c r="B183" s="18">
        <v>34.892648000000001</v>
      </c>
      <c r="C183" s="18">
        <v>691304.82</v>
      </c>
      <c r="D183" s="18">
        <v>2745026.38</v>
      </c>
      <c r="E183" s="18">
        <v>152.81</v>
      </c>
      <c r="F183" s="18">
        <v>41840.980000000003</v>
      </c>
      <c r="G183" s="18">
        <v>122128</v>
      </c>
      <c r="H183" s="18">
        <f>SUM(F183-9)</f>
        <v>41831.980000000003</v>
      </c>
    </row>
    <row r="184" spans="1:8" ht="21" customHeight="1" x14ac:dyDescent="0.55000000000000004">
      <c r="A184" s="18">
        <v>24.8081113</v>
      </c>
      <c r="B184" s="18">
        <v>34.892648000000001</v>
      </c>
      <c r="C184" s="18">
        <v>691304.81</v>
      </c>
      <c r="D184" s="18">
        <v>2745026.52</v>
      </c>
      <c r="E184" s="18">
        <v>152.85</v>
      </c>
      <c r="F184" s="18">
        <v>41840.699999999997</v>
      </c>
      <c r="G184" s="18">
        <v>122137</v>
      </c>
      <c r="H184" s="18">
        <f t="shared" ref="H184:H203" si="21">SUM(F184-9)</f>
        <v>41831.699999999997</v>
      </c>
    </row>
    <row r="185" spans="1:8" ht="21" customHeight="1" x14ac:dyDescent="0.55000000000000004">
      <c r="A185" s="18">
        <v>24.809480099999998</v>
      </c>
      <c r="B185" s="18">
        <v>34.891432100000003</v>
      </c>
      <c r="C185" s="18">
        <v>691179.78</v>
      </c>
      <c r="D185" s="18">
        <v>2745176.44</v>
      </c>
      <c r="E185" s="18">
        <v>156.35</v>
      </c>
      <c r="F185" s="18">
        <v>41924.5</v>
      </c>
      <c r="G185" s="18">
        <v>122316</v>
      </c>
      <c r="H185" s="18">
        <f t="shared" si="21"/>
        <v>41915.5</v>
      </c>
    </row>
    <row r="186" spans="1:8" ht="21" customHeight="1" x14ac:dyDescent="0.55000000000000004">
      <c r="A186" s="18">
        <v>24.810383999999999</v>
      </c>
      <c r="B186" s="18">
        <v>34.889455099999999</v>
      </c>
      <c r="C186" s="18">
        <v>690978.52</v>
      </c>
      <c r="D186" s="18">
        <v>2745273.79</v>
      </c>
      <c r="E186" s="18">
        <v>158.13999999999999</v>
      </c>
      <c r="F186" s="18">
        <v>41935.18</v>
      </c>
      <c r="G186" s="18">
        <v>122516</v>
      </c>
      <c r="H186" s="18">
        <f t="shared" si="21"/>
        <v>41926.18</v>
      </c>
    </row>
    <row r="187" spans="1:8" ht="21" customHeight="1" x14ac:dyDescent="0.55000000000000004">
      <c r="A187" s="18">
        <v>24.810384500000001</v>
      </c>
      <c r="B187" s="18">
        <v>34.8894552</v>
      </c>
      <c r="C187" s="18">
        <v>690978.54</v>
      </c>
      <c r="D187" s="18">
        <v>2745273.84</v>
      </c>
      <c r="E187" s="18">
        <v>158.13999999999999</v>
      </c>
      <c r="F187" s="18">
        <v>41935.910000000003</v>
      </c>
      <c r="G187" s="18">
        <v>122525</v>
      </c>
      <c r="H187" s="18">
        <f t="shared" si="21"/>
        <v>41926.910000000003</v>
      </c>
    </row>
    <row r="188" spans="1:8" ht="21" customHeight="1" x14ac:dyDescent="0.55000000000000004">
      <c r="A188" s="18">
        <v>24.811243399999999</v>
      </c>
      <c r="B188" s="18">
        <v>34.887763999999997</v>
      </c>
      <c r="C188" s="18">
        <v>690806.24</v>
      </c>
      <c r="D188" s="18">
        <v>2745366.61</v>
      </c>
      <c r="E188" s="18">
        <v>162.22</v>
      </c>
      <c r="F188" s="18">
        <v>42456.24</v>
      </c>
      <c r="G188" s="18">
        <v>122755</v>
      </c>
      <c r="H188" s="18">
        <f t="shared" si="21"/>
        <v>42447.24</v>
      </c>
    </row>
    <row r="189" spans="1:8" ht="21" customHeight="1" x14ac:dyDescent="0.55000000000000004">
      <c r="A189" s="18">
        <v>24.811238100000001</v>
      </c>
      <c r="B189" s="18">
        <v>34.887766800000001</v>
      </c>
      <c r="C189" s="18">
        <v>690806.52</v>
      </c>
      <c r="D189" s="18">
        <v>2745366.03</v>
      </c>
      <c r="E189" s="18">
        <v>161.88999999999999</v>
      </c>
      <c r="F189" s="18">
        <v>42453.63</v>
      </c>
      <c r="G189" s="18">
        <v>122822</v>
      </c>
      <c r="H189" s="18">
        <f t="shared" si="21"/>
        <v>42444.63</v>
      </c>
    </row>
    <row r="190" spans="1:8" ht="21" customHeight="1" x14ac:dyDescent="0.55000000000000004">
      <c r="A190" s="18">
        <v>24.8115855</v>
      </c>
      <c r="B190" s="18">
        <v>34.885813499999998</v>
      </c>
      <c r="C190" s="18">
        <v>690608.52</v>
      </c>
      <c r="D190" s="18">
        <v>2745401.78</v>
      </c>
      <c r="E190" s="18">
        <v>164.87</v>
      </c>
      <c r="F190" s="18">
        <v>42262.22</v>
      </c>
      <c r="G190" s="18">
        <v>123016</v>
      </c>
      <c r="H190" s="18">
        <f t="shared" si="21"/>
        <v>42253.22</v>
      </c>
    </row>
    <row r="191" spans="1:8" ht="21" customHeight="1" x14ac:dyDescent="0.55000000000000004">
      <c r="A191" s="18">
        <v>24.810742699999999</v>
      </c>
      <c r="B191" s="18">
        <v>34.883194600000003</v>
      </c>
      <c r="C191" s="18">
        <v>690345.03</v>
      </c>
      <c r="D191" s="18">
        <v>2745304.77</v>
      </c>
      <c r="E191" s="18">
        <v>165.25</v>
      </c>
      <c r="F191" s="18">
        <v>41931.51</v>
      </c>
      <c r="G191" s="18">
        <v>123228</v>
      </c>
      <c r="H191" s="18">
        <f t="shared" si="21"/>
        <v>41922.51</v>
      </c>
    </row>
    <row r="192" spans="1:8" ht="21" customHeight="1" x14ac:dyDescent="0.55000000000000004">
      <c r="A192" s="18">
        <v>24.810744799999998</v>
      </c>
      <c r="B192" s="18">
        <v>34.883195000000001</v>
      </c>
      <c r="C192" s="18">
        <v>690345.08</v>
      </c>
      <c r="D192" s="18">
        <v>2745305.01</v>
      </c>
      <c r="E192" s="18">
        <v>165.11</v>
      </c>
      <c r="F192" s="18">
        <v>41931.54</v>
      </c>
      <c r="G192" s="18">
        <v>123240</v>
      </c>
      <c r="H192" s="18">
        <f t="shared" si="21"/>
        <v>41922.54</v>
      </c>
    </row>
    <row r="193" spans="1:8" ht="21" customHeight="1" x14ac:dyDescent="0.55000000000000004">
      <c r="A193" s="18">
        <v>24.8100664</v>
      </c>
      <c r="B193" s="18">
        <v>34.882116400000001</v>
      </c>
      <c r="C193" s="18">
        <v>690237.07</v>
      </c>
      <c r="D193" s="18">
        <v>2745228.35</v>
      </c>
      <c r="E193" s="18">
        <v>168.48</v>
      </c>
      <c r="F193" s="18">
        <v>41931.230000000003</v>
      </c>
      <c r="G193" s="18">
        <v>123410</v>
      </c>
      <c r="H193" s="18">
        <f t="shared" si="21"/>
        <v>41922.230000000003</v>
      </c>
    </row>
    <row r="194" spans="1:8" ht="21" customHeight="1" x14ac:dyDescent="0.55000000000000004">
      <c r="A194" s="18">
        <v>24.810065000000002</v>
      </c>
      <c r="B194" s="18">
        <v>34.882118300000002</v>
      </c>
      <c r="C194" s="18">
        <v>690237.25</v>
      </c>
      <c r="D194" s="18">
        <v>2745228.2</v>
      </c>
      <c r="E194" s="18">
        <v>169.36</v>
      </c>
      <c r="F194" s="18">
        <v>41930.89</v>
      </c>
      <c r="G194" s="18">
        <v>123425</v>
      </c>
      <c r="H194" s="18">
        <f t="shared" si="21"/>
        <v>41921.89</v>
      </c>
    </row>
    <row r="195" spans="1:8" ht="21" customHeight="1" x14ac:dyDescent="0.55000000000000004">
      <c r="A195" s="18">
        <v>24.809233899999999</v>
      </c>
      <c r="B195" s="18">
        <v>34.881078299999999</v>
      </c>
      <c r="C195" s="18">
        <v>690133.38</v>
      </c>
      <c r="D195" s="18">
        <v>2745134.7</v>
      </c>
      <c r="E195" s="18">
        <v>168.43</v>
      </c>
      <c r="F195" s="18">
        <v>41948.38</v>
      </c>
      <c r="G195" s="18">
        <v>123628</v>
      </c>
      <c r="H195" s="18">
        <f t="shared" si="21"/>
        <v>41939.379999999997</v>
      </c>
    </row>
    <row r="196" spans="1:8" ht="21" customHeight="1" x14ac:dyDescent="0.55000000000000004">
      <c r="A196" s="18">
        <v>24.809235300000001</v>
      </c>
      <c r="B196" s="18">
        <v>34.881078799999997</v>
      </c>
      <c r="C196" s="18">
        <v>690133.43</v>
      </c>
      <c r="D196" s="18">
        <v>2745134.86</v>
      </c>
      <c r="E196" s="18">
        <v>168.24</v>
      </c>
      <c r="F196" s="18">
        <v>41948.44</v>
      </c>
      <c r="G196" s="18">
        <v>123640</v>
      </c>
      <c r="H196" s="18">
        <f t="shared" si="21"/>
        <v>41939.440000000002</v>
      </c>
    </row>
    <row r="197" spans="1:8" ht="21" customHeight="1" x14ac:dyDescent="0.55000000000000004">
      <c r="A197" s="18">
        <v>24.8080018</v>
      </c>
      <c r="B197" s="18">
        <v>34.8796915</v>
      </c>
      <c r="C197" s="18">
        <v>689995.06</v>
      </c>
      <c r="D197" s="18">
        <v>2744996.29</v>
      </c>
      <c r="E197" s="18">
        <v>171.61</v>
      </c>
      <c r="F197" s="18">
        <v>41856.94</v>
      </c>
      <c r="G197" s="18">
        <v>123849</v>
      </c>
      <c r="H197" s="18">
        <f t="shared" si="21"/>
        <v>41847.94</v>
      </c>
    </row>
    <row r="198" spans="1:8" ht="21" customHeight="1" x14ac:dyDescent="0.55000000000000004">
      <c r="A198" s="18">
        <v>24.806821100000001</v>
      </c>
      <c r="B198" s="18">
        <v>34.878184599999997</v>
      </c>
      <c r="C198" s="18">
        <v>689844.51</v>
      </c>
      <c r="D198" s="18">
        <v>2744863.42</v>
      </c>
      <c r="E198" s="18">
        <v>170.09</v>
      </c>
      <c r="F198" s="18">
        <v>41878.120000000003</v>
      </c>
      <c r="G198" s="18">
        <v>124116</v>
      </c>
      <c r="H198" s="18">
        <f t="shared" si="21"/>
        <v>41869.120000000003</v>
      </c>
    </row>
    <row r="199" spans="1:8" ht="21" customHeight="1" x14ac:dyDescent="0.55000000000000004">
      <c r="A199" s="18">
        <v>24.806821100000001</v>
      </c>
      <c r="B199" s="18">
        <v>34.878184699999998</v>
      </c>
      <c r="C199" s="18">
        <v>689844.52</v>
      </c>
      <c r="D199" s="18">
        <v>2744863.41</v>
      </c>
      <c r="E199" s="18">
        <v>170.06</v>
      </c>
      <c r="F199" s="18">
        <v>41878.080000000002</v>
      </c>
      <c r="G199" s="18">
        <v>124125</v>
      </c>
      <c r="H199" s="18">
        <f t="shared" si="21"/>
        <v>41869.08</v>
      </c>
    </row>
    <row r="200" spans="1:8" ht="21" customHeight="1" x14ac:dyDescent="0.55000000000000004">
      <c r="A200" s="18">
        <v>24.807209</v>
      </c>
      <c r="B200" s="18">
        <v>34.8763972</v>
      </c>
      <c r="C200" s="18">
        <v>689663.21</v>
      </c>
      <c r="D200" s="18">
        <v>2744903.9</v>
      </c>
      <c r="E200" s="18">
        <v>174.12</v>
      </c>
      <c r="F200" s="18">
        <v>42201.78</v>
      </c>
      <c r="G200" s="18">
        <v>124319</v>
      </c>
      <c r="H200" s="18">
        <f t="shared" si="21"/>
        <v>42192.78</v>
      </c>
    </row>
    <row r="201" spans="1:8" ht="21" customHeight="1" x14ac:dyDescent="0.55000000000000004">
      <c r="A201" s="18">
        <v>24.807209199999999</v>
      </c>
      <c r="B201" s="18">
        <v>34.876398000000002</v>
      </c>
      <c r="C201" s="18">
        <v>689663.29</v>
      </c>
      <c r="D201" s="18">
        <v>2744903.92</v>
      </c>
      <c r="E201" s="18">
        <v>173.97</v>
      </c>
      <c r="F201" s="18">
        <v>42201.84</v>
      </c>
      <c r="G201" s="18">
        <v>124331</v>
      </c>
      <c r="H201" s="18">
        <f t="shared" si="21"/>
        <v>42192.84</v>
      </c>
    </row>
    <row r="202" spans="1:8" ht="21" customHeight="1" x14ac:dyDescent="0.55000000000000004">
      <c r="A202" s="18">
        <v>24.808407800000001</v>
      </c>
      <c r="B202" s="18">
        <v>34.874878000000002</v>
      </c>
      <c r="C202" s="18">
        <v>689507.79</v>
      </c>
      <c r="D202" s="18">
        <v>2745034.57</v>
      </c>
      <c r="E202" s="18">
        <v>175.7</v>
      </c>
      <c r="F202" s="18">
        <v>42092.72</v>
      </c>
      <c r="G202" s="18">
        <v>124516</v>
      </c>
      <c r="H202" s="18">
        <f t="shared" si="21"/>
        <v>42083.72</v>
      </c>
    </row>
    <row r="203" spans="1:8" ht="21" customHeight="1" x14ac:dyDescent="0.55000000000000004">
      <c r="A203" s="18">
        <v>24.8084074</v>
      </c>
      <c r="B203" s="18">
        <v>34.874878099999997</v>
      </c>
      <c r="C203" s="18">
        <v>689507.8</v>
      </c>
      <c r="D203" s="18">
        <v>2745034.53</v>
      </c>
      <c r="E203" s="18">
        <v>175.72</v>
      </c>
      <c r="F203" s="18">
        <v>42091.59</v>
      </c>
      <c r="G203" s="18">
        <v>124528</v>
      </c>
      <c r="H203" s="18">
        <f t="shared" si="21"/>
        <v>42082.59</v>
      </c>
    </row>
    <row r="204" spans="1:8" ht="21" customHeight="1" x14ac:dyDescent="0.55000000000000004">
      <c r="A204" s="18">
        <v>24.810104200000001</v>
      </c>
      <c r="B204" s="18">
        <v>34.871109699999998</v>
      </c>
      <c r="C204" s="18">
        <v>689124.23</v>
      </c>
      <c r="D204" s="18">
        <v>2745217.24</v>
      </c>
      <c r="E204" s="18">
        <v>178.59</v>
      </c>
      <c r="F204" s="18">
        <v>42392.04</v>
      </c>
      <c r="G204" s="18">
        <v>124816</v>
      </c>
      <c r="H204" s="18">
        <f>SUM(F204-6)</f>
        <v>42386.04</v>
      </c>
    </row>
    <row r="205" spans="1:8" ht="21" customHeight="1" x14ac:dyDescent="0.55000000000000004">
      <c r="A205" s="18">
        <v>24.810105400000001</v>
      </c>
      <c r="B205" s="18">
        <v>34.8711111</v>
      </c>
      <c r="C205" s="18">
        <v>689124.38</v>
      </c>
      <c r="D205" s="18">
        <v>2745217.38</v>
      </c>
      <c r="E205" s="18">
        <v>178.59</v>
      </c>
      <c r="F205" s="18">
        <v>42392.29</v>
      </c>
      <c r="G205" s="18">
        <v>124828</v>
      </c>
      <c r="H205" s="18">
        <f t="shared" ref="H205:H209" si="22">SUM(F205-6)</f>
        <v>42386.29</v>
      </c>
    </row>
    <row r="206" spans="1:8" ht="21" customHeight="1" x14ac:dyDescent="0.55000000000000004">
      <c r="A206" s="18">
        <v>24.810609500000002</v>
      </c>
      <c r="B206" s="18">
        <v>34.869400499999998</v>
      </c>
      <c r="C206" s="18">
        <v>688950.67</v>
      </c>
      <c r="D206" s="18">
        <v>2745270.85</v>
      </c>
      <c r="E206" s="18">
        <v>180.52</v>
      </c>
      <c r="F206" s="18">
        <v>42379.11</v>
      </c>
      <c r="G206" s="18">
        <v>125019</v>
      </c>
      <c r="H206" s="18">
        <f t="shared" si="22"/>
        <v>42373.11</v>
      </c>
    </row>
    <row r="207" spans="1:8" ht="21" customHeight="1" x14ac:dyDescent="0.55000000000000004">
      <c r="A207" s="18">
        <v>24.810609899999999</v>
      </c>
      <c r="B207" s="18">
        <v>34.8694007</v>
      </c>
      <c r="C207" s="18">
        <v>688950.69</v>
      </c>
      <c r="D207" s="18">
        <v>2745270.89</v>
      </c>
      <c r="E207" s="18">
        <v>180.49</v>
      </c>
      <c r="F207" s="18">
        <v>42379.28</v>
      </c>
      <c r="G207" s="18">
        <v>125031</v>
      </c>
      <c r="H207" s="18">
        <f t="shared" si="22"/>
        <v>42373.279999999999</v>
      </c>
    </row>
    <row r="208" spans="1:8" ht="21" customHeight="1" x14ac:dyDescent="0.55000000000000004">
      <c r="A208" s="18">
        <v>24.812134799999999</v>
      </c>
      <c r="B208" s="18">
        <v>34.868375999999998</v>
      </c>
      <c r="C208" s="18">
        <v>688844.78</v>
      </c>
      <c r="D208" s="18">
        <v>2745438.37</v>
      </c>
      <c r="E208" s="18">
        <v>184.87</v>
      </c>
      <c r="F208" s="18">
        <v>42109.67</v>
      </c>
      <c r="G208" s="18">
        <v>125228</v>
      </c>
      <c r="H208" s="18">
        <f t="shared" si="22"/>
        <v>42103.67</v>
      </c>
    </row>
    <row r="209" spans="1:8" ht="21" customHeight="1" x14ac:dyDescent="0.55000000000000004">
      <c r="A209" s="18">
        <v>24.812135099999999</v>
      </c>
      <c r="B209" s="18">
        <v>34.868375999999998</v>
      </c>
      <c r="C209" s="18">
        <v>688844.78</v>
      </c>
      <c r="D209" s="18">
        <v>2745438.41</v>
      </c>
      <c r="E209" s="18">
        <v>184.98</v>
      </c>
      <c r="F209" s="18">
        <v>42109.68</v>
      </c>
      <c r="G209" s="18">
        <v>125237</v>
      </c>
      <c r="H209" s="18">
        <f t="shared" si="22"/>
        <v>42103.68</v>
      </c>
    </row>
    <row r="210" spans="1:8" ht="21" customHeight="1" x14ac:dyDescent="0.55000000000000004">
      <c r="A210" s="18">
        <v>24.811237800000001</v>
      </c>
      <c r="B210" s="18">
        <v>34.865004200000001</v>
      </c>
      <c r="C210" s="18">
        <v>688505.26</v>
      </c>
      <c r="D210" s="18">
        <v>2745334.36</v>
      </c>
      <c r="E210" s="18">
        <v>188.61</v>
      </c>
      <c r="F210" s="18">
        <v>42117.68</v>
      </c>
      <c r="G210" s="18">
        <v>125552</v>
      </c>
      <c r="H210" s="18">
        <f>SUM(F210-4)</f>
        <v>42113.68</v>
      </c>
    </row>
    <row r="211" spans="1:8" ht="21" customHeight="1" x14ac:dyDescent="0.55000000000000004">
      <c r="A211" s="18">
        <v>24.811240000000002</v>
      </c>
      <c r="B211" s="18">
        <v>34.865004599999999</v>
      </c>
      <c r="C211" s="18">
        <v>688505.3</v>
      </c>
      <c r="D211" s="18">
        <v>2745334.6</v>
      </c>
      <c r="E211" s="18">
        <v>188.56</v>
      </c>
      <c r="F211" s="18">
        <v>42117.68</v>
      </c>
      <c r="G211" s="18">
        <v>125604</v>
      </c>
      <c r="H211" s="18">
        <f t="shared" ref="H211:H214" si="23">SUM(F211-4)</f>
        <v>42113.68</v>
      </c>
    </row>
    <row r="212" spans="1:8" ht="21" customHeight="1" x14ac:dyDescent="0.55000000000000004">
      <c r="A212" s="18">
        <v>24.811254099999999</v>
      </c>
      <c r="B212" s="18">
        <v>34.863015099999998</v>
      </c>
      <c r="C212" s="18">
        <v>688304.13</v>
      </c>
      <c r="D212" s="18">
        <v>2745333.42</v>
      </c>
      <c r="E212" s="18">
        <v>191.64</v>
      </c>
      <c r="F212" s="18">
        <v>42122.6</v>
      </c>
      <c r="G212" s="18">
        <v>125752</v>
      </c>
      <c r="H212" s="18">
        <f t="shared" si="23"/>
        <v>42118.6</v>
      </c>
    </row>
    <row r="213" spans="1:8" ht="21" customHeight="1" x14ac:dyDescent="0.55000000000000004">
      <c r="A213" s="18">
        <v>24.811250900000001</v>
      </c>
      <c r="B213" s="18">
        <v>34.863013600000002</v>
      </c>
      <c r="C213" s="18">
        <v>688303.99</v>
      </c>
      <c r="D213" s="18">
        <v>2745333.06</v>
      </c>
      <c r="E213" s="18">
        <v>192.11</v>
      </c>
      <c r="F213" s="18">
        <v>42122.52</v>
      </c>
      <c r="G213" s="18">
        <v>125804</v>
      </c>
      <c r="H213" s="18">
        <f t="shared" si="23"/>
        <v>42118.52</v>
      </c>
    </row>
    <row r="214" spans="1:8" ht="21" customHeight="1" x14ac:dyDescent="0.55000000000000004">
      <c r="A214" s="18">
        <v>24.810786199999999</v>
      </c>
      <c r="B214" s="18">
        <v>34.861113400000001</v>
      </c>
      <c r="C214" s="18">
        <v>688112.59</v>
      </c>
      <c r="D214" s="18">
        <v>2745278.97</v>
      </c>
      <c r="E214" s="18">
        <v>194.04</v>
      </c>
      <c r="F214" s="18">
        <v>42084.23</v>
      </c>
      <c r="G214" s="18">
        <v>130043</v>
      </c>
      <c r="H214" s="18">
        <f t="shared" si="23"/>
        <v>42080.23</v>
      </c>
    </row>
    <row r="215" spans="1:8" ht="21" customHeight="1" x14ac:dyDescent="0.55000000000000004">
      <c r="A215" s="18">
        <v>24.810785899999999</v>
      </c>
      <c r="B215" s="18">
        <v>34.861114299999997</v>
      </c>
      <c r="C215" s="18">
        <v>688112.68</v>
      </c>
      <c r="D215" s="18">
        <v>2745278.94</v>
      </c>
      <c r="E215" s="18">
        <v>194.07</v>
      </c>
      <c r="F215" s="18">
        <v>42084.09</v>
      </c>
      <c r="G215" s="18">
        <v>130055</v>
      </c>
      <c r="H215" s="18">
        <f t="shared" ref="H215:H225" si="24">SUM(F215-2)</f>
        <v>42082.09</v>
      </c>
    </row>
    <row r="216" spans="1:8" ht="21" customHeight="1" x14ac:dyDescent="0.55000000000000004">
      <c r="A216" s="18">
        <v>24.8108459</v>
      </c>
      <c r="B216" s="18">
        <v>34.859328699999999</v>
      </c>
      <c r="C216" s="18">
        <v>687932.06</v>
      </c>
      <c r="D216" s="18">
        <v>2745283.12</v>
      </c>
      <c r="E216" s="18">
        <v>194.64</v>
      </c>
      <c r="F216" s="18">
        <v>42224.02</v>
      </c>
      <c r="G216" s="18">
        <v>130240</v>
      </c>
      <c r="H216" s="18">
        <f t="shared" si="24"/>
        <v>42222.02</v>
      </c>
    </row>
    <row r="217" spans="1:8" ht="21" customHeight="1" x14ac:dyDescent="0.55000000000000004">
      <c r="A217" s="18">
        <v>24.810845799999999</v>
      </c>
      <c r="B217" s="18">
        <v>34.859328499999997</v>
      </c>
      <c r="C217" s="18">
        <v>687932.05</v>
      </c>
      <c r="D217" s="18">
        <v>2745283.11</v>
      </c>
      <c r="E217" s="18">
        <v>194.61</v>
      </c>
      <c r="F217" s="18">
        <v>42224.27</v>
      </c>
      <c r="G217" s="18">
        <v>130249</v>
      </c>
      <c r="H217" s="18">
        <f t="shared" si="24"/>
        <v>42222.27</v>
      </c>
    </row>
    <row r="218" spans="1:8" ht="21" customHeight="1" x14ac:dyDescent="0.55000000000000004">
      <c r="A218" s="18">
        <v>24.810701099999999</v>
      </c>
      <c r="B218" s="18">
        <v>34.857412199999999</v>
      </c>
      <c r="C218" s="18">
        <v>687738.53</v>
      </c>
      <c r="D218" s="18">
        <v>2745264.44</v>
      </c>
      <c r="E218" s="18">
        <v>197.36</v>
      </c>
      <c r="F218" s="18">
        <v>42447.91</v>
      </c>
      <c r="G218" s="18">
        <v>130452</v>
      </c>
      <c r="H218" s="18">
        <f t="shared" si="24"/>
        <v>42445.91</v>
      </c>
    </row>
    <row r="219" spans="1:8" ht="21" customHeight="1" x14ac:dyDescent="0.55000000000000004">
      <c r="A219" s="18">
        <v>24.8106993</v>
      </c>
      <c r="B219" s="18">
        <v>34.857408599999999</v>
      </c>
      <c r="C219" s="18">
        <v>687738.17</v>
      </c>
      <c r="D219" s="18">
        <v>2745264.24</v>
      </c>
      <c r="E219" s="18">
        <v>197.37</v>
      </c>
      <c r="F219" s="18">
        <v>42451.02</v>
      </c>
      <c r="G219" s="18">
        <v>130504</v>
      </c>
      <c r="H219" s="18">
        <f t="shared" si="24"/>
        <v>42449.02</v>
      </c>
    </row>
    <row r="220" spans="1:8" ht="21" customHeight="1" x14ac:dyDescent="0.55000000000000004">
      <c r="A220" s="18">
        <v>24.8111231</v>
      </c>
      <c r="B220" s="18">
        <v>34.855336200000004</v>
      </c>
      <c r="C220" s="18">
        <v>687528.01</v>
      </c>
      <c r="D220" s="18">
        <v>2745308.34</v>
      </c>
      <c r="E220" s="18">
        <v>200.02</v>
      </c>
      <c r="F220" s="18">
        <v>42313.41</v>
      </c>
      <c r="G220" s="18">
        <v>130655</v>
      </c>
      <c r="H220" s="18">
        <f t="shared" si="24"/>
        <v>42311.41</v>
      </c>
    </row>
    <row r="221" spans="1:8" ht="21" customHeight="1" x14ac:dyDescent="0.55000000000000004">
      <c r="A221" s="18">
        <v>24.811123299999998</v>
      </c>
      <c r="B221" s="18">
        <v>34.855336000000001</v>
      </c>
      <c r="C221" s="18">
        <v>687527.99</v>
      </c>
      <c r="D221" s="18">
        <v>2745308.35</v>
      </c>
      <c r="E221" s="18">
        <v>200.05</v>
      </c>
      <c r="F221" s="18">
        <v>42314.37</v>
      </c>
      <c r="G221" s="18">
        <v>130704</v>
      </c>
      <c r="H221" s="18">
        <f t="shared" si="24"/>
        <v>42312.37</v>
      </c>
    </row>
    <row r="222" spans="1:8" ht="21" customHeight="1" x14ac:dyDescent="0.55000000000000004">
      <c r="A222" s="18">
        <v>24.812046299999999</v>
      </c>
      <c r="B222" s="18">
        <v>34.8530041</v>
      </c>
      <c r="C222" s="18">
        <v>687290.85</v>
      </c>
      <c r="D222" s="18">
        <v>2745407.38</v>
      </c>
      <c r="E222" s="18">
        <v>204.6</v>
      </c>
      <c r="F222" s="18">
        <v>42434.16</v>
      </c>
      <c r="G222" s="18">
        <v>130928</v>
      </c>
      <c r="H222" s="18">
        <f t="shared" si="24"/>
        <v>42432.160000000003</v>
      </c>
    </row>
    <row r="223" spans="1:8" ht="21" customHeight="1" x14ac:dyDescent="0.55000000000000004">
      <c r="A223" s="18">
        <v>24.812046599999999</v>
      </c>
      <c r="B223" s="18">
        <v>34.853004200000001</v>
      </c>
      <c r="C223" s="18">
        <v>687290.87</v>
      </c>
      <c r="D223" s="18">
        <v>2745407.42</v>
      </c>
      <c r="E223" s="18">
        <v>204.61</v>
      </c>
      <c r="F223" s="18">
        <v>42434.05</v>
      </c>
      <c r="G223" s="18">
        <v>130937</v>
      </c>
      <c r="H223" s="18">
        <f t="shared" si="24"/>
        <v>42432.05</v>
      </c>
    </row>
    <row r="224" spans="1:8" ht="21" customHeight="1" x14ac:dyDescent="0.55000000000000004">
      <c r="A224" s="18">
        <v>24.813336100000001</v>
      </c>
      <c r="B224" s="18">
        <v>34.851621299999998</v>
      </c>
      <c r="C224" s="18">
        <v>687149.12</v>
      </c>
      <c r="D224" s="18">
        <v>2745548.36</v>
      </c>
      <c r="E224" s="18">
        <v>206.53</v>
      </c>
      <c r="F224" s="18">
        <v>42401.01</v>
      </c>
      <c r="G224" s="18">
        <v>131240</v>
      </c>
      <c r="H224" s="18">
        <f t="shared" si="24"/>
        <v>42399.01</v>
      </c>
    </row>
    <row r="225" spans="1:9" ht="21" customHeight="1" x14ac:dyDescent="0.55000000000000004">
      <c r="A225" s="18">
        <v>24.8133348</v>
      </c>
      <c r="B225" s="18">
        <v>34.851619700000001</v>
      </c>
      <c r="C225" s="18">
        <v>687148.96</v>
      </c>
      <c r="D225" s="18">
        <v>2745548.2</v>
      </c>
      <c r="E225" s="18">
        <v>206.62</v>
      </c>
      <c r="F225" s="18">
        <v>42404.31</v>
      </c>
      <c r="G225" s="18">
        <v>131255</v>
      </c>
      <c r="H225" s="18">
        <f t="shared" si="24"/>
        <v>42402.31</v>
      </c>
    </row>
    <row r="226" spans="1:9" s="4" customFormat="1" ht="18" customHeight="1" x14ac:dyDescent="0.55000000000000004">
      <c r="A226" s="18">
        <v>24.813338399999999</v>
      </c>
      <c r="B226" s="18">
        <v>34.851619700000001</v>
      </c>
      <c r="C226" s="18">
        <v>687148.96</v>
      </c>
      <c r="D226" s="18">
        <v>2745548.61</v>
      </c>
      <c r="E226" s="18">
        <v>208.15</v>
      </c>
      <c r="F226" s="18">
        <v>42401.81</v>
      </c>
      <c r="G226" s="18">
        <v>131438</v>
      </c>
      <c r="H226" s="18">
        <f>SUM(F226-3.5)</f>
        <v>42398.31</v>
      </c>
      <c r="I226" s="3"/>
    </row>
    <row r="227" spans="1:9" s="4" customFormat="1" ht="18" customHeight="1" x14ac:dyDescent="0.55000000000000004">
      <c r="A227" s="18">
        <v>24.813338699999999</v>
      </c>
      <c r="B227" s="18">
        <v>34.851620699999998</v>
      </c>
      <c r="C227" s="18">
        <v>687149.05</v>
      </c>
      <c r="D227" s="18">
        <v>2745548.64</v>
      </c>
      <c r="E227" s="18">
        <v>207.59</v>
      </c>
      <c r="F227" s="18">
        <v>42401.64</v>
      </c>
      <c r="G227" s="18">
        <v>131440</v>
      </c>
      <c r="H227" s="18">
        <f t="shared" ref="H227:H290" si="25">SUM(F227-3.5)</f>
        <v>42398.14</v>
      </c>
      <c r="I227" s="3"/>
    </row>
    <row r="228" spans="1:9" s="4" customFormat="1" ht="18" customHeight="1" x14ac:dyDescent="0.55000000000000004">
      <c r="A228" s="18">
        <v>24.813344799999999</v>
      </c>
      <c r="B228" s="18">
        <v>34.851600300000001</v>
      </c>
      <c r="C228" s="18">
        <v>687146.99</v>
      </c>
      <c r="D228" s="18">
        <v>2745549.29</v>
      </c>
      <c r="E228" s="18">
        <v>207.76</v>
      </c>
      <c r="F228" s="18">
        <v>42406.34</v>
      </c>
      <c r="G228" s="18">
        <v>131442</v>
      </c>
      <c r="H228" s="18">
        <f t="shared" si="25"/>
        <v>42402.84</v>
      </c>
      <c r="I228" s="3"/>
    </row>
    <row r="229" spans="1:9" s="4" customFormat="1" ht="18" customHeight="1" x14ac:dyDescent="0.55000000000000004">
      <c r="A229" s="18">
        <v>24.8133549</v>
      </c>
      <c r="B229" s="18">
        <v>34.8515692</v>
      </c>
      <c r="C229" s="18">
        <v>687143.82</v>
      </c>
      <c r="D229" s="18">
        <v>2745550.36</v>
      </c>
      <c r="E229" s="18">
        <v>207.89</v>
      </c>
      <c r="F229" s="18">
        <v>42412.23</v>
      </c>
      <c r="G229" s="18">
        <v>131444</v>
      </c>
      <c r="H229" s="18">
        <f t="shared" si="25"/>
        <v>42408.73</v>
      </c>
      <c r="I229" s="3"/>
    </row>
    <row r="230" spans="1:9" s="4" customFormat="1" ht="18" customHeight="1" x14ac:dyDescent="0.55000000000000004">
      <c r="A230" s="18">
        <v>24.8133664</v>
      </c>
      <c r="B230" s="18">
        <v>34.851539000000002</v>
      </c>
      <c r="C230" s="18">
        <v>687140.75</v>
      </c>
      <c r="D230" s="18">
        <v>2745551.6</v>
      </c>
      <c r="E230" s="18">
        <v>207.86</v>
      </c>
      <c r="F230" s="18">
        <v>42415.86</v>
      </c>
      <c r="G230" s="18">
        <v>131446</v>
      </c>
      <c r="H230" s="18">
        <f t="shared" si="25"/>
        <v>42412.36</v>
      </c>
      <c r="I230" s="3"/>
    </row>
    <row r="231" spans="1:9" s="4" customFormat="1" ht="18" customHeight="1" x14ac:dyDescent="0.55000000000000004">
      <c r="A231" s="18">
        <v>24.813378499999999</v>
      </c>
      <c r="B231" s="18">
        <v>34.851507499999997</v>
      </c>
      <c r="C231" s="18">
        <v>687137.55</v>
      </c>
      <c r="D231" s="18">
        <v>2745552.89</v>
      </c>
      <c r="E231" s="18">
        <v>207.89</v>
      </c>
      <c r="F231" s="18">
        <v>42416.84</v>
      </c>
      <c r="G231" s="18">
        <v>131448</v>
      </c>
      <c r="H231" s="18">
        <f t="shared" si="25"/>
        <v>42413.34</v>
      </c>
      <c r="I231" s="3"/>
    </row>
    <row r="232" spans="1:9" s="4" customFormat="1" ht="18" customHeight="1" x14ac:dyDescent="0.55000000000000004">
      <c r="A232" s="18">
        <v>24.813389699999998</v>
      </c>
      <c r="B232" s="18">
        <v>34.851474000000003</v>
      </c>
      <c r="C232" s="18">
        <v>687134.15</v>
      </c>
      <c r="D232" s="18">
        <v>2745554.08</v>
      </c>
      <c r="E232" s="18">
        <v>207.9</v>
      </c>
      <c r="F232" s="18">
        <v>42419</v>
      </c>
      <c r="G232" s="18">
        <v>131450</v>
      </c>
      <c r="H232" s="18">
        <f t="shared" si="25"/>
        <v>42415.5</v>
      </c>
      <c r="I232" s="3"/>
    </row>
    <row r="233" spans="1:9" s="4" customFormat="1" ht="18" customHeight="1" x14ac:dyDescent="0.55000000000000004">
      <c r="A233" s="18">
        <v>24.8134011</v>
      </c>
      <c r="B233" s="18">
        <v>34.8514403</v>
      </c>
      <c r="C233" s="18">
        <v>687130.72</v>
      </c>
      <c r="D233" s="18">
        <v>2745555.31</v>
      </c>
      <c r="E233" s="18">
        <v>207.87</v>
      </c>
      <c r="F233" s="18">
        <v>42412.67</v>
      </c>
      <c r="G233" s="18">
        <v>131452</v>
      </c>
      <c r="H233" s="18">
        <f t="shared" si="25"/>
        <v>42409.17</v>
      </c>
      <c r="I233" s="3"/>
    </row>
    <row r="234" spans="1:9" s="4" customFormat="1" ht="18" customHeight="1" x14ac:dyDescent="0.55000000000000004">
      <c r="A234" s="18">
        <v>24.813412</v>
      </c>
      <c r="B234" s="18">
        <v>34.851407500000001</v>
      </c>
      <c r="C234" s="18">
        <v>687127.39</v>
      </c>
      <c r="D234" s="18">
        <v>2745556.47</v>
      </c>
      <c r="E234" s="18">
        <v>207.94</v>
      </c>
      <c r="F234" s="18">
        <v>42410.559999999998</v>
      </c>
      <c r="G234" s="18">
        <v>131454</v>
      </c>
      <c r="H234" s="18">
        <f t="shared" si="25"/>
        <v>42407.06</v>
      </c>
      <c r="I234" s="3"/>
    </row>
    <row r="235" spans="1:9" s="4" customFormat="1" ht="18" customHeight="1" x14ac:dyDescent="0.55000000000000004">
      <c r="A235" s="18">
        <v>24.8134224</v>
      </c>
      <c r="B235" s="18">
        <v>34.851374499999999</v>
      </c>
      <c r="C235" s="18">
        <v>687124.04</v>
      </c>
      <c r="D235" s="18">
        <v>2745557.58</v>
      </c>
      <c r="E235" s="18">
        <v>208.05</v>
      </c>
      <c r="F235" s="18">
        <v>42404.06</v>
      </c>
      <c r="G235" s="18">
        <v>131456</v>
      </c>
      <c r="H235" s="18">
        <f t="shared" si="25"/>
        <v>42400.56</v>
      </c>
      <c r="I235" s="3"/>
    </row>
    <row r="236" spans="1:9" s="4" customFormat="1" ht="18" customHeight="1" x14ac:dyDescent="0.55000000000000004">
      <c r="A236" s="18">
        <v>24.8134324</v>
      </c>
      <c r="B236" s="18">
        <v>34.851343700000001</v>
      </c>
      <c r="C236" s="18">
        <v>687120.91</v>
      </c>
      <c r="D236" s="18">
        <v>2745558.63</v>
      </c>
      <c r="E236" s="18">
        <v>208.2</v>
      </c>
      <c r="F236" s="18">
        <v>42396.18</v>
      </c>
      <c r="G236" s="18">
        <v>131458</v>
      </c>
      <c r="H236" s="18">
        <f t="shared" si="25"/>
        <v>42392.68</v>
      </c>
      <c r="I236" s="3"/>
    </row>
    <row r="237" spans="1:9" s="4" customFormat="1" ht="18" customHeight="1" x14ac:dyDescent="0.55000000000000004">
      <c r="A237" s="18">
        <v>24.813443599999999</v>
      </c>
      <c r="B237" s="18">
        <v>34.851312</v>
      </c>
      <c r="C237" s="18">
        <v>687117.69</v>
      </c>
      <c r="D237" s="18">
        <v>2745559.84</v>
      </c>
      <c r="E237" s="18">
        <v>208.28</v>
      </c>
      <c r="F237" s="18">
        <v>42401.09</v>
      </c>
      <c r="G237" s="18">
        <v>131500</v>
      </c>
      <c r="H237" s="18">
        <f t="shared" si="25"/>
        <v>42397.59</v>
      </c>
      <c r="I237" s="3"/>
    </row>
    <row r="238" spans="1:9" s="4" customFormat="1" ht="18" customHeight="1" x14ac:dyDescent="0.55000000000000004">
      <c r="A238" s="18">
        <v>24.813456299999999</v>
      </c>
      <c r="B238" s="18">
        <v>34.851280799999998</v>
      </c>
      <c r="C238" s="18">
        <v>687114.51</v>
      </c>
      <c r="D238" s="18">
        <v>2745561.2</v>
      </c>
      <c r="E238" s="18">
        <v>208.34</v>
      </c>
      <c r="F238" s="18">
        <v>42395.17</v>
      </c>
      <c r="G238" s="18">
        <v>131502</v>
      </c>
      <c r="H238" s="18">
        <f t="shared" si="25"/>
        <v>42391.67</v>
      </c>
      <c r="I238" s="3"/>
    </row>
    <row r="239" spans="1:9" s="4" customFormat="1" ht="18" customHeight="1" x14ac:dyDescent="0.55000000000000004">
      <c r="A239" s="18">
        <v>24.813468799999999</v>
      </c>
      <c r="B239" s="18">
        <v>34.851250299999997</v>
      </c>
      <c r="C239" s="18">
        <v>687111.41</v>
      </c>
      <c r="D239" s="18">
        <v>2745562.54</v>
      </c>
      <c r="E239" s="18">
        <v>208.39</v>
      </c>
      <c r="F239" s="18">
        <v>42384.04</v>
      </c>
      <c r="G239" s="18">
        <v>131504</v>
      </c>
      <c r="H239" s="18">
        <f t="shared" si="25"/>
        <v>42380.54</v>
      </c>
      <c r="I239" s="3"/>
    </row>
    <row r="240" spans="1:9" s="4" customFormat="1" ht="18" customHeight="1" x14ac:dyDescent="0.55000000000000004">
      <c r="A240" s="18">
        <v>24.8134756</v>
      </c>
      <c r="B240" s="18">
        <v>34.851217400000003</v>
      </c>
      <c r="C240" s="18">
        <v>687108.08</v>
      </c>
      <c r="D240" s="18">
        <v>2745563.25</v>
      </c>
      <c r="E240" s="18">
        <v>208.4</v>
      </c>
      <c r="F240" s="18">
        <v>42386.38</v>
      </c>
      <c r="G240" s="18">
        <v>131506</v>
      </c>
      <c r="H240" s="18">
        <f t="shared" si="25"/>
        <v>42382.879999999997</v>
      </c>
      <c r="I240" s="3"/>
    </row>
    <row r="241" spans="1:9" s="4" customFormat="1" ht="18" customHeight="1" x14ac:dyDescent="0.55000000000000004">
      <c r="A241" s="18">
        <v>24.813483000000002</v>
      </c>
      <c r="B241" s="18">
        <v>34.851184500000002</v>
      </c>
      <c r="C241" s="18">
        <v>687104.74</v>
      </c>
      <c r="D241" s="18">
        <v>2745564.02</v>
      </c>
      <c r="E241" s="18">
        <v>208.48</v>
      </c>
      <c r="F241" s="18">
        <v>42395.88</v>
      </c>
      <c r="G241" s="18">
        <v>131508</v>
      </c>
      <c r="H241" s="18">
        <f t="shared" si="25"/>
        <v>42392.38</v>
      </c>
      <c r="I241" s="3"/>
    </row>
    <row r="242" spans="1:9" s="4" customFormat="1" ht="18" customHeight="1" x14ac:dyDescent="0.55000000000000004">
      <c r="A242" s="18">
        <v>24.813488799999998</v>
      </c>
      <c r="B242" s="18">
        <v>34.851151700000003</v>
      </c>
      <c r="C242" s="18">
        <v>687101.42</v>
      </c>
      <c r="D242" s="18">
        <v>2745564.63</v>
      </c>
      <c r="E242" s="18">
        <v>208.6</v>
      </c>
      <c r="F242" s="18">
        <v>42411.19</v>
      </c>
      <c r="G242" s="18">
        <v>131510</v>
      </c>
      <c r="H242" s="18">
        <f t="shared" si="25"/>
        <v>42407.69</v>
      </c>
      <c r="I242" s="3"/>
    </row>
    <row r="243" spans="1:9" s="4" customFormat="1" ht="18" customHeight="1" x14ac:dyDescent="0.55000000000000004">
      <c r="A243" s="18">
        <v>24.813497699999999</v>
      </c>
      <c r="B243" s="18">
        <v>34.851120299999998</v>
      </c>
      <c r="C243" s="18">
        <v>687098.22</v>
      </c>
      <c r="D243" s="18">
        <v>2745565.57</v>
      </c>
      <c r="E243" s="18">
        <v>208.67</v>
      </c>
      <c r="F243" s="18">
        <v>42424.5</v>
      </c>
      <c r="G243" s="18">
        <v>131512</v>
      </c>
      <c r="H243" s="18">
        <f t="shared" si="25"/>
        <v>42421</v>
      </c>
      <c r="I243" s="3"/>
    </row>
    <row r="244" spans="1:9" s="4" customFormat="1" ht="18" customHeight="1" x14ac:dyDescent="0.55000000000000004">
      <c r="A244" s="18">
        <v>24.813516700000001</v>
      </c>
      <c r="B244" s="18">
        <v>34.8510949</v>
      </c>
      <c r="C244" s="18">
        <v>687095.63</v>
      </c>
      <c r="D244" s="18">
        <v>2745567.63</v>
      </c>
      <c r="E244" s="18">
        <v>208.7</v>
      </c>
      <c r="F244" s="18">
        <v>42429.7</v>
      </c>
      <c r="G244" s="18">
        <v>131514</v>
      </c>
      <c r="H244" s="18">
        <f t="shared" si="25"/>
        <v>42426.2</v>
      </c>
      <c r="I244" s="3"/>
    </row>
    <row r="245" spans="1:9" s="4" customFormat="1" ht="18" customHeight="1" x14ac:dyDescent="0.55000000000000004">
      <c r="A245" s="18">
        <v>24.813535600000002</v>
      </c>
      <c r="B245" s="18">
        <v>34.851068699999999</v>
      </c>
      <c r="C245" s="18">
        <v>687092.95</v>
      </c>
      <c r="D245" s="18">
        <v>2745569.69</v>
      </c>
      <c r="E245" s="18">
        <v>208.74</v>
      </c>
      <c r="F245" s="18">
        <v>42439.88</v>
      </c>
      <c r="G245" s="18">
        <v>131516</v>
      </c>
      <c r="H245" s="18">
        <f t="shared" si="25"/>
        <v>42436.38</v>
      </c>
      <c r="I245" s="3"/>
    </row>
    <row r="246" spans="1:9" s="4" customFormat="1" ht="18" customHeight="1" x14ac:dyDescent="0.55000000000000004">
      <c r="A246" s="18">
        <v>24.813550899999999</v>
      </c>
      <c r="B246" s="18">
        <v>34.851040300000001</v>
      </c>
      <c r="C246" s="18">
        <v>687090.06</v>
      </c>
      <c r="D246" s="18">
        <v>2745571.35</v>
      </c>
      <c r="E246" s="18">
        <v>208.77</v>
      </c>
      <c r="F246" s="18">
        <v>42431.24</v>
      </c>
      <c r="G246" s="18">
        <v>131518</v>
      </c>
      <c r="H246" s="18">
        <f t="shared" si="25"/>
        <v>42427.74</v>
      </c>
      <c r="I246" s="3"/>
    </row>
    <row r="247" spans="1:9" s="4" customFormat="1" ht="18" customHeight="1" x14ac:dyDescent="0.55000000000000004">
      <c r="A247" s="18">
        <v>24.813557500000002</v>
      </c>
      <c r="B247" s="18">
        <v>34.8510086</v>
      </c>
      <c r="C247" s="18">
        <v>687086.85</v>
      </c>
      <c r="D247" s="18">
        <v>2745572.04</v>
      </c>
      <c r="E247" s="18">
        <v>208.83</v>
      </c>
      <c r="F247" s="18">
        <v>42432.87</v>
      </c>
      <c r="G247" s="18">
        <v>131520</v>
      </c>
      <c r="H247" s="18">
        <f t="shared" si="25"/>
        <v>42429.37</v>
      </c>
      <c r="I247" s="3"/>
    </row>
    <row r="248" spans="1:9" s="4" customFormat="1" ht="18" customHeight="1" x14ac:dyDescent="0.55000000000000004">
      <c r="A248" s="18">
        <v>24.813563200000001</v>
      </c>
      <c r="B248" s="18">
        <v>34.850976299999999</v>
      </c>
      <c r="C248" s="18">
        <v>687083.57</v>
      </c>
      <c r="D248" s="18">
        <v>2745572.62</v>
      </c>
      <c r="E248" s="18">
        <v>208.85</v>
      </c>
      <c r="F248" s="18">
        <v>42426.14</v>
      </c>
      <c r="G248" s="18">
        <v>131522</v>
      </c>
      <c r="H248" s="18">
        <f t="shared" si="25"/>
        <v>42422.64</v>
      </c>
      <c r="I248" s="3"/>
    </row>
    <row r="249" spans="1:9" s="4" customFormat="1" ht="18" customHeight="1" x14ac:dyDescent="0.55000000000000004">
      <c r="A249" s="18">
        <v>24.813570500000001</v>
      </c>
      <c r="B249" s="18">
        <v>34.850944900000002</v>
      </c>
      <c r="C249" s="18">
        <v>687080.38</v>
      </c>
      <c r="D249" s="18">
        <v>2745573.38</v>
      </c>
      <c r="E249" s="18">
        <v>208.86</v>
      </c>
      <c r="F249" s="18">
        <v>42408.86</v>
      </c>
      <c r="G249" s="18">
        <v>131524</v>
      </c>
      <c r="H249" s="18">
        <f t="shared" si="25"/>
        <v>42405.36</v>
      </c>
      <c r="I249" s="3"/>
    </row>
    <row r="250" spans="1:9" s="4" customFormat="1" ht="18" customHeight="1" x14ac:dyDescent="0.55000000000000004">
      <c r="A250" s="18">
        <v>24.8135759</v>
      </c>
      <c r="B250" s="18">
        <v>34.850915299999997</v>
      </c>
      <c r="C250" s="18">
        <v>687077.38</v>
      </c>
      <c r="D250" s="18">
        <v>2745573.94</v>
      </c>
      <c r="E250" s="18">
        <v>208.89</v>
      </c>
      <c r="F250" s="18">
        <v>42393.67</v>
      </c>
      <c r="G250" s="18">
        <v>131526</v>
      </c>
      <c r="H250" s="18">
        <f t="shared" si="25"/>
        <v>42390.17</v>
      </c>
      <c r="I250" s="3"/>
    </row>
    <row r="251" spans="1:9" s="4" customFormat="1" ht="18" customHeight="1" x14ac:dyDescent="0.55000000000000004">
      <c r="A251" s="18">
        <v>24.8135832</v>
      </c>
      <c r="B251" s="18">
        <v>34.850884899999997</v>
      </c>
      <c r="C251" s="18">
        <v>687074.3</v>
      </c>
      <c r="D251" s="18">
        <v>2745574.71</v>
      </c>
      <c r="E251" s="18">
        <v>208.96</v>
      </c>
      <c r="F251" s="18">
        <v>42375.17</v>
      </c>
      <c r="G251" s="18">
        <v>131528</v>
      </c>
      <c r="H251" s="18">
        <f t="shared" si="25"/>
        <v>42371.67</v>
      </c>
      <c r="I251" s="3"/>
    </row>
    <row r="252" spans="1:9" s="4" customFormat="1" ht="18" customHeight="1" x14ac:dyDescent="0.55000000000000004">
      <c r="A252" s="18">
        <v>24.813590399999999</v>
      </c>
      <c r="B252" s="18">
        <v>34.850853100000002</v>
      </c>
      <c r="C252" s="18">
        <v>687071.07</v>
      </c>
      <c r="D252" s="18">
        <v>2745575.47</v>
      </c>
      <c r="E252" s="18">
        <v>208.96</v>
      </c>
      <c r="F252" s="18">
        <v>42353.46</v>
      </c>
      <c r="G252" s="18">
        <v>131530</v>
      </c>
      <c r="H252" s="18">
        <f t="shared" si="25"/>
        <v>42349.96</v>
      </c>
      <c r="I252" s="3"/>
    </row>
    <row r="253" spans="1:9" s="4" customFormat="1" ht="18" customHeight="1" x14ac:dyDescent="0.55000000000000004">
      <c r="A253" s="18">
        <v>24.813599499999999</v>
      </c>
      <c r="B253" s="18">
        <v>34.850821799999999</v>
      </c>
      <c r="C253" s="18">
        <v>687067.9</v>
      </c>
      <c r="D253" s="18">
        <v>2745576.43</v>
      </c>
      <c r="E253" s="18">
        <v>208.93</v>
      </c>
      <c r="F253" s="18">
        <v>42332.03</v>
      </c>
      <c r="G253" s="18">
        <v>131532</v>
      </c>
      <c r="H253" s="18">
        <f t="shared" si="25"/>
        <v>42328.53</v>
      </c>
      <c r="I253" s="3"/>
    </row>
    <row r="254" spans="1:9" s="4" customFormat="1" ht="18" customHeight="1" x14ac:dyDescent="0.55000000000000004">
      <c r="A254" s="18">
        <v>24.8136118</v>
      </c>
      <c r="B254" s="18">
        <v>34.850792900000002</v>
      </c>
      <c r="C254" s="18">
        <v>687064.96</v>
      </c>
      <c r="D254" s="18">
        <v>2745577.75</v>
      </c>
      <c r="E254" s="18">
        <v>208.89</v>
      </c>
      <c r="F254" s="18">
        <v>42315.57</v>
      </c>
      <c r="G254" s="18">
        <v>131534</v>
      </c>
      <c r="H254" s="18">
        <f t="shared" si="25"/>
        <v>42312.07</v>
      </c>
      <c r="I254" s="3"/>
    </row>
    <row r="255" spans="1:9" s="4" customFormat="1" ht="18" customHeight="1" x14ac:dyDescent="0.55000000000000004">
      <c r="A255" s="18">
        <v>24.813624399999998</v>
      </c>
      <c r="B255" s="18">
        <v>34.850765600000003</v>
      </c>
      <c r="C255" s="18">
        <v>687062.18</v>
      </c>
      <c r="D255" s="18">
        <v>2745579.12</v>
      </c>
      <c r="E255" s="18">
        <v>208.81</v>
      </c>
      <c r="F255" s="18">
        <v>42298.09</v>
      </c>
      <c r="G255" s="18">
        <v>131536</v>
      </c>
      <c r="H255" s="18">
        <f t="shared" si="25"/>
        <v>42294.59</v>
      </c>
      <c r="I255" s="3"/>
    </row>
    <row r="256" spans="1:9" s="4" customFormat="1" ht="18" customHeight="1" x14ac:dyDescent="0.55000000000000004">
      <c r="A256" s="18">
        <v>24.813636200000001</v>
      </c>
      <c r="B256" s="18">
        <v>34.850736099999999</v>
      </c>
      <c r="C256" s="18">
        <v>687059.18</v>
      </c>
      <c r="D256" s="18">
        <v>2745580.38</v>
      </c>
      <c r="E256" s="18">
        <v>208.62</v>
      </c>
      <c r="F256" s="18">
        <v>42286.84</v>
      </c>
      <c r="G256" s="18">
        <v>131538</v>
      </c>
      <c r="H256" s="18">
        <f t="shared" si="25"/>
        <v>42283.34</v>
      </c>
      <c r="I256" s="3"/>
    </row>
    <row r="257" spans="1:9" s="4" customFormat="1" ht="18" customHeight="1" x14ac:dyDescent="0.55000000000000004">
      <c r="A257" s="18">
        <v>24.813647400000001</v>
      </c>
      <c r="B257" s="18">
        <v>34.850708500000003</v>
      </c>
      <c r="C257" s="18">
        <v>687056.37</v>
      </c>
      <c r="D257" s="18">
        <v>2745581.59</v>
      </c>
      <c r="E257" s="18">
        <v>208.58</v>
      </c>
      <c r="F257" s="18">
        <v>42271.28</v>
      </c>
      <c r="G257" s="18">
        <v>131540</v>
      </c>
      <c r="H257" s="18">
        <f t="shared" si="25"/>
        <v>42267.78</v>
      </c>
      <c r="I257" s="3"/>
    </row>
    <row r="258" spans="1:9" s="4" customFormat="1" ht="18" customHeight="1" x14ac:dyDescent="0.55000000000000004">
      <c r="A258" s="18">
        <v>24.813656000000002</v>
      </c>
      <c r="B258" s="18">
        <v>34.8506784</v>
      </c>
      <c r="C258" s="18">
        <v>687053.31</v>
      </c>
      <c r="D258" s="18">
        <v>2745582.49</v>
      </c>
      <c r="E258" s="18">
        <v>208.44</v>
      </c>
      <c r="F258" s="18">
        <v>42257.23</v>
      </c>
      <c r="G258" s="18">
        <v>131542</v>
      </c>
      <c r="H258" s="18">
        <f t="shared" si="25"/>
        <v>42253.73</v>
      </c>
      <c r="I258" s="3"/>
    </row>
    <row r="259" spans="1:9" s="4" customFormat="1" ht="18" customHeight="1" x14ac:dyDescent="0.55000000000000004">
      <c r="A259" s="18">
        <v>24.813658799999999</v>
      </c>
      <c r="B259" s="18">
        <v>34.850649199999999</v>
      </c>
      <c r="C259" s="18">
        <v>687050.36</v>
      </c>
      <c r="D259" s="18">
        <v>2745582.77</v>
      </c>
      <c r="E259" s="18">
        <v>208.44</v>
      </c>
      <c r="F259" s="18">
        <v>42247.72</v>
      </c>
      <c r="G259" s="18">
        <v>131544</v>
      </c>
      <c r="H259" s="18">
        <f t="shared" si="25"/>
        <v>42244.22</v>
      </c>
      <c r="I259" s="3"/>
    </row>
    <row r="260" spans="1:9" s="4" customFormat="1" ht="18" customHeight="1" x14ac:dyDescent="0.55000000000000004">
      <c r="A260" s="18">
        <v>24.813659699999999</v>
      </c>
      <c r="B260" s="18">
        <v>34.850617399999997</v>
      </c>
      <c r="C260" s="18">
        <v>687047.14</v>
      </c>
      <c r="D260" s="18">
        <v>2745582.82</v>
      </c>
      <c r="E260" s="18">
        <v>208.45</v>
      </c>
      <c r="F260" s="18">
        <v>42239.79</v>
      </c>
      <c r="G260" s="18">
        <v>131546</v>
      </c>
      <c r="H260" s="18">
        <f t="shared" si="25"/>
        <v>42236.29</v>
      </c>
      <c r="I260" s="3"/>
    </row>
    <row r="261" spans="1:9" s="4" customFormat="1" ht="18" customHeight="1" x14ac:dyDescent="0.55000000000000004">
      <c r="A261" s="18">
        <v>24.8136607</v>
      </c>
      <c r="B261" s="18">
        <v>34.850588000000002</v>
      </c>
      <c r="C261" s="18">
        <v>687044.16</v>
      </c>
      <c r="D261" s="18">
        <v>2745582.9</v>
      </c>
      <c r="E261" s="18">
        <v>208.53</v>
      </c>
      <c r="F261" s="18">
        <v>42231.86</v>
      </c>
      <c r="G261" s="18">
        <v>131548</v>
      </c>
      <c r="H261" s="18">
        <f t="shared" si="25"/>
        <v>42228.36</v>
      </c>
      <c r="I261" s="3"/>
    </row>
    <row r="262" spans="1:9" s="4" customFormat="1" ht="18" customHeight="1" x14ac:dyDescent="0.55000000000000004">
      <c r="A262" s="18">
        <v>24.813661700000001</v>
      </c>
      <c r="B262" s="18">
        <v>34.850557299999998</v>
      </c>
      <c r="C262" s="18">
        <v>687041.07</v>
      </c>
      <c r="D262" s="18">
        <v>2745582.96</v>
      </c>
      <c r="E262" s="18">
        <v>208.51</v>
      </c>
      <c r="F262" s="18">
        <v>42222.71</v>
      </c>
      <c r="G262" s="18">
        <v>131550</v>
      </c>
      <c r="H262" s="18">
        <f t="shared" si="25"/>
        <v>42219.21</v>
      </c>
      <c r="I262" s="3"/>
    </row>
    <row r="263" spans="1:9" s="4" customFormat="1" ht="18" customHeight="1" x14ac:dyDescent="0.55000000000000004">
      <c r="A263" s="18">
        <v>24.813661499999998</v>
      </c>
      <c r="B263" s="18">
        <v>34.850527100000001</v>
      </c>
      <c r="C263" s="18">
        <v>687038.02</v>
      </c>
      <c r="D263" s="18">
        <v>2745582.9</v>
      </c>
      <c r="E263" s="18">
        <v>208.5</v>
      </c>
      <c r="F263" s="18">
        <v>42214.59</v>
      </c>
      <c r="G263" s="18">
        <v>131552</v>
      </c>
      <c r="H263" s="18">
        <f t="shared" si="25"/>
        <v>42211.09</v>
      </c>
      <c r="I263" s="3"/>
    </row>
    <row r="264" spans="1:9" s="4" customFormat="1" ht="18" customHeight="1" x14ac:dyDescent="0.55000000000000004">
      <c r="A264" s="18">
        <v>24.8136622</v>
      </c>
      <c r="B264" s="18">
        <v>34.850498399999999</v>
      </c>
      <c r="C264" s="18">
        <v>687035.11</v>
      </c>
      <c r="D264" s="18">
        <v>2745582.93</v>
      </c>
      <c r="E264" s="18">
        <v>208.52</v>
      </c>
      <c r="F264" s="18">
        <v>42210.19</v>
      </c>
      <c r="G264" s="18">
        <v>131554</v>
      </c>
      <c r="H264" s="18">
        <f t="shared" si="25"/>
        <v>42206.69</v>
      </c>
      <c r="I264" s="3"/>
    </row>
    <row r="265" spans="1:9" s="4" customFormat="1" ht="18" customHeight="1" x14ac:dyDescent="0.55000000000000004">
      <c r="A265" s="18">
        <v>24.813661400000001</v>
      </c>
      <c r="B265" s="18">
        <v>34.850468100000001</v>
      </c>
      <c r="C265" s="18">
        <v>687032.05</v>
      </c>
      <c r="D265" s="18">
        <v>2745582.8</v>
      </c>
      <c r="E265" s="18">
        <v>208.53</v>
      </c>
      <c r="F265" s="18">
        <v>42202.400000000001</v>
      </c>
      <c r="G265" s="18">
        <v>131556</v>
      </c>
      <c r="H265" s="18">
        <f t="shared" si="25"/>
        <v>42198.9</v>
      </c>
      <c r="I265" s="3"/>
    </row>
    <row r="266" spans="1:9" s="4" customFormat="1" ht="18" customHeight="1" x14ac:dyDescent="0.55000000000000004">
      <c r="A266" s="18">
        <v>24.8136607</v>
      </c>
      <c r="B266" s="18">
        <v>34.850438099999998</v>
      </c>
      <c r="C266" s="18">
        <v>687029.02</v>
      </c>
      <c r="D266" s="18">
        <v>2745582.68</v>
      </c>
      <c r="E266" s="18">
        <v>208.54</v>
      </c>
      <c r="F266" s="18">
        <v>42190.54</v>
      </c>
      <c r="G266" s="18">
        <v>131558</v>
      </c>
      <c r="H266" s="18">
        <f t="shared" si="25"/>
        <v>42187.040000000001</v>
      </c>
      <c r="I266" s="3"/>
    </row>
    <row r="267" spans="1:9" s="4" customFormat="1" ht="18" customHeight="1" x14ac:dyDescent="0.55000000000000004">
      <c r="A267" s="18">
        <v>24.8136589</v>
      </c>
      <c r="B267" s="18">
        <v>34.850407300000001</v>
      </c>
      <c r="C267" s="18">
        <v>687025.91</v>
      </c>
      <c r="D267" s="18">
        <v>2745582.45</v>
      </c>
      <c r="E267" s="18">
        <v>208.57</v>
      </c>
      <c r="F267" s="18">
        <v>42180</v>
      </c>
      <c r="G267" s="18">
        <v>131600</v>
      </c>
      <c r="H267" s="18">
        <f t="shared" si="25"/>
        <v>42176.5</v>
      </c>
      <c r="I267" s="3"/>
    </row>
    <row r="268" spans="1:9" s="4" customFormat="1" ht="18" customHeight="1" x14ac:dyDescent="0.55000000000000004">
      <c r="A268" s="18">
        <v>24.8136565</v>
      </c>
      <c r="B268" s="18">
        <v>34.850377299999998</v>
      </c>
      <c r="C268" s="18">
        <v>687022.88</v>
      </c>
      <c r="D268" s="18">
        <v>2745582.13</v>
      </c>
      <c r="E268" s="18">
        <v>208.58</v>
      </c>
      <c r="F268" s="18">
        <v>42164.45</v>
      </c>
      <c r="G268" s="18">
        <v>131602</v>
      </c>
      <c r="H268" s="18">
        <f t="shared" si="25"/>
        <v>42160.95</v>
      </c>
      <c r="I268" s="3"/>
    </row>
    <row r="269" spans="1:9" s="4" customFormat="1" ht="18" customHeight="1" x14ac:dyDescent="0.55000000000000004">
      <c r="A269" s="18">
        <v>24.813654100000001</v>
      </c>
      <c r="B269" s="18">
        <v>34.850347300000003</v>
      </c>
      <c r="C269" s="18">
        <v>687019.85</v>
      </c>
      <c r="D269" s="18">
        <v>2745581.83</v>
      </c>
      <c r="E269" s="18">
        <v>208.59</v>
      </c>
      <c r="F269" s="18">
        <v>42145.07</v>
      </c>
      <c r="G269" s="18">
        <v>131604</v>
      </c>
      <c r="H269" s="18">
        <f t="shared" si="25"/>
        <v>42141.57</v>
      </c>
      <c r="I269" s="3"/>
    </row>
    <row r="270" spans="1:9" s="4" customFormat="1" ht="18" customHeight="1" x14ac:dyDescent="0.55000000000000004">
      <c r="A270" s="18">
        <v>24.813651100000001</v>
      </c>
      <c r="B270" s="18">
        <v>34.8503179</v>
      </c>
      <c r="C270" s="18">
        <v>687016.88</v>
      </c>
      <c r="D270" s="18">
        <v>2745581.46</v>
      </c>
      <c r="E270" s="18">
        <v>208.62</v>
      </c>
      <c r="F270" s="18">
        <v>42130.3</v>
      </c>
      <c r="G270" s="18">
        <v>131606</v>
      </c>
      <c r="H270" s="18">
        <f t="shared" si="25"/>
        <v>42126.8</v>
      </c>
      <c r="I270" s="3"/>
    </row>
    <row r="271" spans="1:9" s="4" customFormat="1" ht="18" customHeight="1" x14ac:dyDescent="0.55000000000000004">
      <c r="A271" s="18">
        <v>24.813650299999999</v>
      </c>
      <c r="B271" s="18">
        <v>34.8502869</v>
      </c>
      <c r="C271" s="18">
        <v>687013.74</v>
      </c>
      <c r="D271" s="18">
        <v>2745581.32</v>
      </c>
      <c r="E271" s="18">
        <v>208.63</v>
      </c>
      <c r="F271" s="18">
        <v>42117.37</v>
      </c>
      <c r="G271" s="18">
        <v>131608</v>
      </c>
      <c r="H271" s="18">
        <f t="shared" si="25"/>
        <v>42113.87</v>
      </c>
      <c r="I271" s="3"/>
    </row>
    <row r="272" spans="1:9" s="4" customFormat="1" ht="18" customHeight="1" x14ac:dyDescent="0.55000000000000004">
      <c r="A272" s="18">
        <v>24.813648700000002</v>
      </c>
      <c r="B272" s="18">
        <v>34.850254999999997</v>
      </c>
      <c r="C272" s="18">
        <v>687010.52</v>
      </c>
      <c r="D272" s="18">
        <v>2745581.1</v>
      </c>
      <c r="E272" s="18">
        <v>208.63</v>
      </c>
      <c r="F272" s="18">
        <v>42103.09</v>
      </c>
      <c r="G272" s="18">
        <v>131610</v>
      </c>
      <c r="H272" s="18">
        <f t="shared" si="25"/>
        <v>42099.59</v>
      </c>
      <c r="I272" s="3"/>
    </row>
    <row r="273" spans="1:9" s="4" customFormat="1" ht="18" customHeight="1" x14ac:dyDescent="0.55000000000000004">
      <c r="A273" s="18">
        <v>24.8136495</v>
      </c>
      <c r="B273" s="18">
        <v>34.850223800000002</v>
      </c>
      <c r="C273" s="18">
        <v>687007.37</v>
      </c>
      <c r="D273" s="18">
        <v>2745581.15</v>
      </c>
      <c r="E273" s="18">
        <v>208.62</v>
      </c>
      <c r="F273" s="18">
        <v>42084.08</v>
      </c>
      <c r="G273" s="18">
        <v>131612</v>
      </c>
      <c r="H273" s="18">
        <f t="shared" si="25"/>
        <v>42080.58</v>
      </c>
      <c r="I273" s="3"/>
    </row>
    <row r="274" spans="1:9" s="4" customFormat="1" ht="18" customHeight="1" x14ac:dyDescent="0.55000000000000004">
      <c r="A274" s="18">
        <v>24.8136464</v>
      </c>
      <c r="B274" s="18">
        <v>34.850193099999998</v>
      </c>
      <c r="C274" s="18">
        <v>687004.27</v>
      </c>
      <c r="D274" s="18">
        <v>2745580.76</v>
      </c>
      <c r="E274" s="18">
        <v>208.64</v>
      </c>
      <c r="F274" s="18">
        <v>42066.34</v>
      </c>
      <c r="G274" s="18">
        <v>131614</v>
      </c>
      <c r="H274" s="18">
        <f t="shared" si="25"/>
        <v>42062.84</v>
      </c>
      <c r="I274" s="3"/>
    </row>
    <row r="275" spans="1:9" s="4" customFormat="1" ht="18" customHeight="1" x14ac:dyDescent="0.55000000000000004">
      <c r="A275" s="18">
        <v>24.8136428</v>
      </c>
      <c r="B275" s="18">
        <v>34.850161800000002</v>
      </c>
      <c r="C275" s="18">
        <v>687001.11</v>
      </c>
      <c r="D275" s="18">
        <v>2745580.33</v>
      </c>
      <c r="E275" s="18">
        <v>208.64</v>
      </c>
      <c r="F275" s="18">
        <v>42049.14</v>
      </c>
      <c r="G275" s="18">
        <v>131616</v>
      </c>
      <c r="H275" s="18">
        <f t="shared" si="25"/>
        <v>42045.64</v>
      </c>
      <c r="I275" s="3"/>
    </row>
    <row r="276" spans="1:9" s="4" customFormat="1" ht="18" customHeight="1" x14ac:dyDescent="0.55000000000000004">
      <c r="A276" s="18">
        <v>24.813640199999998</v>
      </c>
      <c r="B276" s="18">
        <v>34.850130999999998</v>
      </c>
      <c r="C276" s="18">
        <v>686998</v>
      </c>
      <c r="D276" s="18">
        <v>2745579.99</v>
      </c>
      <c r="E276" s="18">
        <v>208.69</v>
      </c>
      <c r="F276" s="18">
        <v>42042</v>
      </c>
      <c r="G276" s="18">
        <v>131618</v>
      </c>
      <c r="H276" s="18">
        <f t="shared" si="25"/>
        <v>42038.5</v>
      </c>
      <c r="I276" s="3"/>
    </row>
    <row r="277" spans="1:9" s="4" customFormat="1" ht="18" customHeight="1" x14ac:dyDescent="0.55000000000000004">
      <c r="A277" s="18">
        <v>24.8136391</v>
      </c>
      <c r="B277" s="18">
        <v>34.850100400000002</v>
      </c>
      <c r="C277" s="18">
        <v>686994.91</v>
      </c>
      <c r="D277" s="18">
        <v>2745579.83</v>
      </c>
      <c r="E277" s="18">
        <v>208.67</v>
      </c>
      <c r="F277" s="18">
        <v>42047.19</v>
      </c>
      <c r="G277" s="18">
        <v>131620</v>
      </c>
      <c r="H277" s="18">
        <f t="shared" si="25"/>
        <v>42043.69</v>
      </c>
      <c r="I277" s="3"/>
    </row>
    <row r="278" spans="1:9" s="4" customFormat="1" ht="18" customHeight="1" x14ac:dyDescent="0.55000000000000004">
      <c r="A278" s="18">
        <v>24.813638600000001</v>
      </c>
      <c r="B278" s="18">
        <v>34.850069699999999</v>
      </c>
      <c r="C278" s="18">
        <v>686991.81</v>
      </c>
      <c r="D278" s="18">
        <v>2745579.73</v>
      </c>
      <c r="E278" s="18">
        <v>208.69</v>
      </c>
      <c r="F278" s="18">
        <v>42054.92</v>
      </c>
      <c r="G278" s="18">
        <v>131622</v>
      </c>
      <c r="H278" s="18">
        <f t="shared" si="25"/>
        <v>42051.42</v>
      </c>
      <c r="I278" s="3"/>
    </row>
    <row r="279" spans="1:9" s="4" customFormat="1" ht="18" customHeight="1" x14ac:dyDescent="0.55000000000000004">
      <c r="A279" s="18">
        <v>24.813639299999998</v>
      </c>
      <c r="B279" s="18">
        <v>34.850038900000001</v>
      </c>
      <c r="C279" s="18">
        <v>686988.69</v>
      </c>
      <c r="D279" s="18">
        <v>2745579.77</v>
      </c>
      <c r="E279" s="18">
        <v>208.71</v>
      </c>
      <c r="F279" s="18">
        <v>42065.54</v>
      </c>
      <c r="G279" s="18">
        <v>131624</v>
      </c>
      <c r="H279" s="18">
        <f t="shared" si="25"/>
        <v>42062.04</v>
      </c>
      <c r="I279" s="3"/>
    </row>
    <row r="280" spans="1:9" s="4" customFormat="1" ht="18" customHeight="1" x14ac:dyDescent="0.55000000000000004">
      <c r="A280" s="18">
        <v>24.813640100000001</v>
      </c>
      <c r="B280" s="18">
        <v>34.850007400000003</v>
      </c>
      <c r="C280" s="18">
        <v>686985.5</v>
      </c>
      <c r="D280" s="18">
        <v>2745579.81</v>
      </c>
      <c r="E280" s="18">
        <v>208.71</v>
      </c>
      <c r="F280" s="18">
        <v>42074.45</v>
      </c>
      <c r="G280" s="18">
        <v>131626</v>
      </c>
      <c r="H280" s="18">
        <f t="shared" si="25"/>
        <v>42070.95</v>
      </c>
      <c r="I280" s="3"/>
    </row>
    <row r="281" spans="1:9" s="4" customFormat="1" ht="18" customHeight="1" x14ac:dyDescent="0.55000000000000004">
      <c r="A281" s="18">
        <v>24.8136434</v>
      </c>
      <c r="B281" s="18">
        <v>34.849976599999998</v>
      </c>
      <c r="C281" s="18">
        <v>686982.39</v>
      </c>
      <c r="D281" s="18">
        <v>2745580.14</v>
      </c>
      <c r="E281" s="18">
        <v>208.73</v>
      </c>
      <c r="F281" s="18">
        <v>42079.29</v>
      </c>
      <c r="G281" s="18">
        <v>131628</v>
      </c>
      <c r="H281" s="18">
        <f t="shared" si="25"/>
        <v>42075.79</v>
      </c>
      <c r="I281" s="3"/>
    </row>
    <row r="282" spans="1:9" s="4" customFormat="1" ht="18" customHeight="1" x14ac:dyDescent="0.55000000000000004">
      <c r="A282" s="18">
        <v>24.8136428</v>
      </c>
      <c r="B282" s="18">
        <v>34.849945499999997</v>
      </c>
      <c r="C282" s="18">
        <v>686979.24</v>
      </c>
      <c r="D282" s="18">
        <v>2745580.03</v>
      </c>
      <c r="E282" s="18">
        <v>208.75</v>
      </c>
      <c r="F282" s="18">
        <v>42089.99</v>
      </c>
      <c r="G282" s="18">
        <v>131630</v>
      </c>
      <c r="H282" s="18">
        <f t="shared" si="25"/>
        <v>42086.49</v>
      </c>
      <c r="I282" s="3"/>
    </row>
    <row r="283" spans="1:9" s="4" customFormat="1" ht="18" customHeight="1" x14ac:dyDescent="0.55000000000000004">
      <c r="A283" s="18">
        <v>24.813642099999999</v>
      </c>
      <c r="B283" s="18">
        <v>34.849914499999997</v>
      </c>
      <c r="C283" s="18">
        <v>686976.11</v>
      </c>
      <c r="D283" s="18">
        <v>2745579.9</v>
      </c>
      <c r="E283" s="18">
        <v>208.74</v>
      </c>
      <c r="F283" s="18">
        <v>42104.959999999999</v>
      </c>
      <c r="G283" s="18">
        <v>131632</v>
      </c>
      <c r="H283" s="18">
        <f t="shared" si="25"/>
        <v>42101.46</v>
      </c>
      <c r="I283" s="3"/>
    </row>
    <row r="284" spans="1:9" s="4" customFormat="1" ht="18" customHeight="1" x14ac:dyDescent="0.55000000000000004">
      <c r="A284" s="18">
        <v>24.813640299999999</v>
      </c>
      <c r="B284" s="18">
        <v>34.849882600000001</v>
      </c>
      <c r="C284" s="18">
        <v>686972.89</v>
      </c>
      <c r="D284" s="18">
        <v>2745579.67</v>
      </c>
      <c r="E284" s="18">
        <v>208.74</v>
      </c>
      <c r="F284" s="18">
        <v>42120.6</v>
      </c>
      <c r="G284" s="18">
        <v>131634</v>
      </c>
      <c r="H284" s="18">
        <f t="shared" si="25"/>
        <v>42117.1</v>
      </c>
      <c r="I284" s="3"/>
    </row>
    <row r="285" spans="1:9" s="4" customFormat="1" ht="18" customHeight="1" x14ac:dyDescent="0.55000000000000004">
      <c r="A285" s="18">
        <v>24.8136394</v>
      </c>
      <c r="B285" s="18">
        <v>34.849849599999999</v>
      </c>
      <c r="C285" s="18">
        <v>686969.56</v>
      </c>
      <c r="D285" s="18">
        <v>2745579.52</v>
      </c>
      <c r="E285" s="18">
        <v>208.7</v>
      </c>
      <c r="F285" s="18">
        <v>42131.14</v>
      </c>
      <c r="G285" s="18">
        <v>131636</v>
      </c>
      <c r="H285" s="18">
        <f t="shared" si="25"/>
        <v>42127.64</v>
      </c>
      <c r="I285" s="3"/>
    </row>
    <row r="286" spans="1:9" s="4" customFormat="1" ht="18" customHeight="1" x14ac:dyDescent="0.55000000000000004">
      <c r="A286" s="18">
        <v>24.813637199999999</v>
      </c>
      <c r="B286" s="18">
        <v>34.849816799999999</v>
      </c>
      <c r="C286" s="18">
        <v>686966.24</v>
      </c>
      <c r="D286" s="18">
        <v>2745579.23</v>
      </c>
      <c r="E286" s="18">
        <v>208.7</v>
      </c>
      <c r="F286" s="18">
        <v>42134.720000000001</v>
      </c>
      <c r="G286" s="18">
        <v>131638</v>
      </c>
      <c r="H286" s="18">
        <f t="shared" si="25"/>
        <v>42131.22</v>
      </c>
      <c r="I286" s="3"/>
    </row>
    <row r="287" spans="1:9" s="4" customFormat="1" ht="18" customHeight="1" x14ac:dyDescent="0.55000000000000004">
      <c r="A287" s="18">
        <v>24.813634400000002</v>
      </c>
      <c r="B287" s="18">
        <v>34.849784300000003</v>
      </c>
      <c r="C287" s="18">
        <v>686962.96</v>
      </c>
      <c r="D287" s="18">
        <v>2745578.88</v>
      </c>
      <c r="E287" s="18">
        <v>208.69</v>
      </c>
      <c r="F287" s="18">
        <v>42136.93</v>
      </c>
      <c r="G287" s="18">
        <v>131640</v>
      </c>
      <c r="H287" s="18">
        <f t="shared" si="25"/>
        <v>42133.43</v>
      </c>
      <c r="I287" s="3"/>
    </row>
    <row r="288" spans="1:9" s="4" customFormat="1" ht="18" customHeight="1" x14ac:dyDescent="0.55000000000000004">
      <c r="A288" s="18">
        <v>24.813632599999998</v>
      </c>
      <c r="B288" s="18">
        <v>34.849751500000004</v>
      </c>
      <c r="C288" s="18">
        <v>686959.64</v>
      </c>
      <c r="D288" s="18">
        <v>2745578.64</v>
      </c>
      <c r="E288" s="18">
        <v>208.69</v>
      </c>
      <c r="F288" s="18">
        <v>42139.42</v>
      </c>
      <c r="G288" s="18">
        <v>131642</v>
      </c>
      <c r="H288" s="18">
        <f t="shared" si="25"/>
        <v>42135.92</v>
      </c>
      <c r="I288" s="3"/>
    </row>
    <row r="289" spans="1:9" s="4" customFormat="1" ht="18" customHeight="1" x14ac:dyDescent="0.55000000000000004">
      <c r="A289" s="18">
        <v>24.8136318</v>
      </c>
      <c r="B289" s="18">
        <v>34.849718000000003</v>
      </c>
      <c r="C289" s="18">
        <v>686956.26</v>
      </c>
      <c r="D289" s="18">
        <v>2745578.5</v>
      </c>
      <c r="E289" s="18">
        <v>208.73</v>
      </c>
      <c r="F289" s="18">
        <v>42139.360000000001</v>
      </c>
      <c r="G289" s="18">
        <v>131644</v>
      </c>
      <c r="H289" s="18">
        <f t="shared" si="25"/>
        <v>42135.86</v>
      </c>
      <c r="I289" s="3"/>
    </row>
    <row r="290" spans="1:9" s="4" customFormat="1" ht="18" customHeight="1" x14ac:dyDescent="0.55000000000000004">
      <c r="A290" s="18">
        <v>24.813631999999998</v>
      </c>
      <c r="B290" s="18">
        <v>34.849685800000003</v>
      </c>
      <c r="C290" s="18">
        <v>686953</v>
      </c>
      <c r="D290" s="18">
        <v>2745578.48</v>
      </c>
      <c r="E290" s="18">
        <v>208.77</v>
      </c>
      <c r="F290" s="18">
        <v>42140.27</v>
      </c>
      <c r="G290" s="18">
        <v>131646</v>
      </c>
      <c r="H290" s="18">
        <f t="shared" si="25"/>
        <v>42136.77</v>
      </c>
      <c r="I290" s="3"/>
    </row>
    <row r="291" spans="1:9" s="4" customFormat="1" ht="18" customHeight="1" x14ac:dyDescent="0.55000000000000004">
      <c r="A291" s="18">
        <v>24.813631099999998</v>
      </c>
      <c r="B291" s="18">
        <v>34.849653500000002</v>
      </c>
      <c r="C291" s="18">
        <v>686949.74</v>
      </c>
      <c r="D291" s="18">
        <v>2745578.33</v>
      </c>
      <c r="E291" s="18">
        <v>208.76</v>
      </c>
      <c r="F291" s="18">
        <v>42139.6</v>
      </c>
      <c r="G291" s="18">
        <v>131648</v>
      </c>
      <c r="H291" s="18">
        <f t="shared" ref="H291:H354" si="26">SUM(F291-3.5)</f>
        <v>42136.1</v>
      </c>
      <c r="I291" s="3"/>
    </row>
    <row r="292" spans="1:9" s="4" customFormat="1" ht="18" customHeight="1" x14ac:dyDescent="0.55000000000000004">
      <c r="A292" s="18">
        <v>24.8136261</v>
      </c>
      <c r="B292" s="18">
        <v>34.849620299999998</v>
      </c>
      <c r="C292" s="18">
        <v>686946.39</v>
      </c>
      <c r="D292" s="18">
        <v>2745577.73</v>
      </c>
      <c r="E292" s="18">
        <v>208.71</v>
      </c>
      <c r="F292" s="18">
        <v>42141.56</v>
      </c>
      <c r="G292" s="18">
        <v>131650</v>
      </c>
      <c r="H292" s="18">
        <f t="shared" si="26"/>
        <v>42138.06</v>
      </c>
      <c r="I292" s="3"/>
    </row>
    <row r="293" spans="1:9" s="4" customFormat="1" ht="18" customHeight="1" x14ac:dyDescent="0.55000000000000004">
      <c r="A293" s="18">
        <v>24.8136197</v>
      </c>
      <c r="B293" s="18">
        <v>34.849587700000001</v>
      </c>
      <c r="C293" s="18">
        <v>686943.11</v>
      </c>
      <c r="D293" s="18">
        <v>2745576.98</v>
      </c>
      <c r="E293" s="18">
        <v>208.72</v>
      </c>
      <c r="F293" s="18">
        <v>42142.41</v>
      </c>
      <c r="G293" s="18">
        <v>131652</v>
      </c>
      <c r="H293" s="18">
        <f t="shared" si="26"/>
        <v>42138.91</v>
      </c>
      <c r="I293" s="3"/>
    </row>
    <row r="294" spans="1:9" s="4" customFormat="1" ht="18" customHeight="1" x14ac:dyDescent="0.55000000000000004">
      <c r="A294" s="18">
        <v>24.813614699999999</v>
      </c>
      <c r="B294" s="18">
        <v>34.849554599999998</v>
      </c>
      <c r="C294" s="18">
        <v>686939.76</v>
      </c>
      <c r="D294" s="18">
        <v>2745576.38</v>
      </c>
      <c r="E294" s="18">
        <v>208.72</v>
      </c>
      <c r="F294" s="18">
        <v>42136.25</v>
      </c>
      <c r="G294" s="18">
        <v>131654</v>
      </c>
      <c r="H294" s="18">
        <f t="shared" si="26"/>
        <v>42132.75</v>
      </c>
      <c r="I294" s="3"/>
    </row>
    <row r="295" spans="1:9" s="4" customFormat="1" ht="18" customHeight="1" x14ac:dyDescent="0.55000000000000004">
      <c r="A295" s="18">
        <v>24.813609</v>
      </c>
      <c r="B295" s="18">
        <v>34.849521899999999</v>
      </c>
      <c r="C295" s="18">
        <v>686936.47</v>
      </c>
      <c r="D295" s="18">
        <v>2745575.71</v>
      </c>
      <c r="E295" s="18">
        <v>208.75</v>
      </c>
      <c r="F295" s="18">
        <v>42130.65</v>
      </c>
      <c r="G295" s="18">
        <v>131656</v>
      </c>
      <c r="H295" s="18">
        <f t="shared" si="26"/>
        <v>42127.15</v>
      </c>
      <c r="I295" s="3"/>
    </row>
    <row r="296" spans="1:9" s="4" customFormat="1" ht="18" customHeight="1" x14ac:dyDescent="0.55000000000000004">
      <c r="A296" s="18">
        <v>24.8136042</v>
      </c>
      <c r="B296" s="18">
        <v>34.8494885</v>
      </c>
      <c r="C296" s="18">
        <v>686933.1</v>
      </c>
      <c r="D296" s="18">
        <v>2745575.13</v>
      </c>
      <c r="E296" s="18">
        <v>208.81</v>
      </c>
      <c r="F296" s="18">
        <v>42121.43</v>
      </c>
      <c r="G296" s="18">
        <v>131658</v>
      </c>
      <c r="H296" s="18">
        <f t="shared" si="26"/>
        <v>42117.93</v>
      </c>
      <c r="I296" s="3"/>
    </row>
    <row r="297" spans="1:9" s="4" customFormat="1" ht="18" customHeight="1" x14ac:dyDescent="0.55000000000000004">
      <c r="A297" s="18">
        <v>24.813600600000001</v>
      </c>
      <c r="B297" s="18">
        <v>34.8494545</v>
      </c>
      <c r="C297" s="18">
        <v>686929.67</v>
      </c>
      <c r="D297" s="18">
        <v>2745574.69</v>
      </c>
      <c r="E297" s="18">
        <v>208.82</v>
      </c>
      <c r="F297" s="18">
        <v>42117.11</v>
      </c>
      <c r="G297" s="18">
        <v>131700</v>
      </c>
      <c r="H297" s="18">
        <f t="shared" si="26"/>
        <v>42113.61</v>
      </c>
      <c r="I297" s="3"/>
    </row>
    <row r="298" spans="1:9" s="4" customFormat="1" ht="18" customHeight="1" x14ac:dyDescent="0.55000000000000004">
      <c r="A298" s="18">
        <v>24.813595299999999</v>
      </c>
      <c r="B298" s="18">
        <v>34.849420600000002</v>
      </c>
      <c r="C298" s="18">
        <v>686926.25</v>
      </c>
      <c r="D298" s="18">
        <v>2745574.04</v>
      </c>
      <c r="E298" s="18">
        <v>208.8</v>
      </c>
      <c r="F298" s="18">
        <v>42112.98</v>
      </c>
      <c r="G298" s="18">
        <v>131702</v>
      </c>
      <c r="H298" s="18">
        <f t="shared" si="26"/>
        <v>42109.48</v>
      </c>
      <c r="I298" s="3"/>
    </row>
    <row r="299" spans="1:9" s="4" customFormat="1" ht="18" customHeight="1" x14ac:dyDescent="0.55000000000000004">
      <c r="A299" s="18">
        <v>24.8135911</v>
      </c>
      <c r="B299" s="18">
        <v>34.849386600000003</v>
      </c>
      <c r="C299" s="18">
        <v>686922.82</v>
      </c>
      <c r="D299" s="18">
        <v>2745573.53</v>
      </c>
      <c r="E299" s="18">
        <v>208.75</v>
      </c>
      <c r="F299" s="18">
        <v>42106.29</v>
      </c>
      <c r="G299" s="18">
        <v>131704</v>
      </c>
      <c r="H299" s="18">
        <f t="shared" si="26"/>
        <v>42102.79</v>
      </c>
      <c r="I299" s="3"/>
    </row>
    <row r="300" spans="1:9" s="4" customFormat="1" ht="18" customHeight="1" x14ac:dyDescent="0.55000000000000004">
      <c r="A300" s="18">
        <v>24.813587099999999</v>
      </c>
      <c r="B300" s="18">
        <v>34.849352600000003</v>
      </c>
      <c r="C300" s="18">
        <v>686919.38</v>
      </c>
      <c r="D300" s="18">
        <v>2745573.05</v>
      </c>
      <c r="E300" s="18">
        <v>208.79</v>
      </c>
      <c r="F300" s="18">
        <v>42101.279999999999</v>
      </c>
      <c r="G300" s="18">
        <v>131706</v>
      </c>
      <c r="H300" s="18">
        <f t="shared" si="26"/>
        <v>42097.78</v>
      </c>
      <c r="I300" s="3"/>
    </row>
    <row r="301" spans="1:9" s="4" customFormat="1" ht="18" customHeight="1" x14ac:dyDescent="0.55000000000000004">
      <c r="A301" s="18">
        <v>24.813580200000001</v>
      </c>
      <c r="B301" s="18">
        <v>34.849319299999998</v>
      </c>
      <c r="C301" s="18">
        <v>686916.03</v>
      </c>
      <c r="D301" s="18">
        <v>2745572.24</v>
      </c>
      <c r="E301" s="18">
        <v>208.85</v>
      </c>
      <c r="F301" s="18">
        <v>42094.66</v>
      </c>
      <c r="G301" s="18">
        <v>131708</v>
      </c>
      <c r="H301" s="18">
        <f t="shared" si="26"/>
        <v>42091.16</v>
      </c>
      <c r="I301" s="3"/>
    </row>
    <row r="302" spans="1:9" s="4" customFormat="1" ht="18" customHeight="1" x14ac:dyDescent="0.55000000000000004">
      <c r="A302" s="18">
        <v>24.813572700000002</v>
      </c>
      <c r="B302" s="18">
        <v>34.849285700000003</v>
      </c>
      <c r="C302" s="18">
        <v>686912.65</v>
      </c>
      <c r="D302" s="18">
        <v>2745571.36</v>
      </c>
      <c r="E302" s="18">
        <v>208.9</v>
      </c>
      <c r="F302" s="18">
        <v>42087.34</v>
      </c>
      <c r="G302" s="18">
        <v>131710</v>
      </c>
      <c r="H302" s="18">
        <f t="shared" si="26"/>
        <v>42083.839999999997</v>
      </c>
      <c r="I302" s="3"/>
    </row>
    <row r="303" spans="1:9" s="4" customFormat="1" ht="18" customHeight="1" x14ac:dyDescent="0.55000000000000004">
      <c r="A303" s="18">
        <v>24.813567299999999</v>
      </c>
      <c r="B303" s="18">
        <v>34.849252499999999</v>
      </c>
      <c r="C303" s="18">
        <v>686909.3</v>
      </c>
      <c r="D303" s="18">
        <v>2745570.71</v>
      </c>
      <c r="E303" s="18">
        <v>208.97</v>
      </c>
      <c r="F303" s="18">
        <v>42079.9</v>
      </c>
      <c r="G303" s="18">
        <v>131712</v>
      </c>
      <c r="H303" s="18">
        <f t="shared" si="26"/>
        <v>42076.4</v>
      </c>
      <c r="I303" s="3"/>
    </row>
    <row r="304" spans="1:9" s="4" customFormat="1" ht="18" customHeight="1" x14ac:dyDescent="0.55000000000000004">
      <c r="A304" s="18">
        <v>24.813559300000001</v>
      </c>
      <c r="B304" s="18">
        <v>34.849219400000003</v>
      </c>
      <c r="C304" s="18">
        <v>686905.96</v>
      </c>
      <c r="D304" s="18">
        <v>2745569.79</v>
      </c>
      <c r="E304" s="18">
        <v>208.96</v>
      </c>
      <c r="F304" s="18">
        <v>42072.69</v>
      </c>
      <c r="G304" s="18">
        <v>131714</v>
      </c>
      <c r="H304" s="18">
        <f t="shared" si="26"/>
        <v>42069.19</v>
      </c>
      <c r="I304" s="3"/>
    </row>
    <row r="305" spans="1:9" s="4" customFormat="1" ht="18" customHeight="1" x14ac:dyDescent="0.55000000000000004">
      <c r="A305" s="18">
        <v>24.813548699999998</v>
      </c>
      <c r="B305" s="18">
        <v>34.849187399999998</v>
      </c>
      <c r="C305" s="18">
        <v>686902.75</v>
      </c>
      <c r="D305" s="18">
        <v>2745568.57</v>
      </c>
      <c r="E305" s="18">
        <v>209</v>
      </c>
      <c r="F305" s="18">
        <v>42068.27</v>
      </c>
      <c r="G305" s="18">
        <v>131716</v>
      </c>
      <c r="H305" s="18">
        <f t="shared" si="26"/>
        <v>42064.77</v>
      </c>
      <c r="I305" s="3"/>
    </row>
    <row r="306" spans="1:9" s="4" customFormat="1" ht="18" customHeight="1" x14ac:dyDescent="0.55000000000000004">
      <c r="A306" s="18">
        <v>24.8135382</v>
      </c>
      <c r="B306" s="18">
        <v>34.849155699999997</v>
      </c>
      <c r="C306" s="18">
        <v>686899.56</v>
      </c>
      <c r="D306" s="18">
        <v>2745567.36</v>
      </c>
      <c r="E306" s="18">
        <v>208.93</v>
      </c>
      <c r="F306" s="18">
        <v>42061.82</v>
      </c>
      <c r="G306" s="18">
        <v>131718</v>
      </c>
      <c r="H306" s="18">
        <f t="shared" si="26"/>
        <v>42058.32</v>
      </c>
      <c r="I306" s="3"/>
    </row>
    <row r="307" spans="1:9" s="4" customFormat="1" ht="18" customHeight="1" x14ac:dyDescent="0.55000000000000004">
      <c r="A307" s="18">
        <v>24.813526599999999</v>
      </c>
      <c r="B307" s="18">
        <v>34.849125000000001</v>
      </c>
      <c r="C307" s="18">
        <v>686896.47</v>
      </c>
      <c r="D307" s="18">
        <v>2745566.03</v>
      </c>
      <c r="E307" s="18">
        <v>208.97</v>
      </c>
      <c r="F307" s="18">
        <v>42063.34</v>
      </c>
      <c r="G307" s="18">
        <v>131720</v>
      </c>
      <c r="H307" s="18">
        <f t="shared" si="26"/>
        <v>42059.839999999997</v>
      </c>
      <c r="I307" s="3"/>
    </row>
    <row r="308" spans="1:9" s="4" customFormat="1" ht="18" customHeight="1" x14ac:dyDescent="0.55000000000000004">
      <c r="A308" s="18">
        <v>24.813514699999999</v>
      </c>
      <c r="B308" s="18">
        <v>34.849094800000003</v>
      </c>
      <c r="C308" s="18">
        <v>686893.44</v>
      </c>
      <c r="D308" s="18">
        <v>2745564.67</v>
      </c>
      <c r="E308" s="18">
        <v>208.98</v>
      </c>
      <c r="F308" s="18">
        <v>42060.21</v>
      </c>
      <c r="G308" s="18">
        <v>131722</v>
      </c>
      <c r="H308" s="18">
        <f t="shared" si="26"/>
        <v>42056.71</v>
      </c>
      <c r="I308" s="3"/>
    </row>
    <row r="309" spans="1:9" s="4" customFormat="1" ht="18" customHeight="1" x14ac:dyDescent="0.55000000000000004">
      <c r="A309" s="18">
        <v>24.8135051</v>
      </c>
      <c r="B309" s="18">
        <v>34.849064400000003</v>
      </c>
      <c r="C309" s="18">
        <v>686890.37</v>
      </c>
      <c r="D309" s="18">
        <v>2745563.57</v>
      </c>
      <c r="E309" s="18">
        <v>209.04</v>
      </c>
      <c r="F309" s="18">
        <v>42057.24</v>
      </c>
      <c r="G309" s="18">
        <v>131724</v>
      </c>
      <c r="H309" s="18">
        <f t="shared" si="26"/>
        <v>42053.74</v>
      </c>
      <c r="I309" s="3"/>
    </row>
    <row r="310" spans="1:9" s="4" customFormat="1" ht="18" customHeight="1" x14ac:dyDescent="0.55000000000000004">
      <c r="A310" s="18">
        <v>24.8134944</v>
      </c>
      <c r="B310" s="18">
        <v>34.849034600000003</v>
      </c>
      <c r="C310" s="18">
        <v>686887.38</v>
      </c>
      <c r="D310" s="18">
        <v>2745562.34</v>
      </c>
      <c r="E310" s="18">
        <v>209.1</v>
      </c>
      <c r="F310" s="18">
        <v>42053.73</v>
      </c>
      <c r="G310" s="18">
        <v>131726</v>
      </c>
      <c r="H310" s="18">
        <f t="shared" si="26"/>
        <v>42050.23</v>
      </c>
      <c r="I310" s="3"/>
    </row>
    <row r="311" spans="1:9" s="4" customFormat="1" ht="18" customHeight="1" x14ac:dyDescent="0.55000000000000004">
      <c r="A311" s="18">
        <v>24.813482700000002</v>
      </c>
      <c r="B311" s="18">
        <v>34.849007899999997</v>
      </c>
      <c r="C311" s="18">
        <v>686884.69</v>
      </c>
      <c r="D311" s="18">
        <v>2745561.01</v>
      </c>
      <c r="E311" s="18">
        <v>209.28</v>
      </c>
      <c r="F311" s="18">
        <v>42052.13</v>
      </c>
      <c r="G311" s="18">
        <v>131728</v>
      </c>
      <c r="H311" s="18">
        <f t="shared" si="26"/>
        <v>42048.63</v>
      </c>
      <c r="I311" s="3"/>
    </row>
    <row r="312" spans="1:9" s="4" customFormat="1" ht="18" customHeight="1" x14ac:dyDescent="0.55000000000000004">
      <c r="A312" s="18">
        <v>24.813473399999999</v>
      </c>
      <c r="B312" s="18">
        <v>34.8489814</v>
      </c>
      <c r="C312" s="18">
        <v>686882.03</v>
      </c>
      <c r="D312" s="18">
        <v>2745559.94</v>
      </c>
      <c r="E312" s="18">
        <v>209.37</v>
      </c>
      <c r="F312" s="18">
        <v>42054.93</v>
      </c>
      <c r="G312" s="18">
        <v>131730</v>
      </c>
      <c r="H312" s="18">
        <f t="shared" si="26"/>
        <v>42051.43</v>
      </c>
      <c r="I312" s="3"/>
    </row>
    <row r="313" spans="1:9" s="4" customFormat="1" ht="18" customHeight="1" x14ac:dyDescent="0.55000000000000004">
      <c r="A313" s="18">
        <v>24.813458199999999</v>
      </c>
      <c r="B313" s="18">
        <v>34.848956000000001</v>
      </c>
      <c r="C313" s="18">
        <v>686879.48</v>
      </c>
      <c r="D313" s="18">
        <v>2745558.22</v>
      </c>
      <c r="E313" s="18">
        <v>209.55</v>
      </c>
      <c r="F313" s="18">
        <v>42055.71</v>
      </c>
      <c r="G313" s="18">
        <v>131732</v>
      </c>
      <c r="H313" s="18">
        <f t="shared" si="26"/>
        <v>42052.21</v>
      </c>
      <c r="I313" s="3"/>
    </row>
    <row r="314" spans="1:9" s="4" customFormat="1" ht="18" customHeight="1" x14ac:dyDescent="0.55000000000000004">
      <c r="A314" s="18">
        <v>24.813442299999998</v>
      </c>
      <c r="B314" s="18">
        <v>34.848932699999999</v>
      </c>
      <c r="C314" s="18">
        <v>686877.15</v>
      </c>
      <c r="D314" s="18">
        <v>2745556.43</v>
      </c>
      <c r="E314" s="18">
        <v>209.64</v>
      </c>
      <c r="F314" s="18">
        <v>42054.52</v>
      </c>
      <c r="G314" s="18">
        <v>131734</v>
      </c>
      <c r="H314" s="18">
        <f t="shared" si="26"/>
        <v>42051.02</v>
      </c>
      <c r="I314" s="3"/>
    </row>
    <row r="315" spans="1:9" s="4" customFormat="1" ht="18" customHeight="1" x14ac:dyDescent="0.55000000000000004">
      <c r="A315" s="18">
        <v>24.813429299999999</v>
      </c>
      <c r="B315" s="18">
        <v>34.848914200000003</v>
      </c>
      <c r="C315" s="18">
        <v>686875.3</v>
      </c>
      <c r="D315" s="18">
        <v>2745554.97</v>
      </c>
      <c r="E315" s="18">
        <v>209.73</v>
      </c>
      <c r="F315" s="18">
        <v>42052.61</v>
      </c>
      <c r="G315" s="18">
        <v>131736</v>
      </c>
      <c r="H315" s="18">
        <f t="shared" si="26"/>
        <v>42049.11</v>
      </c>
      <c r="I315" s="3"/>
    </row>
    <row r="316" spans="1:9" s="4" customFormat="1" ht="18" customHeight="1" x14ac:dyDescent="0.55000000000000004">
      <c r="A316" s="18">
        <v>24.813412899999999</v>
      </c>
      <c r="B316" s="18">
        <v>34.848892599999999</v>
      </c>
      <c r="C316" s="18">
        <v>686873.15</v>
      </c>
      <c r="D316" s="18">
        <v>2745553.12</v>
      </c>
      <c r="E316" s="18">
        <v>209.82</v>
      </c>
      <c r="F316" s="18">
        <v>42051.89</v>
      </c>
      <c r="G316" s="18">
        <v>131738</v>
      </c>
      <c r="H316" s="18">
        <f t="shared" si="26"/>
        <v>42048.39</v>
      </c>
      <c r="I316" s="3"/>
    </row>
    <row r="317" spans="1:9" s="4" customFormat="1" ht="18" customHeight="1" x14ac:dyDescent="0.55000000000000004">
      <c r="A317" s="18">
        <v>24.813398100000001</v>
      </c>
      <c r="B317" s="18">
        <v>34.8488671</v>
      </c>
      <c r="C317" s="18">
        <v>686870.59</v>
      </c>
      <c r="D317" s="18">
        <v>2745551.45</v>
      </c>
      <c r="E317" s="18">
        <v>209.94</v>
      </c>
      <c r="F317" s="18">
        <v>42047.4</v>
      </c>
      <c r="G317" s="18">
        <v>131740</v>
      </c>
      <c r="H317" s="18">
        <f t="shared" si="26"/>
        <v>42043.9</v>
      </c>
      <c r="I317" s="3"/>
    </row>
    <row r="318" spans="1:9" s="4" customFormat="1" ht="18" customHeight="1" x14ac:dyDescent="0.55000000000000004">
      <c r="A318" s="18">
        <v>24.813380500000001</v>
      </c>
      <c r="B318" s="18">
        <v>34.848844399999997</v>
      </c>
      <c r="C318" s="18">
        <v>686868.32</v>
      </c>
      <c r="D318" s="18">
        <v>2745549.46</v>
      </c>
      <c r="E318" s="18">
        <v>210.03</v>
      </c>
      <c r="F318" s="18">
        <v>42052.88</v>
      </c>
      <c r="G318" s="18">
        <v>131742</v>
      </c>
      <c r="H318" s="18">
        <f t="shared" si="26"/>
        <v>42049.38</v>
      </c>
      <c r="I318" s="3"/>
    </row>
    <row r="319" spans="1:9" s="4" customFormat="1" ht="18" customHeight="1" x14ac:dyDescent="0.55000000000000004">
      <c r="A319" s="18">
        <v>24.813363500000001</v>
      </c>
      <c r="B319" s="18">
        <v>34.848819200000001</v>
      </c>
      <c r="C319" s="18">
        <v>686865.8</v>
      </c>
      <c r="D319" s="18">
        <v>2745547.54</v>
      </c>
      <c r="E319" s="18">
        <v>210.14</v>
      </c>
      <c r="F319" s="18">
        <v>42052.84</v>
      </c>
      <c r="G319" s="18">
        <v>131744</v>
      </c>
      <c r="H319" s="18">
        <f t="shared" si="26"/>
        <v>42049.34</v>
      </c>
      <c r="I319" s="3"/>
    </row>
    <row r="320" spans="1:9" s="4" customFormat="1" ht="18" customHeight="1" x14ac:dyDescent="0.55000000000000004">
      <c r="A320" s="18">
        <v>24.813346899999999</v>
      </c>
      <c r="B320" s="18">
        <v>34.848795500000001</v>
      </c>
      <c r="C320" s="18">
        <v>686863.42</v>
      </c>
      <c r="D320" s="18">
        <v>2745545.67</v>
      </c>
      <c r="E320" s="18">
        <v>210.21</v>
      </c>
      <c r="F320" s="18">
        <v>42056.84</v>
      </c>
      <c r="G320" s="18">
        <v>131746</v>
      </c>
      <c r="H320" s="18">
        <f t="shared" si="26"/>
        <v>42053.34</v>
      </c>
      <c r="I320" s="3"/>
    </row>
    <row r="321" spans="1:9" s="4" customFormat="1" ht="18" customHeight="1" x14ac:dyDescent="0.55000000000000004">
      <c r="A321" s="18">
        <v>24.8133327</v>
      </c>
      <c r="B321" s="18">
        <v>34.848770299999998</v>
      </c>
      <c r="C321" s="18">
        <v>686860.9</v>
      </c>
      <c r="D321" s="18">
        <v>2745544.07</v>
      </c>
      <c r="E321" s="18">
        <v>210.32</v>
      </c>
      <c r="F321" s="18">
        <v>42057.77</v>
      </c>
      <c r="G321" s="18">
        <v>131748</v>
      </c>
      <c r="H321" s="18">
        <f t="shared" si="26"/>
        <v>42054.27</v>
      </c>
      <c r="I321" s="3"/>
    </row>
    <row r="322" spans="1:9" s="4" customFormat="1" ht="18" customHeight="1" x14ac:dyDescent="0.55000000000000004">
      <c r="A322" s="18">
        <v>24.813317600000001</v>
      </c>
      <c r="B322" s="18">
        <v>34.848742199999997</v>
      </c>
      <c r="C322" s="18">
        <v>686858.08</v>
      </c>
      <c r="D322" s="18">
        <v>2745542.36</v>
      </c>
      <c r="E322" s="18">
        <v>210.4</v>
      </c>
      <c r="F322" s="18">
        <v>42057.41</v>
      </c>
      <c r="G322" s="18">
        <v>131750</v>
      </c>
      <c r="H322" s="18">
        <f t="shared" si="26"/>
        <v>42053.91</v>
      </c>
      <c r="I322" s="3"/>
    </row>
    <row r="323" spans="1:9" s="4" customFormat="1" ht="18" customHeight="1" x14ac:dyDescent="0.55000000000000004">
      <c r="A323" s="18">
        <v>24.813302799999999</v>
      </c>
      <c r="B323" s="18">
        <v>34.8487151</v>
      </c>
      <c r="C323" s="18">
        <v>686855.36</v>
      </c>
      <c r="D323" s="18">
        <v>2745540.68</v>
      </c>
      <c r="E323" s="18">
        <v>210.45</v>
      </c>
      <c r="F323" s="18">
        <v>42065.68</v>
      </c>
      <c r="G323" s="18">
        <v>131752</v>
      </c>
      <c r="H323" s="18">
        <f t="shared" si="26"/>
        <v>42062.18</v>
      </c>
      <c r="I323" s="3"/>
    </row>
    <row r="324" spans="1:9" s="4" customFormat="1" ht="18" customHeight="1" x14ac:dyDescent="0.55000000000000004">
      <c r="A324" s="18">
        <v>24.8132874</v>
      </c>
      <c r="B324" s="18">
        <v>34.848688299999999</v>
      </c>
      <c r="C324" s="18">
        <v>686852.68</v>
      </c>
      <c r="D324" s="18">
        <v>2745538.94</v>
      </c>
      <c r="E324" s="18">
        <v>210.45</v>
      </c>
      <c r="F324" s="18">
        <v>42060.84</v>
      </c>
      <c r="G324" s="18">
        <v>131754</v>
      </c>
      <c r="H324" s="18">
        <f t="shared" si="26"/>
        <v>42057.34</v>
      </c>
      <c r="I324" s="3"/>
    </row>
    <row r="325" spans="1:9" s="4" customFormat="1" ht="18" customHeight="1" x14ac:dyDescent="0.55000000000000004">
      <c r="A325" s="18">
        <v>24.813272600000001</v>
      </c>
      <c r="B325" s="18">
        <v>34.848661100000001</v>
      </c>
      <c r="C325" s="18">
        <v>686849.95</v>
      </c>
      <c r="D325" s="18">
        <v>2745537.26</v>
      </c>
      <c r="E325" s="18">
        <v>210.57</v>
      </c>
      <c r="F325" s="18">
        <v>42063.25</v>
      </c>
      <c r="G325" s="18">
        <v>131756</v>
      </c>
      <c r="H325" s="18">
        <f t="shared" si="26"/>
        <v>42059.75</v>
      </c>
      <c r="I325" s="3"/>
    </row>
    <row r="326" spans="1:9" s="4" customFormat="1" ht="18" customHeight="1" x14ac:dyDescent="0.55000000000000004">
      <c r="A326" s="18">
        <v>24.813257400000001</v>
      </c>
      <c r="B326" s="18">
        <v>34.848633700000001</v>
      </c>
      <c r="C326" s="18">
        <v>686847.21</v>
      </c>
      <c r="D326" s="18">
        <v>2745535.55</v>
      </c>
      <c r="E326" s="18">
        <v>210.6</v>
      </c>
      <c r="F326" s="18">
        <v>42060.63</v>
      </c>
      <c r="G326" s="18">
        <v>131758</v>
      </c>
      <c r="H326" s="18">
        <f t="shared" si="26"/>
        <v>42057.13</v>
      </c>
      <c r="I326" s="3"/>
    </row>
    <row r="327" spans="1:9" s="4" customFormat="1" ht="18" customHeight="1" x14ac:dyDescent="0.55000000000000004">
      <c r="A327" s="18">
        <v>24.8132427</v>
      </c>
      <c r="B327" s="18">
        <v>34.8486069</v>
      </c>
      <c r="C327" s="18">
        <v>686844.52</v>
      </c>
      <c r="D327" s="18">
        <v>2745533.88</v>
      </c>
      <c r="E327" s="18">
        <v>210.59</v>
      </c>
      <c r="F327" s="18">
        <v>42058.81</v>
      </c>
      <c r="G327" s="18">
        <v>131800</v>
      </c>
      <c r="H327" s="18">
        <f t="shared" si="26"/>
        <v>42055.31</v>
      </c>
      <c r="I327" s="3"/>
    </row>
    <row r="328" spans="1:9" s="4" customFormat="1" ht="18" customHeight="1" x14ac:dyDescent="0.55000000000000004">
      <c r="A328" s="18">
        <v>24.813226</v>
      </c>
      <c r="B328" s="18">
        <v>34.8485795</v>
      </c>
      <c r="C328" s="18">
        <v>686841.77</v>
      </c>
      <c r="D328" s="18">
        <v>2745531.99</v>
      </c>
      <c r="E328" s="18">
        <v>210.62</v>
      </c>
      <c r="F328" s="18">
        <v>42053.77</v>
      </c>
      <c r="G328" s="18">
        <v>131802</v>
      </c>
      <c r="H328" s="18">
        <f t="shared" si="26"/>
        <v>42050.27</v>
      </c>
      <c r="I328" s="3"/>
    </row>
    <row r="329" spans="1:9" s="4" customFormat="1" ht="18" customHeight="1" x14ac:dyDescent="0.55000000000000004">
      <c r="A329" s="18">
        <v>24.813208499999998</v>
      </c>
      <c r="B329" s="18">
        <v>34.848553500000001</v>
      </c>
      <c r="C329" s="18">
        <v>686839.17</v>
      </c>
      <c r="D329" s="18">
        <v>2745530.02</v>
      </c>
      <c r="E329" s="18">
        <v>210.62</v>
      </c>
      <c r="F329" s="18">
        <v>42056.14</v>
      </c>
      <c r="G329" s="18">
        <v>131804</v>
      </c>
      <c r="H329" s="18">
        <f t="shared" si="26"/>
        <v>42052.639999999999</v>
      </c>
      <c r="I329" s="3"/>
    </row>
    <row r="330" spans="1:9" s="4" customFormat="1" ht="18" customHeight="1" x14ac:dyDescent="0.55000000000000004">
      <c r="A330" s="18">
        <v>24.813190200000001</v>
      </c>
      <c r="B330" s="18">
        <v>34.848529999999997</v>
      </c>
      <c r="C330" s="18">
        <v>686836.82</v>
      </c>
      <c r="D330" s="18">
        <v>2745527.95</v>
      </c>
      <c r="E330" s="18">
        <v>210.66</v>
      </c>
      <c r="F330" s="18">
        <v>42055.65</v>
      </c>
      <c r="G330" s="18">
        <v>131806</v>
      </c>
      <c r="H330" s="18">
        <f t="shared" si="26"/>
        <v>42052.15</v>
      </c>
      <c r="I330" s="3"/>
    </row>
    <row r="331" spans="1:9" s="4" customFormat="1" ht="18" customHeight="1" x14ac:dyDescent="0.55000000000000004">
      <c r="A331" s="18">
        <v>24.813171700000002</v>
      </c>
      <c r="B331" s="18">
        <v>34.848505099999997</v>
      </c>
      <c r="C331" s="18">
        <v>686834.33</v>
      </c>
      <c r="D331" s="18">
        <v>2745525.87</v>
      </c>
      <c r="E331" s="18">
        <v>210.82</v>
      </c>
      <c r="F331" s="18">
        <v>42055.82</v>
      </c>
      <c r="G331" s="18">
        <v>131808</v>
      </c>
      <c r="H331" s="18">
        <f t="shared" si="26"/>
        <v>42052.32</v>
      </c>
      <c r="I331" s="3"/>
    </row>
    <row r="332" spans="1:9" s="4" customFormat="1" ht="18" customHeight="1" x14ac:dyDescent="0.55000000000000004">
      <c r="A332" s="18">
        <v>24.8131561</v>
      </c>
      <c r="B332" s="18">
        <v>34.8484786</v>
      </c>
      <c r="C332" s="18">
        <v>686831.68</v>
      </c>
      <c r="D332" s="18">
        <v>2745524.11</v>
      </c>
      <c r="E332" s="18">
        <v>210.94</v>
      </c>
      <c r="F332" s="18">
        <v>42055.59</v>
      </c>
      <c r="G332" s="18">
        <v>131810</v>
      </c>
      <c r="H332" s="18">
        <f t="shared" si="26"/>
        <v>42052.09</v>
      </c>
      <c r="I332" s="3"/>
    </row>
    <row r="333" spans="1:9" s="4" customFormat="1" ht="18" customHeight="1" x14ac:dyDescent="0.55000000000000004">
      <c r="A333" s="18">
        <v>24.813147699999998</v>
      </c>
      <c r="B333" s="18">
        <v>34.848450300000003</v>
      </c>
      <c r="C333" s="18">
        <v>686828.82</v>
      </c>
      <c r="D333" s="18">
        <v>2745523.14</v>
      </c>
      <c r="E333" s="18">
        <v>211.12</v>
      </c>
      <c r="F333" s="18">
        <v>42054.25</v>
      </c>
      <c r="G333" s="18">
        <v>131812</v>
      </c>
      <c r="H333" s="18">
        <f t="shared" si="26"/>
        <v>42050.75</v>
      </c>
      <c r="I333" s="3"/>
    </row>
    <row r="334" spans="1:9" s="4" customFormat="1" ht="18" customHeight="1" x14ac:dyDescent="0.55000000000000004">
      <c r="A334" s="18">
        <v>24.8131381</v>
      </c>
      <c r="B334" s="18">
        <v>34.848421799999997</v>
      </c>
      <c r="C334" s="18">
        <v>686825.96</v>
      </c>
      <c r="D334" s="18">
        <v>2745522.04</v>
      </c>
      <c r="E334" s="18">
        <v>211.14</v>
      </c>
      <c r="F334" s="18">
        <v>42055.79</v>
      </c>
      <c r="G334" s="18">
        <v>131814</v>
      </c>
      <c r="H334" s="18">
        <f t="shared" si="26"/>
        <v>42052.29</v>
      </c>
      <c r="I334" s="3"/>
    </row>
    <row r="335" spans="1:9" s="4" customFormat="1" ht="18" customHeight="1" x14ac:dyDescent="0.55000000000000004">
      <c r="A335" s="18">
        <v>24.813126700000002</v>
      </c>
      <c r="B335" s="18">
        <v>34.848393000000002</v>
      </c>
      <c r="C335" s="18">
        <v>686823.07</v>
      </c>
      <c r="D335" s="18">
        <v>2745520.73</v>
      </c>
      <c r="E335" s="18">
        <v>211.19</v>
      </c>
      <c r="F335" s="18">
        <v>42054.32</v>
      </c>
      <c r="G335" s="18">
        <v>131816</v>
      </c>
      <c r="H335" s="18">
        <f t="shared" si="26"/>
        <v>42050.82</v>
      </c>
      <c r="I335" s="3"/>
    </row>
    <row r="336" spans="1:9" s="4" customFormat="1" ht="18" customHeight="1" x14ac:dyDescent="0.55000000000000004">
      <c r="A336" s="18">
        <v>24.8131129</v>
      </c>
      <c r="B336" s="18">
        <v>34.8483655</v>
      </c>
      <c r="C336" s="18">
        <v>686820.31</v>
      </c>
      <c r="D336" s="18">
        <v>2745519.17</v>
      </c>
      <c r="E336" s="18">
        <v>211.3</v>
      </c>
      <c r="F336" s="18">
        <v>42055.31</v>
      </c>
      <c r="G336" s="18">
        <v>131818</v>
      </c>
      <c r="H336" s="18">
        <f t="shared" si="26"/>
        <v>42051.81</v>
      </c>
      <c r="I336" s="3"/>
    </row>
    <row r="337" spans="1:9" s="4" customFormat="1" ht="18" customHeight="1" x14ac:dyDescent="0.55000000000000004">
      <c r="A337" s="18">
        <v>24.8130968</v>
      </c>
      <c r="B337" s="18">
        <v>34.848339799999998</v>
      </c>
      <c r="C337" s="18">
        <v>686817.73</v>
      </c>
      <c r="D337" s="18">
        <v>2745517.35</v>
      </c>
      <c r="E337" s="18">
        <v>211.39</v>
      </c>
      <c r="F337" s="18">
        <v>42054.35</v>
      </c>
      <c r="G337" s="18">
        <v>131820</v>
      </c>
      <c r="H337" s="18">
        <f t="shared" si="26"/>
        <v>42050.85</v>
      </c>
      <c r="I337" s="3"/>
    </row>
    <row r="338" spans="1:9" s="4" customFormat="1" ht="18" customHeight="1" x14ac:dyDescent="0.55000000000000004">
      <c r="A338" s="18">
        <v>24.813078699999998</v>
      </c>
      <c r="B338" s="18">
        <v>34.8483138</v>
      </c>
      <c r="C338" s="18">
        <v>686815.13</v>
      </c>
      <c r="D338" s="18">
        <v>2745515.31</v>
      </c>
      <c r="E338" s="18">
        <v>211.45</v>
      </c>
      <c r="F338" s="18">
        <v>42055.64</v>
      </c>
      <c r="G338" s="18">
        <v>131822</v>
      </c>
      <c r="H338" s="18">
        <f t="shared" si="26"/>
        <v>42052.14</v>
      </c>
      <c r="I338" s="3"/>
    </row>
    <row r="339" spans="1:9" s="4" customFormat="1" ht="18" customHeight="1" x14ac:dyDescent="0.55000000000000004">
      <c r="A339" s="18">
        <v>24.8130612</v>
      </c>
      <c r="B339" s="18">
        <v>34.848288099999998</v>
      </c>
      <c r="C339" s="18">
        <v>686812.56</v>
      </c>
      <c r="D339" s="18">
        <v>2745513.33</v>
      </c>
      <c r="E339" s="18">
        <v>211.53</v>
      </c>
      <c r="F339" s="18">
        <v>42057.51</v>
      </c>
      <c r="G339" s="18">
        <v>131824</v>
      </c>
      <c r="H339" s="18">
        <f t="shared" si="26"/>
        <v>42054.01</v>
      </c>
      <c r="I339" s="3"/>
    </row>
    <row r="340" spans="1:9" s="4" customFormat="1" ht="18" customHeight="1" x14ac:dyDescent="0.55000000000000004">
      <c r="A340" s="18">
        <v>24.813044000000001</v>
      </c>
      <c r="B340" s="18">
        <v>34.848261899999997</v>
      </c>
      <c r="C340" s="18">
        <v>686809.94</v>
      </c>
      <c r="D340" s="18">
        <v>2745511.4</v>
      </c>
      <c r="E340" s="18">
        <v>211.59</v>
      </c>
      <c r="F340" s="18">
        <v>42056.1</v>
      </c>
      <c r="G340" s="18">
        <v>131826</v>
      </c>
      <c r="H340" s="18">
        <f t="shared" si="26"/>
        <v>42052.6</v>
      </c>
      <c r="I340" s="3"/>
    </row>
    <row r="341" spans="1:9" s="4" customFormat="1" ht="18" customHeight="1" x14ac:dyDescent="0.55000000000000004">
      <c r="A341" s="18">
        <v>24.813024299999999</v>
      </c>
      <c r="B341" s="18">
        <v>34.848239999999997</v>
      </c>
      <c r="C341" s="18">
        <v>686807.76</v>
      </c>
      <c r="D341" s="18">
        <v>2745509.18</v>
      </c>
      <c r="E341" s="18">
        <v>211.62</v>
      </c>
      <c r="F341" s="18">
        <v>42057.36</v>
      </c>
      <c r="G341" s="18">
        <v>131828</v>
      </c>
      <c r="H341" s="18">
        <f t="shared" si="26"/>
        <v>42053.86</v>
      </c>
      <c r="I341" s="3"/>
    </row>
    <row r="342" spans="1:9" s="4" customFormat="1" ht="18" customHeight="1" x14ac:dyDescent="0.55000000000000004">
      <c r="A342" s="18">
        <v>24.813000599999999</v>
      </c>
      <c r="B342" s="18">
        <v>34.848219999999998</v>
      </c>
      <c r="C342" s="18">
        <v>686805.76</v>
      </c>
      <c r="D342" s="18">
        <v>2745506.53</v>
      </c>
      <c r="E342" s="18">
        <v>211.62</v>
      </c>
      <c r="F342" s="18">
        <v>42057.47</v>
      </c>
      <c r="G342" s="18">
        <v>131830</v>
      </c>
      <c r="H342" s="18">
        <f t="shared" si="26"/>
        <v>42053.97</v>
      </c>
      <c r="I342" s="3"/>
    </row>
    <row r="343" spans="1:9" s="4" customFormat="1" ht="18" customHeight="1" x14ac:dyDescent="0.55000000000000004">
      <c r="A343" s="18">
        <v>24.812980899999999</v>
      </c>
      <c r="B343" s="18">
        <v>34.848195799999999</v>
      </c>
      <c r="C343" s="18">
        <v>686803.35</v>
      </c>
      <c r="D343" s="18">
        <v>2745504.31</v>
      </c>
      <c r="E343" s="18">
        <v>211.65</v>
      </c>
      <c r="F343" s="18">
        <v>42057.3</v>
      </c>
      <c r="G343" s="18">
        <v>131832</v>
      </c>
      <c r="H343" s="18">
        <f t="shared" si="26"/>
        <v>42053.8</v>
      </c>
      <c r="I343" s="3"/>
    </row>
    <row r="344" spans="1:9" s="4" customFormat="1" ht="18" customHeight="1" x14ac:dyDescent="0.55000000000000004">
      <c r="A344" s="18">
        <v>24.812963799999999</v>
      </c>
      <c r="B344" s="18">
        <v>34.848170199999998</v>
      </c>
      <c r="C344" s="18">
        <v>686800.79</v>
      </c>
      <c r="D344" s="18">
        <v>2745502.39</v>
      </c>
      <c r="E344" s="18">
        <v>211.65</v>
      </c>
      <c r="F344" s="18">
        <v>42054.76</v>
      </c>
      <c r="G344" s="18">
        <v>131834</v>
      </c>
      <c r="H344" s="18">
        <f t="shared" si="26"/>
        <v>42051.26</v>
      </c>
      <c r="I344" s="3"/>
    </row>
    <row r="345" spans="1:9" s="4" customFormat="1" ht="18" customHeight="1" x14ac:dyDescent="0.55000000000000004">
      <c r="A345" s="18">
        <v>24.812942400000001</v>
      </c>
      <c r="B345" s="18">
        <v>34.848148700000003</v>
      </c>
      <c r="C345" s="18">
        <v>686798.64</v>
      </c>
      <c r="D345" s="18">
        <v>2745499.99</v>
      </c>
      <c r="E345" s="18">
        <v>211.65</v>
      </c>
      <c r="F345" s="18">
        <v>42053.75</v>
      </c>
      <c r="G345" s="18">
        <v>131836</v>
      </c>
      <c r="H345" s="18">
        <f t="shared" si="26"/>
        <v>42050.25</v>
      </c>
      <c r="I345" s="3"/>
    </row>
    <row r="346" spans="1:9" s="4" customFormat="1" ht="18" customHeight="1" x14ac:dyDescent="0.55000000000000004">
      <c r="A346" s="18">
        <v>24.812919300000001</v>
      </c>
      <c r="B346" s="18">
        <v>34.848128099999997</v>
      </c>
      <c r="C346" s="18">
        <v>686796.6</v>
      </c>
      <c r="D346" s="18">
        <v>2745497.4</v>
      </c>
      <c r="E346" s="18">
        <v>211.67</v>
      </c>
      <c r="F346" s="18">
        <v>42056.19</v>
      </c>
      <c r="G346" s="18">
        <v>131838</v>
      </c>
      <c r="H346" s="18">
        <f t="shared" si="26"/>
        <v>42052.69</v>
      </c>
      <c r="I346" s="3"/>
    </row>
    <row r="347" spans="1:9" s="4" customFormat="1" ht="18" customHeight="1" x14ac:dyDescent="0.55000000000000004">
      <c r="A347" s="18">
        <v>24.812897899999999</v>
      </c>
      <c r="B347" s="18">
        <v>34.8481071</v>
      </c>
      <c r="C347" s="18">
        <v>686794.5</v>
      </c>
      <c r="D347" s="18">
        <v>2745495</v>
      </c>
      <c r="E347" s="18">
        <v>211.71</v>
      </c>
      <c r="F347" s="18">
        <v>42059.64</v>
      </c>
      <c r="G347" s="18">
        <v>131840</v>
      </c>
      <c r="H347" s="18">
        <f t="shared" si="26"/>
        <v>42056.14</v>
      </c>
      <c r="I347" s="3"/>
    </row>
    <row r="348" spans="1:9" s="4" customFormat="1" ht="18" customHeight="1" x14ac:dyDescent="0.55000000000000004">
      <c r="A348" s="18">
        <v>24.812878900000001</v>
      </c>
      <c r="B348" s="18">
        <v>34.848083899999999</v>
      </c>
      <c r="C348" s="18">
        <v>686792.18</v>
      </c>
      <c r="D348" s="18">
        <v>2745492.86</v>
      </c>
      <c r="E348" s="18">
        <v>211.66</v>
      </c>
      <c r="F348" s="18">
        <v>42058.89</v>
      </c>
      <c r="G348" s="18">
        <v>131842</v>
      </c>
      <c r="H348" s="18">
        <f t="shared" si="26"/>
        <v>42055.39</v>
      </c>
      <c r="I348" s="3"/>
    </row>
    <row r="349" spans="1:9" s="4" customFormat="1" ht="18" customHeight="1" x14ac:dyDescent="0.55000000000000004">
      <c r="A349" s="18">
        <v>24.812860799999999</v>
      </c>
      <c r="B349" s="18">
        <v>34.848060699999998</v>
      </c>
      <c r="C349" s="18">
        <v>686789.87</v>
      </c>
      <c r="D349" s="18">
        <v>2745490.83</v>
      </c>
      <c r="E349" s="18">
        <v>211.61</v>
      </c>
      <c r="F349" s="18">
        <v>42057.73</v>
      </c>
      <c r="G349" s="18">
        <v>131844</v>
      </c>
      <c r="H349" s="18">
        <f t="shared" si="26"/>
        <v>42054.23</v>
      </c>
      <c r="I349" s="3"/>
    </row>
    <row r="350" spans="1:9" s="4" customFormat="1" ht="18" customHeight="1" x14ac:dyDescent="0.55000000000000004">
      <c r="A350" s="18">
        <v>24.8128429</v>
      </c>
      <c r="B350" s="18">
        <v>34.848036999999998</v>
      </c>
      <c r="C350" s="18">
        <v>686787.5</v>
      </c>
      <c r="D350" s="18">
        <v>2745488.81</v>
      </c>
      <c r="E350" s="18">
        <v>211.59</v>
      </c>
      <c r="F350" s="18">
        <v>42057.88</v>
      </c>
      <c r="G350" s="18">
        <v>131846</v>
      </c>
      <c r="H350" s="18">
        <f t="shared" si="26"/>
        <v>42054.38</v>
      </c>
      <c r="I350" s="3"/>
    </row>
    <row r="351" spans="1:9" s="4" customFormat="1" ht="18" customHeight="1" x14ac:dyDescent="0.55000000000000004">
      <c r="A351" s="18">
        <v>24.812826099999999</v>
      </c>
      <c r="B351" s="18">
        <v>34.848013700000003</v>
      </c>
      <c r="C351" s="18">
        <v>686785.17</v>
      </c>
      <c r="D351" s="18">
        <v>2745486.92</v>
      </c>
      <c r="E351" s="18">
        <v>211.56</v>
      </c>
      <c r="F351" s="18">
        <v>42060.22</v>
      </c>
      <c r="G351" s="18">
        <v>131848</v>
      </c>
      <c r="H351" s="18">
        <f t="shared" si="26"/>
        <v>42056.72</v>
      </c>
      <c r="I351" s="3"/>
    </row>
    <row r="352" spans="1:9" s="4" customFormat="1" ht="18" customHeight="1" x14ac:dyDescent="0.55000000000000004">
      <c r="A352" s="18">
        <v>24.8128055</v>
      </c>
      <c r="B352" s="18">
        <v>34.847993500000001</v>
      </c>
      <c r="C352" s="18">
        <v>686783.16</v>
      </c>
      <c r="D352" s="18">
        <v>2745484.61</v>
      </c>
      <c r="E352" s="18">
        <v>211.63</v>
      </c>
      <c r="F352" s="18">
        <v>42057.88</v>
      </c>
      <c r="G352" s="18">
        <v>131850</v>
      </c>
      <c r="H352" s="18">
        <f t="shared" si="26"/>
        <v>42054.38</v>
      </c>
      <c r="I352" s="3"/>
    </row>
    <row r="353" spans="1:9" s="4" customFormat="1" ht="18" customHeight="1" x14ac:dyDescent="0.55000000000000004">
      <c r="A353" s="18">
        <v>24.812785600000002</v>
      </c>
      <c r="B353" s="18">
        <v>34.847971200000003</v>
      </c>
      <c r="C353" s="18">
        <v>686780.94</v>
      </c>
      <c r="D353" s="18">
        <v>2745482.37</v>
      </c>
      <c r="E353" s="18">
        <v>211.68</v>
      </c>
      <c r="F353" s="18">
        <v>42057.55</v>
      </c>
      <c r="G353" s="18">
        <v>131852</v>
      </c>
      <c r="H353" s="18">
        <f t="shared" si="26"/>
        <v>42054.05</v>
      </c>
      <c r="I353" s="3"/>
    </row>
    <row r="354" spans="1:9" s="4" customFormat="1" ht="18" customHeight="1" x14ac:dyDescent="0.55000000000000004">
      <c r="A354" s="18">
        <v>24.812764300000001</v>
      </c>
      <c r="B354" s="18">
        <v>34.847953400000002</v>
      </c>
      <c r="C354" s="18">
        <v>686779.17</v>
      </c>
      <c r="D354" s="18">
        <v>2745479.99</v>
      </c>
      <c r="E354" s="18">
        <v>211.76</v>
      </c>
      <c r="F354" s="18">
        <v>42057.46</v>
      </c>
      <c r="G354" s="18">
        <v>131854</v>
      </c>
      <c r="H354" s="18">
        <f t="shared" si="26"/>
        <v>42053.96</v>
      </c>
      <c r="I354" s="3"/>
    </row>
    <row r="355" spans="1:9" s="4" customFormat="1" ht="18" customHeight="1" x14ac:dyDescent="0.55000000000000004">
      <c r="A355" s="18">
        <v>24.812743399999999</v>
      </c>
      <c r="B355" s="18">
        <v>34.847930499999997</v>
      </c>
      <c r="C355" s="18">
        <v>686776.88</v>
      </c>
      <c r="D355" s="18">
        <v>2745477.64</v>
      </c>
      <c r="E355" s="18">
        <v>211.92</v>
      </c>
      <c r="F355" s="18">
        <v>42057.21</v>
      </c>
      <c r="G355" s="18">
        <v>131856</v>
      </c>
      <c r="H355" s="18">
        <f t="shared" ref="H355:H418" si="27">SUM(F355-3.5)</f>
        <v>42053.71</v>
      </c>
      <c r="I355" s="3"/>
    </row>
    <row r="356" spans="1:9" s="4" customFormat="1" ht="18" customHeight="1" x14ac:dyDescent="0.55000000000000004">
      <c r="A356" s="18">
        <v>24.8127283</v>
      </c>
      <c r="B356" s="18">
        <v>34.847905300000001</v>
      </c>
      <c r="C356" s="18">
        <v>686774.36</v>
      </c>
      <c r="D356" s="18">
        <v>2745475.94</v>
      </c>
      <c r="E356" s="18">
        <v>212.19</v>
      </c>
      <c r="F356" s="18">
        <v>42057.48</v>
      </c>
      <c r="G356" s="18">
        <v>131858</v>
      </c>
      <c r="H356" s="18">
        <f t="shared" si="27"/>
        <v>42053.98</v>
      </c>
      <c r="I356" s="3"/>
    </row>
    <row r="357" spans="1:9" s="4" customFormat="1" ht="18" customHeight="1" x14ac:dyDescent="0.55000000000000004">
      <c r="A357" s="18">
        <v>24.8127122</v>
      </c>
      <c r="B357" s="18">
        <v>34.847881700000002</v>
      </c>
      <c r="C357" s="18">
        <v>686771.99</v>
      </c>
      <c r="D357" s="18">
        <v>2745474.12</v>
      </c>
      <c r="E357" s="18">
        <v>212.33</v>
      </c>
      <c r="F357" s="18">
        <v>42058.66</v>
      </c>
      <c r="G357" s="18">
        <v>131900</v>
      </c>
      <c r="H357" s="18">
        <f t="shared" si="27"/>
        <v>42055.16</v>
      </c>
      <c r="I357" s="3"/>
    </row>
    <row r="358" spans="1:9" s="4" customFormat="1" ht="18" customHeight="1" x14ac:dyDescent="0.55000000000000004">
      <c r="A358" s="18">
        <v>24.812694</v>
      </c>
      <c r="B358" s="18">
        <v>34.847857099999999</v>
      </c>
      <c r="C358" s="18">
        <v>686769.54</v>
      </c>
      <c r="D358" s="18">
        <v>2745472.08</v>
      </c>
      <c r="E358" s="18">
        <v>212.46</v>
      </c>
      <c r="F358" s="18">
        <v>42056.14</v>
      </c>
      <c r="G358" s="18">
        <v>131902</v>
      </c>
      <c r="H358" s="18">
        <f t="shared" si="27"/>
        <v>42052.639999999999</v>
      </c>
      <c r="I358" s="3"/>
    </row>
    <row r="359" spans="1:9" s="4" customFormat="1" ht="18" customHeight="1" x14ac:dyDescent="0.55000000000000004">
      <c r="A359" s="18">
        <v>24.8126815</v>
      </c>
      <c r="B359" s="18">
        <v>34.847832599999997</v>
      </c>
      <c r="C359" s="18">
        <v>686767.08</v>
      </c>
      <c r="D359" s="18">
        <v>2745470.66</v>
      </c>
      <c r="E359" s="18">
        <v>212.63</v>
      </c>
      <c r="F359" s="18">
        <v>42055.12</v>
      </c>
      <c r="G359" s="18">
        <v>131904</v>
      </c>
      <c r="H359" s="18">
        <f t="shared" si="27"/>
        <v>42051.62</v>
      </c>
      <c r="I359" s="3"/>
    </row>
    <row r="360" spans="1:9" s="4" customFormat="1" ht="18" customHeight="1" x14ac:dyDescent="0.55000000000000004">
      <c r="A360" s="18">
        <v>24.812664099999999</v>
      </c>
      <c r="B360" s="18">
        <v>34.847810500000001</v>
      </c>
      <c r="C360" s="18">
        <v>686764.87</v>
      </c>
      <c r="D360" s="18">
        <v>2745468.7</v>
      </c>
      <c r="E360" s="18">
        <v>212.72</v>
      </c>
      <c r="F360" s="18">
        <v>42056.61</v>
      </c>
      <c r="G360" s="18">
        <v>131906</v>
      </c>
      <c r="H360" s="18">
        <f t="shared" si="27"/>
        <v>42053.11</v>
      </c>
      <c r="I360" s="3"/>
    </row>
    <row r="361" spans="1:9" s="4" customFormat="1" ht="18" customHeight="1" x14ac:dyDescent="0.55000000000000004">
      <c r="A361" s="18">
        <v>24.8126484</v>
      </c>
      <c r="B361" s="18">
        <v>34.847784900000001</v>
      </c>
      <c r="C361" s="18">
        <v>686762.31</v>
      </c>
      <c r="D361" s="18">
        <v>2745466.92</v>
      </c>
      <c r="E361" s="18">
        <v>212.8</v>
      </c>
      <c r="F361" s="18">
        <v>42057</v>
      </c>
      <c r="G361" s="18">
        <v>131908</v>
      </c>
      <c r="H361" s="18">
        <f t="shared" si="27"/>
        <v>42053.5</v>
      </c>
      <c r="I361" s="3"/>
    </row>
    <row r="362" spans="1:9" s="4" customFormat="1" ht="18" customHeight="1" x14ac:dyDescent="0.55000000000000004">
      <c r="A362" s="18">
        <v>24.812630800000001</v>
      </c>
      <c r="B362" s="18">
        <v>34.847760800000003</v>
      </c>
      <c r="C362" s="18">
        <v>686759.9</v>
      </c>
      <c r="D362" s="18">
        <v>2745464.95</v>
      </c>
      <c r="E362" s="18">
        <v>212.89</v>
      </c>
      <c r="F362" s="18">
        <v>42058.29</v>
      </c>
      <c r="G362" s="18">
        <v>131910</v>
      </c>
      <c r="H362" s="18">
        <f t="shared" si="27"/>
        <v>42054.79</v>
      </c>
      <c r="I362" s="3"/>
    </row>
    <row r="363" spans="1:9" s="4" customFormat="1" ht="18" customHeight="1" x14ac:dyDescent="0.55000000000000004">
      <c r="A363" s="18">
        <v>24.812611700000001</v>
      </c>
      <c r="B363" s="18">
        <v>34.847738800000002</v>
      </c>
      <c r="C363" s="18">
        <v>686757.7</v>
      </c>
      <c r="D363" s="18">
        <v>2745462.79</v>
      </c>
      <c r="E363" s="18">
        <v>213.01</v>
      </c>
      <c r="F363" s="18">
        <v>42059.55</v>
      </c>
      <c r="G363" s="18">
        <v>131912</v>
      </c>
      <c r="H363" s="18">
        <f t="shared" si="27"/>
        <v>42056.05</v>
      </c>
      <c r="I363" s="3"/>
    </row>
    <row r="364" spans="1:9" s="4" customFormat="1" ht="18" customHeight="1" x14ac:dyDescent="0.55000000000000004">
      <c r="A364" s="18">
        <v>24.812594499999999</v>
      </c>
      <c r="B364" s="18">
        <v>34.847715399999998</v>
      </c>
      <c r="C364" s="18">
        <v>686755.36</v>
      </c>
      <c r="D364" s="18">
        <v>2745460.86</v>
      </c>
      <c r="E364" s="18">
        <v>213.1</v>
      </c>
      <c r="F364" s="18">
        <v>42057.62</v>
      </c>
      <c r="G364" s="18">
        <v>131914</v>
      </c>
      <c r="H364" s="18">
        <f t="shared" si="27"/>
        <v>42054.12</v>
      </c>
      <c r="I364" s="3"/>
    </row>
    <row r="365" spans="1:9" s="4" customFormat="1" ht="18" customHeight="1" x14ac:dyDescent="0.55000000000000004">
      <c r="A365" s="18">
        <v>24.8125827</v>
      </c>
      <c r="B365" s="18">
        <v>34.8476882</v>
      </c>
      <c r="C365" s="18">
        <v>686752.63</v>
      </c>
      <c r="D365" s="18">
        <v>2745459.51</v>
      </c>
      <c r="E365" s="18">
        <v>213.14</v>
      </c>
      <c r="F365" s="18">
        <v>42055.07</v>
      </c>
      <c r="G365" s="18">
        <v>131916</v>
      </c>
      <c r="H365" s="18">
        <f t="shared" si="27"/>
        <v>42051.57</v>
      </c>
      <c r="I365" s="3"/>
    </row>
    <row r="366" spans="1:9" s="4" customFormat="1" ht="18" customHeight="1" x14ac:dyDescent="0.55000000000000004">
      <c r="A366" s="18">
        <v>24.8125763</v>
      </c>
      <c r="B366" s="18">
        <v>34.847666500000003</v>
      </c>
      <c r="C366" s="18">
        <v>686750.44</v>
      </c>
      <c r="D366" s="18">
        <v>2745458.77</v>
      </c>
      <c r="E366" s="18">
        <v>213.31</v>
      </c>
      <c r="F366" s="18">
        <v>42062.879999999997</v>
      </c>
      <c r="G366" s="18">
        <v>131918</v>
      </c>
      <c r="H366" s="18">
        <f t="shared" si="27"/>
        <v>42059.38</v>
      </c>
      <c r="I366" s="3"/>
    </row>
    <row r="367" spans="1:9" s="4" customFormat="1" ht="18" customHeight="1" x14ac:dyDescent="0.55000000000000004">
      <c r="A367" s="18">
        <v>24.8125775</v>
      </c>
      <c r="B367" s="18">
        <v>34.847650600000001</v>
      </c>
      <c r="C367" s="18">
        <v>686748.83</v>
      </c>
      <c r="D367" s="18">
        <v>2745458.89</v>
      </c>
      <c r="E367" s="18">
        <v>213.27</v>
      </c>
      <c r="F367" s="18">
        <v>42052.71</v>
      </c>
      <c r="G367" s="18">
        <v>131920</v>
      </c>
      <c r="H367" s="18">
        <f t="shared" si="27"/>
        <v>42049.21</v>
      </c>
      <c r="I367" s="3"/>
    </row>
    <row r="368" spans="1:9" s="4" customFormat="1" ht="18" customHeight="1" x14ac:dyDescent="0.55000000000000004">
      <c r="A368" s="18">
        <v>24.812568299999999</v>
      </c>
      <c r="B368" s="18">
        <v>34.847624600000003</v>
      </c>
      <c r="C368" s="18">
        <v>686746.22</v>
      </c>
      <c r="D368" s="18">
        <v>2745457.83</v>
      </c>
      <c r="E368" s="18">
        <v>213.4</v>
      </c>
      <c r="F368" s="18">
        <v>42054.69</v>
      </c>
      <c r="G368" s="18">
        <v>131922</v>
      </c>
      <c r="H368" s="18">
        <f t="shared" si="27"/>
        <v>42051.19</v>
      </c>
      <c r="I368" s="3"/>
    </row>
    <row r="369" spans="1:9" s="4" customFormat="1" ht="18" customHeight="1" x14ac:dyDescent="0.55000000000000004">
      <c r="A369" s="18">
        <v>24.8125562</v>
      </c>
      <c r="B369" s="18">
        <v>34.8475988</v>
      </c>
      <c r="C369" s="18">
        <v>686743.63</v>
      </c>
      <c r="D369" s="18">
        <v>2745456.46</v>
      </c>
      <c r="E369" s="18">
        <v>213.46</v>
      </c>
      <c r="F369" s="18">
        <v>42055.24</v>
      </c>
      <c r="G369" s="18">
        <v>131924</v>
      </c>
      <c r="H369" s="18">
        <f t="shared" si="27"/>
        <v>42051.74</v>
      </c>
      <c r="I369" s="3"/>
    </row>
    <row r="370" spans="1:9" s="4" customFormat="1" ht="18" customHeight="1" x14ac:dyDescent="0.55000000000000004">
      <c r="A370" s="18">
        <v>24.812543999999999</v>
      </c>
      <c r="B370" s="18">
        <v>34.847575499999998</v>
      </c>
      <c r="C370" s="18">
        <v>686741.29</v>
      </c>
      <c r="D370" s="18">
        <v>2745455.08</v>
      </c>
      <c r="E370" s="18">
        <v>213.53</v>
      </c>
      <c r="F370" s="18">
        <v>42047.72</v>
      </c>
      <c r="G370" s="18">
        <v>131926</v>
      </c>
      <c r="H370" s="18">
        <f t="shared" si="27"/>
        <v>42044.22</v>
      </c>
      <c r="I370" s="3"/>
    </row>
    <row r="371" spans="1:9" s="4" customFormat="1" ht="18" customHeight="1" x14ac:dyDescent="0.55000000000000004">
      <c r="A371" s="18">
        <v>24.812529399999999</v>
      </c>
      <c r="B371" s="18">
        <v>34.847551699999997</v>
      </c>
      <c r="C371" s="18">
        <v>686738.91</v>
      </c>
      <c r="D371" s="18">
        <v>2745453.42</v>
      </c>
      <c r="E371" s="18">
        <v>213.64</v>
      </c>
      <c r="F371" s="18">
        <v>42049.21</v>
      </c>
      <c r="G371" s="18">
        <v>131928</v>
      </c>
      <c r="H371" s="18">
        <f t="shared" si="27"/>
        <v>42045.71</v>
      </c>
      <c r="I371" s="3"/>
    </row>
    <row r="372" spans="1:9" s="4" customFormat="1" ht="18" customHeight="1" x14ac:dyDescent="0.55000000000000004">
      <c r="A372" s="18">
        <v>24.812515999999999</v>
      </c>
      <c r="B372" s="18">
        <v>34.847536300000002</v>
      </c>
      <c r="C372" s="18">
        <v>686737.37</v>
      </c>
      <c r="D372" s="18">
        <v>2745451.92</v>
      </c>
      <c r="E372" s="18">
        <v>213.65</v>
      </c>
      <c r="F372" s="18">
        <v>42051.26</v>
      </c>
      <c r="G372" s="18">
        <v>131930</v>
      </c>
      <c r="H372" s="18">
        <f t="shared" si="27"/>
        <v>42047.76</v>
      </c>
      <c r="I372" s="3"/>
    </row>
    <row r="373" spans="1:9" s="4" customFormat="1" ht="18" customHeight="1" x14ac:dyDescent="0.55000000000000004">
      <c r="A373" s="18">
        <v>24.812496599999999</v>
      </c>
      <c r="B373" s="18">
        <v>34.847525699999998</v>
      </c>
      <c r="C373" s="18">
        <v>686736.33</v>
      </c>
      <c r="D373" s="18">
        <v>2745449.75</v>
      </c>
      <c r="E373" s="18">
        <v>213.7</v>
      </c>
      <c r="F373" s="18">
        <v>42051.85</v>
      </c>
      <c r="G373" s="18">
        <v>131932</v>
      </c>
      <c r="H373" s="18">
        <f t="shared" si="27"/>
        <v>42048.35</v>
      </c>
      <c r="I373" s="3"/>
    </row>
    <row r="374" spans="1:9" s="4" customFormat="1" ht="18" customHeight="1" x14ac:dyDescent="0.55000000000000004">
      <c r="A374" s="18">
        <v>24.812482599999999</v>
      </c>
      <c r="B374" s="18">
        <v>34.847500500000002</v>
      </c>
      <c r="C374" s="18">
        <v>686733.8</v>
      </c>
      <c r="D374" s="18">
        <v>2745448.17</v>
      </c>
      <c r="E374" s="18">
        <v>213.74</v>
      </c>
      <c r="F374" s="18">
        <v>42057.53</v>
      </c>
      <c r="G374" s="18">
        <v>131934</v>
      </c>
      <c r="H374" s="18">
        <f t="shared" si="27"/>
        <v>42054.03</v>
      </c>
      <c r="I374" s="3"/>
    </row>
    <row r="375" spans="1:9" s="4" customFormat="1" ht="18" customHeight="1" x14ac:dyDescent="0.55000000000000004">
      <c r="A375" s="18">
        <v>24.8124757</v>
      </c>
      <c r="B375" s="18">
        <v>34.8474717</v>
      </c>
      <c r="C375" s="18">
        <v>686730.9</v>
      </c>
      <c r="D375" s="18">
        <v>2745447.37</v>
      </c>
      <c r="E375" s="18">
        <v>213.76</v>
      </c>
      <c r="F375" s="18">
        <v>42051.53</v>
      </c>
      <c r="G375" s="18">
        <v>131936</v>
      </c>
      <c r="H375" s="18">
        <f t="shared" si="27"/>
        <v>42048.03</v>
      </c>
      <c r="I375" s="3"/>
    </row>
    <row r="376" spans="1:9" s="4" customFormat="1" ht="18" customHeight="1" x14ac:dyDescent="0.55000000000000004">
      <c r="A376" s="18">
        <v>24.8124675</v>
      </c>
      <c r="B376" s="18">
        <v>34.847443400000003</v>
      </c>
      <c r="C376" s="18">
        <v>686728.05</v>
      </c>
      <c r="D376" s="18">
        <v>2745446.42</v>
      </c>
      <c r="E376" s="18">
        <v>213.77</v>
      </c>
      <c r="F376" s="18">
        <v>42049.46</v>
      </c>
      <c r="G376" s="18">
        <v>131938</v>
      </c>
      <c r="H376" s="18">
        <f t="shared" si="27"/>
        <v>42045.96</v>
      </c>
      <c r="I376" s="3"/>
    </row>
    <row r="377" spans="1:9" s="4" customFormat="1" ht="18" customHeight="1" x14ac:dyDescent="0.55000000000000004">
      <c r="A377" s="18">
        <v>24.812452400000002</v>
      </c>
      <c r="B377" s="18">
        <v>34.847416899999999</v>
      </c>
      <c r="C377" s="18">
        <v>686725.4</v>
      </c>
      <c r="D377" s="18">
        <v>2745444.71</v>
      </c>
      <c r="E377" s="18">
        <v>213.81</v>
      </c>
      <c r="F377" s="18">
        <v>42046.879999999997</v>
      </c>
      <c r="G377" s="18">
        <v>131940</v>
      </c>
      <c r="H377" s="18">
        <f t="shared" si="27"/>
        <v>42043.38</v>
      </c>
      <c r="I377" s="3"/>
    </row>
    <row r="378" spans="1:9" s="4" customFormat="1" ht="18" customHeight="1" x14ac:dyDescent="0.55000000000000004">
      <c r="A378" s="18">
        <v>24.812432300000001</v>
      </c>
      <c r="B378" s="18">
        <v>34.847396199999999</v>
      </c>
      <c r="C378" s="18">
        <v>686723.33</v>
      </c>
      <c r="D378" s="18">
        <v>2745442.46</v>
      </c>
      <c r="E378" s="18">
        <v>213.83</v>
      </c>
      <c r="F378" s="18">
        <v>42048.72</v>
      </c>
      <c r="G378" s="18">
        <v>131942</v>
      </c>
      <c r="H378" s="18">
        <f t="shared" si="27"/>
        <v>42045.22</v>
      </c>
      <c r="I378" s="3"/>
    </row>
    <row r="379" spans="1:9" s="4" customFormat="1" ht="18" customHeight="1" x14ac:dyDescent="0.55000000000000004">
      <c r="A379" s="18">
        <v>24.812412900000002</v>
      </c>
      <c r="B379" s="18">
        <v>34.847373699999999</v>
      </c>
      <c r="C379" s="18">
        <v>686721.08</v>
      </c>
      <c r="D379" s="18">
        <v>2745440.27</v>
      </c>
      <c r="E379" s="18">
        <v>213.91</v>
      </c>
      <c r="F379" s="18">
        <v>42050.13</v>
      </c>
      <c r="G379" s="18">
        <v>131944</v>
      </c>
      <c r="H379" s="18">
        <f t="shared" si="27"/>
        <v>42046.63</v>
      </c>
      <c r="I379" s="3"/>
    </row>
    <row r="380" spans="1:9" s="4" customFormat="1" ht="18" customHeight="1" x14ac:dyDescent="0.55000000000000004">
      <c r="A380" s="18">
        <v>24.812393400000001</v>
      </c>
      <c r="B380" s="18">
        <v>34.847352100000002</v>
      </c>
      <c r="C380" s="18">
        <v>686718.93</v>
      </c>
      <c r="D380" s="18">
        <v>2745438.08</v>
      </c>
      <c r="E380" s="18">
        <v>213.96</v>
      </c>
      <c r="F380" s="18">
        <v>42047.79</v>
      </c>
      <c r="G380" s="18">
        <v>131946</v>
      </c>
      <c r="H380" s="18">
        <f t="shared" si="27"/>
        <v>42044.29</v>
      </c>
      <c r="I380" s="3"/>
    </row>
    <row r="381" spans="1:9" s="4" customFormat="1" ht="18" customHeight="1" x14ac:dyDescent="0.55000000000000004">
      <c r="A381" s="18">
        <v>24.8123738</v>
      </c>
      <c r="B381" s="18">
        <v>34.847332600000001</v>
      </c>
      <c r="C381" s="18">
        <v>686716.99</v>
      </c>
      <c r="D381" s="18">
        <v>2745435.89</v>
      </c>
      <c r="E381" s="18">
        <v>213.99</v>
      </c>
      <c r="F381" s="18">
        <v>42045.04</v>
      </c>
      <c r="G381" s="18">
        <v>131948</v>
      </c>
      <c r="H381" s="18">
        <f t="shared" si="27"/>
        <v>42041.54</v>
      </c>
      <c r="I381" s="3"/>
    </row>
    <row r="382" spans="1:9" s="4" customFormat="1" ht="18" customHeight="1" x14ac:dyDescent="0.55000000000000004">
      <c r="A382" s="18">
        <v>24.812350299999999</v>
      </c>
      <c r="B382" s="18">
        <v>34.847314900000001</v>
      </c>
      <c r="C382" s="18">
        <v>686715.23</v>
      </c>
      <c r="D382" s="18">
        <v>2745433.26</v>
      </c>
      <c r="E382" s="18">
        <v>214.01</v>
      </c>
      <c r="F382" s="18">
        <v>42047.57</v>
      </c>
      <c r="G382" s="18">
        <v>131950</v>
      </c>
      <c r="H382" s="18">
        <f t="shared" si="27"/>
        <v>42044.07</v>
      </c>
      <c r="I382" s="3"/>
    </row>
    <row r="383" spans="1:9" s="4" customFormat="1" ht="18" customHeight="1" x14ac:dyDescent="0.55000000000000004">
      <c r="A383" s="18">
        <v>24.8123267</v>
      </c>
      <c r="B383" s="18">
        <v>34.847297400000002</v>
      </c>
      <c r="C383" s="18">
        <v>686713.5</v>
      </c>
      <c r="D383" s="18">
        <v>2745430.62</v>
      </c>
      <c r="E383" s="18">
        <v>214.07</v>
      </c>
      <c r="F383" s="18">
        <v>42049.77</v>
      </c>
      <c r="G383" s="18">
        <v>131952</v>
      </c>
      <c r="H383" s="18">
        <f t="shared" si="27"/>
        <v>42046.27</v>
      </c>
      <c r="I383" s="3"/>
    </row>
    <row r="384" spans="1:9" s="4" customFormat="1" ht="18" customHeight="1" x14ac:dyDescent="0.55000000000000004">
      <c r="A384" s="18">
        <v>24.812302899999999</v>
      </c>
      <c r="B384" s="18">
        <v>34.847280300000001</v>
      </c>
      <c r="C384" s="18">
        <v>686711.81</v>
      </c>
      <c r="D384" s="18">
        <v>2745427.96</v>
      </c>
      <c r="E384" s="18">
        <v>214.08</v>
      </c>
      <c r="F384" s="18">
        <v>42050.1</v>
      </c>
      <c r="G384" s="18">
        <v>131954</v>
      </c>
      <c r="H384" s="18">
        <f t="shared" si="27"/>
        <v>42046.6</v>
      </c>
      <c r="I384" s="3"/>
    </row>
    <row r="385" spans="1:9" s="4" customFormat="1" ht="18" customHeight="1" x14ac:dyDescent="0.55000000000000004">
      <c r="A385" s="18">
        <v>24.812283300000001</v>
      </c>
      <c r="B385" s="18">
        <v>34.847257999999997</v>
      </c>
      <c r="C385" s="18">
        <v>686709.59</v>
      </c>
      <c r="D385" s="18">
        <v>2745425.76</v>
      </c>
      <c r="E385" s="18">
        <v>214.1</v>
      </c>
      <c r="F385" s="18">
        <v>42051.6</v>
      </c>
      <c r="G385" s="18">
        <v>131956</v>
      </c>
      <c r="H385" s="18">
        <f t="shared" si="27"/>
        <v>42048.1</v>
      </c>
      <c r="I385" s="3"/>
    </row>
    <row r="386" spans="1:9" s="4" customFormat="1" ht="18" customHeight="1" x14ac:dyDescent="0.55000000000000004">
      <c r="A386" s="18">
        <v>24.8122638</v>
      </c>
      <c r="B386" s="18">
        <v>34.847236199999998</v>
      </c>
      <c r="C386" s="18">
        <v>686707.41</v>
      </c>
      <c r="D386" s="18">
        <v>2745423.57</v>
      </c>
      <c r="E386" s="18">
        <v>214.07</v>
      </c>
      <c r="F386" s="18">
        <v>42046.87</v>
      </c>
      <c r="G386" s="18">
        <v>131958</v>
      </c>
      <c r="H386" s="18">
        <f t="shared" si="27"/>
        <v>42043.37</v>
      </c>
      <c r="I386" s="3"/>
    </row>
    <row r="387" spans="1:9" s="4" customFormat="1" ht="18" customHeight="1" x14ac:dyDescent="0.55000000000000004">
      <c r="A387" s="18">
        <v>24.8122416</v>
      </c>
      <c r="B387" s="18">
        <v>34.847218300000002</v>
      </c>
      <c r="C387" s="18">
        <v>686705.63</v>
      </c>
      <c r="D387" s="18">
        <v>2745421.09</v>
      </c>
      <c r="E387" s="18">
        <v>214.04</v>
      </c>
      <c r="F387" s="18">
        <v>42047.61</v>
      </c>
      <c r="G387" s="18">
        <v>132000</v>
      </c>
      <c r="H387" s="18">
        <f t="shared" si="27"/>
        <v>42044.11</v>
      </c>
      <c r="I387" s="3"/>
    </row>
    <row r="388" spans="1:9" s="4" customFormat="1" ht="18" customHeight="1" x14ac:dyDescent="0.55000000000000004">
      <c r="A388" s="18">
        <v>24.8122215</v>
      </c>
      <c r="B388" s="18">
        <v>34.847195200000002</v>
      </c>
      <c r="C388" s="18">
        <v>686703.33</v>
      </c>
      <c r="D388" s="18">
        <v>2745418.83</v>
      </c>
      <c r="E388" s="18">
        <v>214.06</v>
      </c>
      <c r="F388" s="18">
        <v>42045.81</v>
      </c>
      <c r="G388" s="18">
        <v>132002</v>
      </c>
      <c r="H388" s="18">
        <f t="shared" si="27"/>
        <v>42042.31</v>
      </c>
      <c r="I388" s="3"/>
    </row>
    <row r="389" spans="1:9" s="4" customFormat="1" ht="18" customHeight="1" x14ac:dyDescent="0.55000000000000004">
      <c r="A389" s="18">
        <v>24.812206700000001</v>
      </c>
      <c r="B389" s="18">
        <v>34.8471726</v>
      </c>
      <c r="C389" s="18">
        <v>686701.07</v>
      </c>
      <c r="D389" s="18">
        <v>2745417.16</v>
      </c>
      <c r="E389" s="18">
        <v>214.21</v>
      </c>
      <c r="F389" s="18">
        <v>42041.34</v>
      </c>
      <c r="G389" s="18">
        <v>132004</v>
      </c>
      <c r="H389" s="18">
        <f t="shared" si="27"/>
        <v>42037.84</v>
      </c>
      <c r="I389" s="3"/>
    </row>
    <row r="390" spans="1:9" s="4" customFormat="1" ht="18" customHeight="1" x14ac:dyDescent="0.55000000000000004">
      <c r="A390" s="18">
        <v>24.812192199999998</v>
      </c>
      <c r="B390" s="18">
        <v>34.847147399999997</v>
      </c>
      <c r="C390" s="18">
        <v>686698.55</v>
      </c>
      <c r="D390" s="18">
        <v>2745415.53</v>
      </c>
      <c r="E390" s="18">
        <v>214.17</v>
      </c>
      <c r="F390" s="18">
        <v>42041.75</v>
      </c>
      <c r="G390" s="18">
        <v>132006</v>
      </c>
      <c r="H390" s="18">
        <f t="shared" si="27"/>
        <v>42038.25</v>
      </c>
      <c r="I390" s="3"/>
    </row>
    <row r="391" spans="1:9" s="4" customFormat="1" ht="18" customHeight="1" x14ac:dyDescent="0.55000000000000004">
      <c r="A391" s="18">
        <v>24.8121765</v>
      </c>
      <c r="B391" s="18">
        <v>34.847123799999999</v>
      </c>
      <c r="C391" s="18">
        <v>686696.17</v>
      </c>
      <c r="D391" s="18">
        <v>2745413.75</v>
      </c>
      <c r="E391" s="18">
        <v>214.17</v>
      </c>
      <c r="F391" s="18">
        <v>42039.87</v>
      </c>
      <c r="G391" s="18">
        <v>132008</v>
      </c>
      <c r="H391" s="18">
        <f t="shared" si="27"/>
        <v>42036.37</v>
      </c>
      <c r="I391" s="3"/>
    </row>
    <row r="392" spans="1:9" s="4" customFormat="1" ht="18" customHeight="1" x14ac:dyDescent="0.55000000000000004">
      <c r="A392" s="18">
        <v>24.812156399999999</v>
      </c>
      <c r="B392" s="18">
        <v>34.847102499999998</v>
      </c>
      <c r="C392" s="18">
        <v>686694.06</v>
      </c>
      <c r="D392" s="18">
        <v>2745411.5</v>
      </c>
      <c r="E392" s="18">
        <v>214.17</v>
      </c>
      <c r="F392" s="18">
        <v>42040.67</v>
      </c>
      <c r="G392" s="18">
        <v>132010</v>
      </c>
      <c r="H392" s="18">
        <f t="shared" si="27"/>
        <v>42037.17</v>
      </c>
      <c r="I392" s="3"/>
    </row>
    <row r="393" spans="1:9" s="4" customFormat="1" ht="18" customHeight="1" x14ac:dyDescent="0.55000000000000004">
      <c r="A393" s="18">
        <v>24.8121355</v>
      </c>
      <c r="B393" s="18">
        <v>34.847079700000002</v>
      </c>
      <c r="C393" s="18">
        <v>686691.78</v>
      </c>
      <c r="D393" s="18">
        <v>2745409.15</v>
      </c>
      <c r="E393" s="18">
        <v>214.05</v>
      </c>
      <c r="F393" s="18">
        <v>42040.11</v>
      </c>
      <c r="G393" s="18">
        <v>132012</v>
      </c>
      <c r="H393" s="18">
        <f t="shared" si="27"/>
        <v>42036.61</v>
      </c>
      <c r="I393" s="3"/>
    </row>
    <row r="394" spans="1:9" s="4" customFormat="1" ht="18" customHeight="1" x14ac:dyDescent="0.55000000000000004">
      <c r="A394" s="18">
        <v>24.812112800000001</v>
      </c>
      <c r="B394" s="18">
        <v>34.8470589</v>
      </c>
      <c r="C394" s="18">
        <v>686689.71</v>
      </c>
      <c r="D394" s="18">
        <v>2745406.61</v>
      </c>
      <c r="E394" s="18">
        <v>214.02</v>
      </c>
      <c r="F394" s="18">
        <v>42037.03</v>
      </c>
      <c r="G394" s="18">
        <v>132014</v>
      </c>
      <c r="H394" s="18">
        <f t="shared" si="27"/>
        <v>42033.53</v>
      </c>
      <c r="I394" s="3"/>
    </row>
    <row r="395" spans="1:9" s="4" customFormat="1" ht="18" customHeight="1" x14ac:dyDescent="0.55000000000000004">
      <c r="A395" s="18">
        <v>24.812085199999999</v>
      </c>
      <c r="B395" s="18">
        <v>34.847043300000003</v>
      </c>
      <c r="C395" s="18">
        <v>686688.17</v>
      </c>
      <c r="D395" s="18">
        <v>2745403.52</v>
      </c>
      <c r="E395" s="18">
        <v>214.25</v>
      </c>
      <c r="F395" s="18">
        <v>42034.64</v>
      </c>
      <c r="G395" s="18">
        <v>132016</v>
      </c>
      <c r="H395" s="18">
        <f t="shared" si="27"/>
        <v>42031.14</v>
      </c>
      <c r="I395" s="3"/>
    </row>
    <row r="396" spans="1:9" s="4" customFormat="1" ht="18" customHeight="1" x14ac:dyDescent="0.55000000000000004">
      <c r="A396" s="18">
        <v>24.8120698</v>
      </c>
      <c r="B396" s="18">
        <v>34.847023299999996</v>
      </c>
      <c r="C396" s="18">
        <v>686686.18</v>
      </c>
      <c r="D396" s="18">
        <v>2745401.8</v>
      </c>
      <c r="E396" s="18">
        <v>214.52</v>
      </c>
      <c r="F396" s="18">
        <v>42030.77</v>
      </c>
      <c r="G396" s="18">
        <v>132018</v>
      </c>
      <c r="H396" s="18">
        <f t="shared" si="27"/>
        <v>42027.27</v>
      </c>
      <c r="I396" s="3"/>
    </row>
    <row r="397" spans="1:9" s="4" customFormat="1" ht="18" customHeight="1" x14ac:dyDescent="0.55000000000000004">
      <c r="A397" s="18">
        <v>24.8120516</v>
      </c>
      <c r="B397" s="18">
        <v>34.8470072</v>
      </c>
      <c r="C397" s="18">
        <v>686684.58</v>
      </c>
      <c r="D397" s="18">
        <v>2745399.75</v>
      </c>
      <c r="E397" s="18">
        <v>214.71</v>
      </c>
      <c r="F397" s="18">
        <v>42030.65</v>
      </c>
      <c r="G397" s="18">
        <v>132020</v>
      </c>
      <c r="H397" s="18">
        <f t="shared" si="27"/>
        <v>42027.15</v>
      </c>
      <c r="I397" s="3"/>
    </row>
    <row r="398" spans="1:9" s="4" customFormat="1" ht="18" customHeight="1" x14ac:dyDescent="0.55000000000000004">
      <c r="A398" s="18">
        <v>24.812026500000002</v>
      </c>
      <c r="B398" s="18">
        <v>34.846993500000004</v>
      </c>
      <c r="C398" s="18">
        <v>686683.23</v>
      </c>
      <c r="D398" s="18">
        <v>2745396.96</v>
      </c>
      <c r="E398" s="18">
        <v>214.82</v>
      </c>
      <c r="F398" s="18">
        <v>42031.48</v>
      </c>
      <c r="G398" s="18">
        <v>132022</v>
      </c>
      <c r="H398" s="18">
        <f t="shared" si="27"/>
        <v>42027.98</v>
      </c>
      <c r="I398" s="3"/>
    </row>
    <row r="399" spans="1:9" s="4" customFormat="1" ht="18" customHeight="1" x14ac:dyDescent="0.55000000000000004">
      <c r="A399" s="18">
        <v>24.812000399999999</v>
      </c>
      <c r="B399" s="18">
        <v>34.8469829</v>
      </c>
      <c r="C399" s="18">
        <v>686682.2</v>
      </c>
      <c r="D399" s="18">
        <v>2745394.05</v>
      </c>
      <c r="E399" s="18">
        <v>215.01</v>
      </c>
      <c r="F399" s="18">
        <v>42031.29</v>
      </c>
      <c r="G399" s="18">
        <v>132024</v>
      </c>
      <c r="H399" s="18">
        <f t="shared" si="27"/>
        <v>42027.79</v>
      </c>
      <c r="I399" s="3"/>
    </row>
    <row r="400" spans="1:9" s="4" customFormat="1" ht="18" customHeight="1" x14ac:dyDescent="0.55000000000000004">
      <c r="A400" s="18">
        <v>24.811975799999999</v>
      </c>
      <c r="B400" s="18">
        <v>34.846967300000003</v>
      </c>
      <c r="C400" s="18">
        <v>686680.65</v>
      </c>
      <c r="D400" s="18">
        <v>2745391.31</v>
      </c>
      <c r="E400" s="18">
        <v>215.04</v>
      </c>
      <c r="F400" s="18">
        <v>42034.99</v>
      </c>
      <c r="G400" s="18">
        <v>132026</v>
      </c>
      <c r="H400" s="18">
        <f t="shared" si="27"/>
        <v>42031.49</v>
      </c>
      <c r="I400" s="3"/>
    </row>
    <row r="401" spans="1:9" s="4" customFormat="1" ht="18" customHeight="1" x14ac:dyDescent="0.55000000000000004">
      <c r="A401" s="18">
        <v>24.811958000000001</v>
      </c>
      <c r="B401" s="18">
        <v>34.8469427</v>
      </c>
      <c r="C401" s="18">
        <v>686678.19</v>
      </c>
      <c r="D401" s="18">
        <v>2745389.3</v>
      </c>
      <c r="E401" s="18">
        <v>215.09</v>
      </c>
      <c r="F401" s="18">
        <v>42035.98</v>
      </c>
      <c r="G401" s="18">
        <v>132028</v>
      </c>
      <c r="H401" s="18">
        <f t="shared" si="27"/>
        <v>42032.480000000003</v>
      </c>
      <c r="I401" s="3"/>
    </row>
    <row r="402" spans="1:9" s="4" customFormat="1" ht="18" customHeight="1" x14ac:dyDescent="0.55000000000000004">
      <c r="A402" s="18">
        <v>24.8119406</v>
      </c>
      <c r="B402" s="18">
        <v>34.846918199999998</v>
      </c>
      <c r="C402" s="18">
        <v>686675.75</v>
      </c>
      <c r="D402" s="18">
        <v>2745387.34</v>
      </c>
      <c r="E402" s="18">
        <v>215.09</v>
      </c>
      <c r="F402" s="18">
        <v>42033.3</v>
      </c>
      <c r="G402" s="18">
        <v>132030</v>
      </c>
      <c r="H402" s="18">
        <f t="shared" si="27"/>
        <v>42029.8</v>
      </c>
      <c r="I402" s="3"/>
    </row>
    <row r="403" spans="1:9" s="4" customFormat="1" ht="18" customHeight="1" x14ac:dyDescent="0.55000000000000004">
      <c r="A403" s="18">
        <v>24.811921600000002</v>
      </c>
      <c r="B403" s="18">
        <v>34.846893600000001</v>
      </c>
      <c r="C403" s="18">
        <v>686673.29</v>
      </c>
      <c r="D403" s="18">
        <v>2745385.21</v>
      </c>
      <c r="E403" s="18">
        <v>215.11</v>
      </c>
      <c r="F403" s="18">
        <v>42033.7</v>
      </c>
      <c r="G403" s="18">
        <v>132032</v>
      </c>
      <c r="H403" s="18">
        <f t="shared" si="27"/>
        <v>42030.2</v>
      </c>
      <c r="I403" s="3"/>
    </row>
    <row r="404" spans="1:9" s="4" customFormat="1" ht="18" customHeight="1" x14ac:dyDescent="0.55000000000000004">
      <c r="A404" s="18">
        <v>24.811909100000001</v>
      </c>
      <c r="B404" s="18">
        <v>34.846866300000002</v>
      </c>
      <c r="C404" s="18">
        <v>686670.54</v>
      </c>
      <c r="D404" s="18">
        <v>2745383.78</v>
      </c>
      <c r="E404" s="18">
        <v>215.22</v>
      </c>
      <c r="F404" s="18">
        <v>42034.03</v>
      </c>
      <c r="G404" s="18">
        <v>132034</v>
      </c>
      <c r="H404" s="18">
        <f t="shared" si="27"/>
        <v>42030.53</v>
      </c>
      <c r="I404" s="3"/>
    </row>
    <row r="405" spans="1:9" s="4" customFormat="1" ht="18" customHeight="1" x14ac:dyDescent="0.55000000000000004">
      <c r="A405" s="18">
        <v>24.811897399999999</v>
      </c>
      <c r="B405" s="18">
        <v>34.846838900000002</v>
      </c>
      <c r="C405" s="18">
        <v>686667.8</v>
      </c>
      <c r="D405" s="18">
        <v>2745382.45</v>
      </c>
      <c r="E405" s="18">
        <v>215.26</v>
      </c>
      <c r="F405" s="18">
        <v>42031.99</v>
      </c>
      <c r="G405" s="18">
        <v>132036</v>
      </c>
      <c r="H405" s="18">
        <f t="shared" si="27"/>
        <v>42028.49</v>
      </c>
      <c r="I405" s="3"/>
    </row>
    <row r="406" spans="1:9" s="4" customFormat="1" ht="18" customHeight="1" x14ac:dyDescent="0.55000000000000004">
      <c r="A406" s="18">
        <v>24.8118835</v>
      </c>
      <c r="B406" s="18">
        <v>34.846811700000003</v>
      </c>
      <c r="C406" s="18">
        <v>686665.06</v>
      </c>
      <c r="D406" s="18">
        <v>2745380.87</v>
      </c>
      <c r="E406" s="18">
        <v>215.29</v>
      </c>
      <c r="F406" s="18">
        <v>42034.559999999998</v>
      </c>
      <c r="G406" s="18">
        <v>132038</v>
      </c>
      <c r="H406" s="18">
        <f t="shared" si="27"/>
        <v>42031.06</v>
      </c>
      <c r="I406" s="3"/>
    </row>
    <row r="407" spans="1:9" s="4" customFormat="1" ht="18" customHeight="1" x14ac:dyDescent="0.55000000000000004">
      <c r="A407" s="18">
        <v>24.811870599999999</v>
      </c>
      <c r="B407" s="18">
        <v>34.846782400000002</v>
      </c>
      <c r="C407" s="18">
        <v>686662.13</v>
      </c>
      <c r="D407" s="18">
        <v>2745379.4</v>
      </c>
      <c r="E407" s="18">
        <v>215.34</v>
      </c>
      <c r="F407" s="18">
        <v>42034.98</v>
      </c>
      <c r="G407" s="18">
        <v>132040</v>
      </c>
      <c r="H407" s="18">
        <f t="shared" si="27"/>
        <v>42031.48</v>
      </c>
      <c r="I407" s="3"/>
    </row>
    <row r="408" spans="1:9" s="4" customFormat="1" ht="18" customHeight="1" x14ac:dyDescent="0.55000000000000004">
      <c r="A408" s="18">
        <v>24.8118585</v>
      </c>
      <c r="B408" s="18">
        <v>34.846754500000003</v>
      </c>
      <c r="C408" s="18">
        <v>686659.32</v>
      </c>
      <c r="D408" s="18">
        <v>2745378.03</v>
      </c>
      <c r="E408" s="18">
        <v>215.38</v>
      </c>
      <c r="F408" s="18">
        <v>42036.03</v>
      </c>
      <c r="G408" s="18">
        <v>132042</v>
      </c>
      <c r="H408" s="18">
        <f t="shared" si="27"/>
        <v>42032.53</v>
      </c>
      <c r="I408" s="3"/>
    </row>
    <row r="409" spans="1:9" s="4" customFormat="1" ht="18" customHeight="1" x14ac:dyDescent="0.55000000000000004">
      <c r="A409" s="18">
        <v>24.811844700000002</v>
      </c>
      <c r="B409" s="18">
        <v>34.846726799999999</v>
      </c>
      <c r="C409" s="18">
        <v>686656.54</v>
      </c>
      <c r="D409" s="18">
        <v>2745376.46</v>
      </c>
      <c r="E409" s="18">
        <v>215.38</v>
      </c>
      <c r="F409" s="18">
        <v>42039.61</v>
      </c>
      <c r="G409" s="18">
        <v>132044</v>
      </c>
      <c r="H409" s="18">
        <f t="shared" si="27"/>
        <v>42036.11</v>
      </c>
      <c r="I409" s="3"/>
    </row>
    <row r="410" spans="1:9" s="4" customFormat="1" ht="18" customHeight="1" x14ac:dyDescent="0.55000000000000004">
      <c r="A410" s="18">
        <v>24.8118333</v>
      </c>
      <c r="B410" s="18">
        <v>34.846699200000003</v>
      </c>
      <c r="C410" s="18">
        <v>686653.76</v>
      </c>
      <c r="D410" s="18">
        <v>2745375.15</v>
      </c>
      <c r="E410" s="18">
        <v>215.41</v>
      </c>
      <c r="F410" s="18">
        <v>42039.360000000001</v>
      </c>
      <c r="G410" s="18">
        <v>132046</v>
      </c>
      <c r="H410" s="18">
        <f t="shared" si="27"/>
        <v>42035.86</v>
      </c>
      <c r="I410" s="3"/>
    </row>
    <row r="411" spans="1:9" s="4" customFormat="1" ht="18" customHeight="1" x14ac:dyDescent="0.55000000000000004">
      <c r="A411" s="18">
        <v>24.811820000000001</v>
      </c>
      <c r="B411" s="18">
        <v>34.846671000000001</v>
      </c>
      <c r="C411" s="18">
        <v>686650.93</v>
      </c>
      <c r="D411" s="18">
        <v>2745373.64</v>
      </c>
      <c r="E411" s="18">
        <v>215.44</v>
      </c>
      <c r="F411" s="18">
        <v>42041.27</v>
      </c>
      <c r="G411" s="18">
        <v>132048</v>
      </c>
      <c r="H411" s="18">
        <f t="shared" si="27"/>
        <v>42037.77</v>
      </c>
      <c r="I411" s="3"/>
    </row>
    <row r="412" spans="1:9" s="4" customFormat="1" ht="18" customHeight="1" x14ac:dyDescent="0.55000000000000004">
      <c r="A412" s="18">
        <v>24.811802199999999</v>
      </c>
      <c r="B412" s="18">
        <v>34.846644499999996</v>
      </c>
      <c r="C412" s="18">
        <v>686648.28</v>
      </c>
      <c r="D412" s="18">
        <v>2745371.64</v>
      </c>
      <c r="E412" s="18">
        <v>215.5</v>
      </c>
      <c r="F412" s="18">
        <v>42046.559999999998</v>
      </c>
      <c r="G412" s="18">
        <v>132050</v>
      </c>
      <c r="H412" s="18">
        <f t="shared" si="27"/>
        <v>42043.06</v>
      </c>
      <c r="I412" s="3"/>
    </row>
    <row r="413" spans="1:9" s="4" customFormat="1" ht="18" customHeight="1" x14ac:dyDescent="0.55000000000000004">
      <c r="A413" s="18">
        <v>24.811781799999999</v>
      </c>
      <c r="B413" s="18">
        <v>34.846622600000003</v>
      </c>
      <c r="C413" s="18">
        <v>686646.1</v>
      </c>
      <c r="D413" s="18">
        <v>2745369.34</v>
      </c>
      <c r="E413" s="18">
        <v>215.54</v>
      </c>
      <c r="F413" s="18">
        <v>42050.43</v>
      </c>
      <c r="G413" s="18">
        <v>132052</v>
      </c>
      <c r="H413" s="18">
        <f t="shared" si="27"/>
        <v>42046.93</v>
      </c>
      <c r="I413" s="3"/>
    </row>
    <row r="414" spans="1:9" s="4" customFormat="1" ht="18" customHeight="1" x14ac:dyDescent="0.55000000000000004">
      <c r="A414" s="18">
        <v>24.811757</v>
      </c>
      <c r="B414" s="18">
        <v>34.846607499999998</v>
      </c>
      <c r="C414" s="18">
        <v>686644.62</v>
      </c>
      <c r="D414" s="18">
        <v>2745366.58</v>
      </c>
      <c r="E414" s="18">
        <v>215.53</v>
      </c>
      <c r="F414" s="18">
        <v>42055.39</v>
      </c>
      <c r="G414" s="18">
        <v>132054</v>
      </c>
      <c r="H414" s="18">
        <f t="shared" si="27"/>
        <v>42051.89</v>
      </c>
      <c r="I414" s="3"/>
    </row>
    <row r="415" spans="1:9" s="4" customFormat="1" ht="18" customHeight="1" x14ac:dyDescent="0.55000000000000004">
      <c r="A415" s="18">
        <v>24.8117299</v>
      </c>
      <c r="B415" s="18">
        <v>34.846594500000002</v>
      </c>
      <c r="C415" s="18">
        <v>686643.34</v>
      </c>
      <c r="D415" s="18">
        <v>2745363.56</v>
      </c>
      <c r="E415" s="18">
        <v>215.6</v>
      </c>
      <c r="F415" s="18">
        <v>42058.559999999998</v>
      </c>
      <c r="G415" s="18">
        <v>132056</v>
      </c>
      <c r="H415" s="18">
        <f t="shared" si="27"/>
        <v>42055.06</v>
      </c>
      <c r="I415" s="3"/>
    </row>
    <row r="416" spans="1:9" s="4" customFormat="1" ht="18" customHeight="1" x14ac:dyDescent="0.55000000000000004">
      <c r="A416" s="18">
        <v>24.811704800000001</v>
      </c>
      <c r="B416" s="18">
        <v>34.846579200000001</v>
      </c>
      <c r="C416" s="18">
        <v>686641.83</v>
      </c>
      <c r="D416" s="18">
        <v>2745360.75</v>
      </c>
      <c r="E416" s="18">
        <v>215.55</v>
      </c>
      <c r="F416" s="18">
        <v>42061.36</v>
      </c>
      <c r="G416" s="18">
        <v>132058</v>
      </c>
      <c r="H416" s="18">
        <f t="shared" si="27"/>
        <v>42057.86</v>
      </c>
      <c r="I416" s="3"/>
    </row>
    <row r="417" spans="1:9" s="4" customFormat="1" ht="18" customHeight="1" x14ac:dyDescent="0.55000000000000004">
      <c r="A417" s="18">
        <v>24.811684100000001</v>
      </c>
      <c r="B417" s="18">
        <v>34.846555700000003</v>
      </c>
      <c r="C417" s="18">
        <v>686639.49</v>
      </c>
      <c r="D417" s="18">
        <v>2745358.43</v>
      </c>
      <c r="E417" s="18">
        <v>215.53</v>
      </c>
      <c r="F417" s="18">
        <v>42058.55</v>
      </c>
      <c r="G417" s="18">
        <v>132100</v>
      </c>
      <c r="H417" s="18">
        <f t="shared" si="27"/>
        <v>42055.05</v>
      </c>
      <c r="I417" s="3"/>
    </row>
    <row r="418" spans="1:9" s="4" customFormat="1" ht="18" customHeight="1" x14ac:dyDescent="0.55000000000000004">
      <c r="A418" s="18">
        <v>24.811663100000001</v>
      </c>
      <c r="B418" s="18">
        <v>34.846534699999999</v>
      </c>
      <c r="C418" s="18">
        <v>686637.4</v>
      </c>
      <c r="D418" s="18">
        <v>2745356.07</v>
      </c>
      <c r="E418" s="18">
        <v>215.47</v>
      </c>
      <c r="F418" s="18">
        <v>42058.45</v>
      </c>
      <c r="G418" s="18">
        <v>132102</v>
      </c>
      <c r="H418" s="18">
        <f t="shared" si="27"/>
        <v>42054.95</v>
      </c>
      <c r="I418" s="3"/>
    </row>
    <row r="419" spans="1:9" s="4" customFormat="1" ht="18" customHeight="1" x14ac:dyDescent="0.55000000000000004">
      <c r="A419" s="18">
        <v>24.811634999999999</v>
      </c>
      <c r="B419" s="18">
        <v>34.846520900000002</v>
      </c>
      <c r="C419" s="18">
        <v>686636.03</v>
      </c>
      <c r="D419" s="18">
        <v>2745352.95</v>
      </c>
      <c r="E419" s="18">
        <v>215.49</v>
      </c>
      <c r="F419" s="18">
        <v>42063.06</v>
      </c>
      <c r="G419" s="18">
        <v>132104</v>
      </c>
      <c r="H419" s="18">
        <f t="shared" ref="H419:H447" si="28">SUM(F419-3.5)</f>
        <v>42059.56</v>
      </c>
      <c r="I419" s="3"/>
    </row>
    <row r="420" spans="1:9" s="4" customFormat="1" ht="18" customHeight="1" x14ac:dyDescent="0.55000000000000004">
      <c r="A420" s="18">
        <v>24.811609199999999</v>
      </c>
      <c r="B420" s="18">
        <v>34.846506400000003</v>
      </c>
      <c r="C420" s="18">
        <v>686634.61</v>
      </c>
      <c r="D420" s="18">
        <v>2745350.07</v>
      </c>
      <c r="E420" s="18">
        <v>215.47</v>
      </c>
      <c r="F420" s="18">
        <v>42064.639999999999</v>
      </c>
      <c r="G420" s="18">
        <v>132106</v>
      </c>
      <c r="H420" s="18">
        <f t="shared" si="28"/>
        <v>42061.14</v>
      </c>
      <c r="I420" s="3"/>
    </row>
    <row r="421" spans="1:9" s="4" customFormat="1" ht="18" customHeight="1" x14ac:dyDescent="0.55000000000000004">
      <c r="A421" s="18">
        <v>24.811583299999999</v>
      </c>
      <c r="B421" s="18">
        <v>34.846491100000001</v>
      </c>
      <c r="C421" s="18">
        <v>686633.11</v>
      </c>
      <c r="D421" s="18">
        <v>2745347.18</v>
      </c>
      <c r="E421" s="18">
        <v>215.45</v>
      </c>
      <c r="F421" s="18">
        <v>42060.02</v>
      </c>
      <c r="G421" s="18">
        <v>132108</v>
      </c>
      <c r="H421" s="18">
        <f t="shared" si="28"/>
        <v>42056.52</v>
      </c>
      <c r="I421" s="3"/>
    </row>
    <row r="422" spans="1:9" s="4" customFormat="1" ht="18" customHeight="1" x14ac:dyDescent="0.55000000000000004">
      <c r="A422" s="18">
        <v>24.8115545</v>
      </c>
      <c r="B422" s="18">
        <v>34.846483599999999</v>
      </c>
      <c r="C422" s="18">
        <v>686632.39</v>
      </c>
      <c r="D422" s="18">
        <v>2745343.99</v>
      </c>
      <c r="E422" s="18">
        <v>215.47</v>
      </c>
      <c r="F422" s="18">
        <v>42064.07</v>
      </c>
      <c r="G422" s="18">
        <v>132110</v>
      </c>
      <c r="H422" s="18">
        <f t="shared" si="28"/>
        <v>42060.57</v>
      </c>
      <c r="I422" s="3"/>
    </row>
    <row r="423" spans="1:9" s="4" customFormat="1" ht="18" customHeight="1" x14ac:dyDescent="0.55000000000000004">
      <c r="A423" s="18">
        <v>24.811524299999999</v>
      </c>
      <c r="B423" s="18">
        <v>34.846477899999996</v>
      </c>
      <c r="C423" s="18">
        <v>686631.86</v>
      </c>
      <c r="D423" s="18">
        <v>2745340.63</v>
      </c>
      <c r="E423" s="18">
        <v>215.46</v>
      </c>
      <c r="F423" s="18">
        <v>42062.239999999998</v>
      </c>
      <c r="G423" s="18">
        <v>132112</v>
      </c>
      <c r="H423" s="18">
        <f t="shared" si="28"/>
        <v>42058.74</v>
      </c>
      <c r="I423" s="3"/>
    </row>
    <row r="424" spans="1:9" s="4" customFormat="1" ht="18" customHeight="1" x14ac:dyDescent="0.55000000000000004">
      <c r="A424" s="18">
        <v>24.811497800000001</v>
      </c>
      <c r="B424" s="18">
        <v>34.846470400000001</v>
      </c>
      <c r="C424" s="18">
        <v>686631.14</v>
      </c>
      <c r="D424" s="18">
        <v>2745337.68</v>
      </c>
      <c r="E424" s="18">
        <v>215.41</v>
      </c>
      <c r="F424" s="18">
        <v>42054.89</v>
      </c>
      <c r="G424" s="18">
        <v>132114</v>
      </c>
      <c r="H424" s="18">
        <f t="shared" si="28"/>
        <v>42051.39</v>
      </c>
      <c r="I424" s="3"/>
    </row>
    <row r="425" spans="1:9" s="4" customFormat="1" ht="18" customHeight="1" x14ac:dyDescent="0.55000000000000004">
      <c r="A425" s="18">
        <v>24.811473400000001</v>
      </c>
      <c r="B425" s="18">
        <v>34.846453799999999</v>
      </c>
      <c r="C425" s="18">
        <v>686629.5</v>
      </c>
      <c r="D425" s="18">
        <v>2745334.96</v>
      </c>
      <c r="E425" s="18">
        <v>215.34</v>
      </c>
      <c r="F425" s="18">
        <v>42059.7</v>
      </c>
      <c r="G425" s="18">
        <v>132116</v>
      </c>
      <c r="H425" s="18">
        <f t="shared" si="28"/>
        <v>42056.2</v>
      </c>
      <c r="I425" s="3"/>
    </row>
    <row r="426" spans="1:9" s="4" customFormat="1" ht="18" customHeight="1" x14ac:dyDescent="0.55000000000000004">
      <c r="A426" s="18">
        <v>24.811449</v>
      </c>
      <c r="B426" s="18">
        <v>34.846433099999999</v>
      </c>
      <c r="C426" s="18">
        <v>686627.44</v>
      </c>
      <c r="D426" s="18">
        <v>2745332.23</v>
      </c>
      <c r="E426" s="18">
        <v>215.27</v>
      </c>
      <c r="F426" s="18">
        <v>42058.400000000001</v>
      </c>
      <c r="G426" s="18">
        <v>132118</v>
      </c>
      <c r="H426" s="18">
        <f t="shared" si="28"/>
        <v>42054.9</v>
      </c>
      <c r="I426" s="3"/>
    </row>
    <row r="427" spans="1:9" s="4" customFormat="1" ht="18" customHeight="1" x14ac:dyDescent="0.55000000000000004">
      <c r="A427" s="18">
        <v>24.8114217</v>
      </c>
      <c r="B427" s="18">
        <v>34.846418200000002</v>
      </c>
      <c r="C427" s="18">
        <v>686625.97</v>
      </c>
      <c r="D427" s="18">
        <v>2745329.18</v>
      </c>
      <c r="E427" s="18">
        <v>215.3</v>
      </c>
      <c r="F427" s="18">
        <v>42057.01</v>
      </c>
      <c r="G427" s="18">
        <v>132120</v>
      </c>
      <c r="H427" s="18">
        <f t="shared" si="28"/>
        <v>42053.51</v>
      </c>
      <c r="I427" s="3"/>
    </row>
    <row r="428" spans="1:9" s="4" customFormat="1" ht="18" customHeight="1" x14ac:dyDescent="0.55000000000000004">
      <c r="A428" s="18">
        <v>24.811396599999998</v>
      </c>
      <c r="B428" s="18">
        <v>34.846402900000001</v>
      </c>
      <c r="C428" s="18">
        <v>686624.46</v>
      </c>
      <c r="D428" s="18">
        <v>2745326.38</v>
      </c>
      <c r="E428" s="18">
        <v>215.27</v>
      </c>
      <c r="F428" s="18">
        <v>42056.75</v>
      </c>
      <c r="G428" s="18">
        <v>132122</v>
      </c>
      <c r="H428" s="18">
        <f t="shared" si="28"/>
        <v>42053.25</v>
      </c>
      <c r="I428" s="3"/>
    </row>
    <row r="429" spans="1:9" s="4" customFormat="1" ht="18" customHeight="1" x14ac:dyDescent="0.55000000000000004">
      <c r="A429" s="18">
        <v>24.811371600000001</v>
      </c>
      <c r="B429" s="18">
        <v>34.846386099999997</v>
      </c>
      <c r="C429" s="18">
        <v>686622.81</v>
      </c>
      <c r="D429" s="18">
        <v>2745323.59</v>
      </c>
      <c r="E429" s="18">
        <v>215.25</v>
      </c>
      <c r="F429" s="18">
        <v>42057.17</v>
      </c>
      <c r="G429" s="18">
        <v>132124</v>
      </c>
      <c r="H429" s="18">
        <f t="shared" si="28"/>
        <v>42053.67</v>
      </c>
      <c r="I429" s="3"/>
    </row>
    <row r="430" spans="1:9" s="4" customFormat="1" ht="18" customHeight="1" x14ac:dyDescent="0.55000000000000004">
      <c r="A430" s="18">
        <v>24.8113454</v>
      </c>
      <c r="B430" s="18">
        <v>34.846372199999998</v>
      </c>
      <c r="C430" s="18">
        <v>686621.44</v>
      </c>
      <c r="D430" s="18">
        <v>2745320.67</v>
      </c>
      <c r="E430" s="18">
        <v>215.24</v>
      </c>
      <c r="F430" s="18">
        <v>42060</v>
      </c>
      <c r="G430" s="18">
        <v>132126</v>
      </c>
      <c r="H430" s="18">
        <f t="shared" si="28"/>
        <v>42056.5</v>
      </c>
      <c r="I430" s="3"/>
    </row>
    <row r="431" spans="1:9" s="4" customFormat="1" ht="18" customHeight="1" x14ac:dyDescent="0.55000000000000004">
      <c r="A431" s="18">
        <v>24.811319399999999</v>
      </c>
      <c r="B431" s="18">
        <v>34.846357900000001</v>
      </c>
      <c r="C431" s="18">
        <v>686620.03</v>
      </c>
      <c r="D431" s="18">
        <v>2745317.77</v>
      </c>
      <c r="E431" s="18">
        <v>215.2</v>
      </c>
      <c r="F431" s="18">
        <v>42053.95</v>
      </c>
      <c r="G431" s="18">
        <v>132128</v>
      </c>
      <c r="H431" s="18">
        <f t="shared" si="28"/>
        <v>42050.45</v>
      </c>
      <c r="I431" s="3"/>
    </row>
    <row r="432" spans="1:9" s="4" customFormat="1" ht="18" customHeight="1" x14ac:dyDescent="0.55000000000000004">
      <c r="A432" s="18">
        <v>24.811294499999999</v>
      </c>
      <c r="B432" s="18">
        <v>34.846341199999998</v>
      </c>
      <c r="C432" s="18">
        <v>686618.38</v>
      </c>
      <c r="D432" s="18">
        <v>2745314.99</v>
      </c>
      <c r="E432" s="18">
        <v>215.19</v>
      </c>
      <c r="F432" s="18">
        <v>42056.61</v>
      </c>
      <c r="G432" s="18">
        <v>132130</v>
      </c>
      <c r="H432" s="18">
        <f t="shared" si="28"/>
        <v>42053.11</v>
      </c>
      <c r="I432" s="3"/>
    </row>
    <row r="433" spans="1:9" s="4" customFormat="1" ht="18" customHeight="1" x14ac:dyDescent="0.55000000000000004">
      <c r="A433" s="18">
        <v>24.8112703</v>
      </c>
      <c r="B433" s="18">
        <v>34.846322899999997</v>
      </c>
      <c r="C433" s="18">
        <v>686616.57</v>
      </c>
      <c r="D433" s="18">
        <v>2745312.28</v>
      </c>
      <c r="E433" s="18">
        <v>215.12</v>
      </c>
      <c r="F433" s="18">
        <v>42055.96</v>
      </c>
      <c r="G433" s="18">
        <v>132132</v>
      </c>
      <c r="H433" s="18">
        <f t="shared" si="28"/>
        <v>42052.46</v>
      </c>
      <c r="I433" s="3"/>
    </row>
    <row r="434" spans="1:9" s="4" customFormat="1" ht="18" customHeight="1" x14ac:dyDescent="0.55000000000000004">
      <c r="A434" s="18">
        <v>24.8112481</v>
      </c>
      <c r="B434" s="18">
        <v>34.846303399999996</v>
      </c>
      <c r="C434" s="18">
        <v>686614.63</v>
      </c>
      <c r="D434" s="18">
        <v>2745309.79</v>
      </c>
      <c r="E434" s="18">
        <v>215.1</v>
      </c>
      <c r="F434" s="18">
        <v>42047.71</v>
      </c>
      <c r="G434" s="18">
        <v>132134</v>
      </c>
      <c r="H434" s="18">
        <f t="shared" si="28"/>
        <v>42044.21</v>
      </c>
      <c r="I434" s="3"/>
    </row>
    <row r="435" spans="1:9" s="4" customFormat="1" ht="18" customHeight="1" x14ac:dyDescent="0.55000000000000004">
      <c r="A435" s="18">
        <v>24.8112222</v>
      </c>
      <c r="B435" s="18">
        <v>34.846285700000003</v>
      </c>
      <c r="C435" s="18">
        <v>686612.87</v>
      </c>
      <c r="D435" s="18">
        <v>2745306.9</v>
      </c>
      <c r="E435" s="18">
        <v>215.06</v>
      </c>
      <c r="F435" s="18">
        <v>42044.93</v>
      </c>
      <c r="G435" s="18">
        <v>132136</v>
      </c>
      <c r="H435" s="18">
        <f t="shared" si="28"/>
        <v>42041.43</v>
      </c>
      <c r="I435" s="3"/>
    </row>
    <row r="436" spans="1:9" s="4" customFormat="1" ht="18" customHeight="1" x14ac:dyDescent="0.55000000000000004">
      <c r="A436" s="18">
        <v>24.8111988</v>
      </c>
      <c r="B436" s="18">
        <v>34.846266300000003</v>
      </c>
      <c r="C436" s="18">
        <v>686610.96</v>
      </c>
      <c r="D436" s="18">
        <v>2745304.28</v>
      </c>
      <c r="E436" s="18">
        <v>215.04</v>
      </c>
      <c r="F436" s="18">
        <v>42042.71</v>
      </c>
      <c r="G436" s="18">
        <v>132138</v>
      </c>
      <c r="H436" s="18">
        <f t="shared" si="28"/>
        <v>42039.21</v>
      </c>
      <c r="I436" s="3"/>
    </row>
    <row r="437" spans="1:9" s="4" customFormat="1" ht="18" customHeight="1" x14ac:dyDescent="0.55000000000000004">
      <c r="A437" s="18">
        <v>24.811173799999999</v>
      </c>
      <c r="B437" s="18">
        <v>34.846246000000001</v>
      </c>
      <c r="C437" s="18">
        <v>686608.94</v>
      </c>
      <c r="D437" s="18">
        <v>2745301.49</v>
      </c>
      <c r="E437" s="18">
        <v>215.01</v>
      </c>
      <c r="F437" s="18">
        <v>42039.78</v>
      </c>
      <c r="G437" s="18">
        <v>132140</v>
      </c>
      <c r="H437" s="18">
        <f t="shared" si="28"/>
        <v>42036.28</v>
      </c>
      <c r="I437" s="3"/>
    </row>
    <row r="438" spans="1:9" s="4" customFormat="1" ht="18" customHeight="1" x14ac:dyDescent="0.55000000000000004">
      <c r="A438" s="18">
        <v>24.8111517</v>
      </c>
      <c r="B438" s="18">
        <v>34.846224599999999</v>
      </c>
      <c r="C438" s="18">
        <v>686606.81</v>
      </c>
      <c r="D438" s="18">
        <v>2745299.01</v>
      </c>
      <c r="E438" s="18">
        <v>215.05</v>
      </c>
      <c r="F438" s="18">
        <v>42035.53</v>
      </c>
      <c r="G438" s="18">
        <v>132142</v>
      </c>
      <c r="H438" s="18">
        <f t="shared" si="28"/>
        <v>42032.03</v>
      </c>
      <c r="I438" s="3"/>
    </row>
    <row r="439" spans="1:9" s="4" customFormat="1" ht="18" customHeight="1" x14ac:dyDescent="0.55000000000000004">
      <c r="A439" s="18">
        <v>24.811128799999999</v>
      </c>
      <c r="B439" s="18">
        <v>34.846204200000003</v>
      </c>
      <c r="C439" s="18">
        <v>686604.78</v>
      </c>
      <c r="D439" s="18">
        <v>2745296.45</v>
      </c>
      <c r="E439" s="18">
        <v>215.03</v>
      </c>
      <c r="F439" s="18">
        <v>42035.41</v>
      </c>
      <c r="G439" s="18">
        <v>132144</v>
      </c>
      <c r="H439" s="18">
        <f t="shared" si="28"/>
        <v>42031.91</v>
      </c>
      <c r="I439" s="3"/>
    </row>
    <row r="440" spans="1:9" s="4" customFormat="1" ht="18" customHeight="1" x14ac:dyDescent="0.55000000000000004">
      <c r="A440" s="18">
        <v>24.8111046</v>
      </c>
      <c r="B440" s="18">
        <v>34.846185499999997</v>
      </c>
      <c r="C440" s="18">
        <v>686602.92</v>
      </c>
      <c r="D440" s="18">
        <v>2745293.74</v>
      </c>
      <c r="E440" s="18">
        <v>214.99</v>
      </c>
      <c r="F440" s="18">
        <v>42032.27</v>
      </c>
      <c r="G440" s="18">
        <v>132146</v>
      </c>
      <c r="H440" s="18">
        <f t="shared" si="28"/>
        <v>42028.77</v>
      </c>
      <c r="I440" s="3"/>
    </row>
    <row r="441" spans="1:9" s="4" customFormat="1" ht="18" customHeight="1" x14ac:dyDescent="0.55000000000000004">
      <c r="A441" s="18">
        <v>24.811081099999999</v>
      </c>
      <c r="B441" s="18">
        <v>34.846167399999999</v>
      </c>
      <c r="C441" s="18">
        <v>686601.13</v>
      </c>
      <c r="D441" s="18">
        <v>2745291.12</v>
      </c>
      <c r="E441" s="18">
        <v>214.96</v>
      </c>
      <c r="F441" s="18">
        <v>42036.08</v>
      </c>
      <c r="G441" s="18">
        <v>132148</v>
      </c>
      <c r="H441" s="18">
        <f t="shared" si="28"/>
        <v>42032.58</v>
      </c>
      <c r="I441" s="3"/>
    </row>
    <row r="442" spans="1:9" s="4" customFormat="1" ht="18" customHeight="1" x14ac:dyDescent="0.55000000000000004">
      <c r="A442" s="18">
        <v>24.8110584</v>
      </c>
      <c r="B442" s="18">
        <v>34.846147799999997</v>
      </c>
      <c r="C442" s="18">
        <v>686599.18</v>
      </c>
      <c r="D442" s="18">
        <v>2745288.57</v>
      </c>
      <c r="E442" s="18">
        <v>214.97</v>
      </c>
      <c r="F442" s="18">
        <v>42040.17</v>
      </c>
      <c r="G442" s="18">
        <v>132150</v>
      </c>
      <c r="H442" s="18">
        <f t="shared" si="28"/>
        <v>42036.67</v>
      </c>
      <c r="I442" s="3"/>
    </row>
    <row r="443" spans="1:9" s="4" customFormat="1" ht="18" customHeight="1" x14ac:dyDescent="0.55000000000000004">
      <c r="A443" s="18">
        <v>24.811035700000001</v>
      </c>
      <c r="B443" s="18">
        <v>34.846128100000001</v>
      </c>
      <c r="C443" s="18">
        <v>686597.23</v>
      </c>
      <c r="D443" s="18">
        <v>2745286.03</v>
      </c>
      <c r="E443" s="18">
        <v>214.94</v>
      </c>
      <c r="F443" s="18">
        <v>42046.06</v>
      </c>
      <c r="G443" s="18">
        <v>132152</v>
      </c>
      <c r="H443" s="18">
        <f t="shared" si="28"/>
        <v>42042.559999999998</v>
      </c>
      <c r="I443" s="3"/>
    </row>
    <row r="444" spans="1:9" s="4" customFormat="1" ht="18" customHeight="1" x14ac:dyDescent="0.55000000000000004">
      <c r="A444" s="18">
        <v>24.811012699999999</v>
      </c>
      <c r="B444" s="18">
        <v>34.846108999999998</v>
      </c>
      <c r="C444" s="18">
        <v>686595.33</v>
      </c>
      <c r="D444" s="18">
        <v>2745283.46</v>
      </c>
      <c r="E444" s="18">
        <v>214.93</v>
      </c>
      <c r="F444" s="18">
        <v>42049.440000000002</v>
      </c>
      <c r="G444" s="18">
        <v>132154</v>
      </c>
      <c r="H444" s="18">
        <f t="shared" si="28"/>
        <v>42045.94</v>
      </c>
      <c r="I444" s="3"/>
    </row>
    <row r="445" spans="1:9" s="4" customFormat="1" ht="18" customHeight="1" x14ac:dyDescent="0.55000000000000004">
      <c r="A445" s="18">
        <v>24.810989599999999</v>
      </c>
      <c r="B445" s="18">
        <v>34.846088700000003</v>
      </c>
      <c r="C445" s="18">
        <v>686593.31</v>
      </c>
      <c r="D445" s="18">
        <v>2745280.87</v>
      </c>
      <c r="E445" s="18">
        <v>214.92</v>
      </c>
      <c r="F445" s="18">
        <v>42050.44</v>
      </c>
      <c r="G445" s="18">
        <v>132156</v>
      </c>
      <c r="H445" s="18">
        <f t="shared" si="28"/>
        <v>42046.94</v>
      </c>
      <c r="I445" s="3"/>
    </row>
    <row r="446" spans="1:9" s="4" customFormat="1" ht="18" customHeight="1" x14ac:dyDescent="0.55000000000000004">
      <c r="A446" s="18">
        <v>24.810967099999999</v>
      </c>
      <c r="B446" s="18">
        <v>34.846070599999997</v>
      </c>
      <c r="C446" s="18">
        <v>686591.51</v>
      </c>
      <c r="D446" s="18">
        <v>2745278.35</v>
      </c>
      <c r="E446" s="18">
        <v>214.95</v>
      </c>
      <c r="F446" s="18">
        <v>42050.41</v>
      </c>
      <c r="G446" s="18">
        <v>132158</v>
      </c>
      <c r="H446" s="18">
        <f t="shared" si="28"/>
        <v>42046.91</v>
      </c>
      <c r="I446" s="3"/>
    </row>
    <row r="447" spans="1:9" s="4" customFormat="1" ht="18" customHeight="1" x14ac:dyDescent="0.55000000000000004">
      <c r="A447" s="18">
        <v>24.8109444</v>
      </c>
      <c r="B447" s="18">
        <v>34.846052</v>
      </c>
      <c r="C447" s="18">
        <v>686589.66</v>
      </c>
      <c r="D447" s="18">
        <v>2745275.81</v>
      </c>
      <c r="E447" s="18">
        <v>214.91</v>
      </c>
      <c r="F447" s="18">
        <v>42050.81</v>
      </c>
      <c r="G447" s="18">
        <v>132200</v>
      </c>
      <c r="H447" s="18">
        <f t="shared" si="28"/>
        <v>42047.31</v>
      </c>
      <c r="I447" s="3"/>
    </row>
    <row r="448" spans="1:9" s="4" customFormat="1" ht="18" customHeight="1" x14ac:dyDescent="0.55000000000000004">
      <c r="A448" s="18">
        <v>24.810919999999999</v>
      </c>
      <c r="B448" s="18">
        <v>34.846032899999997</v>
      </c>
      <c r="C448" s="18">
        <v>686587.77</v>
      </c>
      <c r="D448" s="18">
        <v>2745273.08</v>
      </c>
      <c r="E448" s="18">
        <v>214.91</v>
      </c>
      <c r="F448" s="18">
        <v>42051.32</v>
      </c>
      <c r="G448" s="18">
        <v>132202</v>
      </c>
      <c r="H448" s="18">
        <f>SUM(F448-6)</f>
        <v>42045.32</v>
      </c>
      <c r="I448" s="3"/>
    </row>
    <row r="449" spans="1:9" s="4" customFormat="1" ht="18" customHeight="1" x14ac:dyDescent="0.55000000000000004">
      <c r="A449" s="18">
        <v>24.8108957</v>
      </c>
      <c r="B449" s="18">
        <v>34.846015000000001</v>
      </c>
      <c r="C449" s="18">
        <v>686586</v>
      </c>
      <c r="D449" s="18">
        <v>2745270.37</v>
      </c>
      <c r="E449" s="18">
        <v>214.94</v>
      </c>
      <c r="F449" s="18">
        <v>42052.4</v>
      </c>
      <c r="G449" s="18">
        <v>132204</v>
      </c>
      <c r="H449" s="18">
        <f t="shared" ref="H449:H512" si="29">SUM(F449-6)</f>
        <v>42046.400000000001</v>
      </c>
      <c r="I449" s="3"/>
    </row>
    <row r="450" spans="1:9" s="4" customFormat="1" ht="18" customHeight="1" x14ac:dyDescent="0.55000000000000004">
      <c r="A450" s="18">
        <v>24.810872</v>
      </c>
      <c r="B450" s="18">
        <v>34.845996900000003</v>
      </c>
      <c r="C450" s="18">
        <v>686584.21</v>
      </c>
      <c r="D450" s="18">
        <v>2745267.71</v>
      </c>
      <c r="E450" s="18">
        <v>214.94</v>
      </c>
      <c r="F450" s="18">
        <v>42055.65</v>
      </c>
      <c r="G450" s="18">
        <v>132206</v>
      </c>
      <c r="H450" s="18">
        <f t="shared" si="29"/>
        <v>42049.65</v>
      </c>
      <c r="I450" s="3"/>
    </row>
    <row r="451" spans="1:9" s="4" customFormat="1" ht="18" customHeight="1" x14ac:dyDescent="0.55000000000000004">
      <c r="A451" s="18">
        <v>24.810847800000001</v>
      </c>
      <c r="B451" s="18">
        <v>34.8459784</v>
      </c>
      <c r="C451" s="18">
        <v>686582.37</v>
      </c>
      <c r="D451" s="18">
        <v>2745265.01</v>
      </c>
      <c r="E451" s="18">
        <v>214.93</v>
      </c>
      <c r="F451" s="18">
        <v>42059.56</v>
      </c>
      <c r="G451" s="18">
        <v>132208</v>
      </c>
      <c r="H451" s="18">
        <f t="shared" si="29"/>
        <v>42053.56</v>
      </c>
      <c r="I451" s="3"/>
    </row>
    <row r="452" spans="1:9" s="4" customFormat="1" ht="18" customHeight="1" x14ac:dyDescent="0.55000000000000004">
      <c r="A452" s="18">
        <v>24.810822099999999</v>
      </c>
      <c r="B452" s="18">
        <v>34.845962900000004</v>
      </c>
      <c r="C452" s="18">
        <v>686580.84</v>
      </c>
      <c r="D452" s="18">
        <v>2745262.15</v>
      </c>
      <c r="E452" s="18">
        <v>214.96</v>
      </c>
      <c r="F452" s="18">
        <v>42061.82</v>
      </c>
      <c r="G452" s="18">
        <v>132210</v>
      </c>
      <c r="H452" s="18">
        <f t="shared" si="29"/>
        <v>42055.82</v>
      </c>
      <c r="I452" s="3"/>
    </row>
    <row r="453" spans="1:9" s="4" customFormat="1" ht="18" customHeight="1" x14ac:dyDescent="0.55000000000000004">
      <c r="A453" s="18">
        <v>24.810796499999999</v>
      </c>
      <c r="B453" s="18">
        <v>34.845948100000001</v>
      </c>
      <c r="C453" s="18">
        <v>686579.39</v>
      </c>
      <c r="D453" s="18">
        <v>2745259.29</v>
      </c>
      <c r="E453" s="18">
        <v>214.93</v>
      </c>
      <c r="F453" s="18">
        <v>42065.33</v>
      </c>
      <c r="G453" s="18">
        <v>132212</v>
      </c>
      <c r="H453" s="18">
        <f t="shared" si="29"/>
        <v>42059.33</v>
      </c>
      <c r="I453" s="3"/>
    </row>
    <row r="454" spans="1:9" s="4" customFormat="1" ht="18" customHeight="1" x14ac:dyDescent="0.55000000000000004">
      <c r="A454" s="18">
        <v>24.8107705</v>
      </c>
      <c r="B454" s="18">
        <v>34.845934999999997</v>
      </c>
      <c r="C454" s="18">
        <v>686578.1</v>
      </c>
      <c r="D454" s="18">
        <v>2745256.39</v>
      </c>
      <c r="E454" s="18">
        <v>214.95</v>
      </c>
      <c r="F454" s="18">
        <v>42067.35</v>
      </c>
      <c r="G454" s="18">
        <v>132214</v>
      </c>
      <c r="H454" s="18">
        <f t="shared" si="29"/>
        <v>42061.35</v>
      </c>
      <c r="I454" s="3"/>
    </row>
    <row r="455" spans="1:9" s="4" customFormat="1" ht="18" customHeight="1" x14ac:dyDescent="0.55000000000000004">
      <c r="A455" s="18">
        <v>24.810745699999998</v>
      </c>
      <c r="B455" s="18">
        <v>34.845919700000003</v>
      </c>
      <c r="C455" s="18">
        <v>686576.59</v>
      </c>
      <c r="D455" s="18">
        <v>2745253.62</v>
      </c>
      <c r="E455" s="18">
        <v>214.96</v>
      </c>
      <c r="F455" s="18">
        <v>42069.47</v>
      </c>
      <c r="G455" s="18">
        <v>132216</v>
      </c>
      <c r="H455" s="18">
        <f t="shared" si="29"/>
        <v>42063.47</v>
      </c>
      <c r="I455" s="3"/>
    </row>
    <row r="456" spans="1:9" s="4" customFormat="1" ht="18" customHeight="1" x14ac:dyDescent="0.55000000000000004">
      <c r="A456" s="18">
        <v>24.810721000000001</v>
      </c>
      <c r="B456" s="18">
        <v>34.8459073</v>
      </c>
      <c r="C456" s="18">
        <v>686575.37</v>
      </c>
      <c r="D456" s="18">
        <v>2745250.87</v>
      </c>
      <c r="E456" s="18">
        <v>214.93</v>
      </c>
      <c r="F456" s="18">
        <v>42070.99</v>
      </c>
      <c r="G456" s="18">
        <v>132218</v>
      </c>
      <c r="H456" s="18">
        <f t="shared" si="29"/>
        <v>42064.99</v>
      </c>
      <c r="I456" s="3"/>
    </row>
    <row r="457" spans="1:9" s="4" customFormat="1" ht="18" customHeight="1" x14ac:dyDescent="0.55000000000000004">
      <c r="A457" s="18">
        <v>24.810694999999999</v>
      </c>
      <c r="B457" s="18">
        <v>34.845896799999998</v>
      </c>
      <c r="C457" s="18">
        <v>686574.36</v>
      </c>
      <c r="D457" s="18">
        <v>2745247.98</v>
      </c>
      <c r="E457" s="18">
        <v>214.86</v>
      </c>
      <c r="F457" s="18">
        <v>42071.96</v>
      </c>
      <c r="G457" s="18">
        <v>132220</v>
      </c>
      <c r="H457" s="18">
        <f t="shared" si="29"/>
        <v>42065.96</v>
      </c>
      <c r="I457" s="3"/>
    </row>
    <row r="458" spans="1:9" s="4" customFormat="1" ht="18" customHeight="1" x14ac:dyDescent="0.55000000000000004">
      <c r="A458" s="18">
        <v>24.810670300000002</v>
      </c>
      <c r="B458" s="18">
        <v>34.8458866</v>
      </c>
      <c r="C458" s="18">
        <v>686573.36</v>
      </c>
      <c r="D458" s="18">
        <v>2745245.23</v>
      </c>
      <c r="E458" s="18">
        <v>214.83</v>
      </c>
      <c r="F458" s="18">
        <v>42075.12</v>
      </c>
      <c r="G458" s="18">
        <v>132222</v>
      </c>
      <c r="H458" s="18">
        <f t="shared" si="29"/>
        <v>42069.120000000003</v>
      </c>
      <c r="I458" s="3"/>
    </row>
    <row r="459" spans="1:9" s="4" customFormat="1" ht="18" customHeight="1" x14ac:dyDescent="0.55000000000000004">
      <c r="A459" s="18">
        <v>24.8106455</v>
      </c>
      <c r="B459" s="18">
        <v>34.845875599999999</v>
      </c>
      <c r="C459" s="18">
        <v>686572.28</v>
      </c>
      <c r="D459" s="18">
        <v>2745242.47</v>
      </c>
      <c r="E459" s="18">
        <v>214.83</v>
      </c>
      <c r="F459" s="18">
        <v>42074.73</v>
      </c>
      <c r="G459" s="18">
        <v>132224</v>
      </c>
      <c r="H459" s="18">
        <f t="shared" si="29"/>
        <v>42068.73</v>
      </c>
      <c r="I459" s="3"/>
    </row>
    <row r="460" spans="1:9" s="4" customFormat="1" ht="18" customHeight="1" x14ac:dyDescent="0.55000000000000004">
      <c r="A460" s="18">
        <v>24.810618699999999</v>
      </c>
      <c r="B460" s="18">
        <v>34.845867699999999</v>
      </c>
      <c r="C460" s="18">
        <v>686571.52000000002</v>
      </c>
      <c r="D460" s="18">
        <v>2745239.48</v>
      </c>
      <c r="E460" s="18">
        <v>214.84</v>
      </c>
      <c r="F460" s="18">
        <v>42074.58</v>
      </c>
      <c r="G460" s="18">
        <v>132226</v>
      </c>
      <c r="H460" s="18">
        <f t="shared" si="29"/>
        <v>42068.58</v>
      </c>
      <c r="I460" s="3"/>
    </row>
    <row r="461" spans="1:9" s="4" customFormat="1" ht="18" customHeight="1" x14ac:dyDescent="0.55000000000000004">
      <c r="A461" s="18">
        <v>24.8105923</v>
      </c>
      <c r="B461" s="18">
        <v>34.845860399999999</v>
      </c>
      <c r="C461" s="18">
        <v>686570.82</v>
      </c>
      <c r="D461" s="18">
        <v>2745236.55</v>
      </c>
      <c r="E461" s="18">
        <v>214.89</v>
      </c>
      <c r="F461" s="18">
        <v>42074.05</v>
      </c>
      <c r="G461" s="18">
        <v>132228</v>
      </c>
      <c r="H461" s="18">
        <f t="shared" si="29"/>
        <v>42068.05</v>
      </c>
      <c r="I461" s="3"/>
    </row>
    <row r="462" spans="1:9" s="4" customFormat="1" ht="18" customHeight="1" x14ac:dyDescent="0.55000000000000004">
      <c r="A462" s="18">
        <v>24.8105665</v>
      </c>
      <c r="B462" s="18">
        <v>34.845849000000001</v>
      </c>
      <c r="C462" s="18">
        <v>686569.71</v>
      </c>
      <c r="D462" s="18">
        <v>2745233.68</v>
      </c>
      <c r="E462" s="18">
        <v>214.95</v>
      </c>
      <c r="F462" s="18">
        <v>42078.16</v>
      </c>
      <c r="G462" s="18">
        <v>132230</v>
      </c>
      <c r="H462" s="18">
        <f t="shared" si="29"/>
        <v>42072.160000000003</v>
      </c>
      <c r="I462" s="3"/>
    </row>
    <row r="463" spans="1:9" s="4" customFormat="1" ht="18" customHeight="1" x14ac:dyDescent="0.55000000000000004">
      <c r="A463" s="18">
        <v>24.810540899999999</v>
      </c>
      <c r="B463" s="18">
        <v>34.845837899999999</v>
      </c>
      <c r="C463" s="18">
        <v>686568.63</v>
      </c>
      <c r="D463" s="18">
        <v>2745230.82</v>
      </c>
      <c r="E463" s="18">
        <v>214.97</v>
      </c>
      <c r="F463" s="18">
        <v>42072.86</v>
      </c>
      <c r="G463" s="18">
        <v>132232</v>
      </c>
      <c r="H463" s="18">
        <f t="shared" si="29"/>
        <v>42066.86</v>
      </c>
      <c r="I463" s="3"/>
    </row>
    <row r="464" spans="1:9" s="4" customFormat="1" ht="18" customHeight="1" x14ac:dyDescent="0.55000000000000004">
      <c r="A464" s="18">
        <v>24.810516499999999</v>
      </c>
      <c r="B464" s="18">
        <v>34.8458282</v>
      </c>
      <c r="C464" s="18">
        <v>686567.68</v>
      </c>
      <c r="D464" s="18">
        <v>2745228.12</v>
      </c>
      <c r="E464" s="18">
        <v>214.98</v>
      </c>
      <c r="F464" s="18">
        <v>42072.87</v>
      </c>
      <c r="G464" s="18">
        <v>132234</v>
      </c>
      <c r="H464" s="18">
        <f t="shared" si="29"/>
        <v>42066.87</v>
      </c>
      <c r="I464" s="3"/>
    </row>
    <row r="465" spans="1:9" s="4" customFormat="1" ht="18" customHeight="1" x14ac:dyDescent="0.55000000000000004">
      <c r="A465" s="18">
        <v>24.810494800000001</v>
      </c>
      <c r="B465" s="18">
        <v>34.845817500000003</v>
      </c>
      <c r="C465" s="18">
        <v>686566.63</v>
      </c>
      <c r="D465" s="18">
        <v>2745225.7</v>
      </c>
      <c r="E465" s="18">
        <v>214.96</v>
      </c>
      <c r="F465" s="18">
        <v>42078.42</v>
      </c>
      <c r="G465" s="18">
        <v>132236</v>
      </c>
      <c r="H465" s="18">
        <f t="shared" si="29"/>
        <v>42072.42</v>
      </c>
      <c r="I465" s="3"/>
    </row>
    <row r="466" spans="1:9" s="4" customFormat="1" ht="18" customHeight="1" x14ac:dyDescent="0.55000000000000004">
      <c r="A466" s="18">
        <v>24.810469099999999</v>
      </c>
      <c r="B466" s="18">
        <v>34.845805800000001</v>
      </c>
      <c r="C466" s="18">
        <v>686565.49</v>
      </c>
      <c r="D466" s="18">
        <v>2745222.83</v>
      </c>
      <c r="E466" s="18">
        <v>214.95</v>
      </c>
      <c r="F466" s="18">
        <v>42075.23</v>
      </c>
      <c r="G466" s="18">
        <v>132238</v>
      </c>
      <c r="H466" s="18">
        <f t="shared" si="29"/>
        <v>42069.23</v>
      </c>
      <c r="I466" s="3"/>
    </row>
    <row r="467" spans="1:9" s="4" customFormat="1" ht="18" customHeight="1" x14ac:dyDescent="0.55000000000000004">
      <c r="A467" s="18">
        <v>24.810442200000001</v>
      </c>
      <c r="B467" s="18">
        <v>34.845795099999997</v>
      </c>
      <c r="C467" s="18">
        <v>686564.44</v>
      </c>
      <c r="D467" s="18">
        <v>2745219.84</v>
      </c>
      <c r="E467" s="18">
        <v>214.95</v>
      </c>
      <c r="F467" s="18">
        <v>42066.22</v>
      </c>
      <c r="G467" s="18">
        <v>132240</v>
      </c>
      <c r="H467" s="18">
        <f t="shared" si="29"/>
        <v>42060.22</v>
      </c>
      <c r="I467" s="3"/>
    </row>
    <row r="468" spans="1:9" s="4" customFormat="1" ht="18" customHeight="1" x14ac:dyDescent="0.55000000000000004">
      <c r="A468" s="18">
        <v>24.810416199999999</v>
      </c>
      <c r="B468" s="18">
        <v>34.845784999999999</v>
      </c>
      <c r="C468" s="18">
        <v>686563.47</v>
      </c>
      <c r="D468" s="18">
        <v>2745216.95</v>
      </c>
      <c r="E468" s="18">
        <v>214.97</v>
      </c>
      <c r="F468" s="18">
        <v>42067.839999999997</v>
      </c>
      <c r="G468" s="18">
        <v>132242</v>
      </c>
      <c r="H468" s="18">
        <f t="shared" si="29"/>
        <v>42061.84</v>
      </c>
      <c r="I468" s="3"/>
    </row>
    <row r="469" spans="1:9" s="4" customFormat="1" ht="18" customHeight="1" x14ac:dyDescent="0.55000000000000004">
      <c r="A469" s="18">
        <v>24.8103914</v>
      </c>
      <c r="B469" s="18">
        <v>34.845774800000001</v>
      </c>
      <c r="C469" s="18">
        <v>686562.48</v>
      </c>
      <c r="D469" s="18">
        <v>2745214.18</v>
      </c>
      <c r="E469" s="18">
        <v>215.16</v>
      </c>
      <c r="F469" s="18">
        <v>42072.72</v>
      </c>
      <c r="G469" s="18">
        <v>132244</v>
      </c>
      <c r="H469" s="18">
        <f t="shared" si="29"/>
        <v>42066.720000000001</v>
      </c>
      <c r="I469" s="3"/>
    </row>
    <row r="470" spans="1:9" s="4" customFormat="1" ht="18" customHeight="1" x14ac:dyDescent="0.55000000000000004">
      <c r="A470" s="18">
        <v>24.810368499999999</v>
      </c>
      <c r="B470" s="18">
        <v>34.8457607</v>
      </c>
      <c r="C470" s="18">
        <v>686561.08</v>
      </c>
      <c r="D470" s="18">
        <v>2745211.62</v>
      </c>
      <c r="E470" s="18">
        <v>215.31</v>
      </c>
      <c r="F470" s="18">
        <v>42071.18</v>
      </c>
      <c r="G470" s="18">
        <v>132246</v>
      </c>
      <c r="H470" s="18">
        <f t="shared" si="29"/>
        <v>42065.18</v>
      </c>
      <c r="I470" s="3"/>
    </row>
    <row r="471" spans="1:9" s="4" customFormat="1" ht="18" customHeight="1" x14ac:dyDescent="0.55000000000000004">
      <c r="A471" s="18">
        <v>24.810344400000002</v>
      </c>
      <c r="B471" s="18">
        <v>34.8457492</v>
      </c>
      <c r="C471" s="18">
        <v>686559.95</v>
      </c>
      <c r="D471" s="18">
        <v>2745208.94</v>
      </c>
      <c r="E471" s="18">
        <v>215.48</v>
      </c>
      <c r="F471" s="18">
        <v>42073.16</v>
      </c>
      <c r="G471" s="18">
        <v>132248</v>
      </c>
      <c r="H471" s="18">
        <f t="shared" si="29"/>
        <v>42067.16</v>
      </c>
      <c r="I471" s="3"/>
    </row>
    <row r="472" spans="1:9" s="4" customFormat="1" ht="18" customHeight="1" x14ac:dyDescent="0.55000000000000004">
      <c r="A472" s="18">
        <v>24.8103193</v>
      </c>
      <c r="B472" s="18">
        <v>34.845741599999997</v>
      </c>
      <c r="C472" s="18">
        <v>686559.22</v>
      </c>
      <c r="D472" s="18">
        <v>2745206.16</v>
      </c>
      <c r="E472" s="18">
        <v>215.64</v>
      </c>
      <c r="F472" s="18">
        <v>42075.16</v>
      </c>
      <c r="G472" s="18">
        <v>132250</v>
      </c>
      <c r="H472" s="18">
        <f t="shared" si="29"/>
        <v>42069.16</v>
      </c>
      <c r="I472" s="3"/>
    </row>
    <row r="473" spans="1:9" s="4" customFormat="1" ht="18" customHeight="1" x14ac:dyDescent="0.55000000000000004">
      <c r="A473" s="18">
        <v>24.810293600000001</v>
      </c>
      <c r="B473" s="18">
        <v>34.845735699999999</v>
      </c>
      <c r="C473" s="18">
        <v>686558.67</v>
      </c>
      <c r="D473" s="18">
        <v>2745203.3</v>
      </c>
      <c r="E473" s="18">
        <v>215.86</v>
      </c>
      <c r="F473" s="18">
        <v>42075.07</v>
      </c>
      <c r="G473" s="18">
        <v>132252</v>
      </c>
      <c r="H473" s="18">
        <f t="shared" si="29"/>
        <v>42069.07</v>
      </c>
      <c r="I473" s="3"/>
    </row>
    <row r="474" spans="1:9" s="4" customFormat="1" ht="18" customHeight="1" x14ac:dyDescent="0.55000000000000004">
      <c r="A474" s="18">
        <v>24.810267199999998</v>
      </c>
      <c r="B474" s="18">
        <v>34.845729599999999</v>
      </c>
      <c r="C474" s="18">
        <v>686558.09</v>
      </c>
      <c r="D474" s="18">
        <v>2745200.36</v>
      </c>
      <c r="E474" s="18">
        <v>216.07</v>
      </c>
      <c r="F474" s="18">
        <v>42074.559999999998</v>
      </c>
      <c r="G474" s="18">
        <v>132254</v>
      </c>
      <c r="H474" s="18">
        <f t="shared" si="29"/>
        <v>42068.56</v>
      </c>
      <c r="I474" s="3"/>
    </row>
    <row r="475" spans="1:9" s="4" customFormat="1" ht="18" customHeight="1" x14ac:dyDescent="0.55000000000000004">
      <c r="A475" s="18">
        <v>24.8102412</v>
      </c>
      <c r="B475" s="18">
        <v>34.845723200000002</v>
      </c>
      <c r="C475" s="18">
        <v>686557.48</v>
      </c>
      <c r="D475" s="18">
        <v>2745197.47</v>
      </c>
      <c r="E475" s="18">
        <v>216.27</v>
      </c>
      <c r="F475" s="18">
        <v>42071.75</v>
      </c>
      <c r="G475" s="18">
        <v>132256</v>
      </c>
      <c r="H475" s="18">
        <f t="shared" si="29"/>
        <v>42065.75</v>
      </c>
      <c r="I475" s="3"/>
    </row>
    <row r="476" spans="1:9" s="4" customFormat="1" ht="18" customHeight="1" x14ac:dyDescent="0.55000000000000004">
      <c r="A476" s="18">
        <v>24.810218200000001</v>
      </c>
      <c r="B476" s="18">
        <v>34.845711399999999</v>
      </c>
      <c r="C476" s="18">
        <v>686556.32</v>
      </c>
      <c r="D476" s="18">
        <v>2745194.91</v>
      </c>
      <c r="E476" s="18">
        <v>216.42</v>
      </c>
      <c r="F476" s="18">
        <v>42072.66</v>
      </c>
      <c r="G476" s="18">
        <v>132258</v>
      </c>
      <c r="H476" s="18">
        <f t="shared" si="29"/>
        <v>42066.66</v>
      </c>
      <c r="I476" s="3"/>
    </row>
    <row r="477" spans="1:9" s="4" customFormat="1" ht="18" customHeight="1" x14ac:dyDescent="0.55000000000000004">
      <c r="A477" s="18">
        <v>24.810193900000002</v>
      </c>
      <c r="B477" s="18">
        <v>34.845700600000001</v>
      </c>
      <c r="C477" s="18">
        <v>686555.27</v>
      </c>
      <c r="D477" s="18">
        <v>2745192.2</v>
      </c>
      <c r="E477" s="18">
        <v>216.53</v>
      </c>
      <c r="F477" s="18">
        <v>42073.22</v>
      </c>
      <c r="G477" s="18">
        <v>132300</v>
      </c>
      <c r="H477" s="18">
        <f t="shared" si="29"/>
        <v>42067.22</v>
      </c>
      <c r="I477" s="3"/>
    </row>
    <row r="478" spans="1:9" s="4" customFormat="1" ht="18" customHeight="1" x14ac:dyDescent="0.55000000000000004">
      <c r="A478" s="18">
        <v>24.810168300000001</v>
      </c>
      <c r="B478" s="18">
        <v>34.845693799999999</v>
      </c>
      <c r="C478" s="18">
        <v>686554.62</v>
      </c>
      <c r="D478" s="18">
        <v>2745189.36</v>
      </c>
      <c r="E478" s="18">
        <v>216.66</v>
      </c>
      <c r="F478" s="18">
        <v>42074.14</v>
      </c>
      <c r="G478" s="18">
        <v>132302</v>
      </c>
      <c r="H478" s="18">
        <f t="shared" si="29"/>
        <v>42068.14</v>
      </c>
      <c r="I478" s="3"/>
    </row>
    <row r="479" spans="1:9" s="4" customFormat="1" ht="18" customHeight="1" x14ac:dyDescent="0.55000000000000004">
      <c r="A479" s="18">
        <v>24.810144099999999</v>
      </c>
      <c r="B479" s="18">
        <v>34.845683800000003</v>
      </c>
      <c r="C479" s="18">
        <v>686553.64</v>
      </c>
      <c r="D479" s="18">
        <v>2745186.66</v>
      </c>
      <c r="E479" s="18">
        <v>216.83</v>
      </c>
      <c r="F479" s="18">
        <v>42074.720000000001</v>
      </c>
      <c r="G479" s="18">
        <v>132304</v>
      </c>
      <c r="H479" s="18">
        <f t="shared" si="29"/>
        <v>42068.72</v>
      </c>
      <c r="I479" s="3"/>
    </row>
    <row r="480" spans="1:9" s="4" customFormat="1" ht="18" customHeight="1" x14ac:dyDescent="0.55000000000000004">
      <c r="A480" s="18">
        <v>24.810119700000001</v>
      </c>
      <c r="B480" s="18">
        <v>34.845674299999999</v>
      </c>
      <c r="C480" s="18">
        <v>686552.72</v>
      </c>
      <c r="D480" s="18">
        <v>2745183.95</v>
      </c>
      <c r="E480" s="18">
        <v>217</v>
      </c>
      <c r="F480" s="18">
        <v>42073.95</v>
      </c>
      <c r="G480" s="18">
        <v>132306</v>
      </c>
      <c r="H480" s="18">
        <f t="shared" si="29"/>
        <v>42067.95</v>
      </c>
      <c r="I480" s="3"/>
    </row>
    <row r="481" spans="1:9" s="4" customFormat="1" ht="18" customHeight="1" x14ac:dyDescent="0.55000000000000004">
      <c r="A481" s="18">
        <v>24.8100934</v>
      </c>
      <c r="B481" s="18">
        <v>34.8456677</v>
      </c>
      <c r="C481" s="18">
        <v>686552.09</v>
      </c>
      <c r="D481" s="18">
        <v>2745181.03</v>
      </c>
      <c r="E481" s="18">
        <v>217.12</v>
      </c>
      <c r="F481" s="18">
        <v>42074.19</v>
      </c>
      <c r="G481" s="18">
        <v>132308</v>
      </c>
      <c r="H481" s="18">
        <f t="shared" si="29"/>
        <v>42068.19</v>
      </c>
      <c r="I481" s="3"/>
    </row>
    <row r="482" spans="1:9" s="4" customFormat="1" ht="18" customHeight="1" x14ac:dyDescent="0.55000000000000004">
      <c r="A482" s="18">
        <v>24.8100676</v>
      </c>
      <c r="B482" s="18">
        <v>34.845660500000001</v>
      </c>
      <c r="C482" s="18">
        <v>686551.4</v>
      </c>
      <c r="D482" s="18">
        <v>2745178.16</v>
      </c>
      <c r="E482" s="18">
        <v>217.25</v>
      </c>
      <c r="F482" s="18">
        <v>42075.18</v>
      </c>
      <c r="G482" s="18">
        <v>132310</v>
      </c>
      <c r="H482" s="18">
        <f t="shared" si="29"/>
        <v>42069.18</v>
      </c>
      <c r="I482" s="3"/>
    </row>
    <row r="483" spans="1:9" s="4" customFormat="1" ht="18" customHeight="1" x14ac:dyDescent="0.55000000000000004">
      <c r="A483" s="18">
        <v>24.810042299999999</v>
      </c>
      <c r="B483" s="18">
        <v>34.845649100000003</v>
      </c>
      <c r="C483" s="18">
        <v>686550.29</v>
      </c>
      <c r="D483" s="18">
        <v>2745175.34</v>
      </c>
      <c r="E483" s="18">
        <v>217.32</v>
      </c>
      <c r="F483" s="18">
        <v>42074.79</v>
      </c>
      <c r="G483" s="18">
        <v>132312</v>
      </c>
      <c r="H483" s="18">
        <f t="shared" si="29"/>
        <v>42068.79</v>
      </c>
      <c r="I483" s="3"/>
    </row>
    <row r="484" spans="1:9" s="4" customFormat="1" ht="18" customHeight="1" x14ac:dyDescent="0.55000000000000004">
      <c r="A484" s="18">
        <v>24.810022199999999</v>
      </c>
      <c r="B484" s="18">
        <v>34.845640000000003</v>
      </c>
      <c r="C484" s="18">
        <v>686549.39</v>
      </c>
      <c r="D484" s="18">
        <v>2745173.1</v>
      </c>
      <c r="E484" s="18">
        <v>217.43</v>
      </c>
      <c r="F484" s="18">
        <v>42073.99</v>
      </c>
      <c r="G484" s="18">
        <v>132314</v>
      </c>
      <c r="H484" s="18">
        <f t="shared" si="29"/>
        <v>42067.99</v>
      </c>
      <c r="I484" s="3"/>
    </row>
    <row r="485" spans="1:9" s="4" customFormat="1" ht="18" customHeight="1" x14ac:dyDescent="0.55000000000000004">
      <c r="A485" s="18">
        <v>24.809999399999999</v>
      </c>
      <c r="B485" s="18">
        <v>34.8456306</v>
      </c>
      <c r="C485" s="18">
        <v>686548.47999999998</v>
      </c>
      <c r="D485" s="18">
        <v>2745170.57</v>
      </c>
      <c r="E485" s="18">
        <v>217.49</v>
      </c>
      <c r="F485" s="18">
        <v>42075.45</v>
      </c>
      <c r="G485" s="18">
        <v>132316</v>
      </c>
      <c r="H485" s="18">
        <f t="shared" si="29"/>
        <v>42069.45</v>
      </c>
      <c r="I485" s="3"/>
    </row>
    <row r="486" spans="1:9" s="4" customFormat="1" ht="18" customHeight="1" x14ac:dyDescent="0.55000000000000004">
      <c r="A486" s="18">
        <v>24.8099773</v>
      </c>
      <c r="B486" s="18">
        <v>34.845612799999998</v>
      </c>
      <c r="C486" s="18">
        <v>686546.72</v>
      </c>
      <c r="D486" s="18">
        <v>2745168.1</v>
      </c>
      <c r="E486" s="18">
        <v>217.66</v>
      </c>
      <c r="F486" s="18">
        <v>42074.07</v>
      </c>
      <c r="G486" s="18">
        <v>132318</v>
      </c>
      <c r="H486" s="18">
        <f t="shared" si="29"/>
        <v>42068.07</v>
      </c>
      <c r="I486" s="3"/>
    </row>
    <row r="487" spans="1:9" s="4" customFormat="1" ht="18" customHeight="1" x14ac:dyDescent="0.55000000000000004">
      <c r="A487" s="18">
        <v>24.809955200000001</v>
      </c>
      <c r="B487" s="18">
        <v>34.845597300000001</v>
      </c>
      <c r="C487" s="18">
        <v>686545.18</v>
      </c>
      <c r="D487" s="18">
        <v>2745165.62</v>
      </c>
      <c r="E487" s="18">
        <v>217.73</v>
      </c>
      <c r="F487" s="18">
        <v>42072.3</v>
      </c>
      <c r="G487" s="18">
        <v>132320</v>
      </c>
      <c r="H487" s="18">
        <f t="shared" si="29"/>
        <v>42066.3</v>
      </c>
      <c r="I487" s="3"/>
    </row>
    <row r="488" spans="1:9" s="4" customFormat="1" ht="18" customHeight="1" x14ac:dyDescent="0.55000000000000004">
      <c r="A488" s="18">
        <v>24.809929</v>
      </c>
      <c r="B488" s="18">
        <v>34.845587899999998</v>
      </c>
      <c r="C488" s="18">
        <v>686544.27</v>
      </c>
      <c r="D488" s="18">
        <v>2745162.71</v>
      </c>
      <c r="E488" s="18">
        <v>217.87</v>
      </c>
      <c r="F488" s="18">
        <v>42073.68</v>
      </c>
      <c r="G488" s="18">
        <v>132322</v>
      </c>
      <c r="H488" s="18">
        <f t="shared" si="29"/>
        <v>42067.68</v>
      </c>
      <c r="I488" s="3"/>
    </row>
    <row r="489" spans="1:9" s="4" customFormat="1" ht="18" customHeight="1" x14ac:dyDescent="0.55000000000000004">
      <c r="A489" s="18">
        <v>24.8099034</v>
      </c>
      <c r="B489" s="18">
        <v>34.845573399999999</v>
      </c>
      <c r="C489" s="18">
        <v>686542.84</v>
      </c>
      <c r="D489" s="18">
        <v>2745159.86</v>
      </c>
      <c r="E489" s="18">
        <v>217.99</v>
      </c>
      <c r="F489" s="18">
        <v>42073.03</v>
      </c>
      <c r="G489" s="18">
        <v>132324</v>
      </c>
      <c r="H489" s="18">
        <f t="shared" si="29"/>
        <v>42067.03</v>
      </c>
      <c r="I489" s="3"/>
    </row>
    <row r="490" spans="1:9" s="4" customFormat="1" ht="18" customHeight="1" x14ac:dyDescent="0.55000000000000004">
      <c r="A490" s="18">
        <v>24.809877499999999</v>
      </c>
      <c r="B490" s="18">
        <v>34.8455583</v>
      </c>
      <c r="C490" s="18">
        <v>686541.35</v>
      </c>
      <c r="D490" s="18">
        <v>2745156.97</v>
      </c>
      <c r="E490" s="18">
        <v>218.19</v>
      </c>
      <c r="F490" s="18">
        <v>42068.12</v>
      </c>
      <c r="G490" s="18">
        <v>132326</v>
      </c>
      <c r="H490" s="18">
        <f t="shared" si="29"/>
        <v>42062.12</v>
      </c>
      <c r="I490" s="3"/>
    </row>
    <row r="491" spans="1:9" s="4" customFormat="1" ht="18" customHeight="1" x14ac:dyDescent="0.55000000000000004">
      <c r="A491" s="18">
        <v>24.809851299999998</v>
      </c>
      <c r="B491" s="18">
        <v>34.845551499999999</v>
      </c>
      <c r="C491" s="18">
        <v>686540.7</v>
      </c>
      <c r="D491" s="18">
        <v>2745154.05</v>
      </c>
      <c r="E491" s="18">
        <v>218.55</v>
      </c>
      <c r="F491" s="18">
        <v>42066.27</v>
      </c>
      <c r="G491" s="18">
        <v>132328</v>
      </c>
      <c r="H491" s="18">
        <f t="shared" si="29"/>
        <v>42060.27</v>
      </c>
      <c r="I491" s="3"/>
    </row>
    <row r="492" spans="1:9" s="4" customFormat="1" ht="18" customHeight="1" x14ac:dyDescent="0.55000000000000004">
      <c r="A492" s="18">
        <v>24.809823999999999</v>
      </c>
      <c r="B492" s="18">
        <v>34.845546200000001</v>
      </c>
      <c r="C492" s="18">
        <v>686540.21</v>
      </c>
      <c r="D492" s="18">
        <v>2745151.03</v>
      </c>
      <c r="E492" s="18">
        <v>218.76</v>
      </c>
      <c r="F492" s="18">
        <v>42066.44</v>
      </c>
      <c r="G492" s="18">
        <v>132330</v>
      </c>
      <c r="H492" s="18">
        <f t="shared" si="29"/>
        <v>42060.44</v>
      </c>
      <c r="I492" s="3"/>
    </row>
    <row r="493" spans="1:9" s="4" customFormat="1" ht="18" customHeight="1" x14ac:dyDescent="0.55000000000000004">
      <c r="A493" s="18">
        <v>24.809797199999998</v>
      </c>
      <c r="B493" s="18">
        <v>34.845542100000003</v>
      </c>
      <c r="C493" s="18">
        <v>686539.84</v>
      </c>
      <c r="D493" s="18">
        <v>2745148.05</v>
      </c>
      <c r="E493" s="18">
        <v>218.85</v>
      </c>
      <c r="F493" s="18">
        <v>42069.51</v>
      </c>
      <c r="G493" s="18">
        <v>132332</v>
      </c>
      <c r="H493" s="18">
        <f t="shared" si="29"/>
        <v>42063.51</v>
      </c>
      <c r="I493" s="3"/>
    </row>
    <row r="494" spans="1:9" s="4" customFormat="1" ht="18" customHeight="1" x14ac:dyDescent="0.55000000000000004">
      <c r="A494" s="18">
        <v>24.809769200000002</v>
      </c>
      <c r="B494" s="18">
        <v>34.845538500000004</v>
      </c>
      <c r="C494" s="18">
        <v>686539.51</v>
      </c>
      <c r="D494" s="18">
        <v>2745144.94</v>
      </c>
      <c r="E494" s="18">
        <v>219.01</v>
      </c>
      <c r="F494" s="18">
        <v>42068.79</v>
      </c>
      <c r="G494" s="18">
        <v>132334</v>
      </c>
      <c r="H494" s="18">
        <f t="shared" si="29"/>
        <v>42062.79</v>
      </c>
      <c r="I494" s="3"/>
    </row>
    <row r="495" spans="1:9" s="4" customFormat="1" ht="18" customHeight="1" x14ac:dyDescent="0.55000000000000004">
      <c r="A495" s="18">
        <v>24.809741800000001</v>
      </c>
      <c r="B495" s="18">
        <v>34.8455339</v>
      </c>
      <c r="C495" s="18">
        <v>686539.09</v>
      </c>
      <c r="D495" s="18">
        <v>2745141.91</v>
      </c>
      <c r="E495" s="18">
        <v>219.21</v>
      </c>
      <c r="F495" s="18">
        <v>42065.88</v>
      </c>
      <c r="G495" s="18">
        <v>132336</v>
      </c>
      <c r="H495" s="18">
        <f t="shared" si="29"/>
        <v>42059.88</v>
      </c>
      <c r="I495" s="3"/>
    </row>
    <row r="496" spans="1:9" s="4" customFormat="1" ht="18" customHeight="1" x14ac:dyDescent="0.55000000000000004">
      <c r="A496" s="18">
        <v>24.809713800000001</v>
      </c>
      <c r="B496" s="18">
        <v>34.845534499999999</v>
      </c>
      <c r="C496" s="18">
        <v>686539.19</v>
      </c>
      <c r="D496" s="18">
        <v>2745138.8</v>
      </c>
      <c r="E496" s="18">
        <v>219.42</v>
      </c>
      <c r="F496" s="18">
        <v>42064.77</v>
      </c>
      <c r="G496" s="18">
        <v>132338</v>
      </c>
      <c r="H496" s="18">
        <f t="shared" si="29"/>
        <v>42058.77</v>
      </c>
      <c r="I496" s="3"/>
    </row>
    <row r="497" spans="1:9" s="4" customFormat="1" ht="18" customHeight="1" x14ac:dyDescent="0.55000000000000004">
      <c r="A497" s="18">
        <v>24.809685600000002</v>
      </c>
      <c r="B497" s="18">
        <v>34.8455376</v>
      </c>
      <c r="C497" s="18">
        <v>686539.55</v>
      </c>
      <c r="D497" s="18">
        <v>2745135.68</v>
      </c>
      <c r="E497" s="18">
        <v>219.54</v>
      </c>
      <c r="F497" s="18">
        <v>42061.15</v>
      </c>
      <c r="G497" s="18">
        <v>132340</v>
      </c>
      <c r="H497" s="18">
        <f t="shared" si="29"/>
        <v>42055.15</v>
      </c>
      <c r="I497" s="3"/>
    </row>
    <row r="498" spans="1:9" s="4" customFormat="1" ht="18" customHeight="1" x14ac:dyDescent="0.55000000000000004">
      <c r="A498" s="18">
        <v>24.809657699999999</v>
      </c>
      <c r="B498" s="18">
        <v>34.845541300000001</v>
      </c>
      <c r="C498" s="18">
        <v>686539.96</v>
      </c>
      <c r="D498" s="18">
        <v>2745132.6</v>
      </c>
      <c r="E498" s="18">
        <v>219.53</v>
      </c>
      <c r="F498" s="18">
        <v>42059.92</v>
      </c>
      <c r="G498" s="18">
        <v>132342</v>
      </c>
      <c r="H498" s="18">
        <f t="shared" si="29"/>
        <v>42053.919999999998</v>
      </c>
      <c r="I498" s="3"/>
    </row>
    <row r="499" spans="1:9" s="4" customFormat="1" ht="18" customHeight="1" x14ac:dyDescent="0.55000000000000004">
      <c r="A499" s="18">
        <v>24.809630200000001</v>
      </c>
      <c r="B499" s="18">
        <v>34.845545399999999</v>
      </c>
      <c r="C499" s="18">
        <v>686540.42</v>
      </c>
      <c r="D499" s="18">
        <v>2745129.56</v>
      </c>
      <c r="E499" s="18">
        <v>219.5</v>
      </c>
      <c r="F499" s="18">
        <v>42060.24</v>
      </c>
      <c r="G499" s="18">
        <v>132344</v>
      </c>
      <c r="H499" s="18">
        <f t="shared" si="29"/>
        <v>42054.239999999998</v>
      </c>
      <c r="I499" s="3"/>
    </row>
    <row r="500" spans="1:9" s="4" customFormat="1" ht="18" customHeight="1" x14ac:dyDescent="0.55000000000000004">
      <c r="A500" s="18">
        <v>24.809602600000002</v>
      </c>
      <c r="B500" s="18">
        <v>34.845548600000001</v>
      </c>
      <c r="C500" s="18">
        <v>686540.79</v>
      </c>
      <c r="D500" s="18">
        <v>2745126.51</v>
      </c>
      <c r="E500" s="18">
        <v>219.53</v>
      </c>
      <c r="F500" s="18">
        <v>42059.15</v>
      </c>
      <c r="G500" s="18">
        <v>132346</v>
      </c>
      <c r="H500" s="18">
        <f t="shared" si="29"/>
        <v>42053.15</v>
      </c>
      <c r="I500" s="3"/>
    </row>
    <row r="501" spans="1:9" s="4" customFormat="1" ht="18" customHeight="1" x14ac:dyDescent="0.55000000000000004">
      <c r="A501" s="18">
        <v>24.8095739</v>
      </c>
      <c r="B501" s="18">
        <v>34.845551100000002</v>
      </c>
      <c r="C501" s="18">
        <v>686541.08</v>
      </c>
      <c r="D501" s="18">
        <v>2745123.33</v>
      </c>
      <c r="E501" s="18">
        <v>219.52</v>
      </c>
      <c r="F501" s="18">
        <v>42061.31</v>
      </c>
      <c r="G501" s="18">
        <v>132348</v>
      </c>
      <c r="H501" s="18">
        <f t="shared" si="29"/>
        <v>42055.31</v>
      </c>
      <c r="I501" s="3"/>
    </row>
    <row r="502" spans="1:9" s="4" customFormat="1" ht="18" customHeight="1" x14ac:dyDescent="0.55000000000000004">
      <c r="A502" s="18">
        <v>24.809546999999998</v>
      </c>
      <c r="B502" s="18">
        <v>34.845556899999998</v>
      </c>
      <c r="C502" s="18">
        <v>686541.71</v>
      </c>
      <c r="D502" s="18">
        <v>2745120.36</v>
      </c>
      <c r="E502" s="18">
        <v>219.54</v>
      </c>
      <c r="F502" s="18">
        <v>42062.080000000002</v>
      </c>
      <c r="G502" s="18">
        <v>132350</v>
      </c>
      <c r="H502" s="18">
        <f t="shared" si="29"/>
        <v>42056.08</v>
      </c>
      <c r="I502" s="3"/>
    </row>
    <row r="503" spans="1:9" s="4" customFormat="1" ht="18" customHeight="1" x14ac:dyDescent="0.55000000000000004">
      <c r="A503" s="18">
        <v>24.809519099999999</v>
      </c>
      <c r="B503" s="18">
        <v>34.845565200000003</v>
      </c>
      <c r="C503" s="18">
        <v>686542.59</v>
      </c>
      <c r="D503" s="18">
        <v>2745117.28</v>
      </c>
      <c r="E503" s="18">
        <v>219.51</v>
      </c>
      <c r="F503" s="18">
        <v>42063.14</v>
      </c>
      <c r="G503" s="18">
        <v>132352</v>
      </c>
      <c r="H503" s="18">
        <f t="shared" si="29"/>
        <v>42057.14</v>
      </c>
      <c r="I503" s="3"/>
    </row>
    <row r="504" spans="1:9" s="4" customFormat="1" ht="18" customHeight="1" x14ac:dyDescent="0.55000000000000004">
      <c r="A504" s="18">
        <v>24.809491699999999</v>
      </c>
      <c r="B504" s="18">
        <v>34.845573600000002</v>
      </c>
      <c r="C504" s="18">
        <v>686543.48</v>
      </c>
      <c r="D504" s="18">
        <v>2745114.25</v>
      </c>
      <c r="E504" s="18">
        <v>219.51</v>
      </c>
      <c r="F504" s="18">
        <v>42061.23</v>
      </c>
      <c r="G504" s="18">
        <v>132354</v>
      </c>
      <c r="H504" s="18">
        <f t="shared" si="29"/>
        <v>42055.23</v>
      </c>
      <c r="I504" s="3"/>
    </row>
    <row r="505" spans="1:9" s="4" customFormat="1" ht="18" customHeight="1" x14ac:dyDescent="0.55000000000000004">
      <c r="A505" s="18">
        <v>24.809463999999998</v>
      </c>
      <c r="B505" s="18">
        <v>34.845581099999997</v>
      </c>
      <c r="C505" s="18">
        <v>686544.28</v>
      </c>
      <c r="D505" s="18">
        <v>2745111.2</v>
      </c>
      <c r="E505" s="18">
        <v>219.54</v>
      </c>
      <c r="F505" s="18">
        <v>42061.87</v>
      </c>
      <c r="G505" s="18">
        <v>132356</v>
      </c>
      <c r="H505" s="18">
        <f t="shared" si="29"/>
        <v>42055.87</v>
      </c>
      <c r="I505" s="3"/>
    </row>
    <row r="506" spans="1:9" s="4" customFormat="1" ht="18" customHeight="1" x14ac:dyDescent="0.55000000000000004">
      <c r="A506" s="18">
        <v>24.809436099999999</v>
      </c>
      <c r="B506" s="18">
        <v>34.845587799999997</v>
      </c>
      <c r="C506" s="18">
        <v>686545</v>
      </c>
      <c r="D506" s="18">
        <v>2745108.11</v>
      </c>
      <c r="E506" s="18">
        <v>219.55</v>
      </c>
      <c r="F506" s="18">
        <v>42061.73</v>
      </c>
      <c r="G506" s="18">
        <v>132358</v>
      </c>
      <c r="H506" s="18">
        <f t="shared" si="29"/>
        <v>42055.73</v>
      </c>
      <c r="I506" s="3"/>
    </row>
    <row r="507" spans="1:9" s="4" customFormat="1" ht="18" customHeight="1" x14ac:dyDescent="0.55000000000000004">
      <c r="A507" s="18">
        <v>24.8094067</v>
      </c>
      <c r="B507" s="18">
        <v>34.845593200000003</v>
      </c>
      <c r="C507" s="18">
        <v>686545.58</v>
      </c>
      <c r="D507" s="18">
        <v>2745104.87</v>
      </c>
      <c r="E507" s="18">
        <v>219.56</v>
      </c>
      <c r="F507" s="18">
        <v>42061.04</v>
      </c>
      <c r="G507" s="18">
        <v>132400</v>
      </c>
      <c r="H507" s="18">
        <f t="shared" si="29"/>
        <v>42055.040000000001</v>
      </c>
      <c r="I507" s="3"/>
    </row>
    <row r="508" spans="1:9" s="4" customFormat="1" ht="18" customHeight="1" x14ac:dyDescent="0.55000000000000004">
      <c r="A508" s="18">
        <v>24.809378200000001</v>
      </c>
      <c r="B508" s="18">
        <v>34.845599399999998</v>
      </c>
      <c r="C508" s="18">
        <v>686546.26</v>
      </c>
      <c r="D508" s="18">
        <v>2745101.72</v>
      </c>
      <c r="E508" s="18">
        <v>219.56</v>
      </c>
      <c r="F508" s="18">
        <v>42060.68</v>
      </c>
      <c r="G508" s="18">
        <v>132402</v>
      </c>
      <c r="H508" s="18">
        <f t="shared" si="29"/>
        <v>42054.68</v>
      </c>
      <c r="I508" s="3"/>
    </row>
    <row r="509" spans="1:9" s="4" customFormat="1" ht="18" customHeight="1" x14ac:dyDescent="0.55000000000000004">
      <c r="A509" s="18">
        <v>24.809350500000001</v>
      </c>
      <c r="B509" s="18">
        <v>34.845606600000004</v>
      </c>
      <c r="C509" s="18">
        <v>686547.03</v>
      </c>
      <c r="D509" s="18">
        <v>2745098.66</v>
      </c>
      <c r="E509" s="18">
        <v>219.56</v>
      </c>
      <c r="F509" s="18">
        <v>42062.2</v>
      </c>
      <c r="G509" s="18">
        <v>132404</v>
      </c>
      <c r="H509" s="18">
        <f t="shared" si="29"/>
        <v>42056.2</v>
      </c>
      <c r="I509" s="3"/>
    </row>
    <row r="510" spans="1:9" s="4" customFormat="1" ht="18" customHeight="1" x14ac:dyDescent="0.55000000000000004">
      <c r="A510" s="18">
        <v>24.809323200000001</v>
      </c>
      <c r="B510" s="18">
        <v>34.845613800000002</v>
      </c>
      <c r="C510" s="18">
        <v>686547.79</v>
      </c>
      <c r="D510" s="18">
        <v>2745095.65</v>
      </c>
      <c r="E510" s="18">
        <v>219.54</v>
      </c>
      <c r="F510" s="18">
        <v>42060.01</v>
      </c>
      <c r="G510" s="18">
        <v>132406</v>
      </c>
      <c r="H510" s="18">
        <f t="shared" si="29"/>
        <v>42054.01</v>
      </c>
      <c r="I510" s="3"/>
    </row>
    <row r="511" spans="1:9" s="4" customFormat="1" ht="18" customHeight="1" x14ac:dyDescent="0.55000000000000004">
      <c r="A511" s="18">
        <v>24.809295299999999</v>
      </c>
      <c r="B511" s="18">
        <v>34.845618700000003</v>
      </c>
      <c r="C511" s="18">
        <v>686548.33</v>
      </c>
      <c r="D511" s="18">
        <v>2745092.56</v>
      </c>
      <c r="E511" s="18">
        <v>219.5</v>
      </c>
      <c r="F511" s="18">
        <v>42063.56</v>
      </c>
      <c r="G511" s="18">
        <v>132408</v>
      </c>
      <c r="H511" s="18">
        <f t="shared" si="29"/>
        <v>42057.56</v>
      </c>
      <c r="I511" s="3"/>
    </row>
    <row r="512" spans="1:9" s="4" customFormat="1" ht="18" customHeight="1" x14ac:dyDescent="0.55000000000000004">
      <c r="A512" s="18">
        <v>24.809267599999998</v>
      </c>
      <c r="B512" s="18">
        <v>34.845624200000003</v>
      </c>
      <c r="C512" s="18">
        <v>686548.93</v>
      </c>
      <c r="D512" s="18">
        <v>2745089.5</v>
      </c>
      <c r="E512" s="18">
        <v>219.51</v>
      </c>
      <c r="F512" s="18">
        <v>42060.4</v>
      </c>
      <c r="G512" s="18">
        <v>132410</v>
      </c>
      <c r="H512" s="18">
        <f t="shared" si="29"/>
        <v>42054.400000000001</v>
      </c>
      <c r="I512" s="3"/>
    </row>
    <row r="513" spans="1:9" s="4" customFormat="1" ht="18" customHeight="1" x14ac:dyDescent="0.55000000000000004">
      <c r="A513" s="18">
        <v>24.809240500000001</v>
      </c>
      <c r="B513" s="18">
        <v>34.845629299999999</v>
      </c>
      <c r="C513" s="18">
        <v>686549.49</v>
      </c>
      <c r="D513" s="18">
        <v>2745086.51</v>
      </c>
      <c r="E513" s="18">
        <v>219.52</v>
      </c>
      <c r="F513" s="18">
        <v>42061.68</v>
      </c>
      <c r="G513" s="18">
        <v>132412</v>
      </c>
      <c r="H513" s="18">
        <f t="shared" ref="H513:H576" si="30">SUM(F513-6)</f>
        <v>42055.68</v>
      </c>
      <c r="I513" s="3"/>
    </row>
    <row r="514" spans="1:9" s="4" customFormat="1" ht="18" customHeight="1" x14ac:dyDescent="0.55000000000000004">
      <c r="A514" s="18">
        <v>24.8092133</v>
      </c>
      <c r="B514" s="18">
        <v>34.845633200000002</v>
      </c>
      <c r="C514" s="18">
        <v>686549.93</v>
      </c>
      <c r="D514" s="18">
        <v>2745083.49</v>
      </c>
      <c r="E514" s="18">
        <v>219.51</v>
      </c>
      <c r="F514" s="18">
        <v>42060.959999999999</v>
      </c>
      <c r="G514" s="18">
        <v>132414</v>
      </c>
      <c r="H514" s="18">
        <f t="shared" si="30"/>
        <v>42054.96</v>
      </c>
      <c r="I514" s="3"/>
    </row>
    <row r="515" spans="1:9" s="4" customFormat="1" ht="18" customHeight="1" x14ac:dyDescent="0.55000000000000004">
      <c r="A515" s="18">
        <v>24.809185500000002</v>
      </c>
      <c r="B515" s="18">
        <v>34.845636300000002</v>
      </c>
      <c r="C515" s="18">
        <v>686550.28</v>
      </c>
      <c r="D515" s="18">
        <v>2745080.43</v>
      </c>
      <c r="E515" s="18">
        <v>219.49</v>
      </c>
      <c r="F515" s="18">
        <v>42061.29</v>
      </c>
      <c r="G515" s="18">
        <v>132416</v>
      </c>
      <c r="H515" s="18">
        <f t="shared" si="30"/>
        <v>42055.29</v>
      </c>
      <c r="I515" s="3"/>
    </row>
    <row r="516" spans="1:9" s="4" customFormat="1" ht="18" customHeight="1" x14ac:dyDescent="0.55000000000000004">
      <c r="A516" s="18">
        <v>24.809158199999999</v>
      </c>
      <c r="B516" s="18">
        <v>34.845640799999998</v>
      </c>
      <c r="C516" s="18">
        <v>686550.77</v>
      </c>
      <c r="D516" s="18">
        <v>2745077.41</v>
      </c>
      <c r="E516" s="18">
        <v>219.48</v>
      </c>
      <c r="F516" s="18">
        <v>42059.21</v>
      </c>
      <c r="G516" s="18">
        <v>132418</v>
      </c>
      <c r="H516" s="18">
        <f t="shared" si="30"/>
        <v>42053.21</v>
      </c>
      <c r="I516" s="3"/>
    </row>
    <row r="517" spans="1:9" s="4" customFormat="1" ht="18" customHeight="1" x14ac:dyDescent="0.55000000000000004">
      <c r="A517" s="18">
        <v>24.809131600000001</v>
      </c>
      <c r="B517" s="18">
        <v>34.845646799999997</v>
      </c>
      <c r="C517" s="18">
        <v>686551.41</v>
      </c>
      <c r="D517" s="18">
        <v>2745074.47</v>
      </c>
      <c r="E517" s="18">
        <v>219.5</v>
      </c>
      <c r="F517" s="18">
        <v>42058.33</v>
      </c>
      <c r="G517" s="18">
        <v>132420</v>
      </c>
      <c r="H517" s="18">
        <f t="shared" si="30"/>
        <v>42052.33</v>
      </c>
      <c r="I517" s="3"/>
    </row>
    <row r="518" spans="1:9" s="4" customFormat="1" ht="18" customHeight="1" x14ac:dyDescent="0.55000000000000004">
      <c r="A518" s="18">
        <v>24.809104399999999</v>
      </c>
      <c r="B518" s="18">
        <v>34.845650399999997</v>
      </c>
      <c r="C518" s="18">
        <v>686551.82</v>
      </c>
      <c r="D518" s="18">
        <v>2745071.46</v>
      </c>
      <c r="E518" s="18">
        <v>219.51</v>
      </c>
      <c r="F518" s="18">
        <v>42059.56</v>
      </c>
      <c r="G518" s="18">
        <v>132422</v>
      </c>
      <c r="H518" s="18">
        <f t="shared" si="30"/>
        <v>42053.56</v>
      </c>
      <c r="I518" s="3"/>
    </row>
    <row r="519" spans="1:9" s="4" customFormat="1" ht="18" customHeight="1" x14ac:dyDescent="0.55000000000000004">
      <c r="A519" s="18">
        <v>24.8090771</v>
      </c>
      <c r="B519" s="18">
        <v>34.845654799999998</v>
      </c>
      <c r="C519" s="18">
        <v>686552.31</v>
      </c>
      <c r="D519" s="18">
        <v>2745068.44</v>
      </c>
      <c r="E519" s="18">
        <v>219.48</v>
      </c>
      <c r="F519" s="18">
        <v>42055.45</v>
      </c>
      <c r="G519" s="18">
        <v>132424</v>
      </c>
      <c r="H519" s="18">
        <f t="shared" si="30"/>
        <v>42049.45</v>
      </c>
      <c r="I519" s="3"/>
    </row>
    <row r="520" spans="1:9" s="4" customFormat="1" ht="18" customHeight="1" x14ac:dyDescent="0.55000000000000004">
      <c r="A520" s="18">
        <v>24.809049900000002</v>
      </c>
      <c r="B520" s="18">
        <v>34.845659300000001</v>
      </c>
      <c r="C520" s="18">
        <v>686552.81</v>
      </c>
      <c r="D520" s="18">
        <v>2745065.44</v>
      </c>
      <c r="E520" s="18">
        <v>219.45</v>
      </c>
      <c r="F520" s="18">
        <v>42055.35</v>
      </c>
      <c r="G520" s="18">
        <v>132426</v>
      </c>
      <c r="H520" s="18">
        <f t="shared" si="30"/>
        <v>42049.35</v>
      </c>
      <c r="I520" s="3"/>
    </row>
    <row r="521" spans="1:9" s="4" customFormat="1" ht="18" customHeight="1" x14ac:dyDescent="0.55000000000000004">
      <c r="A521" s="18">
        <v>24.8090227</v>
      </c>
      <c r="B521" s="18">
        <v>34.845658399999998</v>
      </c>
      <c r="C521" s="18">
        <v>686552.75</v>
      </c>
      <c r="D521" s="18">
        <v>2745062.42</v>
      </c>
      <c r="E521" s="18">
        <v>219.4</v>
      </c>
      <c r="F521" s="18">
        <v>42057.01</v>
      </c>
      <c r="G521" s="18">
        <v>132428</v>
      </c>
      <c r="H521" s="18">
        <f t="shared" si="30"/>
        <v>42051.01</v>
      </c>
      <c r="I521" s="3"/>
    </row>
    <row r="522" spans="1:9" s="4" customFormat="1" ht="18" customHeight="1" x14ac:dyDescent="0.55000000000000004">
      <c r="A522" s="18">
        <v>24.808997699999999</v>
      </c>
      <c r="B522" s="18">
        <v>34.845649799999997</v>
      </c>
      <c r="C522" s="18">
        <v>686551.93</v>
      </c>
      <c r="D522" s="18">
        <v>2745059.64</v>
      </c>
      <c r="E522" s="18">
        <v>219.41</v>
      </c>
      <c r="F522" s="18">
        <v>42057.46</v>
      </c>
      <c r="G522" s="18">
        <v>132430</v>
      </c>
      <c r="H522" s="18">
        <f t="shared" si="30"/>
        <v>42051.46</v>
      </c>
      <c r="I522" s="3"/>
    </row>
    <row r="523" spans="1:9" s="4" customFormat="1" ht="18" customHeight="1" x14ac:dyDescent="0.55000000000000004">
      <c r="A523" s="18">
        <v>24.8089756</v>
      </c>
      <c r="B523" s="18">
        <v>34.845643500000001</v>
      </c>
      <c r="C523" s="18">
        <v>686551.32</v>
      </c>
      <c r="D523" s="18">
        <v>2745057.19</v>
      </c>
      <c r="E523" s="18">
        <v>219.44</v>
      </c>
      <c r="F523" s="18">
        <v>42055.61</v>
      </c>
      <c r="G523" s="18">
        <v>132432</v>
      </c>
      <c r="H523" s="18">
        <f t="shared" si="30"/>
        <v>42049.61</v>
      </c>
      <c r="I523" s="3"/>
    </row>
    <row r="524" spans="1:9" s="4" customFormat="1" ht="18" customHeight="1" x14ac:dyDescent="0.55000000000000004">
      <c r="A524" s="18">
        <v>24.8089634</v>
      </c>
      <c r="B524" s="18">
        <v>34.845643500000001</v>
      </c>
      <c r="C524" s="18">
        <v>686551.34</v>
      </c>
      <c r="D524" s="18">
        <v>2745055.83</v>
      </c>
      <c r="E524" s="18">
        <v>219.34</v>
      </c>
      <c r="F524" s="18">
        <v>42060.44</v>
      </c>
      <c r="G524" s="18">
        <v>132434</v>
      </c>
      <c r="H524" s="18">
        <f t="shared" si="30"/>
        <v>42054.44</v>
      </c>
      <c r="I524" s="3"/>
    </row>
    <row r="525" spans="1:9" s="4" customFormat="1" ht="18" customHeight="1" x14ac:dyDescent="0.55000000000000004">
      <c r="A525" s="18">
        <v>24.808963299999998</v>
      </c>
      <c r="B525" s="18">
        <v>34.845642499999997</v>
      </c>
      <c r="C525" s="18">
        <v>686551.24</v>
      </c>
      <c r="D525" s="18">
        <v>2745055.82</v>
      </c>
      <c r="E525" s="18">
        <v>219.22</v>
      </c>
      <c r="F525" s="18">
        <v>42054.35</v>
      </c>
      <c r="G525" s="18">
        <v>132436</v>
      </c>
      <c r="H525" s="18">
        <f t="shared" si="30"/>
        <v>42048.35</v>
      </c>
      <c r="I525" s="3"/>
    </row>
    <row r="526" spans="1:9" s="4" customFormat="1" ht="18" customHeight="1" x14ac:dyDescent="0.55000000000000004">
      <c r="A526" s="18">
        <v>24.808963500000001</v>
      </c>
      <c r="B526" s="18">
        <v>34.845643500000001</v>
      </c>
      <c r="C526" s="18">
        <v>686551.34</v>
      </c>
      <c r="D526" s="18">
        <v>2745055.85</v>
      </c>
      <c r="E526" s="18">
        <v>219.14</v>
      </c>
      <c r="F526" s="18">
        <v>42053.83</v>
      </c>
      <c r="G526" s="18">
        <v>132438</v>
      </c>
      <c r="H526" s="18">
        <f t="shared" si="30"/>
        <v>42047.83</v>
      </c>
      <c r="I526" s="3"/>
    </row>
    <row r="527" spans="1:9" s="4" customFormat="1" ht="18" customHeight="1" x14ac:dyDescent="0.55000000000000004">
      <c r="A527" s="18">
        <v>24.8089558</v>
      </c>
      <c r="B527" s="18">
        <v>34.845639800000001</v>
      </c>
      <c r="C527" s="18">
        <v>686550.97</v>
      </c>
      <c r="D527" s="18">
        <v>2745054.98</v>
      </c>
      <c r="E527" s="18">
        <v>219.05</v>
      </c>
      <c r="F527" s="18">
        <v>42051.08</v>
      </c>
      <c r="G527" s="18">
        <v>132440</v>
      </c>
      <c r="H527" s="18">
        <f t="shared" si="30"/>
        <v>42045.08</v>
      </c>
      <c r="I527" s="3"/>
    </row>
    <row r="528" spans="1:9" s="4" customFormat="1" ht="18" customHeight="1" x14ac:dyDescent="0.55000000000000004">
      <c r="A528" s="18">
        <v>24.808933700000001</v>
      </c>
      <c r="B528" s="18">
        <v>34.845635100000003</v>
      </c>
      <c r="C528" s="18">
        <v>686550.53</v>
      </c>
      <c r="D528" s="18">
        <v>2745052.53</v>
      </c>
      <c r="E528" s="18">
        <v>219</v>
      </c>
      <c r="F528" s="18">
        <v>42056.97</v>
      </c>
      <c r="G528" s="18">
        <v>132442</v>
      </c>
      <c r="H528" s="18">
        <f t="shared" si="30"/>
        <v>42050.97</v>
      </c>
      <c r="I528" s="3"/>
    </row>
    <row r="529" spans="1:9" s="4" customFormat="1" ht="18" customHeight="1" x14ac:dyDescent="0.55000000000000004">
      <c r="A529" s="18">
        <v>24.8089075</v>
      </c>
      <c r="B529" s="18">
        <v>34.845632299999998</v>
      </c>
      <c r="C529" s="18">
        <v>686550.29</v>
      </c>
      <c r="D529" s="18">
        <v>2745049.63</v>
      </c>
      <c r="E529" s="18">
        <v>218.97</v>
      </c>
      <c r="F529" s="18">
        <v>42051.41</v>
      </c>
      <c r="G529" s="18">
        <v>132444</v>
      </c>
      <c r="H529" s="18">
        <f t="shared" si="30"/>
        <v>42045.41</v>
      </c>
      <c r="I529" s="3"/>
    </row>
    <row r="530" spans="1:9" s="4" customFormat="1" ht="18" customHeight="1" x14ac:dyDescent="0.55000000000000004">
      <c r="A530" s="18">
        <v>24.808882100000002</v>
      </c>
      <c r="B530" s="18">
        <v>34.845629199999998</v>
      </c>
      <c r="C530" s="18">
        <v>686550.01</v>
      </c>
      <c r="D530" s="18">
        <v>2745046.81</v>
      </c>
      <c r="E530" s="18">
        <v>218.94</v>
      </c>
      <c r="F530" s="18">
        <v>42050.58</v>
      </c>
      <c r="G530" s="18">
        <v>132446</v>
      </c>
      <c r="H530" s="18">
        <f t="shared" si="30"/>
        <v>42044.58</v>
      </c>
      <c r="I530" s="3"/>
    </row>
    <row r="531" spans="1:9" s="4" customFormat="1" ht="18" customHeight="1" x14ac:dyDescent="0.55000000000000004">
      <c r="A531" s="18">
        <v>24.8088552</v>
      </c>
      <c r="B531" s="18">
        <v>34.8456294</v>
      </c>
      <c r="C531" s="18">
        <v>686550.08</v>
      </c>
      <c r="D531" s="18">
        <v>2745043.82</v>
      </c>
      <c r="E531" s="18">
        <v>218.83</v>
      </c>
      <c r="F531" s="18">
        <v>42050.85</v>
      </c>
      <c r="G531" s="18">
        <v>132448</v>
      </c>
      <c r="H531" s="18">
        <f t="shared" si="30"/>
        <v>42044.85</v>
      </c>
      <c r="I531" s="3"/>
    </row>
    <row r="532" spans="1:9" s="4" customFormat="1" ht="18" customHeight="1" x14ac:dyDescent="0.55000000000000004">
      <c r="A532" s="18">
        <v>24.808828599999998</v>
      </c>
      <c r="B532" s="18">
        <v>34.8456337</v>
      </c>
      <c r="C532" s="18">
        <v>686550.55</v>
      </c>
      <c r="D532" s="18">
        <v>2745040.88</v>
      </c>
      <c r="E532" s="18">
        <v>218.8</v>
      </c>
      <c r="F532" s="18">
        <v>42052.13</v>
      </c>
      <c r="G532" s="18">
        <v>132450</v>
      </c>
      <c r="H532" s="18">
        <f t="shared" si="30"/>
        <v>42046.13</v>
      </c>
      <c r="I532" s="3"/>
    </row>
    <row r="533" spans="1:9" s="4" customFormat="1" ht="18" customHeight="1" x14ac:dyDescent="0.55000000000000004">
      <c r="A533" s="18">
        <v>24.808802700000001</v>
      </c>
      <c r="B533" s="18">
        <v>34.845638999999998</v>
      </c>
      <c r="C533" s="18">
        <v>686551.12</v>
      </c>
      <c r="D533" s="18">
        <v>2745038.03</v>
      </c>
      <c r="E533" s="18">
        <v>218.74</v>
      </c>
      <c r="F533" s="18">
        <v>42050.12</v>
      </c>
      <c r="G533" s="18">
        <v>132452</v>
      </c>
      <c r="H533" s="18">
        <f t="shared" si="30"/>
        <v>42044.12</v>
      </c>
      <c r="I533" s="3"/>
    </row>
    <row r="534" spans="1:9" s="4" customFormat="1" ht="18" customHeight="1" x14ac:dyDescent="0.55000000000000004">
      <c r="A534" s="18">
        <v>24.8087765</v>
      </c>
      <c r="B534" s="18">
        <v>34.8456446</v>
      </c>
      <c r="C534" s="18">
        <v>686551.73</v>
      </c>
      <c r="D534" s="18">
        <v>2745035.13</v>
      </c>
      <c r="E534" s="18">
        <v>218.73</v>
      </c>
      <c r="F534" s="18">
        <v>42049.919999999998</v>
      </c>
      <c r="G534" s="18">
        <v>132454</v>
      </c>
      <c r="H534" s="18">
        <f t="shared" si="30"/>
        <v>42043.92</v>
      </c>
      <c r="I534" s="3"/>
    </row>
    <row r="535" spans="1:9" s="4" customFormat="1" ht="18" customHeight="1" x14ac:dyDescent="0.55000000000000004">
      <c r="A535" s="18">
        <v>24.8087509</v>
      </c>
      <c r="B535" s="18">
        <v>34.8456495</v>
      </c>
      <c r="C535" s="18">
        <v>686552.26</v>
      </c>
      <c r="D535" s="18">
        <v>2745032.3</v>
      </c>
      <c r="E535" s="18">
        <v>218.72</v>
      </c>
      <c r="F535" s="18">
        <v>42049.57</v>
      </c>
      <c r="G535" s="18">
        <v>132456</v>
      </c>
      <c r="H535" s="18">
        <f t="shared" si="30"/>
        <v>42043.57</v>
      </c>
      <c r="I535" s="3"/>
    </row>
    <row r="536" spans="1:9" s="4" customFormat="1" ht="18" customHeight="1" x14ac:dyDescent="0.55000000000000004">
      <c r="A536" s="18">
        <v>24.8087257</v>
      </c>
      <c r="B536" s="18">
        <v>34.845653800000001</v>
      </c>
      <c r="C536" s="18">
        <v>686552.73</v>
      </c>
      <c r="D536" s="18">
        <v>2745029.52</v>
      </c>
      <c r="E536" s="18">
        <v>218.72</v>
      </c>
      <c r="F536" s="18">
        <v>42049.9</v>
      </c>
      <c r="G536" s="18">
        <v>132458</v>
      </c>
      <c r="H536" s="18">
        <f t="shared" si="30"/>
        <v>42043.9</v>
      </c>
      <c r="I536" s="3"/>
    </row>
    <row r="537" spans="1:9" s="4" customFormat="1" ht="18" customHeight="1" x14ac:dyDescent="0.55000000000000004">
      <c r="A537" s="18">
        <v>24.808700200000001</v>
      </c>
      <c r="B537" s="18">
        <v>34.845659900000001</v>
      </c>
      <c r="C537" s="18">
        <v>686553.39</v>
      </c>
      <c r="D537" s="18">
        <v>2745026.7</v>
      </c>
      <c r="E537" s="18">
        <v>218.7</v>
      </c>
      <c r="F537" s="18">
        <v>42049.78</v>
      </c>
      <c r="G537" s="18">
        <v>132500</v>
      </c>
      <c r="H537" s="18">
        <f t="shared" si="30"/>
        <v>42043.78</v>
      </c>
      <c r="I537" s="3"/>
    </row>
    <row r="538" spans="1:9" s="4" customFormat="1" ht="18" customHeight="1" x14ac:dyDescent="0.55000000000000004">
      <c r="A538" s="18">
        <v>24.808673899999999</v>
      </c>
      <c r="B538" s="18">
        <v>34.845665099999998</v>
      </c>
      <c r="C538" s="18">
        <v>686553.95</v>
      </c>
      <c r="D538" s="18">
        <v>2745023.79</v>
      </c>
      <c r="E538" s="18">
        <v>218.66</v>
      </c>
      <c r="F538" s="18">
        <v>42047.68</v>
      </c>
      <c r="G538" s="18">
        <v>132502</v>
      </c>
      <c r="H538" s="18">
        <f t="shared" si="30"/>
        <v>42041.68</v>
      </c>
      <c r="I538" s="3"/>
    </row>
    <row r="539" spans="1:9" s="4" customFormat="1" ht="18" customHeight="1" x14ac:dyDescent="0.55000000000000004">
      <c r="A539" s="18">
        <v>24.808648699999999</v>
      </c>
      <c r="B539" s="18">
        <v>34.845669800000003</v>
      </c>
      <c r="C539" s="18">
        <v>686554.47</v>
      </c>
      <c r="D539" s="18">
        <v>2745021.01</v>
      </c>
      <c r="E539" s="18">
        <v>218.69</v>
      </c>
      <c r="F539" s="18">
        <v>42049.77</v>
      </c>
      <c r="G539" s="18">
        <v>132504</v>
      </c>
      <c r="H539" s="18">
        <f t="shared" si="30"/>
        <v>42043.77</v>
      </c>
      <c r="I539" s="3"/>
    </row>
    <row r="540" spans="1:9" s="4" customFormat="1" ht="18" customHeight="1" x14ac:dyDescent="0.55000000000000004">
      <c r="A540" s="18">
        <v>24.808621899999999</v>
      </c>
      <c r="B540" s="18">
        <v>34.845671299999999</v>
      </c>
      <c r="C540" s="18">
        <v>686554.66</v>
      </c>
      <c r="D540" s="18">
        <v>2745018.05</v>
      </c>
      <c r="E540" s="18">
        <v>218.73</v>
      </c>
      <c r="F540" s="18">
        <v>42048.31</v>
      </c>
      <c r="G540" s="18">
        <v>132506</v>
      </c>
      <c r="H540" s="18">
        <f t="shared" si="30"/>
        <v>42042.31</v>
      </c>
      <c r="I540" s="3"/>
    </row>
    <row r="541" spans="1:9" s="4" customFormat="1" ht="18" customHeight="1" x14ac:dyDescent="0.55000000000000004">
      <c r="A541" s="18">
        <v>24.808595799999999</v>
      </c>
      <c r="B541" s="18">
        <v>34.845674299999999</v>
      </c>
      <c r="C541" s="18">
        <v>686555</v>
      </c>
      <c r="D541" s="18">
        <v>2745015.16</v>
      </c>
      <c r="E541" s="18">
        <v>218.84</v>
      </c>
      <c r="F541" s="18">
        <v>42046.76</v>
      </c>
      <c r="G541" s="18">
        <v>132508</v>
      </c>
      <c r="H541" s="18">
        <f t="shared" si="30"/>
        <v>42040.76</v>
      </c>
      <c r="I541" s="3"/>
    </row>
    <row r="542" spans="1:9" s="4" customFormat="1" ht="18" customHeight="1" x14ac:dyDescent="0.55000000000000004">
      <c r="A542" s="18">
        <v>24.808569299999998</v>
      </c>
      <c r="B542" s="18">
        <v>34.845678499999998</v>
      </c>
      <c r="C542" s="18">
        <v>686555.46</v>
      </c>
      <c r="D542" s="18">
        <v>2745012.23</v>
      </c>
      <c r="E542" s="18">
        <v>218.89</v>
      </c>
      <c r="F542" s="18">
        <v>42046.66</v>
      </c>
      <c r="G542" s="18">
        <v>132510</v>
      </c>
      <c r="H542" s="18">
        <f t="shared" si="30"/>
        <v>42040.66</v>
      </c>
      <c r="I542" s="3"/>
    </row>
    <row r="543" spans="1:9" s="4" customFormat="1" ht="18" customHeight="1" x14ac:dyDescent="0.55000000000000004">
      <c r="A543" s="18">
        <v>24.808542899999999</v>
      </c>
      <c r="B543" s="18">
        <v>34.8456805</v>
      </c>
      <c r="C543" s="18">
        <v>686555.71</v>
      </c>
      <c r="D543" s="18">
        <v>2745009.3</v>
      </c>
      <c r="E543" s="18">
        <v>218.9</v>
      </c>
      <c r="F543" s="18">
        <v>42048.5</v>
      </c>
      <c r="G543" s="18">
        <v>132512</v>
      </c>
      <c r="H543" s="18">
        <f t="shared" si="30"/>
        <v>42042.5</v>
      </c>
      <c r="I543" s="3"/>
    </row>
    <row r="544" spans="1:9" s="4" customFormat="1" ht="18" customHeight="1" x14ac:dyDescent="0.55000000000000004">
      <c r="A544" s="18">
        <v>24.808516300000001</v>
      </c>
      <c r="B544" s="18">
        <v>34.845682799999999</v>
      </c>
      <c r="C544" s="18">
        <v>686555.98</v>
      </c>
      <c r="D544" s="18">
        <v>2745006.37</v>
      </c>
      <c r="E544" s="18">
        <v>218.93</v>
      </c>
      <c r="F544" s="18">
        <v>42047.98</v>
      </c>
      <c r="G544" s="18">
        <v>132514</v>
      </c>
      <c r="H544" s="18">
        <f t="shared" si="30"/>
        <v>42041.98</v>
      </c>
      <c r="I544" s="3"/>
    </row>
    <row r="545" spans="1:9" s="4" customFormat="1" ht="18" customHeight="1" x14ac:dyDescent="0.55000000000000004">
      <c r="A545" s="18">
        <v>24.8084895</v>
      </c>
      <c r="B545" s="18">
        <v>34.845683899999997</v>
      </c>
      <c r="C545" s="18">
        <v>686556.13</v>
      </c>
      <c r="D545" s="18">
        <v>2745003.4</v>
      </c>
      <c r="E545" s="18">
        <v>218.96</v>
      </c>
      <c r="F545" s="18">
        <v>42046.61</v>
      </c>
      <c r="G545" s="18">
        <v>132516</v>
      </c>
      <c r="H545" s="18">
        <f t="shared" si="30"/>
        <v>42040.61</v>
      </c>
      <c r="I545" s="3"/>
    </row>
    <row r="546" spans="1:9" s="4" customFormat="1" ht="18" customHeight="1" x14ac:dyDescent="0.55000000000000004">
      <c r="A546" s="18">
        <v>24.808463199999998</v>
      </c>
      <c r="B546" s="18">
        <v>34.845687699999999</v>
      </c>
      <c r="C546" s="18">
        <v>686556.56</v>
      </c>
      <c r="D546" s="18">
        <v>2745000.49</v>
      </c>
      <c r="E546" s="18">
        <v>218.99</v>
      </c>
      <c r="F546" s="18">
        <v>42047.4</v>
      </c>
      <c r="G546" s="18">
        <v>132518</v>
      </c>
      <c r="H546" s="18">
        <f t="shared" si="30"/>
        <v>42041.4</v>
      </c>
      <c r="I546" s="3"/>
    </row>
    <row r="547" spans="1:9" s="4" customFormat="1" ht="18" customHeight="1" x14ac:dyDescent="0.55000000000000004">
      <c r="A547" s="18">
        <v>24.8084375</v>
      </c>
      <c r="B547" s="18">
        <v>34.845690599999998</v>
      </c>
      <c r="C547" s="18">
        <v>686556.89</v>
      </c>
      <c r="D547" s="18">
        <v>2744997.64</v>
      </c>
      <c r="E547" s="18">
        <v>219.07</v>
      </c>
      <c r="F547" s="18">
        <v>42048.4</v>
      </c>
      <c r="G547" s="18">
        <v>132520</v>
      </c>
      <c r="H547" s="18">
        <f t="shared" si="30"/>
        <v>42042.400000000001</v>
      </c>
      <c r="I547" s="3"/>
    </row>
    <row r="548" spans="1:9" s="4" customFormat="1" ht="18" customHeight="1" x14ac:dyDescent="0.55000000000000004">
      <c r="A548" s="18">
        <v>24.808420399999999</v>
      </c>
      <c r="B548" s="18">
        <v>34.845686499999999</v>
      </c>
      <c r="C548" s="18">
        <v>686556.49</v>
      </c>
      <c r="D548" s="18">
        <v>2744995.75</v>
      </c>
      <c r="E548" s="18">
        <v>219.09</v>
      </c>
      <c r="F548" s="18">
        <v>42041.32</v>
      </c>
      <c r="G548" s="18">
        <v>132522</v>
      </c>
      <c r="H548" s="18">
        <f t="shared" si="30"/>
        <v>42035.32</v>
      </c>
      <c r="I548" s="3"/>
    </row>
    <row r="549" spans="1:9" s="4" customFormat="1" ht="18" customHeight="1" x14ac:dyDescent="0.55000000000000004">
      <c r="A549" s="18">
        <v>24.8083998</v>
      </c>
      <c r="B549" s="18">
        <v>34.845684800000001</v>
      </c>
      <c r="C549" s="18">
        <v>686556.36</v>
      </c>
      <c r="D549" s="18">
        <v>2744993.46</v>
      </c>
      <c r="E549" s="18">
        <v>219.13</v>
      </c>
      <c r="F549" s="18">
        <v>42048.39</v>
      </c>
      <c r="G549" s="18">
        <v>132524</v>
      </c>
      <c r="H549" s="18">
        <f t="shared" si="30"/>
        <v>42042.39</v>
      </c>
      <c r="I549" s="3"/>
    </row>
    <row r="550" spans="1:9" s="4" customFormat="1" ht="18" customHeight="1" x14ac:dyDescent="0.55000000000000004">
      <c r="A550" s="18">
        <v>24.808379599999999</v>
      </c>
      <c r="B550" s="18">
        <v>34.845692900000003</v>
      </c>
      <c r="C550" s="18">
        <v>686557.21</v>
      </c>
      <c r="D550" s="18">
        <v>2744991.24</v>
      </c>
      <c r="E550" s="18">
        <v>219.17</v>
      </c>
      <c r="F550" s="18">
        <v>42053.06</v>
      </c>
      <c r="G550" s="18">
        <v>132526</v>
      </c>
      <c r="H550" s="18">
        <f t="shared" si="30"/>
        <v>42047.06</v>
      </c>
      <c r="I550" s="3"/>
    </row>
    <row r="551" spans="1:9" s="4" customFormat="1" ht="18" customHeight="1" x14ac:dyDescent="0.55000000000000004">
      <c r="A551" s="18">
        <v>24.808355500000001</v>
      </c>
      <c r="B551" s="18">
        <v>34.845695300000003</v>
      </c>
      <c r="C551" s="18">
        <v>686557.48</v>
      </c>
      <c r="D551" s="18">
        <v>2744988.57</v>
      </c>
      <c r="E551" s="18">
        <v>219.17</v>
      </c>
      <c r="F551" s="18">
        <v>42050.09</v>
      </c>
      <c r="G551" s="18">
        <v>132528</v>
      </c>
      <c r="H551" s="18">
        <f t="shared" si="30"/>
        <v>42044.09</v>
      </c>
      <c r="I551" s="3"/>
    </row>
    <row r="552" spans="1:9" s="4" customFormat="1" ht="18" customHeight="1" x14ac:dyDescent="0.55000000000000004">
      <c r="A552" s="18">
        <v>24.8083296</v>
      </c>
      <c r="B552" s="18">
        <v>34.845696500000003</v>
      </c>
      <c r="C552" s="18">
        <v>686557.65</v>
      </c>
      <c r="D552" s="18">
        <v>2744985.7</v>
      </c>
      <c r="E552" s="18">
        <v>219.19</v>
      </c>
      <c r="F552" s="18">
        <v>42049.32</v>
      </c>
      <c r="G552" s="18">
        <v>132530</v>
      </c>
      <c r="H552" s="18">
        <f t="shared" si="30"/>
        <v>42043.32</v>
      </c>
      <c r="I552" s="3"/>
    </row>
    <row r="553" spans="1:9" s="4" customFormat="1" ht="18" customHeight="1" x14ac:dyDescent="0.55000000000000004">
      <c r="A553" s="18">
        <v>24.8083031</v>
      </c>
      <c r="B553" s="18">
        <v>34.845701599999998</v>
      </c>
      <c r="C553" s="18">
        <v>686558.2</v>
      </c>
      <c r="D553" s="18">
        <v>2744982.77</v>
      </c>
      <c r="E553" s="18">
        <v>219.23</v>
      </c>
      <c r="F553" s="18">
        <v>42046.21</v>
      </c>
      <c r="G553" s="18">
        <v>132532</v>
      </c>
      <c r="H553" s="18">
        <f t="shared" si="30"/>
        <v>42040.21</v>
      </c>
      <c r="I553" s="3"/>
    </row>
    <row r="554" spans="1:9" s="4" customFormat="1" ht="18" customHeight="1" x14ac:dyDescent="0.55000000000000004">
      <c r="A554" s="18">
        <v>24.808277400000001</v>
      </c>
      <c r="B554" s="18">
        <v>34.845708600000002</v>
      </c>
      <c r="C554" s="18">
        <v>686558.94</v>
      </c>
      <c r="D554" s="18">
        <v>2744979.93</v>
      </c>
      <c r="E554" s="18">
        <v>219.26</v>
      </c>
      <c r="F554" s="18">
        <v>42050.04</v>
      </c>
      <c r="G554" s="18">
        <v>132534</v>
      </c>
      <c r="H554" s="18">
        <f t="shared" si="30"/>
        <v>42044.04</v>
      </c>
      <c r="I554" s="3"/>
    </row>
    <row r="555" spans="1:9" s="4" customFormat="1" ht="18" customHeight="1" x14ac:dyDescent="0.55000000000000004">
      <c r="A555" s="18">
        <v>24.808250099999999</v>
      </c>
      <c r="B555" s="18">
        <v>34.845709800000002</v>
      </c>
      <c r="C555" s="18">
        <v>686559.11</v>
      </c>
      <c r="D555" s="18">
        <v>2744976.92</v>
      </c>
      <c r="E555" s="18">
        <v>219.34</v>
      </c>
      <c r="F555" s="18">
        <v>42045.48</v>
      </c>
      <c r="G555" s="18">
        <v>132536</v>
      </c>
      <c r="H555" s="18">
        <f t="shared" si="30"/>
        <v>42039.48</v>
      </c>
      <c r="I555" s="3"/>
    </row>
    <row r="556" spans="1:9" s="4" customFormat="1" ht="18" customHeight="1" x14ac:dyDescent="0.55000000000000004">
      <c r="A556" s="18">
        <v>24.808223399999999</v>
      </c>
      <c r="B556" s="18">
        <v>34.845711299999998</v>
      </c>
      <c r="C556" s="18">
        <v>686559.3</v>
      </c>
      <c r="D556" s="18">
        <v>2744973.96</v>
      </c>
      <c r="E556" s="18">
        <v>219.41</v>
      </c>
      <c r="F556" s="18">
        <v>42044.94</v>
      </c>
      <c r="G556" s="18">
        <v>132538</v>
      </c>
      <c r="H556" s="18">
        <f t="shared" si="30"/>
        <v>42038.94</v>
      </c>
      <c r="I556" s="3"/>
    </row>
    <row r="557" spans="1:9" s="4" customFormat="1" ht="18" customHeight="1" x14ac:dyDescent="0.55000000000000004">
      <c r="A557" s="18">
        <v>24.808195399999999</v>
      </c>
      <c r="B557" s="18">
        <v>34.845714700000002</v>
      </c>
      <c r="C557" s="18">
        <v>686559.69</v>
      </c>
      <c r="D557" s="18">
        <v>2744970.86</v>
      </c>
      <c r="E557" s="18">
        <v>219.41</v>
      </c>
      <c r="F557" s="18">
        <v>42043.66</v>
      </c>
      <c r="G557" s="18">
        <v>132540</v>
      </c>
      <c r="H557" s="18">
        <f t="shared" si="30"/>
        <v>42037.66</v>
      </c>
      <c r="I557" s="3"/>
    </row>
    <row r="558" spans="1:9" s="4" customFormat="1" ht="18" customHeight="1" x14ac:dyDescent="0.55000000000000004">
      <c r="A558" s="18">
        <v>24.8081684</v>
      </c>
      <c r="B558" s="18">
        <v>34.845714200000003</v>
      </c>
      <c r="C558" s="18">
        <v>686559.67</v>
      </c>
      <c r="D558" s="18">
        <v>2744967.88</v>
      </c>
      <c r="E558" s="18">
        <v>219.43</v>
      </c>
      <c r="F558" s="18">
        <v>42043.519999999997</v>
      </c>
      <c r="G558" s="18">
        <v>132542</v>
      </c>
      <c r="H558" s="18">
        <f t="shared" si="30"/>
        <v>42037.52</v>
      </c>
      <c r="I558" s="3"/>
    </row>
    <row r="559" spans="1:9" s="4" customFormat="1" ht="18" customHeight="1" x14ac:dyDescent="0.55000000000000004">
      <c r="A559" s="18">
        <v>24.808140999999999</v>
      </c>
      <c r="B559" s="18">
        <v>34.8457157</v>
      </c>
      <c r="C559" s="18">
        <v>686559.87</v>
      </c>
      <c r="D559" s="18">
        <v>2744964.84</v>
      </c>
      <c r="E559" s="18">
        <v>219.39</v>
      </c>
      <c r="F559" s="18">
        <v>42045.45</v>
      </c>
      <c r="G559" s="18">
        <v>132544</v>
      </c>
      <c r="H559" s="18">
        <f t="shared" si="30"/>
        <v>42039.45</v>
      </c>
      <c r="I559" s="3"/>
    </row>
    <row r="560" spans="1:9" s="4" customFormat="1" ht="18" customHeight="1" x14ac:dyDescent="0.55000000000000004">
      <c r="A560" s="18">
        <v>24.8081131</v>
      </c>
      <c r="B560" s="18">
        <v>34.845719600000002</v>
      </c>
      <c r="C560" s="18">
        <v>686560.31</v>
      </c>
      <c r="D560" s="18">
        <v>2744961.75</v>
      </c>
      <c r="E560" s="18">
        <v>219.41</v>
      </c>
      <c r="F560" s="18">
        <v>42041.95</v>
      </c>
      <c r="G560" s="18">
        <v>132546</v>
      </c>
      <c r="H560" s="18">
        <f t="shared" si="30"/>
        <v>42035.95</v>
      </c>
      <c r="I560" s="3"/>
    </row>
    <row r="561" spans="1:9" s="4" customFormat="1" ht="18" customHeight="1" x14ac:dyDescent="0.55000000000000004">
      <c r="A561" s="18">
        <v>24.808084999999998</v>
      </c>
      <c r="B561" s="18">
        <v>34.845723399999997</v>
      </c>
      <c r="C561" s="18">
        <v>686560.73</v>
      </c>
      <c r="D561" s="18">
        <v>2744958.65</v>
      </c>
      <c r="E561" s="18">
        <v>219.4</v>
      </c>
      <c r="F561" s="18">
        <v>42041.55</v>
      </c>
      <c r="G561" s="18">
        <v>132548</v>
      </c>
      <c r="H561" s="18">
        <f t="shared" si="30"/>
        <v>42035.55</v>
      </c>
      <c r="I561" s="3"/>
    </row>
    <row r="562" spans="1:9" s="4" customFormat="1" ht="18" customHeight="1" x14ac:dyDescent="0.55000000000000004">
      <c r="A562" s="18">
        <v>24.8080566</v>
      </c>
      <c r="B562" s="18">
        <v>34.845725999999999</v>
      </c>
      <c r="C562" s="18">
        <v>686561.04</v>
      </c>
      <c r="D562" s="18">
        <v>2744955.5</v>
      </c>
      <c r="E562" s="18">
        <v>219.46</v>
      </c>
      <c r="F562" s="18">
        <v>42042.080000000002</v>
      </c>
      <c r="G562" s="18">
        <v>132550</v>
      </c>
      <c r="H562" s="18">
        <f t="shared" si="30"/>
        <v>42036.08</v>
      </c>
      <c r="I562" s="3"/>
    </row>
    <row r="563" spans="1:9" s="4" customFormat="1" ht="18" customHeight="1" x14ac:dyDescent="0.55000000000000004">
      <c r="A563" s="18">
        <v>24.808028799999999</v>
      </c>
      <c r="B563" s="18">
        <v>34.8457249</v>
      </c>
      <c r="C563" s="18">
        <v>686560.97</v>
      </c>
      <c r="D563" s="18">
        <v>2744952.42</v>
      </c>
      <c r="E563" s="18">
        <v>219.54</v>
      </c>
      <c r="F563" s="18">
        <v>42042.33</v>
      </c>
      <c r="G563" s="18">
        <v>132552</v>
      </c>
      <c r="H563" s="18">
        <f t="shared" si="30"/>
        <v>42036.33</v>
      </c>
      <c r="I563" s="3"/>
    </row>
    <row r="564" spans="1:9" s="4" customFormat="1" ht="18" customHeight="1" x14ac:dyDescent="0.55000000000000004">
      <c r="A564" s="18">
        <v>24.808000199999999</v>
      </c>
      <c r="B564" s="18">
        <v>34.845720499999999</v>
      </c>
      <c r="C564" s="18">
        <v>686560.57</v>
      </c>
      <c r="D564" s="18">
        <v>2744949.25</v>
      </c>
      <c r="E564" s="18">
        <v>219.53</v>
      </c>
      <c r="F564" s="18">
        <v>42041.56</v>
      </c>
      <c r="G564" s="18">
        <v>132554</v>
      </c>
      <c r="H564" s="18">
        <f t="shared" si="30"/>
        <v>42035.56</v>
      </c>
      <c r="I564" s="3"/>
    </row>
    <row r="565" spans="1:9" s="4" customFormat="1" ht="18" customHeight="1" x14ac:dyDescent="0.55000000000000004">
      <c r="A565" s="18">
        <v>24.8079705</v>
      </c>
      <c r="B565" s="18">
        <v>34.845711299999998</v>
      </c>
      <c r="C565" s="18">
        <v>686559.68</v>
      </c>
      <c r="D565" s="18">
        <v>2744945.95</v>
      </c>
      <c r="E565" s="18">
        <v>219.58</v>
      </c>
      <c r="F565" s="18">
        <v>42042.35</v>
      </c>
      <c r="G565" s="18">
        <v>132556</v>
      </c>
      <c r="H565" s="18">
        <f t="shared" si="30"/>
        <v>42036.35</v>
      </c>
      <c r="I565" s="3"/>
    </row>
    <row r="566" spans="1:9" s="4" customFormat="1" ht="18" customHeight="1" x14ac:dyDescent="0.55000000000000004">
      <c r="A566" s="18">
        <v>24.8079429</v>
      </c>
      <c r="B566" s="18">
        <v>34.8456993</v>
      </c>
      <c r="C566" s="18">
        <v>686558.51</v>
      </c>
      <c r="D566" s="18">
        <v>2744942.87</v>
      </c>
      <c r="E566" s="18">
        <v>219.73</v>
      </c>
      <c r="F566" s="18">
        <v>42040.29</v>
      </c>
      <c r="G566" s="18">
        <v>132558</v>
      </c>
      <c r="H566" s="18">
        <f t="shared" si="30"/>
        <v>42034.29</v>
      </c>
      <c r="I566" s="3"/>
    </row>
    <row r="567" spans="1:9" s="4" customFormat="1" ht="18" customHeight="1" x14ac:dyDescent="0.55000000000000004">
      <c r="A567" s="18">
        <v>24.807915999999999</v>
      </c>
      <c r="B567" s="18">
        <v>34.845685899999999</v>
      </c>
      <c r="C567" s="18">
        <v>686557.19</v>
      </c>
      <c r="D567" s="18">
        <v>2744939.88</v>
      </c>
      <c r="E567" s="18">
        <v>219.84</v>
      </c>
      <c r="F567" s="18">
        <v>42040.34</v>
      </c>
      <c r="G567" s="18">
        <v>132600</v>
      </c>
      <c r="H567" s="18">
        <f t="shared" si="30"/>
        <v>42034.34</v>
      </c>
      <c r="I567" s="3"/>
    </row>
    <row r="568" spans="1:9" s="4" customFormat="1" ht="18" customHeight="1" x14ac:dyDescent="0.55000000000000004">
      <c r="A568" s="18">
        <v>24.8078909</v>
      </c>
      <c r="B568" s="18">
        <v>34.8456726</v>
      </c>
      <c r="C568" s="18">
        <v>686555.88</v>
      </c>
      <c r="D568" s="18">
        <v>2744937.08</v>
      </c>
      <c r="E568" s="18">
        <v>219.96</v>
      </c>
      <c r="F568" s="18">
        <v>42037.93</v>
      </c>
      <c r="G568" s="18">
        <v>132602</v>
      </c>
      <c r="H568" s="18">
        <f t="shared" si="30"/>
        <v>42031.93</v>
      </c>
      <c r="I568" s="3"/>
    </row>
    <row r="569" spans="1:9" s="4" customFormat="1" ht="18" customHeight="1" x14ac:dyDescent="0.55000000000000004">
      <c r="A569" s="18">
        <v>24.8078653</v>
      </c>
      <c r="B569" s="18">
        <v>34.845656499999997</v>
      </c>
      <c r="C569" s="18">
        <v>686554.3</v>
      </c>
      <c r="D569" s="18">
        <v>2744934.22</v>
      </c>
      <c r="E569" s="18">
        <v>220.03</v>
      </c>
      <c r="F569" s="18">
        <v>42036.68</v>
      </c>
      <c r="G569" s="18">
        <v>132604</v>
      </c>
      <c r="H569" s="18">
        <f t="shared" si="30"/>
        <v>42030.68</v>
      </c>
      <c r="I569" s="3"/>
    </row>
    <row r="570" spans="1:9" s="4" customFormat="1" ht="18" customHeight="1" x14ac:dyDescent="0.55000000000000004">
      <c r="A570" s="18">
        <v>24.807840599999999</v>
      </c>
      <c r="B570" s="18">
        <v>34.845641000000001</v>
      </c>
      <c r="C570" s="18">
        <v>686552.77</v>
      </c>
      <c r="D570" s="18">
        <v>2744931.46</v>
      </c>
      <c r="E570" s="18">
        <v>220.08</v>
      </c>
      <c r="F570" s="18">
        <v>42035.08</v>
      </c>
      <c r="G570" s="18">
        <v>132606</v>
      </c>
      <c r="H570" s="18">
        <f t="shared" si="30"/>
        <v>42029.08</v>
      </c>
      <c r="I570" s="3"/>
    </row>
    <row r="571" spans="1:9" s="4" customFormat="1" ht="18" customHeight="1" x14ac:dyDescent="0.55000000000000004">
      <c r="A571" s="18">
        <v>24.8078158</v>
      </c>
      <c r="B571" s="18">
        <v>34.845623600000003</v>
      </c>
      <c r="C571" s="18">
        <v>686551.04000000004</v>
      </c>
      <c r="D571" s="18">
        <v>2744928.69</v>
      </c>
      <c r="E571" s="18">
        <v>220.17</v>
      </c>
      <c r="F571" s="18">
        <v>42035.29</v>
      </c>
      <c r="G571" s="18">
        <v>132608</v>
      </c>
      <c r="H571" s="18">
        <f t="shared" si="30"/>
        <v>42029.29</v>
      </c>
      <c r="I571" s="3"/>
    </row>
    <row r="572" spans="1:9" s="4" customFormat="1" ht="18" customHeight="1" x14ac:dyDescent="0.55000000000000004">
      <c r="A572" s="18">
        <v>24.8077915</v>
      </c>
      <c r="B572" s="18">
        <v>34.845606699999998</v>
      </c>
      <c r="C572" s="18">
        <v>686549.37</v>
      </c>
      <c r="D572" s="18">
        <v>2744925.98</v>
      </c>
      <c r="E572" s="18">
        <v>220.25</v>
      </c>
      <c r="F572" s="18">
        <v>42034.25</v>
      </c>
      <c r="G572" s="18">
        <v>132610</v>
      </c>
      <c r="H572" s="18">
        <f t="shared" si="30"/>
        <v>42028.25</v>
      </c>
      <c r="I572" s="3"/>
    </row>
    <row r="573" spans="1:9" s="4" customFormat="1" ht="18" customHeight="1" x14ac:dyDescent="0.55000000000000004">
      <c r="A573" s="18">
        <v>24.807767299999998</v>
      </c>
      <c r="B573" s="18">
        <v>34.8455887</v>
      </c>
      <c r="C573" s="18">
        <v>686547.59</v>
      </c>
      <c r="D573" s="18">
        <v>2744923.27</v>
      </c>
      <c r="E573" s="18">
        <v>220.31</v>
      </c>
      <c r="F573" s="18">
        <v>42031.83</v>
      </c>
      <c r="G573" s="18">
        <v>132612</v>
      </c>
      <c r="H573" s="18">
        <f t="shared" si="30"/>
        <v>42025.83</v>
      </c>
      <c r="I573" s="3"/>
    </row>
    <row r="574" spans="1:9" s="4" customFormat="1" ht="18" customHeight="1" x14ac:dyDescent="0.55000000000000004">
      <c r="A574" s="18">
        <v>24.807743500000001</v>
      </c>
      <c r="B574" s="18">
        <v>34.845572099999998</v>
      </c>
      <c r="C574" s="18">
        <v>686545.94</v>
      </c>
      <c r="D574" s="18">
        <v>2744920.61</v>
      </c>
      <c r="E574" s="18">
        <v>220.38</v>
      </c>
      <c r="F574" s="18">
        <v>42033.71</v>
      </c>
      <c r="G574" s="18">
        <v>132614</v>
      </c>
      <c r="H574" s="18">
        <f t="shared" si="30"/>
        <v>42027.71</v>
      </c>
      <c r="I574" s="3"/>
    </row>
    <row r="575" spans="1:9" s="4" customFormat="1" ht="18" customHeight="1" x14ac:dyDescent="0.55000000000000004">
      <c r="A575" s="18">
        <v>24.8077194</v>
      </c>
      <c r="B575" s="18">
        <v>34.8455522</v>
      </c>
      <c r="C575" s="18">
        <v>686543.97</v>
      </c>
      <c r="D575" s="18">
        <v>2744917.92</v>
      </c>
      <c r="E575" s="18">
        <v>220.46</v>
      </c>
      <c r="F575" s="18">
        <v>42031.88</v>
      </c>
      <c r="G575" s="18">
        <v>132616</v>
      </c>
      <c r="H575" s="18">
        <f t="shared" si="30"/>
        <v>42025.88</v>
      </c>
      <c r="I575" s="3"/>
    </row>
    <row r="576" spans="1:9" s="4" customFormat="1" ht="18" customHeight="1" x14ac:dyDescent="0.55000000000000004">
      <c r="A576" s="18">
        <v>24.8076939</v>
      </c>
      <c r="B576" s="18">
        <v>34.845535400000003</v>
      </c>
      <c r="C576" s="18">
        <v>686542.31</v>
      </c>
      <c r="D576" s="18">
        <v>2744915.07</v>
      </c>
      <c r="E576" s="18">
        <v>220.59</v>
      </c>
      <c r="F576" s="18">
        <v>42027.05</v>
      </c>
      <c r="G576" s="18">
        <v>132618</v>
      </c>
      <c r="H576" s="18">
        <f t="shared" si="30"/>
        <v>42021.05</v>
      </c>
      <c r="I576" s="3"/>
    </row>
    <row r="577" spans="1:9" s="4" customFormat="1" ht="18" customHeight="1" x14ac:dyDescent="0.55000000000000004">
      <c r="A577" s="18">
        <v>24.807668499999998</v>
      </c>
      <c r="B577" s="18">
        <v>34.8455212</v>
      </c>
      <c r="C577" s="18">
        <v>686540.92</v>
      </c>
      <c r="D577" s="18">
        <v>2744912.24</v>
      </c>
      <c r="E577" s="18">
        <v>220.7</v>
      </c>
      <c r="F577" s="18">
        <v>42026.5</v>
      </c>
      <c r="G577" s="18">
        <v>132620</v>
      </c>
      <c r="H577" s="18">
        <f t="shared" ref="H577:H629" si="31">SUM(F577-6)</f>
        <v>42020.5</v>
      </c>
      <c r="I577" s="3"/>
    </row>
    <row r="578" spans="1:9" s="4" customFormat="1" ht="18" customHeight="1" x14ac:dyDescent="0.55000000000000004">
      <c r="A578" s="18">
        <v>24.8076431</v>
      </c>
      <c r="B578" s="18">
        <v>34.845510400000002</v>
      </c>
      <c r="C578" s="18">
        <v>686539.85</v>
      </c>
      <c r="D578" s="18">
        <v>2744909.41</v>
      </c>
      <c r="E578" s="18">
        <v>220.76</v>
      </c>
      <c r="F578" s="18">
        <v>42026.32</v>
      </c>
      <c r="G578" s="18">
        <v>132622</v>
      </c>
      <c r="H578" s="18">
        <f t="shared" si="31"/>
        <v>42020.32</v>
      </c>
      <c r="I578" s="3"/>
    </row>
    <row r="579" spans="1:9" s="4" customFormat="1" ht="18" customHeight="1" x14ac:dyDescent="0.55000000000000004">
      <c r="A579" s="18">
        <v>24.807619899999999</v>
      </c>
      <c r="B579" s="18">
        <v>34.845502500000002</v>
      </c>
      <c r="C579" s="18">
        <v>686539.09</v>
      </c>
      <c r="D579" s="18">
        <v>2744906.82</v>
      </c>
      <c r="E579" s="18">
        <v>220.76</v>
      </c>
      <c r="F579" s="18">
        <v>42022.6</v>
      </c>
      <c r="G579" s="18">
        <v>132624</v>
      </c>
      <c r="H579" s="18">
        <f t="shared" si="31"/>
        <v>42016.6</v>
      </c>
      <c r="I579" s="3"/>
    </row>
    <row r="580" spans="1:9" s="4" customFormat="1" ht="18" customHeight="1" x14ac:dyDescent="0.55000000000000004">
      <c r="A580" s="18">
        <v>24.8076078</v>
      </c>
      <c r="B580" s="18">
        <v>34.845497700000003</v>
      </c>
      <c r="C580" s="18">
        <v>686538.63</v>
      </c>
      <c r="D580" s="18">
        <v>2744905.48</v>
      </c>
      <c r="E580" s="18">
        <v>220.74</v>
      </c>
      <c r="F580" s="18">
        <v>42027.03</v>
      </c>
      <c r="G580" s="18">
        <v>132626</v>
      </c>
      <c r="H580" s="18">
        <f t="shared" si="31"/>
        <v>42021.03</v>
      </c>
      <c r="I580" s="3"/>
    </row>
    <row r="581" spans="1:9" s="4" customFormat="1" ht="18" customHeight="1" x14ac:dyDescent="0.55000000000000004">
      <c r="A581" s="18">
        <v>24.8075853</v>
      </c>
      <c r="B581" s="18">
        <v>34.845492800000002</v>
      </c>
      <c r="C581" s="18">
        <v>686538.16</v>
      </c>
      <c r="D581" s="18">
        <v>2744902.99</v>
      </c>
      <c r="E581" s="18">
        <v>220.67</v>
      </c>
      <c r="F581" s="18">
        <v>42024.24</v>
      </c>
      <c r="G581" s="18">
        <v>132628</v>
      </c>
      <c r="H581" s="18">
        <f t="shared" si="31"/>
        <v>42018.239999999998</v>
      </c>
      <c r="I581" s="3"/>
    </row>
    <row r="582" spans="1:9" s="4" customFormat="1" ht="18" customHeight="1" x14ac:dyDescent="0.55000000000000004">
      <c r="A582" s="18">
        <v>24.807565100000001</v>
      </c>
      <c r="B582" s="18">
        <v>34.845488699999997</v>
      </c>
      <c r="C582" s="18">
        <v>686537.78</v>
      </c>
      <c r="D582" s="18">
        <v>2744900.74</v>
      </c>
      <c r="E582" s="18">
        <v>220.69</v>
      </c>
      <c r="F582" s="18">
        <v>42020.37</v>
      </c>
      <c r="G582" s="18">
        <v>132630</v>
      </c>
      <c r="H582" s="18">
        <f t="shared" si="31"/>
        <v>42014.37</v>
      </c>
      <c r="I582" s="3"/>
    </row>
    <row r="583" spans="1:9" s="4" customFormat="1" ht="18" customHeight="1" x14ac:dyDescent="0.55000000000000004">
      <c r="A583" s="18">
        <v>24.807545900000001</v>
      </c>
      <c r="B583" s="18">
        <v>34.845485400000001</v>
      </c>
      <c r="C583" s="18">
        <v>686537.47</v>
      </c>
      <c r="D583" s="18">
        <v>2744898.61</v>
      </c>
      <c r="E583" s="18">
        <v>220.79</v>
      </c>
      <c r="F583" s="18">
        <v>42021.59</v>
      </c>
      <c r="G583" s="18">
        <v>132632</v>
      </c>
      <c r="H583" s="18">
        <f t="shared" si="31"/>
        <v>42015.59</v>
      </c>
      <c r="I583" s="3"/>
    </row>
    <row r="584" spans="1:9" s="4" customFormat="1" ht="18" customHeight="1" x14ac:dyDescent="0.55000000000000004">
      <c r="A584" s="18">
        <v>24.8075221</v>
      </c>
      <c r="B584" s="18">
        <v>34.845476300000001</v>
      </c>
      <c r="C584" s="18">
        <v>686536.59</v>
      </c>
      <c r="D584" s="18">
        <v>2744895.96</v>
      </c>
      <c r="E584" s="18">
        <v>220.87</v>
      </c>
      <c r="F584" s="18">
        <v>42013.78</v>
      </c>
      <c r="G584" s="18">
        <v>132634</v>
      </c>
      <c r="H584" s="18">
        <f t="shared" si="31"/>
        <v>42007.78</v>
      </c>
      <c r="I584" s="3"/>
    </row>
    <row r="585" spans="1:9" s="4" customFormat="1" ht="18" customHeight="1" x14ac:dyDescent="0.55000000000000004">
      <c r="A585" s="18">
        <v>24.807495500000002</v>
      </c>
      <c r="B585" s="18">
        <v>34.845469899999998</v>
      </c>
      <c r="C585" s="18">
        <v>686535.98</v>
      </c>
      <c r="D585" s="18">
        <v>2744893.01</v>
      </c>
      <c r="E585" s="18">
        <v>220.95</v>
      </c>
      <c r="F585" s="18">
        <v>42013.08</v>
      </c>
      <c r="G585" s="18">
        <v>132636</v>
      </c>
      <c r="H585" s="18">
        <f t="shared" si="31"/>
        <v>42007.08</v>
      </c>
      <c r="I585" s="3"/>
    </row>
    <row r="586" spans="1:9" s="4" customFormat="1" ht="18" customHeight="1" x14ac:dyDescent="0.55000000000000004">
      <c r="A586" s="18">
        <v>24.807469600000001</v>
      </c>
      <c r="B586" s="18">
        <v>34.845460899999999</v>
      </c>
      <c r="C586" s="18">
        <v>686535.11</v>
      </c>
      <c r="D586" s="18">
        <v>2744890.12</v>
      </c>
      <c r="E586" s="18">
        <v>221.04</v>
      </c>
      <c r="F586" s="18">
        <v>42004.6</v>
      </c>
      <c r="G586" s="18">
        <v>132638</v>
      </c>
      <c r="H586" s="18">
        <f t="shared" si="31"/>
        <v>41998.6</v>
      </c>
      <c r="I586" s="3"/>
    </row>
    <row r="587" spans="1:9" s="4" customFormat="1" ht="18" customHeight="1" x14ac:dyDescent="0.55000000000000004">
      <c r="A587" s="18">
        <v>24.8074431</v>
      </c>
      <c r="B587" s="18">
        <v>34.845451799999999</v>
      </c>
      <c r="C587" s="18">
        <v>686534.24</v>
      </c>
      <c r="D587" s="18">
        <v>2744887.18</v>
      </c>
      <c r="E587" s="18">
        <v>221.11</v>
      </c>
      <c r="F587" s="18">
        <v>42004.57</v>
      </c>
      <c r="G587" s="18">
        <v>132640</v>
      </c>
      <c r="H587" s="18">
        <f t="shared" si="31"/>
        <v>41998.57</v>
      </c>
      <c r="I587" s="3"/>
    </row>
    <row r="588" spans="1:9" s="4" customFormat="1" ht="18" customHeight="1" x14ac:dyDescent="0.55000000000000004">
      <c r="A588" s="18">
        <v>24.807417300000001</v>
      </c>
      <c r="B588" s="18">
        <v>34.845441800000003</v>
      </c>
      <c r="C588" s="18">
        <v>686533.26</v>
      </c>
      <c r="D588" s="18">
        <v>2744884.31</v>
      </c>
      <c r="E588" s="18">
        <v>221.19</v>
      </c>
      <c r="F588" s="18">
        <v>41997.22</v>
      </c>
      <c r="G588" s="18">
        <v>132642</v>
      </c>
      <c r="H588" s="18">
        <f t="shared" si="31"/>
        <v>41991.22</v>
      </c>
      <c r="I588" s="3"/>
    </row>
    <row r="589" spans="1:9" s="4" customFormat="1" ht="18" customHeight="1" x14ac:dyDescent="0.55000000000000004">
      <c r="A589" s="18">
        <v>24.807391899999999</v>
      </c>
      <c r="B589" s="18">
        <v>34.845429600000003</v>
      </c>
      <c r="C589" s="18">
        <v>686532.06</v>
      </c>
      <c r="D589" s="18">
        <v>2744881.48</v>
      </c>
      <c r="E589" s="18">
        <v>221.25</v>
      </c>
      <c r="F589" s="18">
        <v>41990.32</v>
      </c>
      <c r="G589" s="18">
        <v>132644</v>
      </c>
      <c r="H589" s="18">
        <f t="shared" si="31"/>
        <v>41984.32</v>
      </c>
      <c r="I589" s="3"/>
    </row>
    <row r="590" spans="1:9" s="4" customFormat="1" ht="18" customHeight="1" x14ac:dyDescent="0.55000000000000004">
      <c r="A590" s="18">
        <v>24.807366600000002</v>
      </c>
      <c r="B590" s="18">
        <v>34.845415899999999</v>
      </c>
      <c r="C590" s="18">
        <v>686530.71</v>
      </c>
      <c r="D590" s="18">
        <v>2744878.65</v>
      </c>
      <c r="E590" s="18">
        <v>221.31</v>
      </c>
      <c r="F590" s="18">
        <v>41986.68</v>
      </c>
      <c r="G590" s="18">
        <v>132646</v>
      </c>
      <c r="H590" s="18">
        <f t="shared" si="31"/>
        <v>41980.68</v>
      </c>
      <c r="I590" s="3"/>
    </row>
    <row r="591" spans="1:9" s="4" customFormat="1" ht="18" customHeight="1" x14ac:dyDescent="0.55000000000000004">
      <c r="A591" s="18">
        <v>24.807340799999999</v>
      </c>
      <c r="B591" s="18">
        <v>34.845401299999999</v>
      </c>
      <c r="C591" s="18">
        <v>686529.28</v>
      </c>
      <c r="D591" s="18">
        <v>2744875.78</v>
      </c>
      <c r="E591" s="18">
        <v>221.38</v>
      </c>
      <c r="F591" s="18">
        <v>41981.03</v>
      </c>
      <c r="G591" s="18">
        <v>132648</v>
      </c>
      <c r="H591" s="18">
        <f t="shared" si="31"/>
        <v>41975.03</v>
      </c>
      <c r="I591" s="3"/>
    </row>
    <row r="592" spans="1:9" s="4" customFormat="1" ht="18" customHeight="1" x14ac:dyDescent="0.55000000000000004">
      <c r="A592" s="18">
        <v>24.8073166</v>
      </c>
      <c r="B592" s="18">
        <v>34.845385299999997</v>
      </c>
      <c r="C592" s="18">
        <v>686527.7</v>
      </c>
      <c r="D592" s="18">
        <v>2744873.08</v>
      </c>
      <c r="E592" s="18">
        <v>221.45</v>
      </c>
      <c r="F592" s="18">
        <v>41973.65</v>
      </c>
      <c r="G592" s="18">
        <v>132650</v>
      </c>
      <c r="H592" s="18">
        <f t="shared" si="31"/>
        <v>41967.65</v>
      </c>
      <c r="I592" s="3"/>
    </row>
    <row r="593" spans="1:9" s="4" customFormat="1" ht="18" customHeight="1" x14ac:dyDescent="0.55000000000000004">
      <c r="A593" s="18">
        <v>24.8072965</v>
      </c>
      <c r="B593" s="18">
        <v>34.845363800000001</v>
      </c>
      <c r="C593" s="18">
        <v>686525.55</v>
      </c>
      <c r="D593" s="18">
        <v>2744870.82</v>
      </c>
      <c r="E593" s="18">
        <v>221.52</v>
      </c>
      <c r="F593" s="18">
        <v>41966.15</v>
      </c>
      <c r="G593" s="18">
        <v>132652</v>
      </c>
      <c r="H593" s="18">
        <f t="shared" si="31"/>
        <v>41960.15</v>
      </c>
      <c r="I593" s="3"/>
    </row>
    <row r="594" spans="1:9" s="4" customFormat="1" ht="18" customHeight="1" x14ac:dyDescent="0.55000000000000004">
      <c r="A594" s="18">
        <v>24.807276399999999</v>
      </c>
      <c r="B594" s="18">
        <v>34.8453424</v>
      </c>
      <c r="C594" s="18">
        <v>686523.42</v>
      </c>
      <c r="D594" s="18">
        <v>2744868.56</v>
      </c>
      <c r="E594" s="18">
        <v>221.56</v>
      </c>
      <c r="F594" s="18">
        <v>41961.1</v>
      </c>
      <c r="G594" s="18">
        <v>132654</v>
      </c>
      <c r="H594" s="18">
        <f t="shared" si="31"/>
        <v>41955.1</v>
      </c>
      <c r="I594" s="3"/>
    </row>
    <row r="595" spans="1:9" s="4" customFormat="1" ht="18" customHeight="1" x14ac:dyDescent="0.55000000000000004">
      <c r="A595" s="18">
        <v>24.8072561</v>
      </c>
      <c r="B595" s="18">
        <v>34.845321599999998</v>
      </c>
      <c r="C595" s="18">
        <v>686521.35</v>
      </c>
      <c r="D595" s="18">
        <v>2744866.28</v>
      </c>
      <c r="E595" s="18">
        <v>221.61</v>
      </c>
      <c r="F595" s="18">
        <v>41955.839999999997</v>
      </c>
      <c r="G595" s="18">
        <v>132656</v>
      </c>
      <c r="H595" s="18">
        <f t="shared" si="31"/>
        <v>41949.84</v>
      </c>
      <c r="I595" s="3"/>
    </row>
    <row r="596" spans="1:9" s="4" customFormat="1" ht="18" customHeight="1" x14ac:dyDescent="0.55000000000000004">
      <c r="A596" s="18">
        <v>24.807234399999999</v>
      </c>
      <c r="B596" s="18">
        <v>34.845301900000003</v>
      </c>
      <c r="C596" s="18">
        <v>686519.39</v>
      </c>
      <c r="D596" s="18">
        <v>2744863.85</v>
      </c>
      <c r="E596" s="18">
        <v>221.61</v>
      </c>
      <c r="F596" s="18">
        <v>41950.35</v>
      </c>
      <c r="G596" s="18">
        <v>132658</v>
      </c>
      <c r="H596" s="18">
        <f t="shared" si="31"/>
        <v>41944.35</v>
      </c>
      <c r="I596" s="3"/>
    </row>
    <row r="597" spans="1:9" s="4" customFormat="1" ht="18" customHeight="1" x14ac:dyDescent="0.55000000000000004">
      <c r="A597" s="18">
        <v>24.807211899999999</v>
      </c>
      <c r="B597" s="18">
        <v>34.845283500000001</v>
      </c>
      <c r="C597" s="18">
        <v>686517.56</v>
      </c>
      <c r="D597" s="18">
        <v>2744861.34</v>
      </c>
      <c r="E597" s="18">
        <v>221.65</v>
      </c>
      <c r="F597" s="18">
        <v>41946.75</v>
      </c>
      <c r="G597" s="18">
        <v>132700</v>
      </c>
      <c r="H597" s="18">
        <f t="shared" si="31"/>
        <v>41940.75</v>
      </c>
      <c r="I597" s="3"/>
    </row>
    <row r="598" spans="1:9" s="4" customFormat="1" ht="18" customHeight="1" x14ac:dyDescent="0.55000000000000004">
      <c r="A598" s="18">
        <v>24.807187899999999</v>
      </c>
      <c r="B598" s="18">
        <v>34.845267800000002</v>
      </c>
      <c r="C598" s="18">
        <v>686516.01</v>
      </c>
      <c r="D598" s="18">
        <v>2744858.66</v>
      </c>
      <c r="E598" s="18">
        <v>221.7</v>
      </c>
      <c r="F598" s="18">
        <v>41948.52</v>
      </c>
      <c r="G598" s="18">
        <v>132702</v>
      </c>
      <c r="H598" s="18">
        <f t="shared" si="31"/>
        <v>41942.519999999997</v>
      </c>
      <c r="I598" s="3"/>
    </row>
    <row r="599" spans="1:9" s="4" customFormat="1" ht="18" customHeight="1" x14ac:dyDescent="0.55000000000000004">
      <c r="A599" s="18">
        <v>24.8071622</v>
      </c>
      <c r="B599" s="18">
        <v>34.845254199999999</v>
      </c>
      <c r="C599" s="18">
        <v>686514.67</v>
      </c>
      <c r="D599" s="18">
        <v>2744855.79</v>
      </c>
      <c r="E599" s="18">
        <v>221.72</v>
      </c>
      <c r="F599" s="18">
        <v>41954.96</v>
      </c>
      <c r="G599" s="18">
        <v>132704</v>
      </c>
      <c r="H599" s="18">
        <f t="shared" si="31"/>
        <v>41948.959999999999</v>
      </c>
      <c r="I599" s="3"/>
    </row>
    <row r="600" spans="1:9" s="4" customFormat="1" ht="18" customHeight="1" x14ac:dyDescent="0.55000000000000004">
      <c r="A600" s="18">
        <v>24.807137999999998</v>
      </c>
      <c r="B600" s="18">
        <v>34.845238799999997</v>
      </c>
      <c r="C600" s="18">
        <v>686513.15</v>
      </c>
      <c r="D600" s="18">
        <v>2744853.1</v>
      </c>
      <c r="E600" s="18">
        <v>221.74</v>
      </c>
      <c r="F600" s="18">
        <v>41963.27</v>
      </c>
      <c r="G600" s="18">
        <v>132706</v>
      </c>
      <c r="H600" s="18">
        <f t="shared" si="31"/>
        <v>41957.27</v>
      </c>
      <c r="I600" s="3"/>
    </row>
    <row r="601" spans="1:9" s="4" customFormat="1" ht="18" customHeight="1" x14ac:dyDescent="0.55000000000000004">
      <c r="A601" s="18">
        <v>24.807112</v>
      </c>
      <c r="B601" s="18">
        <v>34.845225499999998</v>
      </c>
      <c r="C601" s="18">
        <v>686511.85</v>
      </c>
      <c r="D601" s="18">
        <v>2744850.19</v>
      </c>
      <c r="E601" s="18">
        <v>221.76</v>
      </c>
      <c r="F601" s="18">
        <v>41973.45</v>
      </c>
      <c r="G601" s="18">
        <v>132708</v>
      </c>
      <c r="H601" s="18">
        <f t="shared" si="31"/>
        <v>41967.45</v>
      </c>
      <c r="I601" s="3"/>
    </row>
    <row r="602" spans="1:9" s="4" customFormat="1" ht="18" customHeight="1" x14ac:dyDescent="0.55000000000000004">
      <c r="A602" s="18">
        <v>24.807086399999999</v>
      </c>
      <c r="B602" s="18">
        <v>34.845215000000003</v>
      </c>
      <c r="C602" s="18">
        <v>686510.83</v>
      </c>
      <c r="D602" s="18">
        <v>2744847.34</v>
      </c>
      <c r="E602" s="18">
        <v>221.77</v>
      </c>
      <c r="F602" s="18">
        <v>41988.06</v>
      </c>
      <c r="G602" s="18">
        <v>132710</v>
      </c>
      <c r="H602" s="18">
        <f t="shared" si="31"/>
        <v>41982.06</v>
      </c>
      <c r="I602" s="3"/>
    </row>
    <row r="603" spans="1:9" s="4" customFormat="1" ht="18" customHeight="1" x14ac:dyDescent="0.55000000000000004">
      <c r="A603" s="18">
        <v>24.807065300000001</v>
      </c>
      <c r="B603" s="18">
        <v>34.845207000000002</v>
      </c>
      <c r="C603" s="18">
        <v>686510.05</v>
      </c>
      <c r="D603" s="18">
        <v>2744845</v>
      </c>
      <c r="E603" s="18">
        <v>221.58</v>
      </c>
      <c r="F603" s="18">
        <v>41998.01</v>
      </c>
      <c r="G603" s="18">
        <v>132712</v>
      </c>
      <c r="H603" s="18">
        <f t="shared" si="31"/>
        <v>41992.01</v>
      </c>
      <c r="I603" s="3"/>
    </row>
    <row r="604" spans="1:9" s="4" customFormat="1" ht="18" customHeight="1" x14ac:dyDescent="0.55000000000000004">
      <c r="A604" s="18">
        <v>24.807071000000001</v>
      </c>
      <c r="B604" s="18">
        <v>34.845209599999997</v>
      </c>
      <c r="C604" s="18">
        <v>686510.3</v>
      </c>
      <c r="D604" s="18">
        <v>2744845.64</v>
      </c>
      <c r="E604" s="18">
        <v>221.81</v>
      </c>
      <c r="F604" s="18">
        <v>41999.23</v>
      </c>
      <c r="G604" s="18">
        <v>132714</v>
      </c>
      <c r="H604" s="18">
        <f t="shared" si="31"/>
        <v>41993.23</v>
      </c>
      <c r="I604" s="3"/>
    </row>
    <row r="605" spans="1:9" s="4" customFormat="1" ht="18" customHeight="1" x14ac:dyDescent="0.55000000000000004">
      <c r="A605" s="18">
        <v>24.807069200000001</v>
      </c>
      <c r="B605" s="18">
        <v>34.8452093</v>
      </c>
      <c r="C605" s="18">
        <v>686510.27</v>
      </c>
      <c r="D605" s="18">
        <v>2744845.44</v>
      </c>
      <c r="E605" s="18">
        <v>221.83</v>
      </c>
      <c r="F605" s="18">
        <v>42002.27</v>
      </c>
      <c r="G605" s="18">
        <v>132716</v>
      </c>
      <c r="H605" s="18">
        <f t="shared" si="31"/>
        <v>41996.27</v>
      </c>
      <c r="I605" s="3"/>
    </row>
    <row r="606" spans="1:9" s="4" customFormat="1" ht="18" customHeight="1" x14ac:dyDescent="0.55000000000000004">
      <c r="A606" s="18">
        <v>24.807067499999999</v>
      </c>
      <c r="B606" s="18">
        <v>34.845208</v>
      </c>
      <c r="C606" s="18">
        <v>686510.15</v>
      </c>
      <c r="D606" s="18">
        <v>2744845.24</v>
      </c>
      <c r="E606" s="18">
        <v>221.85</v>
      </c>
      <c r="F606" s="18">
        <v>42002.92</v>
      </c>
      <c r="G606" s="18">
        <v>132718</v>
      </c>
      <c r="H606" s="18">
        <f t="shared" si="31"/>
        <v>41996.92</v>
      </c>
      <c r="I606" s="3"/>
    </row>
    <row r="607" spans="1:9" s="4" customFormat="1" ht="18" customHeight="1" x14ac:dyDescent="0.55000000000000004">
      <c r="A607" s="18">
        <v>24.807068099999999</v>
      </c>
      <c r="B607" s="18">
        <v>34.845208599999999</v>
      </c>
      <c r="C607" s="18">
        <v>686510.21</v>
      </c>
      <c r="D607" s="18">
        <v>2744845.31</v>
      </c>
      <c r="E607" s="18">
        <v>221.84</v>
      </c>
      <c r="F607" s="18">
        <v>42002.13</v>
      </c>
      <c r="G607" s="18">
        <v>132720</v>
      </c>
      <c r="H607" s="18">
        <f t="shared" si="31"/>
        <v>41996.13</v>
      </c>
      <c r="I607" s="3"/>
    </row>
    <row r="608" spans="1:9" s="4" customFormat="1" ht="18" customHeight="1" x14ac:dyDescent="0.55000000000000004">
      <c r="A608" s="18">
        <v>24.807067400000001</v>
      </c>
      <c r="B608" s="18">
        <v>34.845208200000002</v>
      </c>
      <c r="C608" s="18">
        <v>686510.17</v>
      </c>
      <c r="D608" s="18">
        <v>2744845.23</v>
      </c>
      <c r="E608" s="18">
        <v>221.86</v>
      </c>
      <c r="F608" s="18">
        <v>42003.72</v>
      </c>
      <c r="G608" s="18">
        <v>132722</v>
      </c>
      <c r="H608" s="18">
        <f t="shared" si="31"/>
        <v>41997.72</v>
      </c>
      <c r="I608" s="3"/>
    </row>
    <row r="609" spans="1:9" s="4" customFormat="1" ht="18" customHeight="1" x14ac:dyDescent="0.55000000000000004">
      <c r="A609" s="18">
        <v>24.8070694</v>
      </c>
      <c r="B609" s="18">
        <v>34.845208399999997</v>
      </c>
      <c r="C609" s="18">
        <v>686510.19</v>
      </c>
      <c r="D609" s="18">
        <v>2744845.45</v>
      </c>
      <c r="E609" s="18">
        <v>221.84</v>
      </c>
      <c r="F609" s="18">
        <v>42001.51</v>
      </c>
      <c r="G609" s="18">
        <v>132724</v>
      </c>
      <c r="H609" s="18">
        <f t="shared" si="31"/>
        <v>41995.51</v>
      </c>
      <c r="I609" s="3"/>
    </row>
    <row r="610" spans="1:9" s="4" customFormat="1" ht="18" customHeight="1" x14ac:dyDescent="0.55000000000000004">
      <c r="A610" s="18">
        <v>24.8070722</v>
      </c>
      <c r="B610" s="18">
        <v>34.845213899999997</v>
      </c>
      <c r="C610" s="18">
        <v>686510.74</v>
      </c>
      <c r="D610" s="18">
        <v>2744845.77</v>
      </c>
      <c r="E610" s="18">
        <v>221.36</v>
      </c>
      <c r="F610" s="18">
        <v>41997.87</v>
      </c>
      <c r="G610" s="18">
        <v>132726</v>
      </c>
      <c r="H610" s="18">
        <f t="shared" si="31"/>
        <v>41991.87</v>
      </c>
      <c r="I610" s="3"/>
    </row>
    <row r="611" spans="1:9" s="4" customFormat="1" ht="18" customHeight="1" x14ac:dyDescent="0.55000000000000004">
      <c r="A611" s="18">
        <v>24.8070685</v>
      </c>
      <c r="B611" s="18">
        <v>34.845207700000003</v>
      </c>
      <c r="C611" s="18">
        <v>686510.11</v>
      </c>
      <c r="D611" s="18">
        <v>2744845.35</v>
      </c>
      <c r="E611" s="18">
        <v>221.75</v>
      </c>
      <c r="F611" s="18">
        <v>42001.68</v>
      </c>
      <c r="G611" s="18">
        <v>132728</v>
      </c>
      <c r="H611" s="18">
        <f t="shared" si="31"/>
        <v>41995.68</v>
      </c>
      <c r="I611" s="3"/>
    </row>
    <row r="612" spans="1:9" s="4" customFormat="1" ht="18" customHeight="1" x14ac:dyDescent="0.55000000000000004">
      <c r="A612" s="18">
        <v>24.806967700000001</v>
      </c>
      <c r="B612" s="18">
        <v>34.845145100000003</v>
      </c>
      <c r="C612" s="18">
        <v>686503.94</v>
      </c>
      <c r="D612" s="18">
        <v>2744834.1</v>
      </c>
      <c r="E612" s="18">
        <v>223.12</v>
      </c>
      <c r="F612" s="18">
        <v>42079.79</v>
      </c>
      <c r="G612" s="18">
        <v>133024</v>
      </c>
      <c r="H612" s="18">
        <f t="shared" si="31"/>
        <v>42073.79</v>
      </c>
      <c r="I612" s="3"/>
    </row>
    <row r="613" spans="1:9" s="4" customFormat="1" ht="18" customHeight="1" x14ac:dyDescent="0.55000000000000004">
      <c r="A613" s="18">
        <v>24.806938800000001</v>
      </c>
      <c r="B613" s="18">
        <v>34.845141900000002</v>
      </c>
      <c r="C613" s="18">
        <v>686503.66</v>
      </c>
      <c r="D613" s="18">
        <v>2744830.89</v>
      </c>
      <c r="E613" s="18">
        <v>223.82</v>
      </c>
      <c r="F613" s="18">
        <v>42099</v>
      </c>
      <c r="G613" s="18">
        <v>133026</v>
      </c>
      <c r="H613" s="18">
        <f t="shared" si="31"/>
        <v>42093</v>
      </c>
      <c r="I613" s="3"/>
    </row>
    <row r="614" spans="1:9" s="4" customFormat="1" ht="18" customHeight="1" x14ac:dyDescent="0.55000000000000004">
      <c r="A614" s="18">
        <v>24.8068858</v>
      </c>
      <c r="B614" s="18">
        <v>34.845145600000002</v>
      </c>
      <c r="C614" s="18">
        <v>686504.11</v>
      </c>
      <c r="D614" s="18">
        <v>2744825.03</v>
      </c>
      <c r="E614" s="18">
        <v>230.63</v>
      </c>
      <c r="F614" s="18">
        <v>42113.599999999999</v>
      </c>
      <c r="G614" s="18">
        <v>133028</v>
      </c>
      <c r="H614" s="18">
        <f t="shared" si="31"/>
        <v>42107.6</v>
      </c>
      <c r="I614" s="3"/>
    </row>
    <row r="615" spans="1:9" s="4" customFormat="1" ht="18" customHeight="1" x14ac:dyDescent="0.55000000000000004">
      <c r="A615" s="18">
        <v>24.806855200000001</v>
      </c>
      <c r="B615" s="18">
        <v>34.845141900000002</v>
      </c>
      <c r="C615" s="18">
        <v>686503.78</v>
      </c>
      <c r="D615" s="18">
        <v>2744821.63</v>
      </c>
      <c r="E615" s="18">
        <v>230.96</v>
      </c>
      <c r="F615" s="18">
        <v>42125.279999999999</v>
      </c>
      <c r="G615" s="18">
        <v>133030</v>
      </c>
      <c r="H615" s="18">
        <f t="shared" si="31"/>
        <v>42119.28</v>
      </c>
      <c r="I615" s="3"/>
    </row>
    <row r="616" spans="1:9" s="4" customFormat="1" ht="18" customHeight="1" x14ac:dyDescent="0.55000000000000004">
      <c r="A616" s="18">
        <v>24.806827999999999</v>
      </c>
      <c r="B616" s="18">
        <v>34.845131500000001</v>
      </c>
      <c r="C616" s="18">
        <v>686502.78</v>
      </c>
      <c r="D616" s="18">
        <v>2744818.6</v>
      </c>
      <c r="E616" s="18">
        <v>230.72</v>
      </c>
      <c r="F616" s="18">
        <v>42132.92</v>
      </c>
      <c r="G616" s="18">
        <v>133032</v>
      </c>
      <c r="H616" s="18">
        <f t="shared" si="31"/>
        <v>42126.92</v>
      </c>
      <c r="I616" s="3"/>
    </row>
    <row r="617" spans="1:9" s="4" customFormat="1" ht="18" customHeight="1" x14ac:dyDescent="0.55000000000000004">
      <c r="A617" s="18">
        <v>24.806799699999999</v>
      </c>
      <c r="B617" s="18">
        <v>34.845116599999997</v>
      </c>
      <c r="C617" s="18">
        <v>686501.31</v>
      </c>
      <c r="D617" s="18">
        <v>2744815.45</v>
      </c>
      <c r="E617" s="18">
        <v>230.91</v>
      </c>
      <c r="F617" s="18">
        <v>42139.66</v>
      </c>
      <c r="G617" s="18">
        <v>133034</v>
      </c>
      <c r="H617" s="18">
        <f t="shared" si="31"/>
        <v>42133.66</v>
      </c>
      <c r="I617" s="3"/>
    </row>
    <row r="618" spans="1:9" s="4" customFormat="1" ht="18" customHeight="1" x14ac:dyDescent="0.55000000000000004">
      <c r="A618" s="18">
        <v>24.806771399999999</v>
      </c>
      <c r="B618" s="18">
        <v>34.845114600000002</v>
      </c>
      <c r="C618" s="18">
        <v>686501.14</v>
      </c>
      <c r="D618" s="18">
        <v>2744812.32</v>
      </c>
      <c r="E618" s="18">
        <v>230.81</v>
      </c>
      <c r="F618" s="18">
        <v>42143.53</v>
      </c>
      <c r="G618" s="18">
        <v>133036</v>
      </c>
      <c r="H618" s="18">
        <f t="shared" si="31"/>
        <v>42137.53</v>
      </c>
      <c r="I618" s="3"/>
    </row>
    <row r="619" spans="1:9" s="4" customFormat="1" ht="18" customHeight="1" x14ac:dyDescent="0.55000000000000004">
      <c r="A619" s="18">
        <v>24.806766700000001</v>
      </c>
      <c r="B619" s="18">
        <v>34.845098999999998</v>
      </c>
      <c r="C619" s="18">
        <v>686499.58</v>
      </c>
      <c r="D619" s="18">
        <v>2744811.77</v>
      </c>
      <c r="E619" s="18">
        <v>224.61</v>
      </c>
      <c r="F619" s="18">
        <v>42147.79</v>
      </c>
      <c r="G619" s="18">
        <v>133038</v>
      </c>
      <c r="H619" s="18">
        <f t="shared" si="31"/>
        <v>42141.79</v>
      </c>
      <c r="I619" s="3"/>
    </row>
    <row r="620" spans="1:9" s="4" customFormat="1" ht="18" customHeight="1" x14ac:dyDescent="0.55000000000000004">
      <c r="A620" s="18">
        <v>24.8067387</v>
      </c>
      <c r="B620" s="18">
        <v>34.845083600000002</v>
      </c>
      <c r="C620" s="18">
        <v>686498.06</v>
      </c>
      <c r="D620" s="18">
        <v>2744808.66</v>
      </c>
      <c r="E620" s="18">
        <v>224.14</v>
      </c>
      <c r="F620" s="18">
        <v>42145.23</v>
      </c>
      <c r="G620" s="18">
        <v>133040</v>
      </c>
      <c r="H620" s="18">
        <f t="shared" si="31"/>
        <v>42139.23</v>
      </c>
      <c r="I620" s="3"/>
    </row>
    <row r="621" spans="1:9" s="4" customFormat="1" ht="18" customHeight="1" x14ac:dyDescent="0.55000000000000004">
      <c r="A621" s="18">
        <v>24.8067119</v>
      </c>
      <c r="B621" s="18">
        <v>34.845066799999998</v>
      </c>
      <c r="C621" s="18">
        <v>686496.41</v>
      </c>
      <c r="D621" s="18">
        <v>2744805.66</v>
      </c>
      <c r="E621" s="18">
        <v>224.16</v>
      </c>
      <c r="F621" s="18">
        <v>42142.77</v>
      </c>
      <c r="G621" s="18">
        <v>133042</v>
      </c>
      <c r="H621" s="18">
        <f t="shared" si="31"/>
        <v>42136.77</v>
      </c>
      <c r="I621" s="3"/>
    </row>
    <row r="622" spans="1:9" s="4" customFormat="1" ht="18" customHeight="1" x14ac:dyDescent="0.55000000000000004">
      <c r="A622" s="18">
        <v>24.806684499999999</v>
      </c>
      <c r="B622" s="18">
        <v>34.845049600000003</v>
      </c>
      <c r="C622" s="18">
        <v>686494.7</v>
      </c>
      <c r="D622" s="18">
        <v>2744802.6</v>
      </c>
      <c r="E622" s="18">
        <v>224.18</v>
      </c>
      <c r="F622" s="18">
        <v>42139.91</v>
      </c>
      <c r="G622" s="18">
        <v>133044</v>
      </c>
      <c r="H622" s="18">
        <f t="shared" si="31"/>
        <v>42133.91</v>
      </c>
      <c r="I622" s="3"/>
    </row>
    <row r="623" spans="1:9" s="4" customFormat="1" ht="18" customHeight="1" x14ac:dyDescent="0.55000000000000004">
      <c r="A623" s="18">
        <v>24.806659400000001</v>
      </c>
      <c r="B623" s="18">
        <v>34.8450317</v>
      </c>
      <c r="C623" s="18">
        <v>686492.93</v>
      </c>
      <c r="D623" s="18">
        <v>2744799.8</v>
      </c>
      <c r="E623" s="18">
        <v>223.79</v>
      </c>
      <c r="F623" s="18">
        <v>42135.64</v>
      </c>
      <c r="G623" s="18">
        <v>133046</v>
      </c>
      <c r="H623" s="18">
        <f t="shared" si="31"/>
        <v>42129.64</v>
      </c>
      <c r="I623" s="3"/>
    </row>
    <row r="624" spans="1:9" s="4" customFormat="1" ht="18" customHeight="1" x14ac:dyDescent="0.55000000000000004">
      <c r="A624" s="18">
        <v>24.806633000000001</v>
      </c>
      <c r="B624" s="18">
        <v>34.845016600000001</v>
      </c>
      <c r="C624" s="18">
        <v>686491.45</v>
      </c>
      <c r="D624" s="18">
        <v>2744796.86</v>
      </c>
      <c r="E624" s="18">
        <v>223.32</v>
      </c>
      <c r="F624" s="18">
        <v>42135.08</v>
      </c>
      <c r="G624" s="18">
        <v>133048</v>
      </c>
      <c r="H624" s="18">
        <f t="shared" si="31"/>
        <v>42129.08</v>
      </c>
      <c r="I624" s="3"/>
    </row>
    <row r="625" spans="1:9" s="4" customFormat="1" ht="18" customHeight="1" x14ac:dyDescent="0.55000000000000004">
      <c r="A625" s="18">
        <v>24.806609900000002</v>
      </c>
      <c r="B625" s="18">
        <v>34.844995900000001</v>
      </c>
      <c r="C625" s="18">
        <v>686489.38</v>
      </c>
      <c r="D625" s="18">
        <v>2744794.26</v>
      </c>
      <c r="E625" s="18">
        <v>223.06</v>
      </c>
      <c r="F625" s="18">
        <v>42129.64</v>
      </c>
      <c r="G625" s="18">
        <v>133050</v>
      </c>
      <c r="H625" s="18">
        <f t="shared" si="31"/>
        <v>42123.64</v>
      </c>
      <c r="I625" s="3"/>
    </row>
    <row r="626" spans="1:9" s="4" customFormat="1" ht="18" customHeight="1" x14ac:dyDescent="0.55000000000000004">
      <c r="A626" s="18">
        <v>24.8065833</v>
      </c>
      <c r="B626" s="18">
        <v>34.844978900000001</v>
      </c>
      <c r="C626" s="18">
        <v>686487.71</v>
      </c>
      <c r="D626" s="18">
        <v>2744791.3</v>
      </c>
      <c r="E626" s="18">
        <v>222.94</v>
      </c>
      <c r="F626" s="18">
        <v>42124.61</v>
      </c>
      <c r="G626" s="18">
        <v>133052</v>
      </c>
      <c r="H626" s="18">
        <f t="shared" si="31"/>
        <v>42118.61</v>
      </c>
      <c r="I626" s="3"/>
    </row>
    <row r="627" spans="1:9" s="4" customFormat="1" ht="18" customHeight="1" x14ac:dyDescent="0.55000000000000004">
      <c r="A627" s="18">
        <v>24.8065566</v>
      </c>
      <c r="B627" s="18">
        <v>34.844961400000003</v>
      </c>
      <c r="C627" s="18">
        <v>686485.98</v>
      </c>
      <c r="D627" s="18">
        <v>2744788.32</v>
      </c>
      <c r="E627" s="18">
        <v>222.86</v>
      </c>
      <c r="F627" s="18">
        <v>42119.02</v>
      </c>
      <c r="G627" s="18">
        <v>133054</v>
      </c>
      <c r="H627" s="18">
        <f t="shared" si="31"/>
        <v>42113.02</v>
      </c>
      <c r="I627" s="3"/>
    </row>
    <row r="628" spans="1:9" s="4" customFormat="1" ht="18" customHeight="1" x14ac:dyDescent="0.55000000000000004">
      <c r="A628" s="18">
        <v>24.806529999999999</v>
      </c>
      <c r="B628" s="18">
        <v>34.844943000000001</v>
      </c>
      <c r="C628" s="18">
        <v>686484.16</v>
      </c>
      <c r="D628" s="18">
        <v>2744785.34</v>
      </c>
      <c r="E628" s="18">
        <v>222.86</v>
      </c>
      <c r="F628" s="18">
        <v>42114.13</v>
      </c>
      <c r="G628" s="18">
        <v>133056</v>
      </c>
      <c r="H628" s="18">
        <f t="shared" si="31"/>
        <v>42108.13</v>
      </c>
      <c r="I628" s="3"/>
    </row>
    <row r="629" spans="1:9" s="4" customFormat="1" ht="18" customHeight="1" x14ac:dyDescent="0.55000000000000004">
      <c r="A629" s="18">
        <v>24.8065037</v>
      </c>
      <c r="B629" s="18">
        <v>34.8449247</v>
      </c>
      <c r="C629" s="18">
        <v>686482.35</v>
      </c>
      <c r="D629" s="18">
        <v>2744782.41</v>
      </c>
      <c r="E629" s="18">
        <v>222.8</v>
      </c>
      <c r="F629" s="18">
        <v>42110.58</v>
      </c>
      <c r="G629" s="18">
        <v>133058</v>
      </c>
      <c r="H629" s="18">
        <f t="shared" si="31"/>
        <v>42104.58</v>
      </c>
      <c r="I629" s="3"/>
    </row>
    <row r="630" spans="1:9" s="4" customFormat="1" ht="18" customHeight="1" x14ac:dyDescent="0.55000000000000004">
      <c r="A630" s="18">
        <v>24.806479299999999</v>
      </c>
      <c r="B630" s="18">
        <v>34.844904100000001</v>
      </c>
      <c r="C630" s="18">
        <v>686480.3</v>
      </c>
      <c r="D630" s="18">
        <v>2744779.68</v>
      </c>
      <c r="E630" s="18">
        <v>222.77</v>
      </c>
      <c r="F630" s="18">
        <v>42105.3</v>
      </c>
      <c r="G630" s="18">
        <v>133100</v>
      </c>
      <c r="H630" s="18">
        <f>SUM(F630-8)</f>
        <v>42097.3</v>
      </c>
      <c r="I630" s="3"/>
    </row>
    <row r="631" spans="1:9" s="4" customFormat="1" ht="18" customHeight="1" x14ac:dyDescent="0.55000000000000004">
      <c r="A631" s="18">
        <v>24.806454899999999</v>
      </c>
      <c r="B631" s="18">
        <v>34.844882699999999</v>
      </c>
      <c r="C631" s="18">
        <v>686478.18</v>
      </c>
      <c r="D631" s="18">
        <v>2744776.95</v>
      </c>
      <c r="E631" s="18">
        <v>222.69</v>
      </c>
      <c r="F631" s="18">
        <v>42100.62</v>
      </c>
      <c r="G631" s="18">
        <v>133102</v>
      </c>
      <c r="H631" s="18">
        <f t="shared" ref="H631:H694" si="32">SUM(F631-8)</f>
        <v>42092.62</v>
      </c>
      <c r="I631" s="3"/>
    </row>
    <row r="632" spans="1:9" s="4" customFormat="1" ht="18" customHeight="1" x14ac:dyDescent="0.55000000000000004">
      <c r="A632" s="18">
        <v>24.806425000000001</v>
      </c>
      <c r="B632" s="18">
        <v>34.844875500000001</v>
      </c>
      <c r="C632" s="18">
        <v>686477.5</v>
      </c>
      <c r="D632" s="18">
        <v>2744773.63</v>
      </c>
      <c r="E632" s="18">
        <v>222.65</v>
      </c>
      <c r="F632" s="18">
        <v>42096.94</v>
      </c>
      <c r="G632" s="18">
        <v>133104</v>
      </c>
      <c r="H632" s="18">
        <f t="shared" si="32"/>
        <v>42088.94</v>
      </c>
      <c r="I632" s="3"/>
    </row>
    <row r="633" spans="1:9" s="4" customFormat="1" ht="18" customHeight="1" x14ac:dyDescent="0.55000000000000004">
      <c r="A633" s="18">
        <v>24.8063973</v>
      </c>
      <c r="B633" s="18">
        <v>34.8448609</v>
      </c>
      <c r="C633" s="18">
        <v>686476.05</v>
      </c>
      <c r="D633" s="18">
        <v>2744770.54</v>
      </c>
      <c r="E633" s="18">
        <v>222.69</v>
      </c>
      <c r="F633" s="18">
        <v>42095.32</v>
      </c>
      <c r="G633" s="18">
        <v>133106</v>
      </c>
      <c r="H633" s="18">
        <f t="shared" si="32"/>
        <v>42087.32</v>
      </c>
      <c r="I633" s="3"/>
    </row>
    <row r="634" spans="1:9" s="4" customFormat="1" ht="18" customHeight="1" x14ac:dyDescent="0.55000000000000004">
      <c r="A634" s="18">
        <v>24.806370600000001</v>
      </c>
      <c r="B634" s="18">
        <v>34.844844000000002</v>
      </c>
      <c r="C634" s="18">
        <v>686474.39</v>
      </c>
      <c r="D634" s="18">
        <v>2744767.55</v>
      </c>
      <c r="E634" s="18">
        <v>222.85</v>
      </c>
      <c r="F634" s="18">
        <v>42092.67</v>
      </c>
      <c r="G634" s="18">
        <v>133108</v>
      </c>
      <c r="H634" s="18">
        <f t="shared" si="32"/>
        <v>42084.67</v>
      </c>
      <c r="I634" s="3"/>
    </row>
    <row r="635" spans="1:9" s="4" customFormat="1" ht="18" customHeight="1" x14ac:dyDescent="0.55000000000000004">
      <c r="A635" s="18">
        <v>24.806343699999999</v>
      </c>
      <c r="B635" s="18">
        <v>34.844826500000003</v>
      </c>
      <c r="C635" s="18">
        <v>686472.66</v>
      </c>
      <c r="D635" s="18">
        <v>2744764.55</v>
      </c>
      <c r="E635" s="18">
        <v>222.95</v>
      </c>
      <c r="F635" s="18">
        <v>42087.55</v>
      </c>
      <c r="G635" s="18">
        <v>133110</v>
      </c>
      <c r="H635" s="18">
        <f t="shared" si="32"/>
        <v>42079.55</v>
      </c>
      <c r="I635" s="3"/>
    </row>
    <row r="636" spans="1:9" s="4" customFormat="1" ht="18" customHeight="1" x14ac:dyDescent="0.55000000000000004">
      <c r="A636" s="18">
        <v>24.806316500000001</v>
      </c>
      <c r="B636" s="18">
        <v>34.844808399999998</v>
      </c>
      <c r="C636" s="18">
        <v>686470.87</v>
      </c>
      <c r="D636" s="18">
        <v>2744761.51</v>
      </c>
      <c r="E636" s="18">
        <v>223.01</v>
      </c>
      <c r="F636" s="18">
        <v>42086.49</v>
      </c>
      <c r="G636" s="18">
        <v>133112</v>
      </c>
      <c r="H636" s="18">
        <f t="shared" si="32"/>
        <v>42078.49</v>
      </c>
      <c r="I636" s="3"/>
    </row>
    <row r="637" spans="1:9" s="4" customFormat="1" ht="18" customHeight="1" x14ac:dyDescent="0.55000000000000004">
      <c r="A637" s="18">
        <v>24.806287999999999</v>
      </c>
      <c r="B637" s="18">
        <v>34.844791499999999</v>
      </c>
      <c r="C637" s="18">
        <v>686469.21</v>
      </c>
      <c r="D637" s="18">
        <v>2744758.34</v>
      </c>
      <c r="E637" s="18">
        <v>222.98</v>
      </c>
      <c r="F637" s="18">
        <v>42091.22</v>
      </c>
      <c r="G637" s="18">
        <v>133114</v>
      </c>
      <c r="H637" s="18">
        <f t="shared" si="32"/>
        <v>42083.22</v>
      </c>
      <c r="I637" s="3"/>
    </row>
    <row r="638" spans="1:9" s="4" customFormat="1" ht="18" customHeight="1" x14ac:dyDescent="0.55000000000000004">
      <c r="A638" s="18">
        <v>24.806259799999999</v>
      </c>
      <c r="B638" s="18">
        <v>34.844774000000001</v>
      </c>
      <c r="C638" s="18">
        <v>686467.48</v>
      </c>
      <c r="D638" s="18">
        <v>2744755.18</v>
      </c>
      <c r="E638" s="18">
        <v>222.98</v>
      </c>
      <c r="F638" s="18">
        <v>42083.62</v>
      </c>
      <c r="G638" s="18">
        <v>133116</v>
      </c>
      <c r="H638" s="18">
        <f t="shared" si="32"/>
        <v>42075.62</v>
      </c>
      <c r="I638" s="3"/>
    </row>
    <row r="639" spans="1:9" s="4" customFormat="1" ht="18" customHeight="1" x14ac:dyDescent="0.55000000000000004">
      <c r="A639" s="18">
        <v>24.806234799999999</v>
      </c>
      <c r="B639" s="18">
        <v>34.844757100000002</v>
      </c>
      <c r="C639" s="18">
        <v>686465.81</v>
      </c>
      <c r="D639" s="18">
        <v>2744752.4</v>
      </c>
      <c r="E639" s="18">
        <v>223.13</v>
      </c>
      <c r="F639" s="18">
        <v>42083.14</v>
      </c>
      <c r="G639" s="18">
        <v>133118</v>
      </c>
      <c r="H639" s="18">
        <f t="shared" si="32"/>
        <v>42075.14</v>
      </c>
      <c r="I639" s="3"/>
    </row>
    <row r="640" spans="1:9" s="4" customFormat="1" ht="18" customHeight="1" x14ac:dyDescent="0.55000000000000004">
      <c r="A640" s="18">
        <v>24.806211699999999</v>
      </c>
      <c r="B640" s="18">
        <v>34.844743100000002</v>
      </c>
      <c r="C640" s="18">
        <v>686464.43</v>
      </c>
      <c r="D640" s="18">
        <v>2744749.82</v>
      </c>
      <c r="E640" s="18">
        <v>223.24</v>
      </c>
      <c r="F640" s="18">
        <v>42080.67</v>
      </c>
      <c r="G640" s="18">
        <v>133120</v>
      </c>
      <c r="H640" s="18">
        <f t="shared" si="32"/>
        <v>42072.67</v>
      </c>
      <c r="I640" s="3"/>
    </row>
    <row r="641" spans="1:9" s="4" customFormat="1" ht="18" customHeight="1" x14ac:dyDescent="0.55000000000000004">
      <c r="A641" s="18">
        <v>24.806185899999999</v>
      </c>
      <c r="B641" s="18">
        <v>34.844729100000002</v>
      </c>
      <c r="C641" s="18">
        <v>686463.04</v>
      </c>
      <c r="D641" s="18">
        <v>2744746.94</v>
      </c>
      <c r="E641" s="18">
        <v>223.32</v>
      </c>
      <c r="F641" s="18">
        <v>42081.8</v>
      </c>
      <c r="G641" s="18">
        <v>133122</v>
      </c>
      <c r="H641" s="18">
        <f t="shared" si="32"/>
        <v>42073.8</v>
      </c>
      <c r="I641" s="3"/>
    </row>
    <row r="642" spans="1:9" s="4" customFormat="1" ht="18" customHeight="1" x14ac:dyDescent="0.55000000000000004">
      <c r="A642" s="18">
        <v>24.806158799999999</v>
      </c>
      <c r="B642" s="18">
        <v>34.844714199999999</v>
      </c>
      <c r="C642" s="18">
        <v>686461.58</v>
      </c>
      <c r="D642" s="18">
        <v>2744743.91</v>
      </c>
      <c r="E642" s="18">
        <v>223.56</v>
      </c>
      <c r="F642" s="18">
        <v>42078.55</v>
      </c>
      <c r="G642" s="18">
        <v>133124</v>
      </c>
      <c r="H642" s="18">
        <f t="shared" si="32"/>
        <v>42070.55</v>
      </c>
      <c r="I642" s="3"/>
    </row>
    <row r="643" spans="1:9" s="4" customFormat="1" ht="18" customHeight="1" x14ac:dyDescent="0.55000000000000004">
      <c r="A643" s="18">
        <v>24.806131799999999</v>
      </c>
      <c r="B643" s="18">
        <v>34.844699599999998</v>
      </c>
      <c r="C643" s="18">
        <v>686460.15</v>
      </c>
      <c r="D643" s="18">
        <v>2744740.91</v>
      </c>
      <c r="E643" s="18">
        <v>223.71</v>
      </c>
      <c r="F643" s="18">
        <v>42076.91</v>
      </c>
      <c r="G643" s="18">
        <v>133126</v>
      </c>
      <c r="H643" s="18">
        <f t="shared" si="32"/>
        <v>42068.91</v>
      </c>
      <c r="I643" s="3"/>
    </row>
    <row r="644" spans="1:9" s="4" customFormat="1" ht="18" customHeight="1" x14ac:dyDescent="0.55000000000000004">
      <c r="A644" s="18">
        <v>24.8061066</v>
      </c>
      <c r="B644" s="18">
        <v>34.8446809</v>
      </c>
      <c r="C644" s="18">
        <v>686458.3</v>
      </c>
      <c r="D644" s="18">
        <v>2744738.09</v>
      </c>
      <c r="E644" s="18">
        <v>223.83</v>
      </c>
      <c r="F644" s="18">
        <v>42072.86</v>
      </c>
      <c r="G644" s="18">
        <v>133128</v>
      </c>
      <c r="H644" s="18">
        <f t="shared" si="32"/>
        <v>42064.86</v>
      </c>
      <c r="I644" s="3"/>
    </row>
    <row r="645" spans="1:9" s="4" customFormat="1" ht="18" customHeight="1" x14ac:dyDescent="0.55000000000000004">
      <c r="A645" s="18">
        <v>24.806082799999999</v>
      </c>
      <c r="B645" s="18">
        <v>34.844660300000001</v>
      </c>
      <c r="C645" s="18">
        <v>686456.25</v>
      </c>
      <c r="D645" s="18">
        <v>2744735.43</v>
      </c>
      <c r="E645" s="18">
        <v>223.93</v>
      </c>
      <c r="F645" s="18">
        <v>42070.17</v>
      </c>
      <c r="G645" s="18">
        <v>133130</v>
      </c>
      <c r="H645" s="18">
        <f t="shared" si="32"/>
        <v>42062.17</v>
      </c>
      <c r="I645" s="3"/>
    </row>
    <row r="646" spans="1:9" s="4" customFormat="1" ht="18" customHeight="1" x14ac:dyDescent="0.55000000000000004">
      <c r="A646" s="18">
        <v>24.806059300000001</v>
      </c>
      <c r="B646" s="18">
        <v>34.844639299999997</v>
      </c>
      <c r="C646" s="18">
        <v>686454.16</v>
      </c>
      <c r="D646" s="18">
        <v>2744732.79</v>
      </c>
      <c r="E646" s="18">
        <v>223.94</v>
      </c>
      <c r="F646" s="18">
        <v>42069.760000000002</v>
      </c>
      <c r="G646" s="18">
        <v>133132</v>
      </c>
      <c r="H646" s="18">
        <f t="shared" si="32"/>
        <v>42061.760000000002</v>
      </c>
      <c r="I646" s="3"/>
    </row>
    <row r="647" spans="1:9" s="4" customFormat="1" ht="18" customHeight="1" x14ac:dyDescent="0.55000000000000004">
      <c r="A647" s="18">
        <v>24.806033599999999</v>
      </c>
      <c r="B647" s="18">
        <v>34.844622999999999</v>
      </c>
      <c r="C647" s="18">
        <v>686452.55</v>
      </c>
      <c r="D647" s="18">
        <v>2744729.93</v>
      </c>
      <c r="E647" s="18">
        <v>223.97</v>
      </c>
      <c r="F647" s="18">
        <v>42067.86</v>
      </c>
      <c r="G647" s="18">
        <v>133134</v>
      </c>
      <c r="H647" s="18">
        <f t="shared" si="32"/>
        <v>42059.86</v>
      </c>
      <c r="I647" s="3"/>
    </row>
    <row r="648" spans="1:9" s="4" customFormat="1" ht="18" customHeight="1" x14ac:dyDescent="0.55000000000000004">
      <c r="A648" s="18">
        <v>24.806008800000001</v>
      </c>
      <c r="B648" s="18">
        <v>34.844604099999998</v>
      </c>
      <c r="C648" s="18">
        <v>686450.68</v>
      </c>
      <c r="D648" s="18">
        <v>2744727.16</v>
      </c>
      <c r="E648" s="18">
        <v>223.97</v>
      </c>
      <c r="F648" s="18">
        <v>42066.92</v>
      </c>
      <c r="G648" s="18">
        <v>133136</v>
      </c>
      <c r="H648" s="18">
        <f t="shared" si="32"/>
        <v>42058.92</v>
      </c>
      <c r="I648" s="3"/>
    </row>
    <row r="649" spans="1:9" s="4" customFormat="1" ht="18" customHeight="1" x14ac:dyDescent="0.55000000000000004">
      <c r="A649" s="18">
        <v>24.805983300000001</v>
      </c>
      <c r="B649" s="18">
        <v>34.844586399999997</v>
      </c>
      <c r="C649" s="18">
        <v>686448.93</v>
      </c>
      <c r="D649" s="18">
        <v>2744724.3</v>
      </c>
      <c r="E649" s="18">
        <v>223.94</v>
      </c>
      <c r="F649" s="18">
        <v>42067.199999999997</v>
      </c>
      <c r="G649" s="18">
        <v>133138</v>
      </c>
      <c r="H649" s="18">
        <f t="shared" si="32"/>
        <v>42059.199999999997</v>
      </c>
      <c r="I649" s="3"/>
    </row>
    <row r="650" spans="1:9" s="4" customFormat="1" ht="18" customHeight="1" x14ac:dyDescent="0.55000000000000004">
      <c r="A650" s="18">
        <v>24.805955900000001</v>
      </c>
      <c r="B650" s="18">
        <v>34.844575599999999</v>
      </c>
      <c r="C650" s="18">
        <v>686447.88</v>
      </c>
      <c r="D650" s="18">
        <v>2744721.26</v>
      </c>
      <c r="E650" s="18">
        <v>223.95</v>
      </c>
      <c r="F650" s="18">
        <v>42070.42</v>
      </c>
      <c r="G650" s="18">
        <v>133140</v>
      </c>
      <c r="H650" s="18">
        <f t="shared" si="32"/>
        <v>42062.42</v>
      </c>
      <c r="I650" s="3"/>
    </row>
    <row r="651" spans="1:9" s="4" customFormat="1" ht="18" customHeight="1" x14ac:dyDescent="0.55000000000000004">
      <c r="A651" s="18">
        <v>24.805930100000001</v>
      </c>
      <c r="B651" s="18">
        <v>34.844559599999997</v>
      </c>
      <c r="C651" s="18">
        <v>686446.29</v>
      </c>
      <c r="D651" s="18">
        <v>2744718.37</v>
      </c>
      <c r="E651" s="18">
        <v>223.94</v>
      </c>
      <c r="F651" s="18">
        <v>42068.94</v>
      </c>
      <c r="G651" s="18">
        <v>133142</v>
      </c>
      <c r="H651" s="18">
        <f t="shared" si="32"/>
        <v>42060.94</v>
      </c>
      <c r="I651" s="3"/>
    </row>
    <row r="652" spans="1:9" s="4" customFormat="1" ht="18" customHeight="1" x14ac:dyDescent="0.55000000000000004">
      <c r="A652" s="18">
        <v>24.805910099999998</v>
      </c>
      <c r="B652" s="18">
        <v>34.844535499999999</v>
      </c>
      <c r="C652" s="18">
        <v>686443.89</v>
      </c>
      <c r="D652" s="18">
        <v>2744716.12</v>
      </c>
      <c r="E652" s="18">
        <v>223.92</v>
      </c>
      <c r="F652" s="18">
        <v>42062.42</v>
      </c>
      <c r="G652" s="18">
        <v>133144</v>
      </c>
      <c r="H652" s="18">
        <f t="shared" si="32"/>
        <v>42054.42</v>
      </c>
      <c r="I652" s="3"/>
    </row>
    <row r="653" spans="1:9" s="4" customFormat="1" ht="18" customHeight="1" x14ac:dyDescent="0.55000000000000004">
      <c r="A653" s="18">
        <v>24.805886900000001</v>
      </c>
      <c r="B653" s="18">
        <v>34.844518299999997</v>
      </c>
      <c r="C653" s="18">
        <v>686442.18</v>
      </c>
      <c r="D653" s="18">
        <v>2744713.54</v>
      </c>
      <c r="E653" s="18">
        <v>223.97</v>
      </c>
      <c r="F653" s="18">
        <v>42063.07</v>
      </c>
      <c r="G653" s="18">
        <v>133146</v>
      </c>
      <c r="H653" s="18">
        <f t="shared" si="32"/>
        <v>42055.07</v>
      </c>
      <c r="I653" s="3"/>
    </row>
    <row r="654" spans="1:9" s="4" customFormat="1" ht="18" customHeight="1" x14ac:dyDescent="0.55000000000000004">
      <c r="A654" s="18">
        <v>24.8058619</v>
      </c>
      <c r="B654" s="18">
        <v>34.844499499999998</v>
      </c>
      <c r="C654" s="18">
        <v>686440.32</v>
      </c>
      <c r="D654" s="18">
        <v>2744710.74</v>
      </c>
      <c r="E654" s="18">
        <v>224.02</v>
      </c>
      <c r="F654" s="18">
        <v>42067.27</v>
      </c>
      <c r="G654" s="18">
        <v>133148</v>
      </c>
      <c r="H654" s="18">
        <f t="shared" si="32"/>
        <v>42059.27</v>
      </c>
      <c r="I654" s="3"/>
    </row>
    <row r="655" spans="1:9" s="4" customFormat="1" ht="18" customHeight="1" x14ac:dyDescent="0.55000000000000004">
      <c r="A655" s="18">
        <v>24.805836599999999</v>
      </c>
      <c r="B655" s="18">
        <v>34.844479700000001</v>
      </c>
      <c r="C655" s="18">
        <v>686438.36</v>
      </c>
      <c r="D655" s="18">
        <v>2744707.91</v>
      </c>
      <c r="E655" s="18">
        <v>224.03</v>
      </c>
      <c r="F655" s="18">
        <v>42064.18</v>
      </c>
      <c r="G655" s="18">
        <v>133150</v>
      </c>
      <c r="H655" s="18">
        <f t="shared" si="32"/>
        <v>42056.18</v>
      </c>
      <c r="I655" s="3"/>
    </row>
    <row r="656" spans="1:9" s="4" customFormat="1" ht="18" customHeight="1" x14ac:dyDescent="0.55000000000000004">
      <c r="A656" s="18">
        <v>24.805811200000001</v>
      </c>
      <c r="B656" s="18">
        <v>34.844459499999999</v>
      </c>
      <c r="C656" s="18">
        <v>686436.35</v>
      </c>
      <c r="D656" s="18">
        <v>2744705.07</v>
      </c>
      <c r="E656" s="18">
        <v>224.12</v>
      </c>
      <c r="F656" s="18">
        <v>42059.72</v>
      </c>
      <c r="G656" s="18">
        <v>133152</v>
      </c>
      <c r="H656" s="18">
        <f t="shared" si="32"/>
        <v>42051.72</v>
      </c>
      <c r="I656" s="3"/>
    </row>
    <row r="657" spans="1:9" s="4" customFormat="1" ht="18" customHeight="1" x14ac:dyDescent="0.55000000000000004">
      <c r="A657" s="18">
        <v>24.8057865</v>
      </c>
      <c r="B657" s="18">
        <v>34.844442000000001</v>
      </c>
      <c r="C657" s="18">
        <v>686434.62</v>
      </c>
      <c r="D657" s="18">
        <v>2744702.31</v>
      </c>
      <c r="E657" s="18">
        <v>224.17</v>
      </c>
      <c r="F657" s="18">
        <v>42063.46</v>
      </c>
      <c r="G657" s="18">
        <v>133154</v>
      </c>
      <c r="H657" s="18">
        <f t="shared" si="32"/>
        <v>42055.46</v>
      </c>
      <c r="I657" s="3"/>
    </row>
    <row r="658" spans="1:9" s="4" customFormat="1" ht="18" customHeight="1" x14ac:dyDescent="0.55000000000000004">
      <c r="A658" s="18">
        <v>24.8057622</v>
      </c>
      <c r="B658" s="18">
        <v>34.844422199999997</v>
      </c>
      <c r="C658" s="18">
        <v>686432.66</v>
      </c>
      <c r="D658" s="18">
        <v>2744699.59</v>
      </c>
      <c r="E658" s="18">
        <v>224.17</v>
      </c>
      <c r="F658" s="18">
        <v>42062.3</v>
      </c>
      <c r="G658" s="18">
        <v>133156</v>
      </c>
      <c r="H658" s="18">
        <f t="shared" si="32"/>
        <v>42054.3</v>
      </c>
      <c r="I658" s="3"/>
    </row>
    <row r="659" spans="1:9" s="4" customFormat="1" ht="18" customHeight="1" x14ac:dyDescent="0.55000000000000004">
      <c r="A659" s="18">
        <v>24.805737700000002</v>
      </c>
      <c r="B659" s="18">
        <v>34.844402199999998</v>
      </c>
      <c r="C659" s="18">
        <v>686430.67</v>
      </c>
      <c r="D659" s="18">
        <v>2744696.84</v>
      </c>
      <c r="E659" s="18">
        <v>224.22</v>
      </c>
      <c r="F659" s="18">
        <v>42057.86</v>
      </c>
      <c r="G659" s="18">
        <v>133158</v>
      </c>
      <c r="H659" s="18">
        <f t="shared" si="32"/>
        <v>42049.86</v>
      </c>
      <c r="I659" s="3"/>
    </row>
    <row r="660" spans="1:9" s="4" customFormat="1" ht="18" customHeight="1" x14ac:dyDescent="0.55000000000000004">
      <c r="A660" s="18">
        <v>24.805711800000001</v>
      </c>
      <c r="B660" s="18">
        <v>34.844382400000001</v>
      </c>
      <c r="C660" s="18">
        <v>686428.7</v>
      </c>
      <c r="D660" s="18">
        <v>2744693.95</v>
      </c>
      <c r="E660" s="18">
        <v>224.21</v>
      </c>
      <c r="F660" s="18">
        <v>42063.22</v>
      </c>
      <c r="G660" s="18">
        <v>133200</v>
      </c>
      <c r="H660" s="18">
        <f t="shared" si="32"/>
        <v>42055.22</v>
      </c>
      <c r="I660" s="3"/>
    </row>
    <row r="661" spans="1:9" s="4" customFormat="1" ht="18" customHeight="1" x14ac:dyDescent="0.55000000000000004">
      <c r="A661" s="18">
        <v>24.805684800000002</v>
      </c>
      <c r="B661" s="18">
        <v>34.844362699999998</v>
      </c>
      <c r="C661" s="18">
        <v>686426.76</v>
      </c>
      <c r="D661" s="18">
        <v>2744690.93</v>
      </c>
      <c r="E661" s="18">
        <v>224.26</v>
      </c>
      <c r="F661" s="18">
        <v>42062.37</v>
      </c>
      <c r="G661" s="18">
        <v>133202</v>
      </c>
      <c r="H661" s="18">
        <f t="shared" si="32"/>
        <v>42054.37</v>
      </c>
      <c r="I661" s="3"/>
    </row>
    <row r="662" spans="1:9" s="4" customFormat="1" ht="18" customHeight="1" x14ac:dyDescent="0.55000000000000004">
      <c r="A662" s="18">
        <v>24.805658099999999</v>
      </c>
      <c r="B662" s="18">
        <v>34.8443428</v>
      </c>
      <c r="C662" s="18">
        <v>686424.78</v>
      </c>
      <c r="D662" s="18">
        <v>2744687.95</v>
      </c>
      <c r="E662" s="18">
        <v>224.33</v>
      </c>
      <c r="F662" s="18">
        <v>42062.2</v>
      </c>
      <c r="G662" s="18">
        <v>133204</v>
      </c>
      <c r="H662" s="18">
        <f t="shared" si="32"/>
        <v>42054.2</v>
      </c>
      <c r="I662" s="3"/>
    </row>
    <row r="663" spans="1:9" s="4" customFormat="1" ht="18" customHeight="1" x14ac:dyDescent="0.55000000000000004">
      <c r="A663" s="18">
        <v>24.805631099999999</v>
      </c>
      <c r="B663" s="18">
        <v>34.844324399999998</v>
      </c>
      <c r="C663" s="18">
        <v>686422.96</v>
      </c>
      <c r="D663" s="18">
        <v>2744684.94</v>
      </c>
      <c r="E663" s="18">
        <v>224.42</v>
      </c>
      <c r="F663" s="18">
        <v>42060.71</v>
      </c>
      <c r="G663" s="18">
        <v>133206</v>
      </c>
      <c r="H663" s="18">
        <f t="shared" si="32"/>
        <v>42052.71</v>
      </c>
      <c r="I663" s="3"/>
    </row>
    <row r="664" spans="1:9" s="4" customFormat="1" ht="18" customHeight="1" x14ac:dyDescent="0.55000000000000004">
      <c r="A664" s="18">
        <v>24.805603999999999</v>
      </c>
      <c r="B664" s="18">
        <v>34.8443063</v>
      </c>
      <c r="C664" s="18">
        <v>686421.18</v>
      </c>
      <c r="D664" s="18">
        <v>2744681.9</v>
      </c>
      <c r="E664" s="18">
        <v>224.46</v>
      </c>
      <c r="F664" s="18">
        <v>42060.56</v>
      </c>
      <c r="G664" s="18">
        <v>133208</v>
      </c>
      <c r="H664" s="18">
        <f t="shared" si="32"/>
        <v>42052.56</v>
      </c>
      <c r="I664" s="3"/>
    </row>
    <row r="665" spans="1:9" s="4" customFormat="1" ht="18" customHeight="1" x14ac:dyDescent="0.55000000000000004">
      <c r="A665" s="18">
        <v>24.805578100000002</v>
      </c>
      <c r="B665" s="18">
        <v>34.844289199999999</v>
      </c>
      <c r="C665" s="18">
        <v>686419.49</v>
      </c>
      <c r="D665" s="18">
        <v>2744679.02</v>
      </c>
      <c r="E665" s="18">
        <v>224.49</v>
      </c>
      <c r="F665" s="18">
        <v>42064.13</v>
      </c>
      <c r="G665" s="18">
        <v>133210</v>
      </c>
      <c r="H665" s="18">
        <f t="shared" si="32"/>
        <v>42056.13</v>
      </c>
      <c r="I665" s="3"/>
    </row>
    <row r="666" spans="1:9" s="4" customFormat="1" ht="18" customHeight="1" x14ac:dyDescent="0.55000000000000004">
      <c r="A666" s="18">
        <v>24.805551399999999</v>
      </c>
      <c r="B666" s="18">
        <v>34.844273000000001</v>
      </c>
      <c r="C666" s="18">
        <v>686417.89</v>
      </c>
      <c r="D666" s="18">
        <v>2744676.04</v>
      </c>
      <c r="E666" s="18">
        <v>224.48</v>
      </c>
      <c r="F666" s="18">
        <v>42060</v>
      </c>
      <c r="G666" s="18">
        <v>133212</v>
      </c>
      <c r="H666" s="18">
        <f t="shared" si="32"/>
        <v>42052</v>
      </c>
      <c r="I666" s="3"/>
    </row>
    <row r="667" spans="1:9" s="4" customFormat="1" ht="18" customHeight="1" x14ac:dyDescent="0.55000000000000004">
      <c r="A667" s="18">
        <v>24.805526100000002</v>
      </c>
      <c r="B667" s="18">
        <v>34.844252599999997</v>
      </c>
      <c r="C667" s="18">
        <v>686415.86</v>
      </c>
      <c r="D667" s="18">
        <v>2744673.2</v>
      </c>
      <c r="E667" s="18">
        <v>224.46</v>
      </c>
      <c r="F667" s="18">
        <v>42059.86</v>
      </c>
      <c r="G667" s="18">
        <v>133214</v>
      </c>
      <c r="H667" s="18">
        <f t="shared" si="32"/>
        <v>42051.86</v>
      </c>
      <c r="I667" s="3"/>
    </row>
    <row r="668" spans="1:9" s="4" customFormat="1" ht="18" customHeight="1" x14ac:dyDescent="0.55000000000000004">
      <c r="A668" s="18">
        <v>24.805500200000001</v>
      </c>
      <c r="B668" s="18">
        <v>34.844231399999998</v>
      </c>
      <c r="C668" s="18">
        <v>686413.76</v>
      </c>
      <c r="D668" s="18">
        <v>2744670.31</v>
      </c>
      <c r="E668" s="18">
        <v>224.46</v>
      </c>
      <c r="F668" s="18">
        <v>42052.52</v>
      </c>
      <c r="G668" s="18">
        <v>133216</v>
      </c>
      <c r="H668" s="18">
        <f t="shared" si="32"/>
        <v>42044.52</v>
      </c>
      <c r="I668" s="3"/>
    </row>
    <row r="669" spans="1:9" s="4" customFormat="1" ht="18" customHeight="1" x14ac:dyDescent="0.55000000000000004">
      <c r="A669" s="18">
        <v>24.805477400000001</v>
      </c>
      <c r="B669" s="18">
        <v>34.8442078</v>
      </c>
      <c r="C669" s="18">
        <v>686411.41</v>
      </c>
      <c r="D669" s="18">
        <v>2744667.75</v>
      </c>
      <c r="E669" s="18">
        <v>224.52</v>
      </c>
      <c r="F669" s="18">
        <v>42057.39</v>
      </c>
      <c r="G669" s="18">
        <v>133218</v>
      </c>
      <c r="H669" s="18">
        <f t="shared" si="32"/>
        <v>42049.39</v>
      </c>
      <c r="I669" s="3"/>
    </row>
    <row r="670" spans="1:9" s="4" customFormat="1" ht="18" customHeight="1" x14ac:dyDescent="0.55000000000000004">
      <c r="A670" s="18">
        <v>24.805452200000001</v>
      </c>
      <c r="B670" s="18">
        <v>34.844186999999998</v>
      </c>
      <c r="C670" s="18">
        <v>686409.34</v>
      </c>
      <c r="D670" s="18">
        <v>2744664.93</v>
      </c>
      <c r="E670" s="18">
        <v>224.57</v>
      </c>
      <c r="F670" s="18">
        <v>42056.08</v>
      </c>
      <c r="G670" s="18">
        <v>133220</v>
      </c>
      <c r="H670" s="18">
        <f t="shared" si="32"/>
        <v>42048.08</v>
      </c>
      <c r="I670" s="3"/>
    </row>
    <row r="671" spans="1:9" s="4" customFormat="1" ht="18" customHeight="1" x14ac:dyDescent="0.55000000000000004">
      <c r="A671" s="18">
        <v>24.805425400000001</v>
      </c>
      <c r="B671" s="18">
        <v>34.844168799999998</v>
      </c>
      <c r="C671" s="18">
        <v>686407.54</v>
      </c>
      <c r="D671" s="18">
        <v>2744661.93</v>
      </c>
      <c r="E671" s="18">
        <v>224.63</v>
      </c>
      <c r="F671" s="18">
        <v>42054.99</v>
      </c>
      <c r="G671" s="18">
        <v>133222</v>
      </c>
      <c r="H671" s="18">
        <f t="shared" si="32"/>
        <v>42046.99</v>
      </c>
      <c r="I671" s="3"/>
    </row>
    <row r="672" spans="1:9" s="4" customFormat="1" ht="18" customHeight="1" x14ac:dyDescent="0.55000000000000004">
      <c r="A672" s="18">
        <v>24.805399600000001</v>
      </c>
      <c r="B672" s="18">
        <v>34.844149299999998</v>
      </c>
      <c r="C672" s="18">
        <v>686405.61</v>
      </c>
      <c r="D672" s="18">
        <v>2744659.06</v>
      </c>
      <c r="E672" s="18">
        <v>224.64</v>
      </c>
      <c r="F672" s="18">
        <v>42059.79</v>
      </c>
      <c r="G672" s="18">
        <v>133224</v>
      </c>
      <c r="H672" s="18">
        <f t="shared" si="32"/>
        <v>42051.79</v>
      </c>
      <c r="I672" s="3"/>
    </row>
    <row r="673" spans="1:9" s="4" customFormat="1" ht="18" customHeight="1" x14ac:dyDescent="0.55000000000000004">
      <c r="A673" s="18">
        <v>24.8053743</v>
      </c>
      <c r="B673" s="18">
        <v>34.844128499999997</v>
      </c>
      <c r="C673" s="18">
        <v>686403.54</v>
      </c>
      <c r="D673" s="18">
        <v>2744656.23</v>
      </c>
      <c r="E673" s="18">
        <v>224.6</v>
      </c>
      <c r="F673" s="18">
        <v>42054.67</v>
      </c>
      <c r="G673" s="18">
        <v>133226</v>
      </c>
      <c r="H673" s="18">
        <f t="shared" si="32"/>
        <v>42046.67</v>
      </c>
      <c r="I673" s="3"/>
    </row>
    <row r="674" spans="1:9" s="4" customFormat="1" ht="18" customHeight="1" x14ac:dyDescent="0.55000000000000004">
      <c r="A674" s="18">
        <v>24.8053475</v>
      </c>
      <c r="B674" s="18">
        <v>34.844106500000002</v>
      </c>
      <c r="C674" s="18">
        <v>686401.36</v>
      </c>
      <c r="D674" s="18">
        <v>2744653.22</v>
      </c>
      <c r="E674" s="18">
        <v>224.54</v>
      </c>
      <c r="F674" s="18">
        <v>42054.07</v>
      </c>
      <c r="G674" s="18">
        <v>133228</v>
      </c>
      <c r="H674" s="18">
        <f t="shared" si="32"/>
        <v>42046.07</v>
      </c>
      <c r="I674" s="3"/>
    </row>
    <row r="675" spans="1:9" s="4" customFormat="1" ht="18" customHeight="1" x14ac:dyDescent="0.55000000000000004">
      <c r="A675" s="18">
        <v>24.805322499999999</v>
      </c>
      <c r="B675" s="18">
        <v>34.844085700000001</v>
      </c>
      <c r="C675" s="18">
        <v>686399.29</v>
      </c>
      <c r="D675" s="18">
        <v>2744650.43</v>
      </c>
      <c r="E675" s="18">
        <v>224.58</v>
      </c>
      <c r="F675" s="18">
        <v>42052.09</v>
      </c>
      <c r="G675" s="18">
        <v>133230</v>
      </c>
      <c r="H675" s="18">
        <f t="shared" si="32"/>
        <v>42044.09</v>
      </c>
      <c r="I675" s="3"/>
    </row>
    <row r="676" spans="1:9" s="4" customFormat="1" ht="18" customHeight="1" x14ac:dyDescent="0.55000000000000004">
      <c r="A676" s="18">
        <v>24.805297700000001</v>
      </c>
      <c r="B676" s="18">
        <v>34.844065200000003</v>
      </c>
      <c r="C676" s="18">
        <v>686397.25</v>
      </c>
      <c r="D676" s="18">
        <v>2744647.66</v>
      </c>
      <c r="E676" s="18">
        <v>224.64</v>
      </c>
      <c r="F676" s="18">
        <v>42055.19</v>
      </c>
      <c r="G676" s="18">
        <v>133232</v>
      </c>
      <c r="H676" s="18">
        <f t="shared" si="32"/>
        <v>42047.19</v>
      </c>
      <c r="I676" s="3"/>
    </row>
    <row r="677" spans="1:9" s="4" customFormat="1" ht="18" customHeight="1" x14ac:dyDescent="0.55000000000000004">
      <c r="A677" s="18">
        <v>24.805273700000001</v>
      </c>
      <c r="B677" s="18">
        <v>34.844043599999999</v>
      </c>
      <c r="C677" s="18">
        <v>686395.11</v>
      </c>
      <c r="D677" s="18">
        <v>2744644.97</v>
      </c>
      <c r="E677" s="18">
        <v>224.72</v>
      </c>
      <c r="F677" s="18">
        <v>42056.63</v>
      </c>
      <c r="G677" s="18">
        <v>133234</v>
      </c>
      <c r="H677" s="18">
        <f t="shared" si="32"/>
        <v>42048.63</v>
      </c>
      <c r="I677" s="3"/>
    </row>
    <row r="678" spans="1:9" s="4" customFormat="1" ht="18" customHeight="1" x14ac:dyDescent="0.55000000000000004">
      <c r="A678" s="18">
        <v>24.805249400000001</v>
      </c>
      <c r="B678" s="18">
        <v>34.844023300000003</v>
      </c>
      <c r="C678" s="18">
        <v>686393.09</v>
      </c>
      <c r="D678" s="18">
        <v>2744642.25</v>
      </c>
      <c r="E678" s="18">
        <v>224.74</v>
      </c>
      <c r="F678" s="18">
        <v>42054.239999999998</v>
      </c>
      <c r="G678" s="18">
        <v>133236</v>
      </c>
      <c r="H678" s="18">
        <f t="shared" si="32"/>
        <v>42046.239999999998</v>
      </c>
      <c r="I678" s="3"/>
    </row>
    <row r="679" spans="1:9" s="4" customFormat="1" ht="18" customHeight="1" x14ac:dyDescent="0.55000000000000004">
      <c r="A679" s="18">
        <v>24.805223900000001</v>
      </c>
      <c r="B679" s="18">
        <v>34.844003999999998</v>
      </c>
      <c r="C679" s="18">
        <v>686391.18</v>
      </c>
      <c r="D679" s="18">
        <v>2744639.39</v>
      </c>
      <c r="E679" s="18">
        <v>224.77</v>
      </c>
      <c r="F679" s="18">
        <v>42055.64</v>
      </c>
      <c r="G679" s="18">
        <v>133238</v>
      </c>
      <c r="H679" s="18">
        <f t="shared" si="32"/>
        <v>42047.64</v>
      </c>
      <c r="I679" s="3"/>
    </row>
    <row r="680" spans="1:9" s="4" customFormat="1" ht="18" customHeight="1" x14ac:dyDescent="0.55000000000000004">
      <c r="A680" s="18">
        <v>24.805200200000002</v>
      </c>
      <c r="B680" s="18">
        <v>34.8439835</v>
      </c>
      <c r="C680" s="18">
        <v>686389.14</v>
      </c>
      <c r="D680" s="18">
        <v>2744636.74</v>
      </c>
      <c r="E680" s="18">
        <v>224.78</v>
      </c>
      <c r="F680" s="18">
        <v>42052.7</v>
      </c>
      <c r="G680" s="18">
        <v>133240</v>
      </c>
      <c r="H680" s="18">
        <f t="shared" si="32"/>
        <v>42044.7</v>
      </c>
      <c r="I680" s="3"/>
    </row>
    <row r="681" spans="1:9" s="4" customFormat="1" ht="18" customHeight="1" x14ac:dyDescent="0.55000000000000004">
      <c r="A681" s="18">
        <v>24.805175899999998</v>
      </c>
      <c r="B681" s="18">
        <v>34.843967499999998</v>
      </c>
      <c r="C681" s="18">
        <v>686387.56</v>
      </c>
      <c r="D681" s="18">
        <v>2744634.03</v>
      </c>
      <c r="E681" s="18">
        <v>224.8</v>
      </c>
      <c r="F681" s="18">
        <v>42051.040000000001</v>
      </c>
      <c r="G681" s="18">
        <v>133242</v>
      </c>
      <c r="H681" s="18">
        <f t="shared" si="32"/>
        <v>42043.040000000001</v>
      </c>
      <c r="I681" s="3"/>
    </row>
    <row r="682" spans="1:9" s="4" customFormat="1" ht="18" customHeight="1" x14ac:dyDescent="0.55000000000000004">
      <c r="A682" s="18">
        <v>24.805153799999999</v>
      </c>
      <c r="B682" s="18">
        <v>34.843949500000001</v>
      </c>
      <c r="C682" s="18">
        <v>686385.77</v>
      </c>
      <c r="D682" s="18">
        <v>2744631.55</v>
      </c>
      <c r="E682" s="18">
        <v>224.86</v>
      </c>
      <c r="F682" s="18">
        <v>42053.04</v>
      </c>
      <c r="G682" s="18">
        <v>133244</v>
      </c>
      <c r="H682" s="18">
        <f t="shared" si="32"/>
        <v>42045.04</v>
      </c>
      <c r="I682" s="3"/>
    </row>
    <row r="683" spans="1:9" s="4" customFormat="1" ht="18" customHeight="1" x14ac:dyDescent="0.55000000000000004">
      <c r="A683" s="18">
        <v>24.8051317</v>
      </c>
      <c r="B683" s="18">
        <v>34.843932199999998</v>
      </c>
      <c r="C683" s="18">
        <v>686384.06</v>
      </c>
      <c r="D683" s="18">
        <v>2744629.08</v>
      </c>
      <c r="E683" s="18">
        <v>224.98</v>
      </c>
      <c r="F683" s="18">
        <v>42052.34</v>
      </c>
      <c r="G683" s="18">
        <v>133246</v>
      </c>
      <c r="H683" s="18">
        <f t="shared" si="32"/>
        <v>42044.34</v>
      </c>
      <c r="I683" s="3"/>
    </row>
    <row r="684" spans="1:9" s="4" customFormat="1" ht="18" customHeight="1" x14ac:dyDescent="0.55000000000000004">
      <c r="A684" s="18">
        <v>24.805109600000002</v>
      </c>
      <c r="B684" s="18">
        <v>34.843914300000002</v>
      </c>
      <c r="C684" s="18">
        <v>686382.28</v>
      </c>
      <c r="D684" s="18">
        <v>2744626.61</v>
      </c>
      <c r="E684" s="18">
        <v>225.01</v>
      </c>
      <c r="F684" s="18">
        <v>42051.29</v>
      </c>
      <c r="G684" s="18">
        <v>133248</v>
      </c>
      <c r="H684" s="18">
        <f t="shared" si="32"/>
        <v>42043.29</v>
      </c>
      <c r="I684" s="3"/>
    </row>
    <row r="685" spans="1:9" s="4" customFormat="1" ht="18" customHeight="1" x14ac:dyDescent="0.55000000000000004">
      <c r="A685" s="18">
        <v>24.8050882</v>
      </c>
      <c r="B685" s="18">
        <v>34.843895400000001</v>
      </c>
      <c r="C685" s="18">
        <v>686380.41</v>
      </c>
      <c r="D685" s="18">
        <v>2744624.21</v>
      </c>
      <c r="E685" s="18">
        <v>225.05</v>
      </c>
      <c r="F685" s="18">
        <v>42049.8</v>
      </c>
      <c r="G685" s="18">
        <v>133250</v>
      </c>
      <c r="H685" s="18">
        <f t="shared" si="32"/>
        <v>42041.8</v>
      </c>
      <c r="I685" s="3"/>
    </row>
    <row r="686" spans="1:9" s="4" customFormat="1" ht="18" customHeight="1" x14ac:dyDescent="0.55000000000000004">
      <c r="A686" s="18">
        <v>24.805066700000001</v>
      </c>
      <c r="B686" s="18">
        <v>34.843878699999998</v>
      </c>
      <c r="C686" s="18">
        <v>686378.75</v>
      </c>
      <c r="D686" s="18">
        <v>2744621.81</v>
      </c>
      <c r="E686" s="18">
        <v>225.06</v>
      </c>
      <c r="F686" s="18">
        <v>42048.21</v>
      </c>
      <c r="G686" s="18">
        <v>133252</v>
      </c>
      <c r="H686" s="18">
        <f t="shared" si="32"/>
        <v>42040.21</v>
      </c>
      <c r="I686" s="3"/>
    </row>
    <row r="687" spans="1:9" s="4" customFormat="1" ht="18" customHeight="1" x14ac:dyDescent="0.55000000000000004">
      <c r="A687" s="18">
        <v>24.805045100000001</v>
      </c>
      <c r="B687" s="18">
        <v>34.843861599999997</v>
      </c>
      <c r="C687" s="18">
        <v>686377.05</v>
      </c>
      <c r="D687" s="18">
        <v>2744619.4</v>
      </c>
      <c r="E687" s="18">
        <v>225.02</v>
      </c>
      <c r="F687" s="18">
        <v>42048.37</v>
      </c>
      <c r="G687" s="18">
        <v>133254</v>
      </c>
      <c r="H687" s="18">
        <f t="shared" si="32"/>
        <v>42040.37</v>
      </c>
      <c r="I687" s="3"/>
    </row>
    <row r="688" spans="1:9" s="4" customFormat="1" ht="18" customHeight="1" x14ac:dyDescent="0.55000000000000004">
      <c r="A688" s="18">
        <v>24.805023599999998</v>
      </c>
      <c r="B688" s="18">
        <v>34.843842199999997</v>
      </c>
      <c r="C688" s="18">
        <v>686375.12</v>
      </c>
      <c r="D688" s="18">
        <v>2744616.99</v>
      </c>
      <c r="E688" s="18">
        <v>225.04</v>
      </c>
      <c r="F688" s="18">
        <v>42049.17</v>
      </c>
      <c r="G688" s="18">
        <v>133256</v>
      </c>
      <c r="H688" s="18">
        <f t="shared" si="32"/>
        <v>42041.17</v>
      </c>
      <c r="I688" s="3"/>
    </row>
    <row r="689" spans="1:9" s="4" customFormat="1" ht="18" customHeight="1" x14ac:dyDescent="0.55000000000000004">
      <c r="A689" s="18">
        <v>24.805002900000002</v>
      </c>
      <c r="B689" s="18">
        <v>34.843825099999997</v>
      </c>
      <c r="C689" s="18">
        <v>686373.43</v>
      </c>
      <c r="D689" s="18">
        <v>2744614.68</v>
      </c>
      <c r="E689" s="18">
        <v>225.11</v>
      </c>
      <c r="F689" s="18">
        <v>42050.5</v>
      </c>
      <c r="G689" s="18">
        <v>133258</v>
      </c>
      <c r="H689" s="18">
        <f t="shared" si="32"/>
        <v>42042.5</v>
      </c>
      <c r="I689" s="3"/>
    </row>
    <row r="690" spans="1:9" s="4" customFormat="1" ht="18" customHeight="1" x14ac:dyDescent="0.55000000000000004">
      <c r="A690" s="18">
        <v>24.804983700000001</v>
      </c>
      <c r="B690" s="18">
        <v>34.843807499999997</v>
      </c>
      <c r="C690" s="18">
        <v>686371.67</v>
      </c>
      <c r="D690" s="18">
        <v>2744612.52</v>
      </c>
      <c r="E690" s="18">
        <v>225.21</v>
      </c>
      <c r="F690" s="18">
        <v>42049.02</v>
      </c>
      <c r="G690" s="18">
        <v>133300</v>
      </c>
      <c r="H690" s="18">
        <f t="shared" si="32"/>
        <v>42041.02</v>
      </c>
      <c r="I690" s="3"/>
    </row>
    <row r="691" spans="1:9" s="4" customFormat="1" ht="18" customHeight="1" x14ac:dyDescent="0.55000000000000004">
      <c r="A691" s="18">
        <v>24.804964500000001</v>
      </c>
      <c r="B691" s="18">
        <v>34.843792299999997</v>
      </c>
      <c r="C691" s="18">
        <v>686370.17</v>
      </c>
      <c r="D691" s="18">
        <v>2744610.37</v>
      </c>
      <c r="E691" s="18">
        <v>225.26</v>
      </c>
      <c r="F691" s="18">
        <v>42050.46</v>
      </c>
      <c r="G691" s="18">
        <v>133302</v>
      </c>
      <c r="H691" s="18">
        <f t="shared" si="32"/>
        <v>42042.46</v>
      </c>
      <c r="I691" s="3"/>
    </row>
    <row r="692" spans="1:9" s="4" customFormat="1" ht="18" customHeight="1" x14ac:dyDescent="0.55000000000000004">
      <c r="A692" s="18">
        <v>24.804944599999999</v>
      </c>
      <c r="B692" s="18">
        <v>34.843775999999998</v>
      </c>
      <c r="C692" s="18">
        <v>686368.55</v>
      </c>
      <c r="D692" s="18">
        <v>2744608.15</v>
      </c>
      <c r="E692" s="18">
        <v>225.26</v>
      </c>
      <c r="F692" s="18">
        <v>42049.96</v>
      </c>
      <c r="G692" s="18">
        <v>133304</v>
      </c>
      <c r="H692" s="18">
        <f t="shared" si="32"/>
        <v>42041.96</v>
      </c>
      <c r="I692" s="3"/>
    </row>
    <row r="693" spans="1:9" s="4" customFormat="1" ht="18" customHeight="1" x14ac:dyDescent="0.55000000000000004">
      <c r="A693" s="18">
        <v>24.804923500000001</v>
      </c>
      <c r="B693" s="18">
        <v>34.8437561</v>
      </c>
      <c r="C693" s="18">
        <v>686366.56</v>
      </c>
      <c r="D693" s="18">
        <v>2744605.79</v>
      </c>
      <c r="E693" s="18">
        <v>225.28</v>
      </c>
      <c r="F693" s="18">
        <v>42047.76</v>
      </c>
      <c r="G693" s="18">
        <v>133306</v>
      </c>
      <c r="H693" s="18">
        <f t="shared" si="32"/>
        <v>42039.76</v>
      </c>
      <c r="I693" s="3"/>
    </row>
    <row r="694" spans="1:9" s="4" customFormat="1" ht="18" customHeight="1" x14ac:dyDescent="0.55000000000000004">
      <c r="A694" s="18">
        <v>24.804901399999999</v>
      </c>
      <c r="B694" s="18">
        <v>34.843734300000001</v>
      </c>
      <c r="C694" s="18">
        <v>686364.39</v>
      </c>
      <c r="D694" s="18">
        <v>2744603.3</v>
      </c>
      <c r="E694" s="18">
        <v>225.32</v>
      </c>
      <c r="F694" s="18">
        <v>42048.94</v>
      </c>
      <c r="G694" s="18">
        <v>133308</v>
      </c>
      <c r="H694" s="18">
        <f t="shared" si="32"/>
        <v>42040.94</v>
      </c>
      <c r="I694" s="3"/>
    </row>
    <row r="695" spans="1:9" s="4" customFormat="1" ht="18" customHeight="1" x14ac:dyDescent="0.55000000000000004">
      <c r="A695" s="18">
        <v>24.804878599999999</v>
      </c>
      <c r="B695" s="18">
        <v>34.843714300000002</v>
      </c>
      <c r="C695" s="18">
        <v>686362.41</v>
      </c>
      <c r="D695" s="18">
        <v>2744600.75</v>
      </c>
      <c r="E695" s="18">
        <v>225.34</v>
      </c>
      <c r="F695" s="18">
        <v>42049.72</v>
      </c>
      <c r="G695" s="18">
        <v>133310</v>
      </c>
      <c r="H695" s="18">
        <f t="shared" ref="H695:H758" si="33">SUM(F695-8)</f>
        <v>42041.72</v>
      </c>
      <c r="I695" s="3"/>
    </row>
    <row r="696" spans="1:9" s="4" customFormat="1" ht="18" customHeight="1" x14ac:dyDescent="0.55000000000000004">
      <c r="A696" s="18">
        <v>24.804855199999999</v>
      </c>
      <c r="B696" s="18">
        <v>34.843693500000001</v>
      </c>
      <c r="C696" s="18">
        <v>686360.34</v>
      </c>
      <c r="D696" s="18">
        <v>2744598.13</v>
      </c>
      <c r="E696" s="18">
        <v>225.36</v>
      </c>
      <c r="F696" s="18">
        <v>42051.58</v>
      </c>
      <c r="G696" s="18">
        <v>133312</v>
      </c>
      <c r="H696" s="18">
        <f t="shared" si="33"/>
        <v>42043.58</v>
      </c>
      <c r="I696" s="3"/>
    </row>
    <row r="697" spans="1:9" s="4" customFormat="1" ht="18" customHeight="1" x14ac:dyDescent="0.55000000000000004">
      <c r="A697" s="18">
        <v>24.804831799999999</v>
      </c>
      <c r="B697" s="18">
        <v>34.843672599999998</v>
      </c>
      <c r="C697" s="18">
        <v>686358.26</v>
      </c>
      <c r="D697" s="18">
        <v>2744595.51</v>
      </c>
      <c r="E697" s="18">
        <v>225.4</v>
      </c>
      <c r="F697" s="18">
        <v>42049.78</v>
      </c>
      <c r="G697" s="18">
        <v>133314</v>
      </c>
      <c r="H697" s="18">
        <f t="shared" si="33"/>
        <v>42041.78</v>
      </c>
      <c r="I697" s="3"/>
    </row>
    <row r="698" spans="1:9" s="4" customFormat="1" ht="18" customHeight="1" x14ac:dyDescent="0.55000000000000004">
      <c r="A698" s="18">
        <v>24.804807700000001</v>
      </c>
      <c r="B698" s="18">
        <v>34.843652400000003</v>
      </c>
      <c r="C698" s="18">
        <v>686356.25</v>
      </c>
      <c r="D698" s="18">
        <v>2744592.81</v>
      </c>
      <c r="E698" s="18">
        <v>225.43</v>
      </c>
      <c r="F698" s="18">
        <v>42048.56</v>
      </c>
      <c r="G698" s="18">
        <v>133316</v>
      </c>
      <c r="H698" s="18">
        <f t="shared" si="33"/>
        <v>42040.56</v>
      </c>
      <c r="I698" s="3"/>
    </row>
    <row r="699" spans="1:9" s="4" customFormat="1" ht="18" customHeight="1" x14ac:dyDescent="0.55000000000000004">
      <c r="A699" s="18">
        <v>24.804782500000002</v>
      </c>
      <c r="B699" s="18">
        <v>34.843634199999997</v>
      </c>
      <c r="C699" s="18">
        <v>686354.45</v>
      </c>
      <c r="D699" s="18">
        <v>2744589.99</v>
      </c>
      <c r="E699" s="18">
        <v>225.53</v>
      </c>
      <c r="F699" s="18">
        <v>42046.78</v>
      </c>
      <c r="G699" s="18">
        <v>133318</v>
      </c>
      <c r="H699" s="18">
        <f t="shared" si="33"/>
        <v>42038.78</v>
      </c>
      <c r="I699" s="3"/>
    </row>
    <row r="700" spans="1:9" s="4" customFormat="1" ht="18" customHeight="1" x14ac:dyDescent="0.55000000000000004">
      <c r="A700" s="18">
        <v>24.804755700000001</v>
      </c>
      <c r="B700" s="18">
        <v>34.8436168</v>
      </c>
      <c r="C700" s="18">
        <v>686352.74</v>
      </c>
      <c r="D700" s="18">
        <v>2744587.01</v>
      </c>
      <c r="E700" s="18">
        <v>225.58</v>
      </c>
      <c r="F700" s="18">
        <v>42045.35</v>
      </c>
      <c r="G700" s="18">
        <v>133320</v>
      </c>
      <c r="H700" s="18">
        <f t="shared" si="33"/>
        <v>42037.35</v>
      </c>
      <c r="I700" s="3"/>
    </row>
    <row r="701" spans="1:9" s="4" customFormat="1" ht="18" customHeight="1" x14ac:dyDescent="0.55000000000000004">
      <c r="A701" s="18">
        <v>24.804729399999999</v>
      </c>
      <c r="B701" s="18">
        <v>34.843598399999998</v>
      </c>
      <c r="C701" s="18">
        <v>686350.91</v>
      </c>
      <c r="D701" s="18">
        <v>2744584.07</v>
      </c>
      <c r="E701" s="18">
        <v>225.75</v>
      </c>
      <c r="F701" s="18">
        <v>42046.86</v>
      </c>
      <c r="G701" s="18">
        <v>133322</v>
      </c>
      <c r="H701" s="18">
        <f t="shared" si="33"/>
        <v>42038.86</v>
      </c>
      <c r="I701" s="3"/>
    </row>
    <row r="702" spans="1:9" s="4" customFormat="1" ht="18" customHeight="1" x14ac:dyDescent="0.55000000000000004">
      <c r="A702" s="18">
        <v>24.804702899999999</v>
      </c>
      <c r="B702" s="18">
        <v>34.843580500000002</v>
      </c>
      <c r="C702" s="18">
        <v>686349.14</v>
      </c>
      <c r="D702" s="18">
        <v>2744581.11</v>
      </c>
      <c r="E702" s="18">
        <v>225.83</v>
      </c>
      <c r="F702" s="18">
        <v>42045.84</v>
      </c>
      <c r="G702" s="18">
        <v>133324</v>
      </c>
      <c r="H702" s="18">
        <f t="shared" si="33"/>
        <v>42037.84</v>
      </c>
      <c r="I702" s="3"/>
    </row>
    <row r="703" spans="1:9" s="4" customFormat="1" ht="18" customHeight="1" x14ac:dyDescent="0.55000000000000004">
      <c r="A703" s="18">
        <v>24.804676199999999</v>
      </c>
      <c r="B703" s="18">
        <v>34.843563699999997</v>
      </c>
      <c r="C703" s="18">
        <v>686347.48</v>
      </c>
      <c r="D703" s="18">
        <v>2744578.13</v>
      </c>
      <c r="E703" s="18">
        <v>225.94</v>
      </c>
      <c r="F703" s="18">
        <v>42045.68</v>
      </c>
      <c r="G703" s="18">
        <v>133326</v>
      </c>
      <c r="H703" s="18">
        <f t="shared" si="33"/>
        <v>42037.68</v>
      </c>
      <c r="I703" s="3"/>
    </row>
    <row r="704" spans="1:9" s="4" customFormat="1" ht="18" customHeight="1" x14ac:dyDescent="0.55000000000000004">
      <c r="A704" s="18">
        <v>24.804648700000001</v>
      </c>
      <c r="B704" s="18">
        <v>34.843548699999999</v>
      </c>
      <c r="C704" s="18">
        <v>686346.01</v>
      </c>
      <c r="D704" s="18">
        <v>2744575.06</v>
      </c>
      <c r="E704" s="18">
        <v>226.01</v>
      </c>
      <c r="F704" s="18">
        <v>42048.45</v>
      </c>
      <c r="G704" s="18">
        <v>133328</v>
      </c>
      <c r="H704" s="18">
        <f t="shared" si="33"/>
        <v>42040.45</v>
      </c>
      <c r="I704" s="3"/>
    </row>
    <row r="705" spans="1:9" s="4" customFormat="1" ht="18" customHeight="1" x14ac:dyDescent="0.55000000000000004">
      <c r="A705" s="18">
        <v>24.804622500000001</v>
      </c>
      <c r="B705" s="18">
        <v>34.843531900000002</v>
      </c>
      <c r="C705" s="18">
        <v>686344.35</v>
      </c>
      <c r="D705" s="18">
        <v>2744572.14</v>
      </c>
      <c r="E705" s="18">
        <v>226.02</v>
      </c>
      <c r="F705" s="18">
        <v>42048.84</v>
      </c>
      <c r="G705" s="18">
        <v>133330</v>
      </c>
      <c r="H705" s="18">
        <f t="shared" si="33"/>
        <v>42040.84</v>
      </c>
      <c r="I705" s="3"/>
    </row>
    <row r="706" spans="1:9" s="4" customFormat="1" ht="18" customHeight="1" x14ac:dyDescent="0.55000000000000004">
      <c r="A706" s="18">
        <v>24.8045948</v>
      </c>
      <c r="B706" s="18">
        <v>34.843518600000003</v>
      </c>
      <c r="C706" s="18">
        <v>686343.05</v>
      </c>
      <c r="D706" s="18">
        <v>2744569.06</v>
      </c>
      <c r="E706" s="18">
        <v>226.1</v>
      </c>
      <c r="F706" s="18">
        <v>42048.47</v>
      </c>
      <c r="G706" s="18">
        <v>133332</v>
      </c>
      <c r="H706" s="18">
        <f t="shared" si="33"/>
        <v>42040.47</v>
      </c>
      <c r="I706" s="3"/>
    </row>
    <row r="707" spans="1:9" s="4" customFormat="1" ht="18" customHeight="1" x14ac:dyDescent="0.55000000000000004">
      <c r="A707" s="18">
        <v>24.8045689</v>
      </c>
      <c r="B707" s="18">
        <v>34.843501400000001</v>
      </c>
      <c r="C707" s="18">
        <v>686341.35</v>
      </c>
      <c r="D707" s="18">
        <v>2744566.15</v>
      </c>
      <c r="E707" s="18">
        <v>226.16</v>
      </c>
      <c r="F707" s="18">
        <v>42048.5</v>
      </c>
      <c r="G707" s="18">
        <v>133334</v>
      </c>
      <c r="H707" s="18">
        <f t="shared" si="33"/>
        <v>42040.5</v>
      </c>
      <c r="I707" s="3"/>
    </row>
    <row r="708" spans="1:9" s="4" customFormat="1" ht="18" customHeight="1" x14ac:dyDescent="0.55000000000000004">
      <c r="A708" s="18">
        <v>24.804542600000001</v>
      </c>
      <c r="B708" s="18">
        <v>34.843484799999999</v>
      </c>
      <c r="C708" s="18">
        <v>686339.7</v>
      </c>
      <c r="D708" s="18">
        <v>2744563.22</v>
      </c>
      <c r="E708" s="18">
        <v>226.24</v>
      </c>
      <c r="F708" s="18">
        <v>42050.11</v>
      </c>
      <c r="G708" s="18">
        <v>133336</v>
      </c>
      <c r="H708" s="18">
        <f t="shared" si="33"/>
        <v>42042.11</v>
      </c>
      <c r="I708" s="3"/>
    </row>
    <row r="709" spans="1:9" s="4" customFormat="1" ht="18" customHeight="1" x14ac:dyDescent="0.55000000000000004">
      <c r="A709" s="18">
        <v>24.8045151</v>
      </c>
      <c r="B709" s="18">
        <v>34.843470000000003</v>
      </c>
      <c r="C709" s="18">
        <v>686338.25</v>
      </c>
      <c r="D709" s="18">
        <v>2744560.15</v>
      </c>
      <c r="E709" s="18">
        <v>226.29</v>
      </c>
      <c r="F709" s="18">
        <v>42054.400000000001</v>
      </c>
      <c r="G709" s="18">
        <v>133338</v>
      </c>
      <c r="H709" s="18">
        <f t="shared" si="33"/>
        <v>42046.400000000001</v>
      </c>
      <c r="I709" s="3"/>
    </row>
    <row r="710" spans="1:9" s="4" customFormat="1" ht="18" customHeight="1" x14ac:dyDescent="0.55000000000000004">
      <c r="A710" s="18">
        <v>24.8044887</v>
      </c>
      <c r="B710" s="18">
        <v>34.843453500000003</v>
      </c>
      <c r="C710" s="18">
        <v>686336.62</v>
      </c>
      <c r="D710" s="18">
        <v>2744557.2</v>
      </c>
      <c r="E710" s="18">
        <v>226.36</v>
      </c>
      <c r="F710" s="18">
        <v>42054.55</v>
      </c>
      <c r="G710" s="18">
        <v>133340</v>
      </c>
      <c r="H710" s="18">
        <f t="shared" si="33"/>
        <v>42046.55</v>
      </c>
      <c r="I710" s="3"/>
    </row>
    <row r="711" spans="1:9" s="4" customFormat="1" ht="18" customHeight="1" x14ac:dyDescent="0.55000000000000004">
      <c r="A711" s="18">
        <v>24.804461</v>
      </c>
      <c r="B711" s="18">
        <v>34.843438900000002</v>
      </c>
      <c r="C711" s="18">
        <v>686335.19</v>
      </c>
      <c r="D711" s="18">
        <v>2744554.12</v>
      </c>
      <c r="E711" s="18">
        <v>226.41</v>
      </c>
      <c r="F711" s="18">
        <v>42050.97</v>
      </c>
      <c r="G711" s="18">
        <v>133342</v>
      </c>
      <c r="H711" s="18">
        <f t="shared" si="33"/>
        <v>42042.97</v>
      </c>
      <c r="I711" s="3"/>
    </row>
    <row r="712" spans="1:9" s="4" customFormat="1" ht="18" customHeight="1" x14ac:dyDescent="0.55000000000000004">
      <c r="A712" s="18">
        <v>24.8044327</v>
      </c>
      <c r="B712" s="18">
        <v>34.843424900000002</v>
      </c>
      <c r="C712" s="18">
        <v>686333.82</v>
      </c>
      <c r="D712" s="18">
        <v>2744550.97</v>
      </c>
      <c r="E712" s="18">
        <v>226.47</v>
      </c>
      <c r="F712" s="18">
        <v>42050.55</v>
      </c>
      <c r="G712" s="18">
        <v>133344</v>
      </c>
      <c r="H712" s="18">
        <f t="shared" si="33"/>
        <v>42042.55</v>
      </c>
      <c r="I712" s="3"/>
    </row>
    <row r="713" spans="1:9" s="4" customFormat="1" ht="18" customHeight="1" x14ac:dyDescent="0.55000000000000004">
      <c r="A713" s="18">
        <v>24.804404600000002</v>
      </c>
      <c r="B713" s="18">
        <v>34.843411600000003</v>
      </c>
      <c r="C713" s="18">
        <v>686332.51</v>
      </c>
      <c r="D713" s="18">
        <v>2744547.84</v>
      </c>
      <c r="E713" s="18">
        <v>226.59</v>
      </c>
      <c r="F713" s="18">
        <v>42053.13</v>
      </c>
      <c r="G713" s="18">
        <v>133346</v>
      </c>
      <c r="H713" s="18">
        <f t="shared" si="33"/>
        <v>42045.13</v>
      </c>
      <c r="I713" s="3"/>
    </row>
    <row r="714" spans="1:9" s="4" customFormat="1" ht="18" customHeight="1" x14ac:dyDescent="0.55000000000000004">
      <c r="A714" s="18">
        <v>24.804376600000001</v>
      </c>
      <c r="B714" s="18">
        <v>34.843399599999998</v>
      </c>
      <c r="C714" s="18">
        <v>686331.34</v>
      </c>
      <c r="D714" s="18">
        <v>2744544.71</v>
      </c>
      <c r="E714" s="18">
        <v>226.65</v>
      </c>
      <c r="F714" s="18">
        <v>42049.89</v>
      </c>
      <c r="G714" s="18">
        <v>133348</v>
      </c>
      <c r="H714" s="18">
        <f t="shared" si="33"/>
        <v>42041.89</v>
      </c>
      <c r="I714" s="3"/>
    </row>
    <row r="715" spans="1:9" s="4" customFormat="1" ht="18" customHeight="1" x14ac:dyDescent="0.55000000000000004">
      <c r="A715" s="18">
        <v>24.804347700000001</v>
      </c>
      <c r="B715" s="18">
        <v>34.843391099999998</v>
      </c>
      <c r="C715" s="18">
        <v>686330.52</v>
      </c>
      <c r="D715" s="18">
        <v>2744541.51</v>
      </c>
      <c r="E715" s="18">
        <v>226.7</v>
      </c>
      <c r="F715" s="18">
        <v>42049.41</v>
      </c>
      <c r="G715" s="18">
        <v>133350</v>
      </c>
      <c r="H715" s="18">
        <f t="shared" si="33"/>
        <v>42041.41</v>
      </c>
      <c r="I715" s="3"/>
    </row>
    <row r="716" spans="1:9" s="4" customFormat="1" ht="18" customHeight="1" x14ac:dyDescent="0.55000000000000004">
      <c r="A716" s="18">
        <v>24.804320300000001</v>
      </c>
      <c r="B716" s="18">
        <v>34.8433797</v>
      </c>
      <c r="C716" s="18">
        <v>686329.41</v>
      </c>
      <c r="D716" s="18">
        <v>2744538.45</v>
      </c>
      <c r="E716" s="18">
        <v>226.73</v>
      </c>
      <c r="F716" s="18">
        <v>42048.32</v>
      </c>
      <c r="G716" s="18">
        <v>133352</v>
      </c>
      <c r="H716" s="18">
        <f t="shared" si="33"/>
        <v>42040.32</v>
      </c>
      <c r="I716" s="3"/>
    </row>
    <row r="717" spans="1:9" s="4" customFormat="1" ht="18" customHeight="1" x14ac:dyDescent="0.55000000000000004">
      <c r="A717" s="18">
        <v>24.804293300000001</v>
      </c>
      <c r="B717" s="18">
        <v>34.843366400000001</v>
      </c>
      <c r="C717" s="18">
        <v>686328.11</v>
      </c>
      <c r="D717" s="18">
        <v>2744535.45</v>
      </c>
      <c r="E717" s="18">
        <v>226.76</v>
      </c>
      <c r="F717" s="18">
        <v>42048.639999999999</v>
      </c>
      <c r="G717" s="18">
        <v>133354</v>
      </c>
      <c r="H717" s="18">
        <f t="shared" si="33"/>
        <v>42040.639999999999</v>
      </c>
      <c r="I717" s="3"/>
    </row>
    <row r="718" spans="1:9" s="4" customFormat="1" ht="18" customHeight="1" x14ac:dyDescent="0.55000000000000004">
      <c r="A718" s="18">
        <v>24.8042649</v>
      </c>
      <c r="B718" s="18">
        <v>34.843355199999998</v>
      </c>
      <c r="C718" s="18">
        <v>686327.02</v>
      </c>
      <c r="D718" s="18">
        <v>2744532.28</v>
      </c>
      <c r="E718" s="18">
        <v>226.74</v>
      </c>
      <c r="F718" s="18">
        <v>42050.239999999998</v>
      </c>
      <c r="G718" s="18">
        <v>133356</v>
      </c>
      <c r="H718" s="18">
        <f t="shared" si="33"/>
        <v>42042.239999999998</v>
      </c>
      <c r="I718" s="3"/>
    </row>
    <row r="719" spans="1:9" s="4" customFormat="1" ht="18" customHeight="1" x14ac:dyDescent="0.55000000000000004">
      <c r="A719" s="18">
        <v>24.804238099999999</v>
      </c>
      <c r="B719" s="18">
        <v>34.8433432</v>
      </c>
      <c r="C719" s="18">
        <v>686325.84</v>
      </c>
      <c r="D719" s="18">
        <v>2744529.3</v>
      </c>
      <c r="E719" s="18">
        <v>226.81</v>
      </c>
      <c r="F719" s="18">
        <v>42052.21</v>
      </c>
      <c r="G719" s="18">
        <v>133358</v>
      </c>
      <c r="H719" s="18">
        <f t="shared" si="33"/>
        <v>42044.21</v>
      </c>
      <c r="I719" s="3"/>
    </row>
    <row r="720" spans="1:9" s="4" customFormat="1" ht="18" customHeight="1" x14ac:dyDescent="0.55000000000000004">
      <c r="A720" s="18">
        <v>24.804210300000001</v>
      </c>
      <c r="B720" s="18">
        <v>34.843329699999998</v>
      </c>
      <c r="C720" s="18">
        <v>686324.52</v>
      </c>
      <c r="D720" s="18">
        <v>2744526.2</v>
      </c>
      <c r="E720" s="18">
        <v>226.8</v>
      </c>
      <c r="F720" s="18">
        <v>42051.89</v>
      </c>
      <c r="G720" s="18">
        <v>133400</v>
      </c>
      <c r="H720" s="18">
        <f t="shared" si="33"/>
        <v>42043.89</v>
      </c>
      <c r="I720" s="3"/>
    </row>
    <row r="721" spans="1:9" s="4" customFormat="1" ht="18" customHeight="1" x14ac:dyDescent="0.55000000000000004">
      <c r="A721" s="18">
        <v>24.804183399999999</v>
      </c>
      <c r="B721" s="18">
        <v>34.8433134</v>
      </c>
      <c r="C721" s="18">
        <v>686322.92</v>
      </c>
      <c r="D721" s="18">
        <v>2744523.2</v>
      </c>
      <c r="E721" s="18">
        <v>226.83</v>
      </c>
      <c r="F721" s="18">
        <v>42055.61</v>
      </c>
      <c r="G721" s="18">
        <v>133402</v>
      </c>
      <c r="H721" s="18">
        <f t="shared" si="33"/>
        <v>42047.61</v>
      </c>
      <c r="I721" s="3"/>
    </row>
    <row r="722" spans="1:9" s="4" customFormat="1" ht="18" customHeight="1" x14ac:dyDescent="0.55000000000000004">
      <c r="A722" s="18">
        <v>24.8041579</v>
      </c>
      <c r="B722" s="18">
        <v>34.843296299999999</v>
      </c>
      <c r="C722" s="18">
        <v>686321.22</v>
      </c>
      <c r="D722" s="18">
        <v>2744520.35</v>
      </c>
      <c r="E722" s="18">
        <v>226.87</v>
      </c>
      <c r="F722" s="18">
        <v>42055.68</v>
      </c>
      <c r="G722" s="18">
        <v>133404</v>
      </c>
      <c r="H722" s="18">
        <f t="shared" si="33"/>
        <v>42047.68</v>
      </c>
      <c r="I722" s="3"/>
    </row>
    <row r="723" spans="1:9" s="4" customFormat="1" ht="18" customHeight="1" x14ac:dyDescent="0.55000000000000004">
      <c r="A723" s="18">
        <v>24.804133100000001</v>
      </c>
      <c r="B723" s="18">
        <v>34.8432776</v>
      </c>
      <c r="C723" s="18">
        <v>686319.37</v>
      </c>
      <c r="D723" s="18">
        <v>2744517.58</v>
      </c>
      <c r="E723" s="18">
        <v>226.94</v>
      </c>
      <c r="F723" s="18">
        <v>42057.31</v>
      </c>
      <c r="G723" s="18">
        <v>133406</v>
      </c>
      <c r="H723" s="18">
        <f t="shared" si="33"/>
        <v>42049.31</v>
      </c>
      <c r="I723" s="3"/>
    </row>
    <row r="724" spans="1:9" s="4" customFormat="1" ht="18" customHeight="1" x14ac:dyDescent="0.55000000000000004">
      <c r="A724" s="18">
        <v>24.804110399999999</v>
      </c>
      <c r="B724" s="18">
        <v>34.843257000000001</v>
      </c>
      <c r="C724" s="18">
        <v>686317.32</v>
      </c>
      <c r="D724" s="18">
        <v>2744515.04</v>
      </c>
      <c r="E724" s="18">
        <v>227.02</v>
      </c>
      <c r="F724" s="18">
        <v>42059.79</v>
      </c>
      <c r="G724" s="18">
        <v>133408</v>
      </c>
      <c r="H724" s="18">
        <f t="shared" si="33"/>
        <v>42051.79</v>
      </c>
      <c r="I724" s="3"/>
    </row>
    <row r="725" spans="1:9" s="4" customFormat="1" ht="18" customHeight="1" x14ac:dyDescent="0.55000000000000004">
      <c r="A725" s="18">
        <v>24.804087200000001</v>
      </c>
      <c r="B725" s="18">
        <v>34.8432368</v>
      </c>
      <c r="C725" s="18">
        <v>686315.32</v>
      </c>
      <c r="D725" s="18">
        <v>2744512.44</v>
      </c>
      <c r="E725" s="18">
        <v>227.03</v>
      </c>
      <c r="F725" s="18">
        <v>42056.95</v>
      </c>
      <c r="G725" s="18">
        <v>133410</v>
      </c>
      <c r="H725" s="18">
        <f t="shared" si="33"/>
        <v>42048.95</v>
      </c>
      <c r="I725" s="3"/>
    </row>
    <row r="726" spans="1:9" s="4" customFormat="1" ht="18" customHeight="1" x14ac:dyDescent="0.55000000000000004">
      <c r="A726" s="18">
        <v>24.804068999999998</v>
      </c>
      <c r="B726" s="18">
        <v>34.8432149</v>
      </c>
      <c r="C726" s="18">
        <v>686313.13</v>
      </c>
      <c r="D726" s="18">
        <v>2744510.39</v>
      </c>
      <c r="E726" s="18">
        <v>227.01</v>
      </c>
      <c r="F726" s="18">
        <v>42055.22</v>
      </c>
      <c r="G726" s="18">
        <v>133412</v>
      </c>
      <c r="H726" s="18">
        <f t="shared" si="33"/>
        <v>42047.22</v>
      </c>
      <c r="I726" s="3"/>
    </row>
    <row r="727" spans="1:9" s="4" customFormat="1" ht="18" customHeight="1" x14ac:dyDescent="0.55000000000000004">
      <c r="A727" s="18">
        <v>24.804047700000002</v>
      </c>
      <c r="B727" s="18">
        <v>34.843194799999999</v>
      </c>
      <c r="C727" s="18">
        <v>686311.13</v>
      </c>
      <c r="D727" s="18">
        <v>2744508.01</v>
      </c>
      <c r="E727" s="18">
        <v>227.03</v>
      </c>
      <c r="F727" s="18">
        <v>42048.5</v>
      </c>
      <c r="G727" s="18">
        <v>133414</v>
      </c>
      <c r="H727" s="18">
        <f t="shared" si="33"/>
        <v>42040.5</v>
      </c>
      <c r="I727" s="3"/>
    </row>
    <row r="728" spans="1:9" s="4" customFormat="1" ht="18" customHeight="1" x14ac:dyDescent="0.55000000000000004">
      <c r="A728" s="18">
        <v>24.804027699999999</v>
      </c>
      <c r="B728" s="18">
        <v>34.8431724</v>
      </c>
      <c r="C728" s="18">
        <v>686308.9</v>
      </c>
      <c r="D728" s="18">
        <v>2744505.77</v>
      </c>
      <c r="E728" s="18">
        <v>227.05</v>
      </c>
      <c r="F728" s="18">
        <v>42042.59</v>
      </c>
      <c r="G728" s="18">
        <v>133416</v>
      </c>
      <c r="H728" s="18">
        <f t="shared" si="33"/>
        <v>42034.59</v>
      </c>
      <c r="I728" s="3"/>
    </row>
    <row r="729" spans="1:9" s="4" customFormat="1" ht="18" customHeight="1" x14ac:dyDescent="0.55000000000000004">
      <c r="A729" s="18">
        <v>24.804007200000001</v>
      </c>
      <c r="B729" s="18">
        <v>34.843150100000003</v>
      </c>
      <c r="C729" s="18">
        <v>686306.67</v>
      </c>
      <c r="D729" s="18">
        <v>2744503.46</v>
      </c>
      <c r="E729" s="18">
        <v>227.11</v>
      </c>
      <c r="F729" s="18">
        <v>42066.51</v>
      </c>
      <c r="G729" s="18">
        <v>133418</v>
      </c>
      <c r="H729" s="18">
        <f t="shared" si="33"/>
        <v>42058.51</v>
      </c>
      <c r="I729" s="3"/>
    </row>
    <row r="730" spans="1:9" s="4" customFormat="1" ht="18" customHeight="1" x14ac:dyDescent="0.55000000000000004">
      <c r="A730" s="18">
        <v>24.803984700000001</v>
      </c>
      <c r="B730" s="18">
        <v>34.8431286</v>
      </c>
      <c r="C730" s="18">
        <v>686304.53</v>
      </c>
      <c r="D730" s="18">
        <v>2744500.95</v>
      </c>
      <c r="E730" s="18">
        <v>227.13</v>
      </c>
      <c r="F730" s="18">
        <v>42072.95</v>
      </c>
      <c r="G730" s="18">
        <v>133420</v>
      </c>
      <c r="H730" s="18">
        <f t="shared" si="33"/>
        <v>42064.95</v>
      </c>
      <c r="I730" s="3"/>
    </row>
    <row r="731" spans="1:9" s="4" customFormat="1" ht="18" customHeight="1" x14ac:dyDescent="0.55000000000000004">
      <c r="A731" s="18">
        <v>24.803963499999998</v>
      </c>
      <c r="B731" s="18">
        <v>34.843105199999997</v>
      </c>
      <c r="C731" s="18">
        <v>686302.19</v>
      </c>
      <c r="D731" s="18">
        <v>2744498.56</v>
      </c>
      <c r="E731" s="18">
        <v>227.13</v>
      </c>
      <c r="F731" s="18">
        <v>42074.27</v>
      </c>
      <c r="G731" s="18">
        <v>133422</v>
      </c>
      <c r="H731" s="18">
        <f t="shared" si="33"/>
        <v>42066.27</v>
      </c>
      <c r="I731" s="3"/>
    </row>
    <row r="732" spans="1:9" s="4" customFormat="1" ht="18" customHeight="1" x14ac:dyDescent="0.55000000000000004">
      <c r="A732" s="18">
        <v>24.803940999999998</v>
      </c>
      <c r="B732" s="18">
        <v>34.843082500000001</v>
      </c>
      <c r="C732" s="18">
        <v>686299.94</v>
      </c>
      <c r="D732" s="18">
        <v>2744496.03</v>
      </c>
      <c r="E732" s="18">
        <v>227.21</v>
      </c>
      <c r="F732" s="18">
        <v>42066.78</v>
      </c>
      <c r="G732" s="18">
        <v>133424</v>
      </c>
      <c r="H732" s="18">
        <f t="shared" si="33"/>
        <v>42058.78</v>
      </c>
      <c r="I732" s="3"/>
    </row>
    <row r="733" spans="1:9" s="4" customFormat="1" ht="18" customHeight="1" x14ac:dyDescent="0.55000000000000004">
      <c r="A733" s="18">
        <v>24.803917999999999</v>
      </c>
      <c r="B733" s="18">
        <v>34.843058599999999</v>
      </c>
      <c r="C733" s="18">
        <v>686297.55</v>
      </c>
      <c r="D733" s="18">
        <v>2744493.46</v>
      </c>
      <c r="E733" s="18">
        <v>227.19</v>
      </c>
      <c r="F733" s="18">
        <v>42064.11</v>
      </c>
      <c r="G733" s="18">
        <v>133426</v>
      </c>
      <c r="H733" s="18">
        <f t="shared" si="33"/>
        <v>42056.11</v>
      </c>
      <c r="I733" s="3"/>
    </row>
    <row r="734" spans="1:9" s="4" customFormat="1" ht="18" customHeight="1" x14ac:dyDescent="0.55000000000000004">
      <c r="A734" s="18">
        <v>24.803895600000001</v>
      </c>
      <c r="B734" s="18">
        <v>34.843036099999999</v>
      </c>
      <c r="C734" s="18">
        <v>686295.31</v>
      </c>
      <c r="D734" s="18">
        <v>2744490.95</v>
      </c>
      <c r="E734" s="18">
        <v>227.2</v>
      </c>
      <c r="F734" s="18">
        <v>42063.37</v>
      </c>
      <c r="G734" s="18">
        <v>133428</v>
      </c>
      <c r="H734" s="18">
        <f t="shared" si="33"/>
        <v>42055.37</v>
      </c>
      <c r="I734" s="3"/>
    </row>
    <row r="735" spans="1:9" s="4" customFormat="1" ht="18" customHeight="1" x14ac:dyDescent="0.55000000000000004">
      <c r="A735" s="18">
        <v>24.8038718</v>
      </c>
      <c r="B735" s="18">
        <v>34.843013900000003</v>
      </c>
      <c r="C735" s="18">
        <v>686293.1</v>
      </c>
      <c r="D735" s="18">
        <v>2744488.28</v>
      </c>
      <c r="E735" s="18">
        <v>227.17</v>
      </c>
      <c r="F735" s="18">
        <v>42066.43</v>
      </c>
      <c r="G735" s="18">
        <v>133430</v>
      </c>
      <c r="H735" s="18">
        <f t="shared" si="33"/>
        <v>42058.43</v>
      </c>
      <c r="I735" s="3"/>
    </row>
    <row r="736" spans="1:9" s="4" customFormat="1" ht="18" customHeight="1" x14ac:dyDescent="0.55000000000000004">
      <c r="A736" s="18">
        <v>24.803847699999999</v>
      </c>
      <c r="B736" s="18">
        <v>34.842993999999997</v>
      </c>
      <c r="C736" s="18">
        <v>686291.13</v>
      </c>
      <c r="D736" s="18">
        <v>2744485.58</v>
      </c>
      <c r="E736" s="18">
        <v>227.16</v>
      </c>
      <c r="F736" s="18">
        <v>42062.97</v>
      </c>
      <c r="G736" s="18">
        <v>133432</v>
      </c>
      <c r="H736" s="18">
        <f t="shared" si="33"/>
        <v>42054.97</v>
      </c>
      <c r="I736" s="3"/>
    </row>
    <row r="737" spans="1:9" s="4" customFormat="1" ht="18" customHeight="1" x14ac:dyDescent="0.55000000000000004">
      <c r="A737" s="18">
        <v>24.8038232</v>
      </c>
      <c r="B737" s="18">
        <v>34.842973999999998</v>
      </c>
      <c r="C737" s="18">
        <v>686289.14</v>
      </c>
      <c r="D737" s="18">
        <v>2744482.85</v>
      </c>
      <c r="E737" s="18">
        <v>227.11</v>
      </c>
      <c r="F737" s="18">
        <v>42050.19</v>
      </c>
      <c r="G737" s="18">
        <v>133434</v>
      </c>
      <c r="H737" s="18">
        <f t="shared" si="33"/>
        <v>42042.19</v>
      </c>
      <c r="I737" s="3"/>
    </row>
    <row r="738" spans="1:9" s="4" customFormat="1" ht="18" customHeight="1" x14ac:dyDescent="0.55000000000000004">
      <c r="A738" s="18">
        <v>24.803798700000002</v>
      </c>
      <c r="B738" s="18">
        <v>34.8429541</v>
      </c>
      <c r="C738" s="18">
        <v>686287.17</v>
      </c>
      <c r="D738" s="18">
        <v>2744480.1</v>
      </c>
      <c r="E738" s="18">
        <v>227.16</v>
      </c>
      <c r="F738" s="18">
        <v>42051.08</v>
      </c>
      <c r="G738" s="18">
        <v>133436</v>
      </c>
      <c r="H738" s="18">
        <f t="shared" si="33"/>
        <v>42043.08</v>
      </c>
      <c r="I738" s="3"/>
    </row>
    <row r="739" spans="1:9" s="4" customFormat="1" ht="18" customHeight="1" x14ac:dyDescent="0.55000000000000004">
      <c r="A739" s="18">
        <v>24.803772299999999</v>
      </c>
      <c r="B739" s="18">
        <v>34.842935199999999</v>
      </c>
      <c r="C739" s="18">
        <v>686285.29</v>
      </c>
      <c r="D739" s="18">
        <v>2744477.16</v>
      </c>
      <c r="E739" s="18">
        <v>227.16</v>
      </c>
      <c r="F739" s="18">
        <v>42057.63</v>
      </c>
      <c r="G739" s="18">
        <v>133438</v>
      </c>
      <c r="H739" s="18">
        <f t="shared" si="33"/>
        <v>42049.63</v>
      </c>
      <c r="I739" s="3"/>
    </row>
    <row r="740" spans="1:9" s="4" customFormat="1" ht="18" customHeight="1" x14ac:dyDescent="0.55000000000000004">
      <c r="A740" s="18">
        <v>24.803745800000002</v>
      </c>
      <c r="B740" s="18">
        <v>34.842916799999998</v>
      </c>
      <c r="C740" s="18">
        <v>686283.47</v>
      </c>
      <c r="D740" s="18">
        <v>2744474.19</v>
      </c>
      <c r="E740" s="18">
        <v>227.16</v>
      </c>
      <c r="F740" s="18">
        <v>42062.61</v>
      </c>
      <c r="G740" s="18">
        <v>133440</v>
      </c>
      <c r="H740" s="18">
        <f t="shared" si="33"/>
        <v>42054.61</v>
      </c>
      <c r="I740" s="3"/>
    </row>
    <row r="741" spans="1:9" s="4" customFormat="1" ht="18" customHeight="1" x14ac:dyDescent="0.55000000000000004">
      <c r="A741" s="18">
        <v>24.8037189</v>
      </c>
      <c r="B741" s="18">
        <v>34.842900200000003</v>
      </c>
      <c r="C741" s="18">
        <v>686281.84</v>
      </c>
      <c r="D741" s="18">
        <v>2744471.18</v>
      </c>
      <c r="E741" s="18">
        <v>227.24</v>
      </c>
      <c r="F741" s="18">
        <v>42066.99</v>
      </c>
      <c r="G741" s="18">
        <v>133442</v>
      </c>
      <c r="H741" s="18">
        <f t="shared" si="33"/>
        <v>42058.99</v>
      </c>
      <c r="I741" s="3"/>
    </row>
    <row r="742" spans="1:9" s="4" customFormat="1" ht="18" customHeight="1" x14ac:dyDescent="0.55000000000000004">
      <c r="A742" s="18">
        <v>24.803691400000002</v>
      </c>
      <c r="B742" s="18">
        <v>34.842884400000003</v>
      </c>
      <c r="C742" s="18">
        <v>686280.27</v>
      </c>
      <c r="D742" s="18">
        <v>2744468.12</v>
      </c>
      <c r="E742" s="18">
        <v>227.32</v>
      </c>
      <c r="F742" s="18">
        <v>42065.04</v>
      </c>
      <c r="G742" s="18">
        <v>133444</v>
      </c>
      <c r="H742" s="18">
        <f t="shared" si="33"/>
        <v>42057.04</v>
      </c>
      <c r="I742" s="3"/>
    </row>
    <row r="743" spans="1:9" s="4" customFormat="1" ht="18" customHeight="1" x14ac:dyDescent="0.55000000000000004">
      <c r="A743" s="18">
        <v>24.8036633</v>
      </c>
      <c r="B743" s="18">
        <v>34.8428708</v>
      </c>
      <c r="C743" s="18">
        <v>686278.95</v>
      </c>
      <c r="D743" s="18">
        <v>2744464.99</v>
      </c>
      <c r="E743" s="18">
        <v>227.42</v>
      </c>
      <c r="F743" s="18">
        <v>42067.02</v>
      </c>
      <c r="G743" s="18">
        <v>133446</v>
      </c>
      <c r="H743" s="18">
        <f t="shared" si="33"/>
        <v>42059.02</v>
      </c>
      <c r="I743" s="3"/>
    </row>
    <row r="744" spans="1:9" s="4" customFormat="1" ht="18" customHeight="1" x14ac:dyDescent="0.55000000000000004">
      <c r="A744" s="18">
        <v>24.803636099999999</v>
      </c>
      <c r="B744" s="18">
        <v>34.8428574</v>
      </c>
      <c r="C744" s="18">
        <v>686277.63</v>
      </c>
      <c r="D744" s="18">
        <v>2744461.96</v>
      </c>
      <c r="E744" s="18">
        <v>227.49</v>
      </c>
      <c r="F744" s="18">
        <v>42069.88</v>
      </c>
      <c r="G744" s="18">
        <v>133448</v>
      </c>
      <c r="H744" s="18">
        <f t="shared" si="33"/>
        <v>42061.88</v>
      </c>
      <c r="I744" s="3"/>
    </row>
    <row r="745" spans="1:9" s="4" customFormat="1" ht="18" customHeight="1" x14ac:dyDescent="0.55000000000000004">
      <c r="A745" s="18">
        <v>24.803607700000001</v>
      </c>
      <c r="B745" s="18">
        <v>34.842845099999998</v>
      </c>
      <c r="C745" s="18">
        <v>686276.43</v>
      </c>
      <c r="D745" s="18">
        <v>2744458.8</v>
      </c>
      <c r="E745" s="18">
        <v>227.5</v>
      </c>
      <c r="F745" s="18">
        <v>42067.89</v>
      </c>
      <c r="G745" s="18">
        <v>133450</v>
      </c>
      <c r="H745" s="18">
        <f t="shared" si="33"/>
        <v>42059.89</v>
      </c>
      <c r="I745" s="3"/>
    </row>
    <row r="746" spans="1:9" s="4" customFormat="1" ht="18" customHeight="1" x14ac:dyDescent="0.55000000000000004">
      <c r="A746" s="18">
        <v>24.803579500000001</v>
      </c>
      <c r="B746" s="18">
        <v>34.842831699999998</v>
      </c>
      <c r="C746" s="18">
        <v>686275.12</v>
      </c>
      <c r="D746" s="18">
        <v>2744455.66</v>
      </c>
      <c r="E746" s="18">
        <v>227.5</v>
      </c>
      <c r="F746" s="18">
        <v>42068.92</v>
      </c>
      <c r="G746" s="18">
        <v>133452</v>
      </c>
      <c r="H746" s="18">
        <f t="shared" si="33"/>
        <v>42060.92</v>
      </c>
      <c r="I746" s="3"/>
    </row>
    <row r="747" spans="1:9" s="4" customFormat="1" ht="18" customHeight="1" x14ac:dyDescent="0.55000000000000004">
      <c r="A747" s="18">
        <v>24.803551500000001</v>
      </c>
      <c r="B747" s="18">
        <v>34.842818800000003</v>
      </c>
      <c r="C747" s="18">
        <v>686273.85</v>
      </c>
      <c r="D747" s="18">
        <v>2744452.53</v>
      </c>
      <c r="E747" s="18">
        <v>227.51</v>
      </c>
      <c r="F747" s="18">
        <v>42068.27</v>
      </c>
      <c r="G747" s="18">
        <v>133454</v>
      </c>
      <c r="H747" s="18">
        <f t="shared" si="33"/>
        <v>42060.27</v>
      </c>
      <c r="I747" s="3"/>
    </row>
    <row r="748" spans="1:9" s="4" customFormat="1" ht="18" customHeight="1" x14ac:dyDescent="0.55000000000000004">
      <c r="A748" s="18">
        <v>24.803524199999998</v>
      </c>
      <c r="B748" s="18">
        <v>34.8428051</v>
      </c>
      <c r="C748" s="18">
        <v>686272.51</v>
      </c>
      <c r="D748" s="18">
        <v>2744449.49</v>
      </c>
      <c r="E748" s="18">
        <v>227.51</v>
      </c>
      <c r="F748" s="18">
        <v>42068</v>
      </c>
      <c r="G748" s="18">
        <v>133456</v>
      </c>
      <c r="H748" s="18">
        <f t="shared" si="33"/>
        <v>42060</v>
      </c>
      <c r="I748" s="3"/>
    </row>
    <row r="749" spans="1:9" s="4" customFormat="1" ht="18" customHeight="1" x14ac:dyDescent="0.55000000000000004">
      <c r="A749" s="18">
        <v>24.803498999999999</v>
      </c>
      <c r="B749" s="18">
        <v>34.842788599999999</v>
      </c>
      <c r="C749" s="18">
        <v>686270.88</v>
      </c>
      <c r="D749" s="18">
        <v>2744446.68</v>
      </c>
      <c r="E749" s="18">
        <v>227.51</v>
      </c>
      <c r="F749" s="18">
        <v>42067.71</v>
      </c>
      <c r="G749" s="18">
        <v>133458</v>
      </c>
      <c r="H749" s="18">
        <f t="shared" si="33"/>
        <v>42059.71</v>
      </c>
      <c r="I749" s="3"/>
    </row>
    <row r="750" spans="1:9" s="4" customFormat="1" ht="18" customHeight="1" x14ac:dyDescent="0.55000000000000004">
      <c r="A750" s="18">
        <v>24.803473100000001</v>
      </c>
      <c r="B750" s="18">
        <v>34.842775899999999</v>
      </c>
      <c r="C750" s="18">
        <v>686269.64</v>
      </c>
      <c r="D750" s="18">
        <v>2744443.79</v>
      </c>
      <c r="E750" s="18">
        <v>227.51</v>
      </c>
      <c r="F750" s="18">
        <v>42065.26</v>
      </c>
      <c r="G750" s="18">
        <v>133500</v>
      </c>
      <c r="H750" s="18">
        <f t="shared" si="33"/>
        <v>42057.26</v>
      </c>
      <c r="I750" s="3"/>
    </row>
    <row r="751" spans="1:9" s="4" customFormat="1" ht="18" customHeight="1" x14ac:dyDescent="0.55000000000000004">
      <c r="A751" s="18">
        <v>24.8034474</v>
      </c>
      <c r="B751" s="18">
        <v>34.842761099999997</v>
      </c>
      <c r="C751" s="18">
        <v>686268.18</v>
      </c>
      <c r="D751" s="18">
        <v>2744440.92</v>
      </c>
      <c r="E751" s="18">
        <v>227.5</v>
      </c>
      <c r="F751" s="18">
        <v>42065.07</v>
      </c>
      <c r="G751" s="18">
        <v>133502</v>
      </c>
      <c r="H751" s="18">
        <f t="shared" si="33"/>
        <v>42057.07</v>
      </c>
      <c r="I751" s="3"/>
    </row>
    <row r="752" spans="1:9" s="4" customFormat="1" ht="18" customHeight="1" x14ac:dyDescent="0.55000000000000004">
      <c r="A752" s="18">
        <v>24.8034207</v>
      </c>
      <c r="B752" s="18">
        <v>34.8427468</v>
      </c>
      <c r="C752" s="18">
        <v>686266.77</v>
      </c>
      <c r="D752" s="18">
        <v>2744437.94</v>
      </c>
      <c r="E752" s="18">
        <v>227.47</v>
      </c>
      <c r="F752" s="18">
        <v>42063.5</v>
      </c>
      <c r="G752" s="18">
        <v>133504</v>
      </c>
      <c r="H752" s="18">
        <f t="shared" si="33"/>
        <v>42055.5</v>
      </c>
      <c r="I752" s="3"/>
    </row>
    <row r="753" spans="1:9" s="4" customFormat="1" ht="18" customHeight="1" x14ac:dyDescent="0.55000000000000004">
      <c r="A753" s="18">
        <v>24.8033942</v>
      </c>
      <c r="B753" s="18">
        <v>34.842733199999998</v>
      </c>
      <c r="C753" s="18">
        <v>686265.43</v>
      </c>
      <c r="D753" s="18">
        <v>2744435</v>
      </c>
      <c r="E753" s="18">
        <v>227.46</v>
      </c>
      <c r="F753" s="18">
        <v>42060.87</v>
      </c>
      <c r="G753" s="18">
        <v>133506</v>
      </c>
      <c r="H753" s="18">
        <f t="shared" si="33"/>
        <v>42052.87</v>
      </c>
      <c r="I753" s="3"/>
    </row>
    <row r="754" spans="1:9" s="4" customFormat="1" ht="18" customHeight="1" x14ac:dyDescent="0.55000000000000004">
      <c r="A754" s="18">
        <v>24.803367300000001</v>
      </c>
      <c r="B754" s="18">
        <v>34.842719600000002</v>
      </c>
      <c r="C754" s="18">
        <v>686264.1</v>
      </c>
      <c r="D754" s="18">
        <v>2744432</v>
      </c>
      <c r="E754" s="18">
        <v>227.49</v>
      </c>
      <c r="F754" s="18">
        <v>42059.31</v>
      </c>
      <c r="G754" s="18">
        <v>133508</v>
      </c>
      <c r="H754" s="18">
        <f t="shared" si="33"/>
        <v>42051.31</v>
      </c>
      <c r="I754" s="3"/>
    </row>
    <row r="755" spans="1:9" s="4" customFormat="1" ht="18" customHeight="1" x14ac:dyDescent="0.55000000000000004">
      <c r="A755" s="18">
        <v>24.803339999999999</v>
      </c>
      <c r="B755" s="18">
        <v>34.842708100000003</v>
      </c>
      <c r="C755" s="18">
        <v>686262.98</v>
      </c>
      <c r="D755" s="18">
        <v>2744428.95</v>
      </c>
      <c r="E755" s="18">
        <v>227.49</v>
      </c>
      <c r="F755" s="18">
        <v>42060.65</v>
      </c>
      <c r="G755" s="18">
        <v>133510</v>
      </c>
      <c r="H755" s="18">
        <f t="shared" si="33"/>
        <v>42052.65</v>
      </c>
      <c r="I755" s="3"/>
    </row>
    <row r="756" spans="1:9" s="4" customFormat="1" ht="18" customHeight="1" x14ac:dyDescent="0.55000000000000004">
      <c r="A756" s="18">
        <v>24.8033131</v>
      </c>
      <c r="B756" s="18">
        <v>34.842695599999999</v>
      </c>
      <c r="C756" s="18">
        <v>686261.75</v>
      </c>
      <c r="D756" s="18">
        <v>2744425.96</v>
      </c>
      <c r="E756" s="18">
        <v>227.52</v>
      </c>
      <c r="F756" s="18">
        <v>42060.34</v>
      </c>
      <c r="G756" s="18">
        <v>133512</v>
      </c>
      <c r="H756" s="18">
        <f t="shared" si="33"/>
        <v>42052.34</v>
      </c>
      <c r="I756" s="3"/>
    </row>
    <row r="757" spans="1:9" s="4" customFormat="1" ht="18" customHeight="1" x14ac:dyDescent="0.55000000000000004">
      <c r="A757" s="18">
        <v>24.803293700000001</v>
      </c>
      <c r="B757" s="18">
        <v>34.842673699999999</v>
      </c>
      <c r="C757" s="18">
        <v>686259.57</v>
      </c>
      <c r="D757" s="18">
        <v>2744423.79</v>
      </c>
      <c r="E757" s="18">
        <v>227.57</v>
      </c>
      <c r="F757" s="18">
        <v>42058.73</v>
      </c>
      <c r="G757" s="18">
        <v>133514</v>
      </c>
      <c r="H757" s="18">
        <f t="shared" si="33"/>
        <v>42050.73</v>
      </c>
      <c r="I757" s="3"/>
    </row>
    <row r="758" spans="1:9" s="4" customFormat="1" ht="18" customHeight="1" x14ac:dyDescent="0.55000000000000004">
      <c r="A758" s="18">
        <v>24.8032796</v>
      </c>
      <c r="B758" s="18">
        <v>34.842648599999997</v>
      </c>
      <c r="C758" s="18">
        <v>686257.05</v>
      </c>
      <c r="D758" s="18">
        <v>2744422.19</v>
      </c>
      <c r="E758" s="18">
        <v>227.56</v>
      </c>
      <c r="F758" s="18">
        <v>42057.09</v>
      </c>
      <c r="G758" s="18">
        <v>133516</v>
      </c>
      <c r="H758" s="18">
        <f t="shared" si="33"/>
        <v>42049.09</v>
      </c>
      <c r="I758" s="3"/>
    </row>
    <row r="759" spans="1:9" s="4" customFormat="1" ht="18" customHeight="1" x14ac:dyDescent="0.55000000000000004">
      <c r="A759" s="18">
        <v>24.803258799999998</v>
      </c>
      <c r="B759" s="18">
        <v>34.842625900000002</v>
      </c>
      <c r="C759" s="18">
        <v>686254.79</v>
      </c>
      <c r="D759" s="18">
        <v>2744419.85</v>
      </c>
      <c r="E759" s="18">
        <v>227.59</v>
      </c>
      <c r="F759" s="18">
        <v>42056.01</v>
      </c>
      <c r="G759" s="18">
        <v>133518</v>
      </c>
      <c r="H759" s="18">
        <f t="shared" ref="H759:H822" si="34">SUM(F759-8)</f>
        <v>42048.01</v>
      </c>
      <c r="I759" s="3"/>
    </row>
    <row r="760" spans="1:9" s="4" customFormat="1" ht="18" customHeight="1" x14ac:dyDescent="0.55000000000000004">
      <c r="A760" s="18">
        <v>24.803236699999999</v>
      </c>
      <c r="B760" s="18">
        <v>34.842607000000001</v>
      </c>
      <c r="C760" s="18">
        <v>686252.91</v>
      </c>
      <c r="D760" s="18">
        <v>2744417.37</v>
      </c>
      <c r="E760" s="18">
        <v>227.72</v>
      </c>
      <c r="F760" s="18">
        <v>42057.71</v>
      </c>
      <c r="G760" s="18">
        <v>133520</v>
      </c>
      <c r="H760" s="18">
        <f t="shared" si="34"/>
        <v>42049.71</v>
      </c>
      <c r="I760" s="3"/>
    </row>
    <row r="761" spans="1:9" s="4" customFormat="1" ht="18" customHeight="1" x14ac:dyDescent="0.55000000000000004">
      <c r="A761" s="18">
        <v>24.803215600000001</v>
      </c>
      <c r="B761" s="18">
        <v>34.842589099999998</v>
      </c>
      <c r="C761" s="18">
        <v>686251.13</v>
      </c>
      <c r="D761" s="18">
        <v>2744415.01</v>
      </c>
      <c r="E761" s="18">
        <v>227.76</v>
      </c>
      <c r="F761" s="18">
        <v>42058.39</v>
      </c>
      <c r="G761" s="18">
        <v>133522</v>
      </c>
      <c r="H761" s="18">
        <f t="shared" si="34"/>
        <v>42050.39</v>
      </c>
      <c r="I761" s="3"/>
    </row>
    <row r="762" spans="1:9" s="4" customFormat="1" ht="18" customHeight="1" x14ac:dyDescent="0.55000000000000004">
      <c r="A762" s="18">
        <v>24.803197699999998</v>
      </c>
      <c r="B762" s="18">
        <v>34.842562399999998</v>
      </c>
      <c r="C762" s="18">
        <v>686248.46</v>
      </c>
      <c r="D762" s="18">
        <v>2744413</v>
      </c>
      <c r="E762" s="18">
        <v>227.81</v>
      </c>
      <c r="F762" s="18">
        <v>42055.9</v>
      </c>
      <c r="G762" s="18">
        <v>133524</v>
      </c>
      <c r="H762" s="18">
        <f t="shared" si="34"/>
        <v>42047.9</v>
      </c>
      <c r="I762" s="3"/>
    </row>
    <row r="763" spans="1:9" s="4" customFormat="1" ht="18" customHeight="1" x14ac:dyDescent="0.55000000000000004">
      <c r="A763" s="18">
        <v>24.8031826</v>
      </c>
      <c r="B763" s="18">
        <v>34.842535400000003</v>
      </c>
      <c r="C763" s="18">
        <v>686245.75</v>
      </c>
      <c r="D763" s="18">
        <v>2744411.29</v>
      </c>
      <c r="E763" s="18">
        <v>227.87</v>
      </c>
      <c r="F763" s="18">
        <v>42052.09</v>
      </c>
      <c r="G763" s="18">
        <v>133526</v>
      </c>
      <c r="H763" s="18">
        <f t="shared" si="34"/>
        <v>42044.09</v>
      </c>
      <c r="I763" s="3"/>
    </row>
    <row r="764" spans="1:9" s="4" customFormat="1" ht="18" customHeight="1" x14ac:dyDescent="0.55000000000000004">
      <c r="A764" s="18">
        <v>24.803167200000001</v>
      </c>
      <c r="B764" s="18">
        <v>34.842509100000001</v>
      </c>
      <c r="C764" s="18">
        <v>686243.12</v>
      </c>
      <c r="D764" s="18">
        <v>2744409.55</v>
      </c>
      <c r="E764" s="18">
        <v>227.95</v>
      </c>
      <c r="F764" s="18">
        <v>42052.29</v>
      </c>
      <c r="G764" s="18">
        <v>133528</v>
      </c>
      <c r="H764" s="18">
        <f t="shared" si="34"/>
        <v>42044.29</v>
      </c>
      <c r="I764" s="3"/>
    </row>
    <row r="765" spans="1:9" s="4" customFormat="1" ht="18" customHeight="1" x14ac:dyDescent="0.55000000000000004">
      <c r="A765" s="18">
        <v>24.803146300000002</v>
      </c>
      <c r="B765" s="18">
        <v>34.842492100000001</v>
      </c>
      <c r="C765" s="18">
        <v>686241.43</v>
      </c>
      <c r="D765" s="18">
        <v>2744407.21</v>
      </c>
      <c r="E765" s="18">
        <v>228.01</v>
      </c>
      <c r="F765" s="18">
        <v>42051.46</v>
      </c>
      <c r="G765" s="18">
        <v>133530</v>
      </c>
      <c r="H765" s="18">
        <f t="shared" si="34"/>
        <v>42043.46</v>
      </c>
      <c r="I765" s="3"/>
    </row>
    <row r="766" spans="1:9" s="4" customFormat="1" ht="18" customHeight="1" x14ac:dyDescent="0.55000000000000004">
      <c r="A766" s="18">
        <v>24.803123200000002</v>
      </c>
      <c r="B766" s="18">
        <v>34.842476300000001</v>
      </c>
      <c r="C766" s="18">
        <v>686239.87</v>
      </c>
      <c r="D766" s="18">
        <v>2744404.63</v>
      </c>
      <c r="E766" s="18">
        <v>227.86</v>
      </c>
      <c r="F766" s="18">
        <v>42047.53</v>
      </c>
      <c r="G766" s="18">
        <v>133532</v>
      </c>
      <c r="H766" s="18">
        <f t="shared" si="34"/>
        <v>42039.53</v>
      </c>
      <c r="I766" s="3"/>
    </row>
    <row r="767" spans="1:9" s="4" customFormat="1" ht="18" customHeight="1" x14ac:dyDescent="0.55000000000000004">
      <c r="A767" s="18">
        <v>24.803096199999999</v>
      </c>
      <c r="B767" s="18">
        <v>34.842460500000001</v>
      </c>
      <c r="C767" s="18">
        <v>686238.31</v>
      </c>
      <c r="D767" s="18">
        <v>2744401.62</v>
      </c>
      <c r="E767" s="18">
        <v>227.86</v>
      </c>
      <c r="F767" s="18">
        <v>42054.17</v>
      </c>
      <c r="G767" s="18">
        <v>133534</v>
      </c>
      <c r="H767" s="18">
        <f t="shared" si="34"/>
        <v>42046.17</v>
      </c>
      <c r="I767" s="3"/>
    </row>
    <row r="768" spans="1:9" s="4" customFormat="1" ht="18" customHeight="1" x14ac:dyDescent="0.55000000000000004">
      <c r="A768" s="18">
        <v>24.803071599999999</v>
      </c>
      <c r="B768" s="18">
        <v>34.8424446</v>
      </c>
      <c r="C768" s="18">
        <v>686236.74</v>
      </c>
      <c r="D768" s="18">
        <v>2744398.87</v>
      </c>
      <c r="E768" s="18">
        <v>227.79</v>
      </c>
      <c r="F768" s="18">
        <v>42049.63</v>
      </c>
      <c r="G768" s="18">
        <v>133536</v>
      </c>
      <c r="H768" s="18">
        <f t="shared" si="34"/>
        <v>42041.63</v>
      </c>
      <c r="I768" s="3"/>
    </row>
    <row r="769" spans="1:9" s="4" customFormat="1" ht="18" customHeight="1" x14ac:dyDescent="0.55000000000000004">
      <c r="A769" s="18">
        <v>24.803044400000001</v>
      </c>
      <c r="B769" s="18">
        <v>34.842433499999999</v>
      </c>
      <c r="C769" s="18">
        <v>686235.66</v>
      </c>
      <c r="D769" s="18">
        <v>2744395.84</v>
      </c>
      <c r="E769" s="18">
        <v>227.91</v>
      </c>
      <c r="F769" s="18">
        <v>42051.94</v>
      </c>
      <c r="G769" s="18">
        <v>133538</v>
      </c>
      <c r="H769" s="18">
        <f t="shared" si="34"/>
        <v>42043.94</v>
      </c>
      <c r="I769" s="3"/>
    </row>
    <row r="770" spans="1:9" s="4" customFormat="1" ht="18" customHeight="1" x14ac:dyDescent="0.55000000000000004">
      <c r="A770" s="18">
        <v>24.803017100000002</v>
      </c>
      <c r="B770" s="18">
        <v>34.842420199999999</v>
      </c>
      <c r="C770" s="18">
        <v>686234.35</v>
      </c>
      <c r="D770" s="18">
        <v>2744392.8</v>
      </c>
      <c r="E770" s="18">
        <v>227.84</v>
      </c>
      <c r="F770" s="18">
        <v>42053.51</v>
      </c>
      <c r="G770" s="18">
        <v>133540</v>
      </c>
      <c r="H770" s="18">
        <f t="shared" si="34"/>
        <v>42045.51</v>
      </c>
      <c r="I770" s="3"/>
    </row>
    <row r="771" spans="1:9" s="4" customFormat="1" ht="18" customHeight="1" x14ac:dyDescent="0.55000000000000004">
      <c r="A771" s="18">
        <v>24.8029914</v>
      </c>
      <c r="B771" s="18">
        <v>34.842405999999997</v>
      </c>
      <c r="C771" s="18">
        <v>686232.95</v>
      </c>
      <c r="D771" s="18">
        <v>2744389.94</v>
      </c>
      <c r="E771" s="18">
        <v>227.8</v>
      </c>
      <c r="F771" s="18">
        <v>42053.38</v>
      </c>
      <c r="G771" s="18">
        <v>133542</v>
      </c>
      <c r="H771" s="18">
        <f t="shared" si="34"/>
        <v>42045.38</v>
      </c>
      <c r="I771" s="3"/>
    </row>
    <row r="772" spans="1:9" s="4" customFormat="1" ht="18" customHeight="1" x14ac:dyDescent="0.55000000000000004">
      <c r="A772" s="18">
        <v>24.802969000000001</v>
      </c>
      <c r="B772" s="18">
        <v>34.842387299999999</v>
      </c>
      <c r="C772" s="18">
        <v>686231.1</v>
      </c>
      <c r="D772" s="18">
        <v>2744387.42</v>
      </c>
      <c r="E772" s="18">
        <v>227.74</v>
      </c>
      <c r="F772" s="18">
        <v>42054.27</v>
      </c>
      <c r="G772" s="18">
        <v>133544</v>
      </c>
      <c r="H772" s="18">
        <f t="shared" si="34"/>
        <v>42046.27</v>
      </c>
      <c r="I772" s="3"/>
    </row>
    <row r="773" spans="1:9" s="4" customFormat="1" ht="18" customHeight="1" x14ac:dyDescent="0.55000000000000004">
      <c r="A773" s="18">
        <v>24.802949999999999</v>
      </c>
      <c r="B773" s="18">
        <v>34.8423637</v>
      </c>
      <c r="C773" s="18">
        <v>686228.74</v>
      </c>
      <c r="D773" s="18">
        <v>2744385.29</v>
      </c>
      <c r="E773" s="18">
        <v>227.63</v>
      </c>
      <c r="F773" s="18">
        <v>42051.88</v>
      </c>
      <c r="G773" s="18">
        <v>133546</v>
      </c>
      <c r="H773" s="18">
        <f t="shared" si="34"/>
        <v>42043.88</v>
      </c>
      <c r="I773" s="3"/>
    </row>
    <row r="774" spans="1:9" s="4" customFormat="1" ht="18" customHeight="1" x14ac:dyDescent="0.55000000000000004">
      <c r="A774" s="18">
        <v>24.8029291</v>
      </c>
      <c r="B774" s="18">
        <v>34.84234</v>
      </c>
      <c r="C774" s="18">
        <v>686226.38</v>
      </c>
      <c r="D774" s="18">
        <v>2744382.94</v>
      </c>
      <c r="E774" s="18">
        <v>227.59</v>
      </c>
      <c r="F774" s="18">
        <v>42052.68</v>
      </c>
      <c r="G774" s="18">
        <v>133548</v>
      </c>
      <c r="H774" s="18">
        <f t="shared" si="34"/>
        <v>42044.68</v>
      </c>
      <c r="I774" s="3"/>
    </row>
    <row r="775" spans="1:9" s="4" customFormat="1" ht="18" customHeight="1" x14ac:dyDescent="0.55000000000000004">
      <c r="A775" s="18">
        <v>24.8029066</v>
      </c>
      <c r="B775" s="18">
        <v>34.842320000000001</v>
      </c>
      <c r="C775" s="18">
        <v>686224.38</v>
      </c>
      <c r="D775" s="18">
        <v>2744380.43</v>
      </c>
      <c r="E775" s="18">
        <v>227.59</v>
      </c>
      <c r="F775" s="18">
        <v>42052.35</v>
      </c>
      <c r="G775" s="18">
        <v>133550</v>
      </c>
      <c r="H775" s="18">
        <f t="shared" si="34"/>
        <v>42044.35</v>
      </c>
      <c r="I775" s="3"/>
    </row>
    <row r="776" spans="1:9" s="4" customFormat="1" ht="18" customHeight="1" x14ac:dyDescent="0.55000000000000004">
      <c r="A776" s="18">
        <v>24.802883699999999</v>
      </c>
      <c r="B776" s="18">
        <v>34.842301399999997</v>
      </c>
      <c r="C776" s="18">
        <v>686222.55</v>
      </c>
      <c r="D776" s="18">
        <v>2744377.86</v>
      </c>
      <c r="E776" s="18">
        <v>227.57</v>
      </c>
      <c r="F776" s="18">
        <v>42051.35</v>
      </c>
      <c r="G776" s="18">
        <v>133552</v>
      </c>
      <c r="H776" s="18">
        <f t="shared" si="34"/>
        <v>42043.35</v>
      </c>
      <c r="I776" s="3"/>
    </row>
    <row r="777" spans="1:9" s="4" customFormat="1" ht="18" customHeight="1" x14ac:dyDescent="0.55000000000000004">
      <c r="A777" s="18">
        <v>24.802860800000001</v>
      </c>
      <c r="B777" s="18">
        <v>34.842281100000001</v>
      </c>
      <c r="C777" s="18">
        <v>686220.53</v>
      </c>
      <c r="D777" s="18">
        <v>2744375.3</v>
      </c>
      <c r="E777" s="18">
        <v>227.54</v>
      </c>
      <c r="F777" s="18">
        <v>42052.65</v>
      </c>
      <c r="G777" s="18">
        <v>133554</v>
      </c>
      <c r="H777" s="18">
        <f t="shared" si="34"/>
        <v>42044.65</v>
      </c>
      <c r="I777" s="3"/>
    </row>
    <row r="778" spans="1:9" s="4" customFormat="1" ht="18" customHeight="1" x14ac:dyDescent="0.55000000000000004">
      <c r="A778" s="18">
        <v>24.802836500000002</v>
      </c>
      <c r="B778" s="18">
        <v>34.8422622</v>
      </c>
      <c r="C778" s="18">
        <v>686218.65</v>
      </c>
      <c r="D778" s="18">
        <v>2744372.58</v>
      </c>
      <c r="E778" s="18">
        <v>227.55</v>
      </c>
      <c r="F778" s="18">
        <v>42052.34</v>
      </c>
      <c r="G778" s="18">
        <v>133556</v>
      </c>
      <c r="H778" s="18">
        <f t="shared" si="34"/>
        <v>42044.34</v>
      </c>
      <c r="I778" s="3"/>
    </row>
    <row r="779" spans="1:9" s="4" customFormat="1" ht="18" customHeight="1" x14ac:dyDescent="0.55000000000000004">
      <c r="A779" s="18">
        <v>24.802813</v>
      </c>
      <c r="B779" s="18">
        <v>34.842241700000002</v>
      </c>
      <c r="C779" s="18">
        <v>686216.61</v>
      </c>
      <c r="D779" s="18">
        <v>2744369.95</v>
      </c>
      <c r="E779" s="18">
        <v>227.52</v>
      </c>
      <c r="F779" s="18">
        <v>42050.19</v>
      </c>
      <c r="G779" s="18">
        <v>133558</v>
      </c>
      <c r="H779" s="18">
        <f t="shared" si="34"/>
        <v>42042.19</v>
      </c>
      <c r="I779" s="3"/>
    </row>
    <row r="780" spans="1:9" s="4" customFormat="1" ht="18" customHeight="1" x14ac:dyDescent="0.55000000000000004">
      <c r="A780" s="18">
        <v>24.8027886</v>
      </c>
      <c r="B780" s="18">
        <v>34.842223199999999</v>
      </c>
      <c r="C780" s="18">
        <v>686214.78</v>
      </c>
      <c r="D780" s="18">
        <v>2744367.23</v>
      </c>
      <c r="E780" s="18">
        <v>227.49</v>
      </c>
      <c r="F780" s="18">
        <v>42047.17</v>
      </c>
      <c r="G780" s="18">
        <v>133600</v>
      </c>
      <c r="H780" s="18">
        <f t="shared" si="34"/>
        <v>42039.17</v>
      </c>
      <c r="I780" s="3"/>
    </row>
    <row r="781" spans="1:9" s="4" customFormat="1" ht="18" customHeight="1" x14ac:dyDescent="0.55000000000000004">
      <c r="A781" s="18">
        <v>24.8027655</v>
      </c>
      <c r="B781" s="18">
        <v>34.842202800000003</v>
      </c>
      <c r="C781" s="18">
        <v>686212.75</v>
      </c>
      <c r="D781" s="18">
        <v>2744364.64</v>
      </c>
      <c r="E781" s="18">
        <v>227.5</v>
      </c>
      <c r="F781" s="18">
        <v>42046.9</v>
      </c>
      <c r="G781" s="18">
        <v>133602</v>
      </c>
      <c r="H781" s="18">
        <f t="shared" si="34"/>
        <v>42038.9</v>
      </c>
      <c r="I781" s="3"/>
    </row>
    <row r="782" spans="1:9" s="4" customFormat="1" ht="18" customHeight="1" x14ac:dyDescent="0.55000000000000004">
      <c r="A782" s="18">
        <v>24.802745399999999</v>
      </c>
      <c r="B782" s="18">
        <v>34.842179399999999</v>
      </c>
      <c r="C782" s="18">
        <v>686210.41</v>
      </c>
      <c r="D782" s="18">
        <v>2744362.38</v>
      </c>
      <c r="E782" s="18">
        <v>227.58</v>
      </c>
      <c r="F782" s="18">
        <v>42050.400000000001</v>
      </c>
      <c r="G782" s="18">
        <v>133604</v>
      </c>
      <c r="H782" s="18">
        <f t="shared" si="34"/>
        <v>42042.400000000001</v>
      </c>
      <c r="I782" s="3"/>
    </row>
    <row r="783" spans="1:9" s="4" customFormat="1" ht="18" customHeight="1" x14ac:dyDescent="0.55000000000000004">
      <c r="A783" s="18">
        <v>24.802726400000001</v>
      </c>
      <c r="B783" s="18">
        <v>34.842155699999999</v>
      </c>
      <c r="C783" s="18">
        <v>686208.04</v>
      </c>
      <c r="D783" s="18">
        <v>2744360.24</v>
      </c>
      <c r="E783" s="18">
        <v>227.66</v>
      </c>
      <c r="F783" s="18">
        <v>42049.57</v>
      </c>
      <c r="G783" s="18">
        <v>133606</v>
      </c>
      <c r="H783" s="18">
        <f t="shared" si="34"/>
        <v>42041.57</v>
      </c>
      <c r="I783" s="3"/>
    </row>
    <row r="784" spans="1:9" s="4" customFormat="1" ht="18" customHeight="1" x14ac:dyDescent="0.55000000000000004">
      <c r="A784" s="18">
        <v>24.8027096</v>
      </c>
      <c r="B784" s="18">
        <v>34.842129700000001</v>
      </c>
      <c r="C784" s="18">
        <v>686205.43999999994</v>
      </c>
      <c r="D784" s="18">
        <v>2744358.34</v>
      </c>
      <c r="E784" s="18">
        <v>227.72</v>
      </c>
      <c r="F784" s="18">
        <v>42047.91</v>
      </c>
      <c r="G784" s="18">
        <v>133608</v>
      </c>
      <c r="H784" s="18">
        <f t="shared" si="34"/>
        <v>42039.91</v>
      </c>
      <c r="I784" s="3"/>
    </row>
    <row r="785" spans="1:9" s="4" customFormat="1" ht="18" customHeight="1" x14ac:dyDescent="0.55000000000000004">
      <c r="A785" s="18">
        <v>24.802689999999998</v>
      </c>
      <c r="B785" s="18">
        <v>34.8421047</v>
      </c>
      <c r="C785" s="18">
        <v>686202.94</v>
      </c>
      <c r="D785" s="18">
        <v>2744356.14</v>
      </c>
      <c r="E785" s="18">
        <v>227.77</v>
      </c>
      <c r="F785" s="18">
        <v>42048.5</v>
      </c>
      <c r="G785" s="18">
        <v>133610</v>
      </c>
      <c r="H785" s="18">
        <f t="shared" si="34"/>
        <v>42040.5</v>
      </c>
      <c r="I785" s="3"/>
    </row>
    <row r="786" spans="1:9" s="4" customFormat="1" ht="18" customHeight="1" x14ac:dyDescent="0.55000000000000004">
      <c r="A786" s="18">
        <v>24.802672300000001</v>
      </c>
      <c r="B786" s="18">
        <v>34.842078600000001</v>
      </c>
      <c r="C786" s="18">
        <v>686200.33</v>
      </c>
      <c r="D786" s="18">
        <v>2744354.14</v>
      </c>
      <c r="E786" s="18">
        <v>227.82</v>
      </c>
      <c r="F786" s="18">
        <v>42047.76</v>
      </c>
      <c r="G786" s="18">
        <v>133612</v>
      </c>
      <c r="H786" s="18">
        <f t="shared" si="34"/>
        <v>42039.76</v>
      </c>
      <c r="I786" s="3"/>
    </row>
    <row r="787" spans="1:9" s="4" customFormat="1" ht="18" customHeight="1" x14ac:dyDescent="0.55000000000000004">
      <c r="A787" s="18">
        <v>24.802655099999999</v>
      </c>
      <c r="B787" s="18">
        <v>34.8420536</v>
      </c>
      <c r="C787" s="18">
        <v>686197.83</v>
      </c>
      <c r="D787" s="18">
        <v>2744352.2</v>
      </c>
      <c r="E787" s="18">
        <v>227.87</v>
      </c>
      <c r="F787" s="18">
        <v>42045.54</v>
      </c>
      <c r="G787" s="18">
        <v>133614</v>
      </c>
      <c r="H787" s="18">
        <f t="shared" si="34"/>
        <v>42037.54</v>
      </c>
      <c r="I787" s="3"/>
    </row>
    <row r="788" spans="1:9" s="4" customFormat="1" ht="18" customHeight="1" x14ac:dyDescent="0.55000000000000004">
      <c r="A788" s="18">
        <v>24.8026385</v>
      </c>
      <c r="B788" s="18">
        <v>34.842027199999997</v>
      </c>
      <c r="C788" s="18">
        <v>686195.18</v>
      </c>
      <c r="D788" s="18">
        <v>2744350.33</v>
      </c>
      <c r="E788" s="18">
        <v>227.89</v>
      </c>
      <c r="F788" s="18">
        <v>42042.65</v>
      </c>
      <c r="G788" s="18">
        <v>133616</v>
      </c>
      <c r="H788" s="18">
        <f t="shared" si="34"/>
        <v>42034.65</v>
      </c>
      <c r="I788" s="3"/>
    </row>
    <row r="789" spans="1:9" s="4" customFormat="1" ht="18" customHeight="1" x14ac:dyDescent="0.55000000000000004">
      <c r="A789" s="18">
        <v>24.802615800000002</v>
      </c>
      <c r="B789" s="18">
        <v>34.842005</v>
      </c>
      <c r="C789" s="18">
        <v>686192.98</v>
      </c>
      <c r="D789" s="18">
        <v>2744347.78</v>
      </c>
      <c r="E789" s="18">
        <v>227.96</v>
      </c>
      <c r="F789" s="18">
        <v>42043.08</v>
      </c>
      <c r="G789" s="18">
        <v>133618</v>
      </c>
      <c r="H789" s="18">
        <f t="shared" si="34"/>
        <v>42035.08</v>
      </c>
      <c r="I789" s="3"/>
    </row>
    <row r="790" spans="1:9" s="4" customFormat="1" ht="18" customHeight="1" x14ac:dyDescent="0.55000000000000004">
      <c r="A790" s="18">
        <v>24.8025962</v>
      </c>
      <c r="B790" s="18">
        <v>34.84198</v>
      </c>
      <c r="C790" s="18">
        <v>686190.47</v>
      </c>
      <c r="D790" s="18">
        <v>2744345.58</v>
      </c>
      <c r="E790" s="18">
        <v>228.02</v>
      </c>
      <c r="F790" s="18">
        <v>42040.639999999999</v>
      </c>
      <c r="G790" s="18">
        <v>133620</v>
      </c>
      <c r="H790" s="18">
        <f t="shared" si="34"/>
        <v>42032.639999999999</v>
      </c>
      <c r="I790" s="3"/>
    </row>
    <row r="791" spans="1:9" s="4" customFormat="1" ht="18" customHeight="1" x14ac:dyDescent="0.55000000000000004">
      <c r="A791" s="18">
        <v>24.802578799999999</v>
      </c>
      <c r="B791" s="18">
        <v>34.841952999999997</v>
      </c>
      <c r="C791" s="18">
        <v>686187.77</v>
      </c>
      <c r="D791" s="18">
        <v>2744343.62</v>
      </c>
      <c r="E791" s="18">
        <v>228.11</v>
      </c>
      <c r="F791" s="18">
        <v>42043.199999999997</v>
      </c>
      <c r="G791" s="18">
        <v>133622</v>
      </c>
      <c r="H791" s="18">
        <f t="shared" si="34"/>
        <v>42035.199999999997</v>
      </c>
      <c r="I791" s="3"/>
    </row>
    <row r="792" spans="1:9" s="4" customFormat="1" ht="18" customHeight="1" x14ac:dyDescent="0.55000000000000004">
      <c r="A792" s="18">
        <v>24.802562300000002</v>
      </c>
      <c r="B792" s="18">
        <v>34.841925400000001</v>
      </c>
      <c r="C792" s="18">
        <v>686185.01</v>
      </c>
      <c r="D792" s="18">
        <v>2744341.76</v>
      </c>
      <c r="E792" s="18">
        <v>228.2</v>
      </c>
      <c r="F792" s="18">
        <v>42040.1</v>
      </c>
      <c r="G792" s="18">
        <v>133624</v>
      </c>
      <c r="H792" s="18">
        <f t="shared" si="34"/>
        <v>42032.1</v>
      </c>
      <c r="I792" s="3"/>
    </row>
    <row r="793" spans="1:9" s="4" customFormat="1" ht="18" customHeight="1" x14ac:dyDescent="0.55000000000000004">
      <c r="A793" s="18">
        <v>24.802544099999999</v>
      </c>
      <c r="B793" s="18">
        <v>34.841897500000002</v>
      </c>
      <c r="C793" s="18">
        <v>686182.21</v>
      </c>
      <c r="D793" s="18">
        <v>2744339.7</v>
      </c>
      <c r="E793" s="18">
        <v>228.3</v>
      </c>
      <c r="F793" s="18">
        <v>42038.75</v>
      </c>
      <c r="G793" s="18">
        <v>133626</v>
      </c>
      <c r="H793" s="18">
        <f t="shared" si="34"/>
        <v>42030.75</v>
      </c>
      <c r="I793" s="3"/>
    </row>
    <row r="794" spans="1:9" s="4" customFormat="1" ht="18" customHeight="1" x14ac:dyDescent="0.55000000000000004">
      <c r="A794" s="18">
        <v>24.802524500000001</v>
      </c>
      <c r="B794" s="18">
        <v>34.841871400000002</v>
      </c>
      <c r="C794" s="18">
        <v>686179.6</v>
      </c>
      <c r="D794" s="18">
        <v>2744337.49</v>
      </c>
      <c r="E794" s="18">
        <v>228.38</v>
      </c>
      <c r="F794" s="18">
        <v>42038.82</v>
      </c>
      <c r="G794" s="18">
        <v>133628</v>
      </c>
      <c r="H794" s="18">
        <f t="shared" si="34"/>
        <v>42030.82</v>
      </c>
      <c r="I794" s="3"/>
    </row>
    <row r="795" spans="1:9" s="4" customFormat="1" ht="18" customHeight="1" x14ac:dyDescent="0.55000000000000004">
      <c r="A795" s="18">
        <v>24.802503300000001</v>
      </c>
      <c r="B795" s="18">
        <v>34.841846599999997</v>
      </c>
      <c r="C795" s="18">
        <v>686177.13</v>
      </c>
      <c r="D795" s="18">
        <v>2744335.11</v>
      </c>
      <c r="E795" s="18">
        <v>228.44</v>
      </c>
      <c r="F795" s="18">
        <v>42037.9</v>
      </c>
      <c r="G795" s="18">
        <v>133630</v>
      </c>
      <c r="H795" s="18">
        <f t="shared" si="34"/>
        <v>42029.9</v>
      </c>
      <c r="I795" s="3"/>
    </row>
    <row r="796" spans="1:9" s="4" customFormat="1" ht="18" customHeight="1" x14ac:dyDescent="0.55000000000000004">
      <c r="A796" s="18">
        <v>24.802482399999999</v>
      </c>
      <c r="B796" s="18">
        <v>34.841821500000002</v>
      </c>
      <c r="C796" s="18">
        <v>686174.62</v>
      </c>
      <c r="D796" s="18">
        <v>2744332.76</v>
      </c>
      <c r="E796" s="18">
        <v>228.44</v>
      </c>
      <c r="F796" s="18">
        <v>42038.67</v>
      </c>
      <c r="G796" s="18">
        <v>133632</v>
      </c>
      <c r="H796" s="18">
        <f t="shared" si="34"/>
        <v>42030.67</v>
      </c>
      <c r="I796" s="3"/>
    </row>
    <row r="797" spans="1:9" s="4" customFormat="1" ht="18" customHeight="1" x14ac:dyDescent="0.55000000000000004">
      <c r="A797" s="18">
        <v>24.802461000000001</v>
      </c>
      <c r="B797" s="18">
        <v>34.841796600000002</v>
      </c>
      <c r="C797" s="18">
        <v>686172.14</v>
      </c>
      <c r="D797" s="18">
        <v>2744330.35</v>
      </c>
      <c r="E797" s="18">
        <v>228.47</v>
      </c>
      <c r="F797" s="18">
        <v>42036.78</v>
      </c>
      <c r="G797" s="18">
        <v>133634</v>
      </c>
      <c r="H797" s="18">
        <f t="shared" si="34"/>
        <v>42028.78</v>
      </c>
      <c r="I797" s="3"/>
    </row>
    <row r="798" spans="1:9" s="4" customFormat="1" ht="18" customHeight="1" x14ac:dyDescent="0.55000000000000004">
      <c r="A798" s="18">
        <v>24.802441000000002</v>
      </c>
      <c r="B798" s="18">
        <v>34.841771000000001</v>
      </c>
      <c r="C798" s="18">
        <v>686169.58</v>
      </c>
      <c r="D798" s="18">
        <v>2744328.11</v>
      </c>
      <c r="E798" s="18">
        <v>228.5</v>
      </c>
      <c r="F798" s="18">
        <v>42032.480000000003</v>
      </c>
      <c r="G798" s="18">
        <v>133636</v>
      </c>
      <c r="H798" s="18">
        <f t="shared" si="34"/>
        <v>42024.480000000003</v>
      </c>
      <c r="I798" s="3"/>
    </row>
    <row r="799" spans="1:9" s="4" customFormat="1" ht="18" customHeight="1" x14ac:dyDescent="0.55000000000000004">
      <c r="A799" s="18">
        <v>24.802421200000001</v>
      </c>
      <c r="B799" s="18">
        <v>34.841745199999998</v>
      </c>
      <c r="C799" s="18">
        <v>686167</v>
      </c>
      <c r="D799" s="18">
        <v>2744325.87</v>
      </c>
      <c r="E799" s="18">
        <v>228.53</v>
      </c>
      <c r="F799" s="18">
        <v>42033.36</v>
      </c>
      <c r="G799" s="18">
        <v>133638</v>
      </c>
      <c r="H799" s="18">
        <f t="shared" si="34"/>
        <v>42025.36</v>
      </c>
      <c r="I799" s="3"/>
    </row>
    <row r="800" spans="1:9" s="4" customFormat="1" ht="18" customHeight="1" x14ac:dyDescent="0.55000000000000004">
      <c r="A800" s="18">
        <v>24.8024007</v>
      </c>
      <c r="B800" s="18">
        <v>34.841720500000001</v>
      </c>
      <c r="C800" s="18">
        <v>686164.53</v>
      </c>
      <c r="D800" s="18">
        <v>2744323.58</v>
      </c>
      <c r="E800" s="18">
        <v>228.57</v>
      </c>
      <c r="F800" s="18">
        <v>42028.65</v>
      </c>
      <c r="G800" s="18">
        <v>133640</v>
      </c>
      <c r="H800" s="18">
        <f t="shared" si="34"/>
        <v>42020.65</v>
      </c>
      <c r="I800" s="3"/>
    </row>
    <row r="801" spans="1:9" s="4" customFormat="1" ht="18" customHeight="1" x14ac:dyDescent="0.55000000000000004">
      <c r="A801" s="18">
        <v>24.802380700000001</v>
      </c>
      <c r="B801" s="18">
        <v>34.841694199999999</v>
      </c>
      <c r="C801" s="18">
        <v>686161.9</v>
      </c>
      <c r="D801" s="18">
        <v>2744321.32</v>
      </c>
      <c r="E801" s="18">
        <v>228.71</v>
      </c>
      <c r="F801" s="18">
        <v>42028.67</v>
      </c>
      <c r="G801" s="18">
        <v>133642</v>
      </c>
      <c r="H801" s="18">
        <f t="shared" si="34"/>
        <v>42020.67</v>
      </c>
      <c r="I801" s="3"/>
    </row>
    <row r="802" spans="1:9" s="4" customFormat="1" ht="18" customHeight="1" x14ac:dyDescent="0.55000000000000004">
      <c r="A802" s="18">
        <v>24.802360100000001</v>
      </c>
      <c r="B802" s="18">
        <v>34.841669899999999</v>
      </c>
      <c r="C802" s="18">
        <v>686159.48</v>
      </c>
      <c r="D802" s="18">
        <v>2744319</v>
      </c>
      <c r="E802" s="18">
        <v>228.76</v>
      </c>
      <c r="F802" s="18">
        <v>42030.86</v>
      </c>
      <c r="G802" s="18">
        <v>133644</v>
      </c>
      <c r="H802" s="18">
        <f t="shared" si="34"/>
        <v>42022.86</v>
      </c>
      <c r="I802" s="3"/>
    </row>
    <row r="803" spans="1:9" s="4" customFormat="1" ht="18" customHeight="1" x14ac:dyDescent="0.55000000000000004">
      <c r="A803" s="18">
        <v>24.802339199999999</v>
      </c>
      <c r="B803" s="18">
        <v>34.841646900000001</v>
      </c>
      <c r="C803" s="18">
        <v>686157.19</v>
      </c>
      <c r="D803" s="18">
        <v>2744316.66</v>
      </c>
      <c r="E803" s="18">
        <v>228.94</v>
      </c>
      <c r="F803" s="18">
        <v>42026.17</v>
      </c>
      <c r="G803" s="18">
        <v>133646</v>
      </c>
      <c r="H803" s="18">
        <f t="shared" si="34"/>
        <v>42018.17</v>
      </c>
      <c r="I803" s="3"/>
    </row>
    <row r="804" spans="1:9" s="4" customFormat="1" ht="18" customHeight="1" x14ac:dyDescent="0.55000000000000004">
      <c r="A804" s="18">
        <v>24.802318199999998</v>
      </c>
      <c r="B804" s="18">
        <v>34.841623800000001</v>
      </c>
      <c r="C804" s="18">
        <v>686154.87</v>
      </c>
      <c r="D804" s="18">
        <v>2744314.31</v>
      </c>
      <c r="E804" s="18">
        <v>228.97</v>
      </c>
      <c r="F804" s="18">
        <v>42026.8</v>
      </c>
      <c r="G804" s="18">
        <v>133648</v>
      </c>
      <c r="H804" s="18">
        <f t="shared" si="34"/>
        <v>42018.8</v>
      </c>
      <c r="I804" s="3"/>
    </row>
    <row r="805" spans="1:9" s="4" customFormat="1" ht="18" customHeight="1" x14ac:dyDescent="0.55000000000000004">
      <c r="A805" s="18">
        <v>24.8022955</v>
      </c>
      <c r="B805" s="18">
        <v>34.841602100000003</v>
      </c>
      <c r="C805" s="18">
        <v>686152.72</v>
      </c>
      <c r="D805" s="18">
        <v>2744311.76</v>
      </c>
      <c r="E805" s="18">
        <v>229</v>
      </c>
      <c r="F805" s="18">
        <v>42026.81</v>
      </c>
      <c r="G805" s="18">
        <v>133650</v>
      </c>
      <c r="H805" s="18">
        <f t="shared" si="34"/>
        <v>42018.81</v>
      </c>
      <c r="I805" s="3"/>
    </row>
    <row r="806" spans="1:9" s="4" customFormat="1" ht="18" customHeight="1" x14ac:dyDescent="0.55000000000000004">
      <c r="A806" s="18">
        <v>24.802272599999998</v>
      </c>
      <c r="B806" s="18">
        <v>34.841582600000002</v>
      </c>
      <c r="C806" s="18">
        <v>686150.77</v>
      </c>
      <c r="D806" s="18">
        <v>2744309.19</v>
      </c>
      <c r="E806" s="18">
        <v>229.04</v>
      </c>
      <c r="F806" s="18">
        <v>42031.78</v>
      </c>
      <c r="G806" s="18">
        <v>133652</v>
      </c>
      <c r="H806" s="18">
        <f t="shared" si="34"/>
        <v>42023.78</v>
      </c>
      <c r="I806" s="3"/>
    </row>
    <row r="807" spans="1:9" s="4" customFormat="1" ht="18" customHeight="1" x14ac:dyDescent="0.55000000000000004">
      <c r="A807" s="18">
        <v>24.802246100000001</v>
      </c>
      <c r="B807" s="18">
        <v>34.841565199999998</v>
      </c>
      <c r="C807" s="18">
        <v>686149.06</v>
      </c>
      <c r="D807" s="18">
        <v>2744306.24</v>
      </c>
      <c r="E807" s="18">
        <v>229.09</v>
      </c>
      <c r="F807" s="18">
        <v>42026.61</v>
      </c>
      <c r="G807" s="18">
        <v>133654</v>
      </c>
      <c r="H807" s="18">
        <f t="shared" si="34"/>
        <v>42018.61</v>
      </c>
      <c r="I807" s="3"/>
    </row>
    <row r="808" spans="1:9" s="4" customFormat="1" ht="18" customHeight="1" x14ac:dyDescent="0.55000000000000004">
      <c r="A808" s="18">
        <v>24.802220299999998</v>
      </c>
      <c r="B808" s="18">
        <v>34.8415502</v>
      </c>
      <c r="C808" s="18">
        <v>686147.58</v>
      </c>
      <c r="D808" s="18">
        <v>2744303.36</v>
      </c>
      <c r="E808" s="18">
        <v>229.14</v>
      </c>
      <c r="F808" s="18">
        <v>42028.77</v>
      </c>
      <c r="G808" s="18">
        <v>133656</v>
      </c>
      <c r="H808" s="18">
        <f t="shared" si="34"/>
        <v>42020.77</v>
      </c>
      <c r="I808" s="3"/>
    </row>
    <row r="809" spans="1:9" s="4" customFormat="1" ht="18" customHeight="1" x14ac:dyDescent="0.55000000000000004">
      <c r="A809" s="18">
        <v>24.8021955</v>
      </c>
      <c r="B809" s="18">
        <v>34.841532899999997</v>
      </c>
      <c r="C809" s="18">
        <v>686145.87</v>
      </c>
      <c r="D809" s="18">
        <v>2744300.59</v>
      </c>
      <c r="E809" s="18">
        <v>229.25</v>
      </c>
      <c r="F809" s="18">
        <v>42027.34</v>
      </c>
      <c r="G809" s="18">
        <v>133658</v>
      </c>
      <c r="H809" s="18">
        <f t="shared" si="34"/>
        <v>42019.34</v>
      </c>
      <c r="I809" s="3"/>
    </row>
    <row r="810" spans="1:9" s="4" customFormat="1" ht="18" customHeight="1" x14ac:dyDescent="0.55000000000000004">
      <c r="A810" s="18">
        <v>24.8021706</v>
      </c>
      <c r="B810" s="18">
        <v>34.841515600000001</v>
      </c>
      <c r="C810" s="18">
        <v>686144.15</v>
      </c>
      <c r="D810" s="18">
        <v>2744297.81</v>
      </c>
      <c r="E810" s="18">
        <v>229.32</v>
      </c>
      <c r="F810" s="18">
        <v>42025.25</v>
      </c>
      <c r="G810" s="18">
        <v>133700</v>
      </c>
      <c r="H810" s="18">
        <f t="shared" si="34"/>
        <v>42017.25</v>
      </c>
      <c r="I810" s="3"/>
    </row>
    <row r="811" spans="1:9" s="4" customFormat="1" ht="18" customHeight="1" x14ac:dyDescent="0.55000000000000004">
      <c r="A811" s="18">
        <v>24.802147099999999</v>
      </c>
      <c r="B811" s="18">
        <v>34.841495700000003</v>
      </c>
      <c r="C811" s="18">
        <v>686142.19</v>
      </c>
      <c r="D811" s="18">
        <v>2744295.18</v>
      </c>
      <c r="E811" s="18">
        <v>229.4</v>
      </c>
      <c r="F811" s="18">
        <v>42026.47</v>
      </c>
      <c r="G811" s="18">
        <v>133702</v>
      </c>
      <c r="H811" s="18">
        <f t="shared" si="34"/>
        <v>42018.47</v>
      </c>
      <c r="I811" s="3"/>
    </row>
    <row r="812" spans="1:9" s="4" customFormat="1" ht="18" customHeight="1" x14ac:dyDescent="0.55000000000000004">
      <c r="A812" s="18">
        <v>24.802122900000001</v>
      </c>
      <c r="B812" s="18">
        <v>34.841478100000003</v>
      </c>
      <c r="C812" s="18">
        <v>686140.44</v>
      </c>
      <c r="D812" s="18">
        <v>2744292.48</v>
      </c>
      <c r="E812" s="18">
        <v>229.48</v>
      </c>
      <c r="F812" s="18">
        <v>42027.07</v>
      </c>
      <c r="G812" s="18">
        <v>133704</v>
      </c>
      <c r="H812" s="18">
        <f t="shared" si="34"/>
        <v>42019.07</v>
      </c>
      <c r="I812" s="3"/>
    </row>
    <row r="813" spans="1:9" s="4" customFormat="1" ht="18" customHeight="1" x14ac:dyDescent="0.55000000000000004">
      <c r="A813" s="18">
        <v>24.802098399999998</v>
      </c>
      <c r="B813" s="18">
        <v>34.841459800000003</v>
      </c>
      <c r="C813" s="18">
        <v>686138.63</v>
      </c>
      <c r="D813" s="18">
        <v>2744289.73</v>
      </c>
      <c r="E813" s="18">
        <v>229.56</v>
      </c>
      <c r="F813" s="18">
        <v>42027.46</v>
      </c>
      <c r="G813" s="18">
        <v>133706</v>
      </c>
      <c r="H813" s="18">
        <f t="shared" si="34"/>
        <v>42019.46</v>
      </c>
      <c r="I813" s="3"/>
    </row>
    <row r="814" spans="1:9" s="4" customFormat="1" ht="18" customHeight="1" x14ac:dyDescent="0.55000000000000004">
      <c r="A814" s="18">
        <v>24.8020739</v>
      </c>
      <c r="B814" s="18">
        <v>34.841442299999997</v>
      </c>
      <c r="C814" s="18">
        <v>686136.89</v>
      </c>
      <c r="D814" s="18">
        <v>2744286.99</v>
      </c>
      <c r="E814" s="18">
        <v>229.66</v>
      </c>
      <c r="F814" s="18">
        <v>42027.22</v>
      </c>
      <c r="G814" s="18">
        <v>133708</v>
      </c>
      <c r="H814" s="18">
        <f t="shared" si="34"/>
        <v>42019.22</v>
      </c>
      <c r="I814" s="3"/>
    </row>
    <row r="815" spans="1:9" s="4" customFormat="1" ht="18" customHeight="1" x14ac:dyDescent="0.55000000000000004">
      <c r="A815" s="18">
        <v>24.8020478</v>
      </c>
      <c r="B815" s="18">
        <v>34.841425700000002</v>
      </c>
      <c r="C815" s="18">
        <v>686135.25</v>
      </c>
      <c r="D815" s="18">
        <v>2744284.09</v>
      </c>
      <c r="E815" s="18">
        <v>229.76</v>
      </c>
      <c r="F815" s="18">
        <v>42028.39</v>
      </c>
      <c r="G815" s="18">
        <v>133710</v>
      </c>
      <c r="H815" s="18">
        <f t="shared" si="34"/>
        <v>42020.39</v>
      </c>
      <c r="I815" s="3"/>
    </row>
    <row r="816" spans="1:9" s="4" customFormat="1" ht="18" customHeight="1" x14ac:dyDescent="0.55000000000000004">
      <c r="A816" s="18">
        <v>24.802022699999998</v>
      </c>
      <c r="B816" s="18">
        <v>34.8414103</v>
      </c>
      <c r="C816" s="18">
        <v>686133.73</v>
      </c>
      <c r="D816" s="18">
        <v>2744281.28</v>
      </c>
      <c r="E816" s="18">
        <v>229.89</v>
      </c>
      <c r="F816" s="18">
        <v>42026.879999999997</v>
      </c>
      <c r="G816" s="18">
        <v>133712</v>
      </c>
      <c r="H816" s="18">
        <f t="shared" si="34"/>
        <v>42018.879999999997</v>
      </c>
      <c r="I816" s="3"/>
    </row>
    <row r="817" spans="1:9" s="4" customFormat="1" ht="18" customHeight="1" x14ac:dyDescent="0.55000000000000004">
      <c r="A817" s="18">
        <v>24.801997100000001</v>
      </c>
      <c r="B817" s="18">
        <v>34.841394700000002</v>
      </c>
      <c r="C817" s="18">
        <v>686132.19</v>
      </c>
      <c r="D817" s="18">
        <v>2744278.42</v>
      </c>
      <c r="E817" s="18">
        <v>230</v>
      </c>
      <c r="F817" s="18">
        <v>42029.120000000003</v>
      </c>
      <c r="G817" s="18">
        <v>133714</v>
      </c>
      <c r="H817" s="18">
        <f t="shared" si="34"/>
        <v>42021.120000000003</v>
      </c>
      <c r="I817" s="3"/>
    </row>
    <row r="818" spans="1:9" s="4" customFormat="1" ht="18" customHeight="1" x14ac:dyDescent="0.55000000000000004">
      <c r="A818" s="18">
        <v>24.8019721</v>
      </c>
      <c r="B818" s="18">
        <v>34.841378200000001</v>
      </c>
      <c r="C818" s="18">
        <v>686130.56</v>
      </c>
      <c r="D818" s="18">
        <v>2744275.63</v>
      </c>
      <c r="E818" s="18">
        <v>230.08</v>
      </c>
      <c r="F818" s="18">
        <v>42029.53</v>
      </c>
      <c r="G818" s="18">
        <v>133716</v>
      </c>
      <c r="H818" s="18">
        <f t="shared" si="34"/>
        <v>42021.53</v>
      </c>
      <c r="I818" s="3"/>
    </row>
    <row r="819" spans="1:9" s="4" customFormat="1" ht="18" customHeight="1" x14ac:dyDescent="0.55000000000000004">
      <c r="A819" s="18">
        <v>24.801947500000001</v>
      </c>
      <c r="B819" s="18">
        <v>34.8413617</v>
      </c>
      <c r="C819" s="18">
        <v>686128.94</v>
      </c>
      <c r="D819" s="18">
        <v>2744272.88</v>
      </c>
      <c r="E819" s="18">
        <v>230.17</v>
      </c>
      <c r="F819" s="18">
        <v>42029.65</v>
      </c>
      <c r="G819" s="18">
        <v>133718</v>
      </c>
      <c r="H819" s="18">
        <f t="shared" si="34"/>
        <v>42021.65</v>
      </c>
      <c r="I819" s="3"/>
    </row>
    <row r="820" spans="1:9" s="4" customFormat="1" ht="18" customHeight="1" x14ac:dyDescent="0.55000000000000004">
      <c r="A820" s="18">
        <v>24.8019243</v>
      </c>
      <c r="B820" s="18">
        <v>34.841344900000003</v>
      </c>
      <c r="C820" s="18">
        <v>686127.27</v>
      </c>
      <c r="D820" s="18">
        <v>2744270.29</v>
      </c>
      <c r="E820" s="18">
        <v>230.23</v>
      </c>
      <c r="F820" s="18">
        <v>42027.44</v>
      </c>
      <c r="G820" s="18">
        <v>133720</v>
      </c>
      <c r="H820" s="18">
        <f t="shared" si="34"/>
        <v>42019.44</v>
      </c>
      <c r="I820" s="3"/>
    </row>
    <row r="821" spans="1:9" s="4" customFormat="1" ht="18" customHeight="1" x14ac:dyDescent="0.55000000000000004">
      <c r="A821" s="18">
        <v>24.801899899999999</v>
      </c>
      <c r="B821" s="18">
        <v>34.841327399999997</v>
      </c>
      <c r="C821" s="18">
        <v>686125.53</v>
      </c>
      <c r="D821" s="18">
        <v>2744267.57</v>
      </c>
      <c r="E821" s="18">
        <v>230.27</v>
      </c>
      <c r="F821" s="18">
        <v>42029.69</v>
      </c>
      <c r="G821" s="18">
        <v>133722</v>
      </c>
      <c r="H821" s="18">
        <f t="shared" si="34"/>
        <v>42021.69</v>
      </c>
      <c r="I821" s="3"/>
    </row>
    <row r="822" spans="1:9" s="4" customFormat="1" ht="18" customHeight="1" x14ac:dyDescent="0.55000000000000004">
      <c r="A822" s="18">
        <v>24.801876100000001</v>
      </c>
      <c r="B822" s="18">
        <v>34.8413094</v>
      </c>
      <c r="C822" s="18">
        <v>686123.75</v>
      </c>
      <c r="D822" s="18">
        <v>2744264.91</v>
      </c>
      <c r="E822" s="18">
        <v>230.32</v>
      </c>
      <c r="F822" s="18">
        <v>42023.77</v>
      </c>
      <c r="G822" s="18">
        <v>133724</v>
      </c>
      <c r="H822" s="18">
        <f t="shared" si="34"/>
        <v>42015.77</v>
      </c>
      <c r="I822" s="3"/>
    </row>
    <row r="823" spans="1:9" s="4" customFormat="1" ht="18" customHeight="1" x14ac:dyDescent="0.55000000000000004">
      <c r="A823" s="18">
        <v>24.801852499999999</v>
      </c>
      <c r="B823" s="18">
        <v>34.841290299999997</v>
      </c>
      <c r="C823" s="18">
        <v>686121.86</v>
      </c>
      <c r="D823" s="18">
        <v>2744262.26</v>
      </c>
      <c r="E823" s="18">
        <v>230.35</v>
      </c>
      <c r="F823" s="18">
        <v>42027.360000000001</v>
      </c>
      <c r="G823" s="18">
        <v>133726</v>
      </c>
      <c r="H823" s="18">
        <f t="shared" ref="H823:H886" si="35">SUM(F823-8)</f>
        <v>42019.360000000001</v>
      </c>
      <c r="I823" s="3"/>
    </row>
    <row r="824" spans="1:9" s="4" customFormat="1" ht="18" customHeight="1" x14ac:dyDescent="0.55000000000000004">
      <c r="A824" s="18">
        <v>24.801827899999999</v>
      </c>
      <c r="B824" s="18">
        <v>34.841273600000001</v>
      </c>
      <c r="C824" s="18">
        <v>686120.2</v>
      </c>
      <c r="D824" s="18">
        <v>2744259.52</v>
      </c>
      <c r="E824" s="18">
        <v>230.4</v>
      </c>
      <c r="F824" s="18">
        <v>42030.53</v>
      </c>
      <c r="G824" s="18">
        <v>133728</v>
      </c>
      <c r="H824" s="18">
        <f t="shared" si="35"/>
        <v>42022.53</v>
      </c>
      <c r="I824" s="3"/>
    </row>
    <row r="825" spans="1:9" s="4" customFormat="1" ht="18" customHeight="1" x14ac:dyDescent="0.55000000000000004">
      <c r="A825" s="18">
        <v>24.8018024</v>
      </c>
      <c r="B825" s="18">
        <v>34.841256700000002</v>
      </c>
      <c r="C825" s="18">
        <v>686118.54</v>
      </c>
      <c r="D825" s="18">
        <v>2744256.67</v>
      </c>
      <c r="E825" s="18">
        <v>230.4</v>
      </c>
      <c r="F825" s="18">
        <v>42028.72</v>
      </c>
      <c r="G825" s="18">
        <v>133730</v>
      </c>
      <c r="H825" s="18">
        <f t="shared" si="35"/>
        <v>42020.72</v>
      </c>
      <c r="I825" s="3"/>
    </row>
    <row r="826" spans="1:9" s="4" customFormat="1" ht="18" customHeight="1" x14ac:dyDescent="0.55000000000000004">
      <c r="A826" s="18">
        <v>24.801777099999999</v>
      </c>
      <c r="B826" s="18">
        <v>34.841240599999999</v>
      </c>
      <c r="C826" s="18">
        <v>686116.94</v>
      </c>
      <c r="D826" s="18">
        <v>2744253.84</v>
      </c>
      <c r="E826" s="18">
        <v>230.45</v>
      </c>
      <c r="F826" s="18">
        <v>42029.48</v>
      </c>
      <c r="G826" s="18">
        <v>133732</v>
      </c>
      <c r="H826" s="18">
        <f t="shared" si="35"/>
        <v>42021.48</v>
      </c>
      <c r="I826" s="3"/>
    </row>
    <row r="827" spans="1:9" s="4" customFormat="1" ht="18" customHeight="1" x14ac:dyDescent="0.55000000000000004">
      <c r="A827" s="18">
        <v>24.801751700000001</v>
      </c>
      <c r="B827" s="18">
        <v>34.841222500000001</v>
      </c>
      <c r="C827" s="18">
        <v>686115.15</v>
      </c>
      <c r="D827" s="18">
        <v>2744251.01</v>
      </c>
      <c r="E827" s="18">
        <v>230.5</v>
      </c>
      <c r="F827" s="18">
        <v>42029.82</v>
      </c>
      <c r="G827" s="18">
        <v>133734</v>
      </c>
      <c r="H827" s="18">
        <f t="shared" si="35"/>
        <v>42021.82</v>
      </c>
      <c r="I827" s="3"/>
    </row>
    <row r="828" spans="1:9" s="4" customFormat="1" ht="18" customHeight="1" x14ac:dyDescent="0.55000000000000004">
      <c r="A828" s="18">
        <v>24.801725399999999</v>
      </c>
      <c r="B828" s="18">
        <v>34.841206200000002</v>
      </c>
      <c r="C828" s="18">
        <v>686113.55</v>
      </c>
      <c r="D828" s="18">
        <v>2744248.07</v>
      </c>
      <c r="E828" s="18">
        <v>230.51</v>
      </c>
      <c r="F828" s="18">
        <v>42029.01</v>
      </c>
      <c r="G828" s="18">
        <v>133736</v>
      </c>
      <c r="H828" s="18">
        <f t="shared" si="35"/>
        <v>42021.01</v>
      </c>
      <c r="I828" s="3"/>
    </row>
    <row r="829" spans="1:9" s="4" customFormat="1" ht="18" customHeight="1" x14ac:dyDescent="0.55000000000000004">
      <c r="A829" s="18">
        <v>24.801699299999999</v>
      </c>
      <c r="B829" s="18">
        <v>34.841190099999999</v>
      </c>
      <c r="C829" s="18">
        <v>686111.95</v>
      </c>
      <c r="D829" s="18">
        <v>2744245.16</v>
      </c>
      <c r="E829" s="18">
        <v>230.54</v>
      </c>
      <c r="F829" s="18">
        <v>42029.84</v>
      </c>
      <c r="G829" s="18">
        <v>133738</v>
      </c>
      <c r="H829" s="18">
        <f t="shared" si="35"/>
        <v>42021.84</v>
      </c>
      <c r="I829" s="3"/>
    </row>
    <row r="830" spans="1:9" s="4" customFormat="1" ht="18" customHeight="1" x14ac:dyDescent="0.55000000000000004">
      <c r="A830" s="18">
        <v>24.801676100000002</v>
      </c>
      <c r="B830" s="18">
        <v>34.841172299999997</v>
      </c>
      <c r="C830" s="18">
        <v>686110.19</v>
      </c>
      <c r="D830" s="18">
        <v>2744242.57</v>
      </c>
      <c r="E830" s="18">
        <v>230.56</v>
      </c>
      <c r="F830" s="18">
        <v>42029.57</v>
      </c>
      <c r="G830" s="18">
        <v>133740</v>
      </c>
      <c r="H830" s="18">
        <f t="shared" si="35"/>
        <v>42021.57</v>
      </c>
      <c r="I830" s="3"/>
    </row>
    <row r="831" spans="1:9" s="4" customFormat="1" ht="18" customHeight="1" x14ac:dyDescent="0.55000000000000004">
      <c r="A831" s="18">
        <v>24.8016513</v>
      </c>
      <c r="B831" s="18">
        <v>34.841155399999998</v>
      </c>
      <c r="C831" s="18">
        <v>686108.52</v>
      </c>
      <c r="D831" s="18">
        <v>2744239.79</v>
      </c>
      <c r="E831" s="18">
        <v>230.55</v>
      </c>
      <c r="F831" s="18">
        <v>42028</v>
      </c>
      <c r="G831" s="18">
        <v>133742</v>
      </c>
      <c r="H831" s="18">
        <f t="shared" si="35"/>
        <v>42020</v>
      </c>
      <c r="I831" s="3"/>
    </row>
    <row r="832" spans="1:9" s="4" customFormat="1" ht="18" customHeight="1" x14ac:dyDescent="0.55000000000000004">
      <c r="A832" s="18">
        <v>24.801626200000001</v>
      </c>
      <c r="B832" s="18">
        <v>34.841139200000001</v>
      </c>
      <c r="C832" s="18">
        <v>686106.92</v>
      </c>
      <c r="D832" s="18">
        <v>2744237</v>
      </c>
      <c r="E832" s="18">
        <v>230.55</v>
      </c>
      <c r="F832" s="18">
        <v>42025.8</v>
      </c>
      <c r="G832" s="18">
        <v>133744</v>
      </c>
      <c r="H832" s="18">
        <f t="shared" si="35"/>
        <v>42017.8</v>
      </c>
      <c r="I832" s="3"/>
    </row>
    <row r="833" spans="1:9" s="4" customFormat="1" ht="18" customHeight="1" x14ac:dyDescent="0.55000000000000004">
      <c r="A833" s="18">
        <v>24.801601099999999</v>
      </c>
      <c r="B833" s="18">
        <v>34.8411215</v>
      </c>
      <c r="C833" s="18">
        <v>686105.17</v>
      </c>
      <c r="D833" s="18">
        <v>2744234.19</v>
      </c>
      <c r="E833" s="18">
        <v>230.51</v>
      </c>
      <c r="F833" s="18">
        <v>42025.3</v>
      </c>
      <c r="G833" s="18">
        <v>133746</v>
      </c>
      <c r="H833" s="18">
        <f t="shared" si="35"/>
        <v>42017.3</v>
      </c>
      <c r="I833" s="3"/>
    </row>
    <row r="834" spans="1:9" s="4" customFormat="1" ht="18" customHeight="1" x14ac:dyDescent="0.55000000000000004">
      <c r="A834" s="18">
        <v>24.801576099999998</v>
      </c>
      <c r="B834" s="18">
        <v>34.841104799999997</v>
      </c>
      <c r="C834" s="18">
        <v>686103.51</v>
      </c>
      <c r="D834" s="18">
        <v>2744231.4</v>
      </c>
      <c r="E834" s="18">
        <v>230.5</v>
      </c>
      <c r="F834" s="18">
        <v>42025.16</v>
      </c>
      <c r="G834" s="18">
        <v>133748</v>
      </c>
      <c r="H834" s="18">
        <f t="shared" si="35"/>
        <v>42017.16</v>
      </c>
      <c r="I834" s="3"/>
    </row>
    <row r="835" spans="1:9" s="4" customFormat="1" ht="18" customHeight="1" x14ac:dyDescent="0.55000000000000004">
      <c r="A835" s="18">
        <v>24.801553599999998</v>
      </c>
      <c r="B835" s="18">
        <v>34.841086199999999</v>
      </c>
      <c r="C835" s="18">
        <v>686101.66</v>
      </c>
      <c r="D835" s="18">
        <v>2744228.88</v>
      </c>
      <c r="E835" s="18">
        <v>230.47</v>
      </c>
      <c r="F835" s="18">
        <v>42025.32</v>
      </c>
      <c r="G835" s="18">
        <v>133750</v>
      </c>
      <c r="H835" s="18">
        <f t="shared" si="35"/>
        <v>42017.32</v>
      </c>
      <c r="I835" s="3"/>
    </row>
    <row r="836" spans="1:9" s="4" customFormat="1" ht="18" customHeight="1" x14ac:dyDescent="0.55000000000000004">
      <c r="A836" s="18">
        <v>24.801531399999998</v>
      </c>
      <c r="B836" s="18">
        <v>34.841065399999998</v>
      </c>
      <c r="C836" s="18">
        <v>686099.6</v>
      </c>
      <c r="D836" s="18">
        <v>2744226.4</v>
      </c>
      <c r="E836" s="18">
        <v>230.47</v>
      </c>
      <c r="F836" s="18">
        <v>42025.440000000002</v>
      </c>
      <c r="G836" s="18">
        <v>133752</v>
      </c>
      <c r="H836" s="18">
        <f t="shared" si="35"/>
        <v>42017.440000000002</v>
      </c>
      <c r="I836" s="3"/>
    </row>
    <row r="837" spans="1:9" s="4" customFormat="1" ht="18" customHeight="1" x14ac:dyDescent="0.55000000000000004">
      <c r="A837" s="18">
        <v>24.801510199999999</v>
      </c>
      <c r="B837" s="18">
        <v>34.841043499999998</v>
      </c>
      <c r="C837" s="18">
        <v>686097.41</v>
      </c>
      <c r="D837" s="18">
        <v>2744224.01</v>
      </c>
      <c r="E837" s="18">
        <v>230.46</v>
      </c>
      <c r="F837" s="18">
        <v>42027.38</v>
      </c>
      <c r="G837" s="18">
        <v>133754</v>
      </c>
      <c r="H837" s="18">
        <f t="shared" si="35"/>
        <v>42019.38</v>
      </c>
      <c r="I837" s="3"/>
    </row>
    <row r="838" spans="1:9" s="4" customFormat="1" ht="18" customHeight="1" x14ac:dyDescent="0.55000000000000004">
      <c r="A838" s="18">
        <v>24.8014887</v>
      </c>
      <c r="B838" s="18">
        <v>34.841021499999997</v>
      </c>
      <c r="C838" s="18">
        <v>686095.22</v>
      </c>
      <c r="D838" s="18">
        <v>2744221.61</v>
      </c>
      <c r="E838" s="18">
        <v>230.49</v>
      </c>
      <c r="F838" s="18">
        <v>42027.47</v>
      </c>
      <c r="G838" s="18">
        <v>133756</v>
      </c>
      <c r="H838" s="18">
        <f t="shared" si="35"/>
        <v>42019.47</v>
      </c>
      <c r="I838" s="3"/>
    </row>
    <row r="839" spans="1:9" s="4" customFormat="1" ht="18" customHeight="1" x14ac:dyDescent="0.55000000000000004">
      <c r="A839" s="18">
        <v>24.801470399999999</v>
      </c>
      <c r="B839" s="18">
        <v>34.840996099999998</v>
      </c>
      <c r="C839" s="18">
        <v>686092.68</v>
      </c>
      <c r="D839" s="18">
        <v>2744219.54</v>
      </c>
      <c r="E839" s="18">
        <v>230.57</v>
      </c>
      <c r="F839" s="18">
        <v>42027.15</v>
      </c>
      <c r="G839" s="18">
        <v>133758</v>
      </c>
      <c r="H839" s="18">
        <f t="shared" si="35"/>
        <v>42019.15</v>
      </c>
      <c r="I839" s="3"/>
    </row>
    <row r="840" spans="1:9" s="4" customFormat="1" ht="18" customHeight="1" x14ac:dyDescent="0.55000000000000004">
      <c r="A840" s="18">
        <v>24.8014513</v>
      </c>
      <c r="B840" s="18">
        <v>34.840972000000001</v>
      </c>
      <c r="C840" s="18">
        <v>686090.28</v>
      </c>
      <c r="D840" s="18">
        <v>2744217.4</v>
      </c>
      <c r="E840" s="18">
        <v>230.65</v>
      </c>
      <c r="F840" s="18">
        <v>42028.28</v>
      </c>
      <c r="G840" s="18">
        <v>133800</v>
      </c>
      <c r="H840" s="18">
        <f t="shared" si="35"/>
        <v>42020.28</v>
      </c>
      <c r="I840" s="3"/>
    </row>
    <row r="841" spans="1:9" s="4" customFormat="1" ht="18" customHeight="1" x14ac:dyDescent="0.55000000000000004">
      <c r="A841" s="18">
        <v>24.801431300000001</v>
      </c>
      <c r="B841" s="18">
        <v>34.8409488</v>
      </c>
      <c r="C841" s="18">
        <v>686087.95</v>
      </c>
      <c r="D841" s="18">
        <v>2744215.14</v>
      </c>
      <c r="E841" s="18">
        <v>230.68</v>
      </c>
      <c r="F841" s="18">
        <v>42028.3</v>
      </c>
      <c r="G841" s="18">
        <v>133802</v>
      </c>
      <c r="H841" s="18">
        <f t="shared" si="35"/>
        <v>42020.3</v>
      </c>
      <c r="I841" s="3"/>
    </row>
    <row r="842" spans="1:9" s="4" customFormat="1" ht="18" customHeight="1" x14ac:dyDescent="0.55000000000000004">
      <c r="A842" s="18">
        <v>24.8014136</v>
      </c>
      <c r="B842" s="18">
        <v>34.840924899999997</v>
      </c>
      <c r="C842" s="18">
        <v>686085.57</v>
      </c>
      <c r="D842" s="18">
        <v>2744213.15</v>
      </c>
      <c r="E842" s="18">
        <v>230.7</v>
      </c>
      <c r="F842" s="18">
        <v>42025.7</v>
      </c>
      <c r="G842" s="18">
        <v>133804</v>
      </c>
      <c r="H842" s="18">
        <f t="shared" si="35"/>
        <v>42017.7</v>
      </c>
      <c r="I842" s="3"/>
    </row>
    <row r="843" spans="1:9" s="4" customFormat="1" ht="18" customHeight="1" x14ac:dyDescent="0.55000000000000004">
      <c r="A843" s="18">
        <v>24.801396499999999</v>
      </c>
      <c r="B843" s="18">
        <v>34.840899700000001</v>
      </c>
      <c r="C843" s="18">
        <v>686083.05</v>
      </c>
      <c r="D843" s="18">
        <v>2744211.23</v>
      </c>
      <c r="E843" s="18">
        <v>230.76</v>
      </c>
      <c r="F843" s="18">
        <v>42028.84</v>
      </c>
      <c r="G843" s="18">
        <v>133806</v>
      </c>
      <c r="H843" s="18">
        <f t="shared" si="35"/>
        <v>42020.84</v>
      </c>
      <c r="I843" s="3"/>
    </row>
    <row r="844" spans="1:9" s="4" customFormat="1" ht="18" customHeight="1" x14ac:dyDescent="0.55000000000000004">
      <c r="A844" s="18">
        <v>24.8013856</v>
      </c>
      <c r="B844" s="18">
        <v>34.840871100000001</v>
      </c>
      <c r="C844" s="18">
        <v>686080.17</v>
      </c>
      <c r="D844" s="18">
        <v>2744209.97</v>
      </c>
      <c r="E844" s="18">
        <v>230.76</v>
      </c>
      <c r="F844" s="18">
        <v>42030.52</v>
      </c>
      <c r="G844" s="18">
        <v>133808</v>
      </c>
      <c r="H844" s="18">
        <f t="shared" si="35"/>
        <v>42022.52</v>
      </c>
      <c r="I844" s="3"/>
    </row>
    <row r="845" spans="1:9" s="4" customFormat="1" ht="18" customHeight="1" x14ac:dyDescent="0.55000000000000004">
      <c r="A845" s="18">
        <v>24.801369300000001</v>
      </c>
      <c r="B845" s="18">
        <v>34.840845199999997</v>
      </c>
      <c r="C845" s="18">
        <v>686077.57</v>
      </c>
      <c r="D845" s="18">
        <v>2744208.13</v>
      </c>
      <c r="E845" s="18">
        <v>230.83</v>
      </c>
      <c r="F845" s="18">
        <v>42032.09</v>
      </c>
      <c r="G845" s="18">
        <v>133810</v>
      </c>
      <c r="H845" s="18">
        <f t="shared" si="35"/>
        <v>42024.09</v>
      </c>
      <c r="I845" s="3"/>
    </row>
    <row r="846" spans="1:9" s="4" customFormat="1" ht="18" customHeight="1" x14ac:dyDescent="0.55000000000000004">
      <c r="A846" s="18">
        <v>24.8013476</v>
      </c>
      <c r="B846" s="18">
        <v>34.840824599999998</v>
      </c>
      <c r="C846" s="18">
        <v>686075.52</v>
      </c>
      <c r="D846" s="18">
        <v>2744205.71</v>
      </c>
      <c r="E846" s="18">
        <v>230.89</v>
      </c>
      <c r="F846" s="18">
        <v>42032.17</v>
      </c>
      <c r="G846" s="18">
        <v>133812</v>
      </c>
      <c r="H846" s="18">
        <f t="shared" si="35"/>
        <v>42024.17</v>
      </c>
      <c r="I846" s="3"/>
    </row>
    <row r="847" spans="1:9" s="4" customFormat="1" ht="18" customHeight="1" x14ac:dyDescent="0.55000000000000004">
      <c r="A847" s="18">
        <v>24.801331099999999</v>
      </c>
      <c r="B847" s="18">
        <v>34.840798499999998</v>
      </c>
      <c r="C847" s="18">
        <v>686072.91</v>
      </c>
      <c r="D847" s="18">
        <v>2744203.85</v>
      </c>
      <c r="E847" s="18">
        <v>230.93</v>
      </c>
      <c r="F847" s="18">
        <v>42030.080000000002</v>
      </c>
      <c r="G847" s="18">
        <v>133814</v>
      </c>
      <c r="H847" s="18">
        <f t="shared" si="35"/>
        <v>42022.080000000002</v>
      </c>
      <c r="I847" s="3"/>
    </row>
    <row r="848" spans="1:9" s="4" customFormat="1" ht="18" customHeight="1" x14ac:dyDescent="0.55000000000000004">
      <c r="A848" s="18">
        <v>24.801314900000001</v>
      </c>
      <c r="B848" s="18">
        <v>34.840775600000001</v>
      </c>
      <c r="C848" s="18">
        <v>686070.62</v>
      </c>
      <c r="D848" s="18">
        <v>2744202.02</v>
      </c>
      <c r="E848" s="18">
        <v>231.02</v>
      </c>
      <c r="F848" s="18">
        <v>42029.32</v>
      </c>
      <c r="G848" s="18">
        <v>133816</v>
      </c>
      <c r="H848" s="18">
        <f t="shared" si="35"/>
        <v>42021.32</v>
      </c>
      <c r="I848" s="3"/>
    </row>
    <row r="849" spans="1:9" s="4" customFormat="1" ht="18" customHeight="1" x14ac:dyDescent="0.55000000000000004">
      <c r="A849" s="18">
        <v>24.801300699999999</v>
      </c>
      <c r="B849" s="18">
        <v>34.840749700000003</v>
      </c>
      <c r="C849" s="18">
        <v>686068.02</v>
      </c>
      <c r="D849" s="18">
        <v>2744200.41</v>
      </c>
      <c r="E849" s="18">
        <v>231.08</v>
      </c>
      <c r="F849" s="18">
        <v>42028.09</v>
      </c>
      <c r="G849" s="18">
        <v>133818</v>
      </c>
      <c r="H849" s="18">
        <f t="shared" si="35"/>
        <v>42020.09</v>
      </c>
      <c r="I849" s="3"/>
    </row>
    <row r="850" spans="1:9" s="4" customFormat="1" ht="18" customHeight="1" x14ac:dyDescent="0.55000000000000004">
      <c r="A850" s="18">
        <v>24.8012847</v>
      </c>
      <c r="B850" s="18">
        <v>34.8407245</v>
      </c>
      <c r="C850" s="18">
        <v>686065.49</v>
      </c>
      <c r="D850" s="18">
        <v>2744198.6</v>
      </c>
      <c r="E850" s="18">
        <v>231.13</v>
      </c>
      <c r="F850" s="18">
        <v>42028.01</v>
      </c>
      <c r="G850" s="18">
        <v>133820</v>
      </c>
      <c r="H850" s="18">
        <f t="shared" si="35"/>
        <v>42020.01</v>
      </c>
      <c r="I850" s="3"/>
    </row>
    <row r="851" spans="1:9" s="4" customFormat="1" ht="18" customHeight="1" x14ac:dyDescent="0.55000000000000004">
      <c r="A851" s="18">
        <v>24.801266300000002</v>
      </c>
      <c r="B851" s="18">
        <v>34.840699700000002</v>
      </c>
      <c r="C851" s="18">
        <v>686063.02</v>
      </c>
      <c r="D851" s="18">
        <v>2744196.53</v>
      </c>
      <c r="E851" s="18">
        <v>231.16</v>
      </c>
      <c r="F851" s="18">
        <v>42029.87</v>
      </c>
      <c r="G851" s="18">
        <v>133822</v>
      </c>
      <c r="H851" s="18">
        <f t="shared" si="35"/>
        <v>42021.87</v>
      </c>
      <c r="I851" s="3"/>
    </row>
    <row r="852" spans="1:9" s="4" customFormat="1" ht="18" customHeight="1" x14ac:dyDescent="0.55000000000000004">
      <c r="A852" s="18">
        <v>24.801241900000001</v>
      </c>
      <c r="B852" s="18">
        <v>34.840682399999999</v>
      </c>
      <c r="C852" s="18">
        <v>686061.3</v>
      </c>
      <c r="D852" s="18">
        <v>2744193.81</v>
      </c>
      <c r="E852" s="18">
        <v>231.23</v>
      </c>
      <c r="F852" s="18">
        <v>42027.53</v>
      </c>
      <c r="G852" s="18">
        <v>133824</v>
      </c>
      <c r="H852" s="18">
        <f t="shared" si="35"/>
        <v>42019.53</v>
      </c>
      <c r="I852" s="3"/>
    </row>
    <row r="853" spans="1:9" s="4" customFormat="1" ht="18" customHeight="1" x14ac:dyDescent="0.55000000000000004">
      <c r="A853" s="18">
        <v>24.801215800000001</v>
      </c>
      <c r="B853" s="18">
        <v>34.840668299999997</v>
      </c>
      <c r="C853" s="18">
        <v>686059.92</v>
      </c>
      <c r="D853" s="18">
        <v>2744190.9</v>
      </c>
      <c r="E853" s="18">
        <v>231.27</v>
      </c>
      <c r="F853" s="18">
        <v>42028.33</v>
      </c>
      <c r="G853" s="18">
        <v>133826</v>
      </c>
      <c r="H853" s="18">
        <f t="shared" si="35"/>
        <v>42020.33</v>
      </c>
      <c r="I853" s="3"/>
    </row>
    <row r="854" spans="1:9" s="4" customFormat="1" ht="18" customHeight="1" x14ac:dyDescent="0.55000000000000004">
      <c r="A854" s="18">
        <v>24.801190800000001</v>
      </c>
      <c r="B854" s="18">
        <v>34.840650599999996</v>
      </c>
      <c r="C854" s="18">
        <v>686058.16</v>
      </c>
      <c r="D854" s="18">
        <v>2744188.1</v>
      </c>
      <c r="E854" s="18">
        <v>231.3</v>
      </c>
      <c r="F854" s="18">
        <v>42028.25</v>
      </c>
      <c r="G854" s="18">
        <v>133828</v>
      </c>
      <c r="H854" s="18">
        <f t="shared" si="35"/>
        <v>42020.25</v>
      </c>
      <c r="I854" s="3"/>
    </row>
    <row r="855" spans="1:9" s="4" customFormat="1" ht="18" customHeight="1" x14ac:dyDescent="0.55000000000000004">
      <c r="A855" s="18">
        <v>24.801166500000001</v>
      </c>
      <c r="B855" s="18">
        <v>34.840631899999998</v>
      </c>
      <c r="C855" s="18">
        <v>686056.31</v>
      </c>
      <c r="D855" s="18">
        <v>2744185.38</v>
      </c>
      <c r="E855" s="18">
        <v>231.35</v>
      </c>
      <c r="F855" s="18">
        <v>42029.52</v>
      </c>
      <c r="G855" s="18">
        <v>133830</v>
      </c>
      <c r="H855" s="18">
        <f t="shared" si="35"/>
        <v>42021.52</v>
      </c>
      <c r="I855" s="3"/>
    </row>
    <row r="856" spans="1:9" s="4" customFormat="1" ht="18" customHeight="1" x14ac:dyDescent="0.55000000000000004">
      <c r="A856" s="18">
        <v>24.801143400000001</v>
      </c>
      <c r="B856" s="18">
        <v>34.840611799999998</v>
      </c>
      <c r="C856" s="18">
        <v>686054.31</v>
      </c>
      <c r="D856" s="18">
        <v>2744182.8</v>
      </c>
      <c r="E856" s="18">
        <v>231.36</v>
      </c>
      <c r="F856" s="18">
        <v>42028.24</v>
      </c>
      <c r="G856" s="18">
        <v>133832</v>
      </c>
      <c r="H856" s="18">
        <f t="shared" si="35"/>
        <v>42020.24</v>
      </c>
      <c r="I856" s="3"/>
    </row>
    <row r="857" spans="1:9" s="4" customFormat="1" ht="18" customHeight="1" x14ac:dyDescent="0.55000000000000004">
      <c r="A857" s="18">
        <v>24.8011208</v>
      </c>
      <c r="B857" s="18">
        <v>34.840590200000001</v>
      </c>
      <c r="C857" s="18">
        <v>686052.17</v>
      </c>
      <c r="D857" s="18">
        <v>2744180.26</v>
      </c>
      <c r="E857" s="18">
        <v>231.37</v>
      </c>
      <c r="F857" s="18">
        <v>42030.62</v>
      </c>
      <c r="G857" s="18">
        <v>133834</v>
      </c>
      <c r="H857" s="18">
        <f t="shared" si="35"/>
        <v>42022.62</v>
      </c>
      <c r="I857" s="3"/>
    </row>
    <row r="858" spans="1:9" s="4" customFormat="1" ht="18" customHeight="1" x14ac:dyDescent="0.55000000000000004">
      <c r="A858" s="18">
        <v>24.801100900000002</v>
      </c>
      <c r="B858" s="18">
        <v>34.840566600000002</v>
      </c>
      <c r="C858" s="18">
        <v>686049.8</v>
      </c>
      <c r="D858" s="18">
        <v>2744178.02</v>
      </c>
      <c r="E858" s="18">
        <v>231.4</v>
      </c>
      <c r="F858" s="18">
        <v>42031.29</v>
      </c>
      <c r="G858" s="18">
        <v>133836</v>
      </c>
      <c r="H858" s="18">
        <f t="shared" si="35"/>
        <v>42023.29</v>
      </c>
      <c r="I858" s="3"/>
    </row>
    <row r="859" spans="1:9" s="4" customFormat="1" ht="18" customHeight="1" x14ac:dyDescent="0.55000000000000004">
      <c r="A859" s="18">
        <v>24.801085400000002</v>
      </c>
      <c r="B859" s="18">
        <v>34.840540400000002</v>
      </c>
      <c r="C859" s="18">
        <v>686047.19</v>
      </c>
      <c r="D859" s="18">
        <v>2744176.28</v>
      </c>
      <c r="E859" s="18">
        <v>231.44</v>
      </c>
      <c r="F859" s="18">
        <v>42033.21</v>
      </c>
      <c r="G859" s="18">
        <v>133838</v>
      </c>
      <c r="H859" s="18">
        <f t="shared" si="35"/>
        <v>42025.21</v>
      </c>
      <c r="I859" s="3"/>
    </row>
    <row r="860" spans="1:9" s="4" customFormat="1" ht="18" customHeight="1" x14ac:dyDescent="0.55000000000000004">
      <c r="A860" s="18">
        <v>24.8010701</v>
      </c>
      <c r="B860" s="18">
        <v>34.840513299999998</v>
      </c>
      <c r="C860" s="18">
        <v>686044.46</v>
      </c>
      <c r="D860" s="18">
        <v>2744174.55</v>
      </c>
      <c r="E860" s="18">
        <v>231.48</v>
      </c>
      <c r="F860" s="18">
        <v>42033.01</v>
      </c>
      <c r="G860" s="18">
        <v>133840</v>
      </c>
      <c r="H860" s="18">
        <f t="shared" si="35"/>
        <v>42025.01</v>
      </c>
      <c r="I860" s="3"/>
    </row>
    <row r="861" spans="1:9" s="4" customFormat="1" ht="18" customHeight="1" x14ac:dyDescent="0.55000000000000004">
      <c r="A861" s="18">
        <v>24.801052299999998</v>
      </c>
      <c r="B861" s="18">
        <v>34.840488100000002</v>
      </c>
      <c r="C861" s="18">
        <v>686041.94</v>
      </c>
      <c r="D861" s="18">
        <v>2744172.54</v>
      </c>
      <c r="E861" s="18">
        <v>231.5</v>
      </c>
      <c r="F861" s="18">
        <v>42033.95</v>
      </c>
      <c r="G861" s="18">
        <v>133842</v>
      </c>
      <c r="H861" s="18">
        <f t="shared" si="35"/>
        <v>42025.95</v>
      </c>
      <c r="I861" s="3"/>
    </row>
    <row r="862" spans="1:9" s="4" customFormat="1" ht="18" customHeight="1" x14ac:dyDescent="0.55000000000000004">
      <c r="A862" s="18">
        <v>24.801036</v>
      </c>
      <c r="B862" s="18">
        <v>34.8404606</v>
      </c>
      <c r="C862" s="18">
        <v>686039.19</v>
      </c>
      <c r="D862" s="18">
        <v>2744170.7</v>
      </c>
      <c r="E862" s="18">
        <v>231.52</v>
      </c>
      <c r="F862" s="18">
        <v>42035.53</v>
      </c>
      <c r="G862" s="18">
        <v>133844</v>
      </c>
      <c r="H862" s="18">
        <f t="shared" si="35"/>
        <v>42027.53</v>
      </c>
      <c r="I862" s="3"/>
    </row>
    <row r="863" spans="1:9" s="4" customFormat="1" ht="18" customHeight="1" x14ac:dyDescent="0.55000000000000004">
      <c r="A863" s="18">
        <v>24.8010196</v>
      </c>
      <c r="B863" s="18">
        <v>34.840434899999998</v>
      </c>
      <c r="C863" s="18">
        <v>686036.62</v>
      </c>
      <c r="D863" s="18">
        <v>2744168.84</v>
      </c>
      <c r="E863" s="18">
        <v>231.59</v>
      </c>
      <c r="F863" s="18">
        <v>42037.27</v>
      </c>
      <c r="G863" s="18">
        <v>133846</v>
      </c>
      <c r="H863" s="18">
        <f t="shared" si="35"/>
        <v>42029.27</v>
      </c>
      <c r="I863" s="3"/>
    </row>
    <row r="864" spans="1:9" s="4" customFormat="1" ht="18" customHeight="1" x14ac:dyDescent="0.55000000000000004">
      <c r="A864" s="18">
        <v>24.801003399999999</v>
      </c>
      <c r="B864" s="18">
        <v>34.840407800000001</v>
      </c>
      <c r="C864" s="18">
        <v>686033.9</v>
      </c>
      <c r="D864" s="18">
        <v>2744167.01</v>
      </c>
      <c r="E864" s="18">
        <v>231.59</v>
      </c>
      <c r="F864" s="18">
        <v>42036.34</v>
      </c>
      <c r="G864" s="18">
        <v>133848</v>
      </c>
      <c r="H864" s="18">
        <f t="shared" si="35"/>
        <v>42028.34</v>
      </c>
      <c r="I864" s="3"/>
    </row>
    <row r="865" spans="1:9" s="4" customFormat="1" ht="18" customHeight="1" x14ac:dyDescent="0.55000000000000004">
      <c r="A865" s="18">
        <v>24.800985499999999</v>
      </c>
      <c r="B865" s="18">
        <v>34.8403846</v>
      </c>
      <c r="C865" s="18">
        <v>686031.58</v>
      </c>
      <c r="D865" s="18">
        <v>2744165</v>
      </c>
      <c r="E865" s="18">
        <v>231.56</v>
      </c>
      <c r="F865" s="18">
        <v>42040.59</v>
      </c>
      <c r="G865" s="18">
        <v>133850</v>
      </c>
      <c r="H865" s="18">
        <f t="shared" si="35"/>
        <v>42032.59</v>
      </c>
      <c r="I865" s="3"/>
    </row>
    <row r="866" spans="1:9" s="4" customFormat="1" ht="18" customHeight="1" x14ac:dyDescent="0.55000000000000004">
      <c r="A866" s="18">
        <v>24.800970400000001</v>
      </c>
      <c r="B866" s="18">
        <v>34.840359399999997</v>
      </c>
      <c r="C866" s="18">
        <v>686029.06</v>
      </c>
      <c r="D866" s="18">
        <v>2744163.29</v>
      </c>
      <c r="E866" s="18">
        <v>231.63</v>
      </c>
      <c r="F866" s="18">
        <v>42035.8</v>
      </c>
      <c r="G866" s="18">
        <v>133852</v>
      </c>
      <c r="H866" s="18">
        <f t="shared" si="35"/>
        <v>42027.8</v>
      </c>
      <c r="I866" s="3"/>
    </row>
    <row r="867" spans="1:9" s="4" customFormat="1" ht="18" customHeight="1" x14ac:dyDescent="0.55000000000000004">
      <c r="A867" s="18">
        <v>24.800954999999998</v>
      </c>
      <c r="B867" s="18">
        <v>34.840331800000001</v>
      </c>
      <c r="C867" s="18">
        <v>686026.28</v>
      </c>
      <c r="D867" s="18">
        <v>2744161.55</v>
      </c>
      <c r="E867" s="18">
        <v>231.66</v>
      </c>
      <c r="F867" s="18">
        <v>42035.57</v>
      </c>
      <c r="G867" s="18">
        <v>133854</v>
      </c>
      <c r="H867" s="18">
        <f t="shared" si="35"/>
        <v>42027.57</v>
      </c>
      <c r="I867" s="3"/>
    </row>
    <row r="868" spans="1:9" s="4" customFormat="1" ht="18" customHeight="1" x14ac:dyDescent="0.55000000000000004">
      <c r="A868" s="18">
        <v>24.800940000000001</v>
      </c>
      <c r="B868" s="18">
        <v>34.840304199999999</v>
      </c>
      <c r="C868" s="18">
        <v>686023.52</v>
      </c>
      <c r="D868" s="18">
        <v>2744159.85</v>
      </c>
      <c r="E868" s="18">
        <v>231.69</v>
      </c>
      <c r="F868" s="18">
        <v>42035.35</v>
      </c>
      <c r="G868" s="18">
        <v>133856</v>
      </c>
      <c r="H868" s="18">
        <f t="shared" si="35"/>
        <v>42027.35</v>
      </c>
      <c r="I868" s="3"/>
    </row>
    <row r="869" spans="1:9" s="4" customFormat="1" ht="18" customHeight="1" x14ac:dyDescent="0.55000000000000004">
      <c r="A869" s="18">
        <v>24.800925100000001</v>
      </c>
      <c r="B869" s="18">
        <v>34.840276799999998</v>
      </c>
      <c r="C869" s="18">
        <v>686020.76</v>
      </c>
      <c r="D869" s="18">
        <v>2744158.16</v>
      </c>
      <c r="E869" s="18">
        <v>231.69</v>
      </c>
      <c r="F869" s="18">
        <v>42038.21</v>
      </c>
      <c r="G869" s="18">
        <v>133858</v>
      </c>
      <c r="H869" s="18">
        <f t="shared" si="35"/>
        <v>42030.21</v>
      </c>
      <c r="I869" s="3"/>
    </row>
    <row r="870" spans="1:9" s="4" customFormat="1" ht="18" customHeight="1" x14ac:dyDescent="0.55000000000000004">
      <c r="A870" s="18">
        <v>24.800912799999999</v>
      </c>
      <c r="B870" s="18">
        <v>34.840249300000004</v>
      </c>
      <c r="C870" s="18">
        <v>686018.01</v>
      </c>
      <c r="D870" s="18">
        <v>2744156.76</v>
      </c>
      <c r="E870" s="18">
        <v>231.75</v>
      </c>
      <c r="F870" s="18">
        <v>42037.63</v>
      </c>
      <c r="G870" s="18">
        <v>133900</v>
      </c>
      <c r="H870" s="18">
        <f t="shared" si="35"/>
        <v>42029.63</v>
      </c>
      <c r="I870" s="3"/>
    </row>
    <row r="871" spans="1:9" s="4" customFormat="1" ht="18" customHeight="1" x14ac:dyDescent="0.55000000000000004">
      <c r="A871" s="18">
        <v>24.800903600000002</v>
      </c>
      <c r="B871" s="18">
        <v>34.840221900000003</v>
      </c>
      <c r="C871" s="18">
        <v>686015.25</v>
      </c>
      <c r="D871" s="18">
        <v>2744155.7</v>
      </c>
      <c r="E871" s="18">
        <v>231.82</v>
      </c>
      <c r="F871" s="18">
        <v>42036.160000000003</v>
      </c>
      <c r="G871" s="18">
        <v>133902</v>
      </c>
      <c r="H871" s="18">
        <f t="shared" si="35"/>
        <v>42028.160000000003</v>
      </c>
      <c r="I871" s="3"/>
    </row>
    <row r="872" spans="1:9" s="4" customFormat="1" ht="18" customHeight="1" x14ac:dyDescent="0.55000000000000004">
      <c r="A872" s="18">
        <v>24.800891799999999</v>
      </c>
      <c r="B872" s="18">
        <v>34.840194099999998</v>
      </c>
      <c r="C872" s="18">
        <v>686012.46</v>
      </c>
      <c r="D872" s="18">
        <v>2744154.36</v>
      </c>
      <c r="E872" s="18">
        <v>231.83</v>
      </c>
      <c r="F872" s="18">
        <v>42040.73</v>
      </c>
      <c r="G872" s="18">
        <v>133904</v>
      </c>
      <c r="H872" s="18">
        <f t="shared" si="35"/>
        <v>42032.73</v>
      </c>
      <c r="I872" s="3"/>
    </row>
    <row r="873" spans="1:9" s="4" customFormat="1" ht="18" customHeight="1" x14ac:dyDescent="0.55000000000000004">
      <c r="A873" s="18">
        <v>24.800878600000001</v>
      </c>
      <c r="B873" s="18">
        <v>34.8401663</v>
      </c>
      <c r="C873" s="18">
        <v>686009.67</v>
      </c>
      <c r="D873" s="18">
        <v>2744152.87</v>
      </c>
      <c r="E873" s="18">
        <v>231.83</v>
      </c>
      <c r="F873" s="18">
        <v>42040.33</v>
      </c>
      <c r="G873" s="18">
        <v>133906</v>
      </c>
      <c r="H873" s="18">
        <f t="shared" si="35"/>
        <v>42032.33</v>
      </c>
      <c r="I873" s="3"/>
    </row>
    <row r="874" spans="1:9" s="4" customFormat="1" ht="18" customHeight="1" x14ac:dyDescent="0.55000000000000004">
      <c r="A874" s="18">
        <v>24.800867</v>
      </c>
      <c r="B874" s="18">
        <v>34.840138600000003</v>
      </c>
      <c r="C874" s="18">
        <v>686006.89</v>
      </c>
      <c r="D874" s="18">
        <v>2744151.53</v>
      </c>
      <c r="E874" s="18">
        <v>231.87</v>
      </c>
      <c r="F874" s="18">
        <v>42036.12</v>
      </c>
      <c r="G874" s="18">
        <v>133908</v>
      </c>
      <c r="H874" s="18">
        <f t="shared" si="35"/>
        <v>42028.12</v>
      </c>
      <c r="I874" s="3"/>
    </row>
    <row r="875" spans="1:9" s="4" customFormat="1" ht="18" customHeight="1" x14ac:dyDescent="0.55000000000000004">
      <c r="A875" s="18">
        <v>24.800851699999999</v>
      </c>
      <c r="B875" s="18">
        <v>34.840113299999999</v>
      </c>
      <c r="C875" s="18">
        <v>686004.35</v>
      </c>
      <c r="D875" s="18">
        <v>2744149.8</v>
      </c>
      <c r="E875" s="18">
        <v>231.91</v>
      </c>
      <c r="F875" s="18">
        <v>42037.89</v>
      </c>
      <c r="G875" s="18">
        <v>133910</v>
      </c>
      <c r="H875" s="18">
        <f t="shared" si="35"/>
        <v>42029.89</v>
      </c>
      <c r="I875" s="3"/>
    </row>
    <row r="876" spans="1:9" s="4" customFormat="1" ht="18" customHeight="1" x14ac:dyDescent="0.55000000000000004">
      <c r="A876" s="18">
        <v>24.800836400000001</v>
      </c>
      <c r="B876" s="18">
        <v>34.840086900000003</v>
      </c>
      <c r="C876" s="18">
        <v>686001.7</v>
      </c>
      <c r="D876" s="18">
        <v>2744148.08</v>
      </c>
      <c r="E876" s="18">
        <v>231.96</v>
      </c>
      <c r="F876" s="18">
        <v>42041.13</v>
      </c>
      <c r="G876" s="18">
        <v>133912</v>
      </c>
      <c r="H876" s="18">
        <f t="shared" si="35"/>
        <v>42033.13</v>
      </c>
      <c r="I876" s="3"/>
    </row>
    <row r="877" spans="1:9" s="4" customFormat="1" ht="18" customHeight="1" x14ac:dyDescent="0.55000000000000004">
      <c r="A877" s="18">
        <v>24.800819600000001</v>
      </c>
      <c r="B877" s="18">
        <v>34.840061499999997</v>
      </c>
      <c r="C877" s="18">
        <v>685999.16</v>
      </c>
      <c r="D877" s="18">
        <v>2744146.18</v>
      </c>
      <c r="E877" s="18">
        <v>232</v>
      </c>
      <c r="F877" s="18">
        <v>42041.53</v>
      </c>
      <c r="G877" s="18">
        <v>133914</v>
      </c>
      <c r="H877" s="18">
        <f t="shared" si="35"/>
        <v>42033.53</v>
      </c>
      <c r="I877" s="3"/>
    </row>
    <row r="878" spans="1:9" s="4" customFormat="1" ht="18" customHeight="1" x14ac:dyDescent="0.55000000000000004">
      <c r="A878" s="18">
        <v>24.800803399999999</v>
      </c>
      <c r="B878" s="18">
        <v>34.840036599999998</v>
      </c>
      <c r="C878" s="18">
        <v>685996.67</v>
      </c>
      <c r="D878" s="18">
        <v>2744144.36</v>
      </c>
      <c r="E878" s="18">
        <v>232.08</v>
      </c>
      <c r="F878" s="18">
        <v>42037.21</v>
      </c>
      <c r="G878" s="18">
        <v>133916</v>
      </c>
      <c r="H878" s="18">
        <f t="shared" si="35"/>
        <v>42029.21</v>
      </c>
      <c r="I878" s="3"/>
    </row>
    <row r="879" spans="1:9" s="4" customFormat="1" ht="18" customHeight="1" x14ac:dyDescent="0.55000000000000004">
      <c r="A879" s="18">
        <v>24.800787</v>
      </c>
      <c r="B879" s="18">
        <v>34.840012199999997</v>
      </c>
      <c r="C879" s="18">
        <v>685994.23</v>
      </c>
      <c r="D879" s="18">
        <v>2744142.5</v>
      </c>
      <c r="E879" s="18">
        <v>232.09</v>
      </c>
      <c r="F879" s="18">
        <v>42040.68</v>
      </c>
      <c r="G879" s="18">
        <v>133918</v>
      </c>
      <c r="H879" s="18">
        <f t="shared" si="35"/>
        <v>42032.68</v>
      </c>
      <c r="I879" s="3"/>
    </row>
    <row r="880" spans="1:9" s="4" customFormat="1" ht="18" customHeight="1" x14ac:dyDescent="0.55000000000000004">
      <c r="A880" s="18">
        <v>24.8007709</v>
      </c>
      <c r="B880" s="18">
        <v>34.839986199999998</v>
      </c>
      <c r="C880" s="18">
        <v>685991.61</v>
      </c>
      <c r="D880" s="18">
        <v>2744140.69</v>
      </c>
      <c r="E880" s="18">
        <v>232.14</v>
      </c>
      <c r="F880" s="18">
        <v>42038.98</v>
      </c>
      <c r="G880" s="18">
        <v>133920</v>
      </c>
      <c r="H880" s="18">
        <f t="shared" si="35"/>
        <v>42030.98</v>
      </c>
      <c r="I880" s="3"/>
    </row>
    <row r="881" spans="1:9" s="4" customFormat="1" ht="18" customHeight="1" x14ac:dyDescent="0.55000000000000004">
      <c r="A881" s="18">
        <v>24.800751699999999</v>
      </c>
      <c r="B881" s="18">
        <v>34.839961099999996</v>
      </c>
      <c r="C881" s="18">
        <v>685989.11</v>
      </c>
      <c r="D881" s="18">
        <v>2744138.52</v>
      </c>
      <c r="E881" s="18">
        <v>232.15</v>
      </c>
      <c r="F881" s="18">
        <v>42037.86</v>
      </c>
      <c r="G881" s="18">
        <v>133922</v>
      </c>
      <c r="H881" s="18">
        <f t="shared" si="35"/>
        <v>42029.86</v>
      </c>
      <c r="I881" s="3"/>
    </row>
    <row r="882" spans="1:9" s="4" customFormat="1" ht="18" customHeight="1" x14ac:dyDescent="0.55000000000000004">
      <c r="A882" s="18">
        <v>24.800733300000001</v>
      </c>
      <c r="B882" s="18">
        <v>34.839935699999998</v>
      </c>
      <c r="C882" s="18">
        <v>685986.57</v>
      </c>
      <c r="D882" s="18">
        <v>2744136.45</v>
      </c>
      <c r="E882" s="18">
        <v>232.14</v>
      </c>
      <c r="F882" s="18">
        <v>42038.2</v>
      </c>
      <c r="G882" s="18">
        <v>133924</v>
      </c>
      <c r="H882" s="18">
        <f t="shared" si="35"/>
        <v>42030.2</v>
      </c>
      <c r="I882" s="3"/>
    </row>
    <row r="883" spans="1:9" s="4" customFormat="1" ht="18" customHeight="1" x14ac:dyDescent="0.55000000000000004">
      <c r="A883" s="18">
        <v>24.800712999999998</v>
      </c>
      <c r="B883" s="18">
        <v>34.839911700000002</v>
      </c>
      <c r="C883" s="18">
        <v>685984.17</v>
      </c>
      <c r="D883" s="18">
        <v>2744134.18</v>
      </c>
      <c r="E883" s="18">
        <v>232.16</v>
      </c>
      <c r="F883" s="18">
        <v>42038.01</v>
      </c>
      <c r="G883" s="18">
        <v>133926</v>
      </c>
      <c r="H883" s="18">
        <f t="shared" si="35"/>
        <v>42030.01</v>
      </c>
      <c r="I883" s="3"/>
    </row>
    <row r="884" spans="1:9" s="4" customFormat="1" ht="18" customHeight="1" x14ac:dyDescent="0.55000000000000004">
      <c r="A884" s="18">
        <v>24.800692099999999</v>
      </c>
      <c r="B884" s="18">
        <v>34.839889399999997</v>
      </c>
      <c r="C884" s="18">
        <v>685981.95</v>
      </c>
      <c r="D884" s="18">
        <v>2744131.83</v>
      </c>
      <c r="E884" s="18">
        <v>232.16</v>
      </c>
      <c r="F884" s="18">
        <v>42037.47</v>
      </c>
      <c r="G884" s="18">
        <v>133928</v>
      </c>
      <c r="H884" s="18">
        <f t="shared" si="35"/>
        <v>42029.47</v>
      </c>
      <c r="I884" s="3"/>
    </row>
    <row r="885" spans="1:9" s="4" customFormat="1" ht="18" customHeight="1" x14ac:dyDescent="0.55000000000000004">
      <c r="A885" s="18">
        <v>24.800672500000001</v>
      </c>
      <c r="B885" s="18">
        <v>34.839865799999998</v>
      </c>
      <c r="C885" s="18">
        <v>685979.59</v>
      </c>
      <c r="D885" s="18">
        <v>2744129.62</v>
      </c>
      <c r="E885" s="18">
        <v>232.17</v>
      </c>
      <c r="F885" s="18">
        <v>42036.480000000003</v>
      </c>
      <c r="G885" s="18">
        <v>133930</v>
      </c>
      <c r="H885" s="18">
        <f t="shared" si="35"/>
        <v>42028.480000000003</v>
      </c>
      <c r="I885" s="3"/>
    </row>
    <row r="886" spans="1:9" s="4" customFormat="1" ht="18" customHeight="1" x14ac:dyDescent="0.55000000000000004">
      <c r="A886" s="18">
        <v>24.800651899999998</v>
      </c>
      <c r="B886" s="18">
        <v>34.8398416</v>
      </c>
      <c r="C886" s="18">
        <v>685977.18</v>
      </c>
      <c r="D886" s="18">
        <v>2744127.31</v>
      </c>
      <c r="E886" s="18">
        <v>232.18</v>
      </c>
      <c r="F886" s="18">
        <v>42040.38</v>
      </c>
      <c r="G886" s="18">
        <v>133932</v>
      </c>
      <c r="H886" s="18">
        <f t="shared" si="35"/>
        <v>42032.38</v>
      </c>
      <c r="I886" s="3"/>
    </row>
    <row r="887" spans="1:9" s="4" customFormat="1" ht="18" customHeight="1" x14ac:dyDescent="0.55000000000000004">
      <c r="A887" s="18">
        <v>24.800628799999998</v>
      </c>
      <c r="B887" s="18">
        <v>34.839821800000003</v>
      </c>
      <c r="C887" s="18">
        <v>685975.21</v>
      </c>
      <c r="D887" s="18">
        <v>2744124.73</v>
      </c>
      <c r="E887" s="18">
        <v>232.2</v>
      </c>
      <c r="F887" s="18">
        <v>42037.88</v>
      </c>
      <c r="G887" s="18">
        <v>133934</v>
      </c>
      <c r="H887" s="18">
        <f t="shared" ref="H887:H950" si="36">SUM(F887-8)</f>
        <v>42029.88</v>
      </c>
      <c r="I887" s="3"/>
    </row>
    <row r="888" spans="1:9" s="4" customFormat="1" ht="18" customHeight="1" x14ac:dyDescent="0.55000000000000004">
      <c r="A888" s="18">
        <v>24.800605399999998</v>
      </c>
      <c r="B888" s="18">
        <v>34.8398021</v>
      </c>
      <c r="C888" s="18">
        <v>685973.25</v>
      </c>
      <c r="D888" s="18">
        <v>2744122.11</v>
      </c>
      <c r="E888" s="18">
        <v>232.17</v>
      </c>
      <c r="F888" s="18">
        <v>42032.959999999999</v>
      </c>
      <c r="G888" s="18">
        <v>133936</v>
      </c>
      <c r="H888" s="18">
        <f t="shared" si="36"/>
        <v>42024.959999999999</v>
      </c>
      <c r="I888" s="3"/>
    </row>
    <row r="889" spans="1:9" s="4" customFormat="1" ht="18" customHeight="1" x14ac:dyDescent="0.55000000000000004">
      <c r="A889" s="18">
        <v>24.800580799999999</v>
      </c>
      <c r="B889" s="18">
        <v>34.8397845</v>
      </c>
      <c r="C889" s="18">
        <v>685971.51</v>
      </c>
      <c r="D889" s="18">
        <v>2744119.35</v>
      </c>
      <c r="E889" s="18">
        <v>232.19</v>
      </c>
      <c r="F889" s="18">
        <v>42036.19</v>
      </c>
      <c r="G889" s="18">
        <v>133938</v>
      </c>
      <c r="H889" s="18">
        <f t="shared" si="36"/>
        <v>42028.19</v>
      </c>
      <c r="I889" s="3"/>
    </row>
    <row r="890" spans="1:9" s="4" customFormat="1" ht="18" customHeight="1" x14ac:dyDescent="0.55000000000000004">
      <c r="A890" s="18">
        <v>24.800555299999999</v>
      </c>
      <c r="B890" s="18">
        <v>34.839766699999998</v>
      </c>
      <c r="C890" s="18">
        <v>685969.75</v>
      </c>
      <c r="D890" s="18">
        <v>2744116.51</v>
      </c>
      <c r="E890" s="18">
        <v>232.16</v>
      </c>
      <c r="F890" s="18">
        <v>42033.87</v>
      </c>
      <c r="G890" s="18">
        <v>133940</v>
      </c>
      <c r="H890" s="18">
        <f t="shared" si="36"/>
        <v>42025.87</v>
      </c>
      <c r="I890" s="3"/>
    </row>
    <row r="891" spans="1:9" s="4" customFormat="1" ht="18" customHeight="1" x14ac:dyDescent="0.55000000000000004">
      <c r="A891" s="18">
        <v>24.800531599999999</v>
      </c>
      <c r="B891" s="18">
        <v>34.839749599999998</v>
      </c>
      <c r="C891" s="18">
        <v>685968.05</v>
      </c>
      <c r="D891" s="18">
        <v>2744113.86</v>
      </c>
      <c r="E891" s="18">
        <v>232.21</v>
      </c>
      <c r="F891" s="18">
        <v>42032.09</v>
      </c>
      <c r="G891" s="18">
        <v>133942</v>
      </c>
      <c r="H891" s="18">
        <f t="shared" si="36"/>
        <v>42024.09</v>
      </c>
      <c r="I891" s="3"/>
    </row>
    <row r="892" spans="1:9" s="4" customFormat="1" ht="18" customHeight="1" x14ac:dyDescent="0.55000000000000004">
      <c r="A892" s="18">
        <v>24.800507899999999</v>
      </c>
      <c r="B892" s="18">
        <v>34.839731700000002</v>
      </c>
      <c r="C892" s="18">
        <v>685966.28</v>
      </c>
      <c r="D892" s="18">
        <v>2744111.21</v>
      </c>
      <c r="E892" s="18">
        <v>232.25</v>
      </c>
      <c r="F892" s="18">
        <v>42035.01</v>
      </c>
      <c r="G892" s="18">
        <v>133944</v>
      </c>
      <c r="H892" s="18">
        <f t="shared" si="36"/>
        <v>42027.01</v>
      </c>
      <c r="I892" s="3"/>
    </row>
    <row r="893" spans="1:9" s="4" customFormat="1" ht="18" customHeight="1" x14ac:dyDescent="0.55000000000000004">
      <c r="A893" s="18">
        <v>24.800483799999999</v>
      </c>
      <c r="B893" s="18">
        <v>34.839713500000002</v>
      </c>
      <c r="C893" s="18">
        <v>685964.48</v>
      </c>
      <c r="D893" s="18">
        <v>2744108.51</v>
      </c>
      <c r="E893" s="18">
        <v>232.24</v>
      </c>
      <c r="F893" s="18">
        <v>42030.080000000002</v>
      </c>
      <c r="G893" s="18">
        <v>133946</v>
      </c>
      <c r="H893" s="18">
        <f t="shared" si="36"/>
        <v>42022.080000000002</v>
      </c>
      <c r="I893" s="3"/>
    </row>
    <row r="894" spans="1:9" s="4" customFormat="1" ht="18" customHeight="1" x14ac:dyDescent="0.55000000000000004">
      <c r="A894" s="18">
        <v>24.8004623</v>
      </c>
      <c r="B894" s="18">
        <v>34.839692599999999</v>
      </c>
      <c r="C894" s="18">
        <v>685962.4</v>
      </c>
      <c r="D894" s="18">
        <v>2744106.11</v>
      </c>
      <c r="E894" s="18">
        <v>232.26</v>
      </c>
      <c r="F894" s="18">
        <v>42026.59</v>
      </c>
      <c r="G894" s="18">
        <v>133948</v>
      </c>
      <c r="H894" s="18">
        <f t="shared" si="36"/>
        <v>42018.59</v>
      </c>
      <c r="I894" s="3"/>
    </row>
    <row r="895" spans="1:9" s="4" customFormat="1" ht="18" customHeight="1" x14ac:dyDescent="0.55000000000000004">
      <c r="A895" s="18">
        <v>24.800446399999998</v>
      </c>
      <c r="B895" s="18">
        <v>34.839665400000001</v>
      </c>
      <c r="C895" s="18">
        <v>685959.67</v>
      </c>
      <c r="D895" s="18">
        <v>2744104.31</v>
      </c>
      <c r="E895" s="18">
        <v>232.28</v>
      </c>
      <c r="F895" s="18">
        <v>42029.19</v>
      </c>
      <c r="G895" s="18">
        <v>133950</v>
      </c>
      <c r="H895" s="18">
        <f t="shared" si="36"/>
        <v>42021.19</v>
      </c>
      <c r="I895" s="3"/>
    </row>
    <row r="896" spans="1:9" s="4" customFormat="1" ht="18" customHeight="1" x14ac:dyDescent="0.55000000000000004">
      <c r="A896" s="18">
        <v>24.800432499999999</v>
      </c>
      <c r="B896" s="18">
        <v>34.839637000000003</v>
      </c>
      <c r="C896" s="18">
        <v>685956.82</v>
      </c>
      <c r="D896" s="18">
        <v>2744102.72</v>
      </c>
      <c r="E896" s="18">
        <v>232.26</v>
      </c>
      <c r="F896" s="18">
        <v>42029.56</v>
      </c>
      <c r="G896" s="18">
        <v>133952</v>
      </c>
      <c r="H896" s="18">
        <f t="shared" si="36"/>
        <v>42021.56</v>
      </c>
      <c r="I896" s="3"/>
    </row>
    <row r="897" spans="1:9" s="4" customFormat="1" ht="18" customHeight="1" x14ac:dyDescent="0.55000000000000004">
      <c r="A897" s="18">
        <v>24.8004164</v>
      </c>
      <c r="B897" s="18">
        <v>34.8396106</v>
      </c>
      <c r="C897" s="18">
        <v>685954.17</v>
      </c>
      <c r="D897" s="18">
        <v>2744100.91</v>
      </c>
      <c r="E897" s="18">
        <v>232.3</v>
      </c>
      <c r="F897" s="18">
        <v>42033.3</v>
      </c>
      <c r="G897" s="18">
        <v>133954</v>
      </c>
      <c r="H897" s="18">
        <f t="shared" si="36"/>
        <v>42025.3</v>
      </c>
      <c r="I897" s="3"/>
    </row>
    <row r="898" spans="1:9" s="4" customFormat="1" ht="18" customHeight="1" x14ac:dyDescent="0.55000000000000004">
      <c r="A898" s="18">
        <v>24.800400199999999</v>
      </c>
      <c r="B898" s="18">
        <v>34.839583099999999</v>
      </c>
      <c r="C898" s="18">
        <v>685951.41</v>
      </c>
      <c r="D898" s="18">
        <v>2744099.08</v>
      </c>
      <c r="E898" s="18">
        <v>232.33</v>
      </c>
      <c r="F898" s="18">
        <v>42030.78</v>
      </c>
      <c r="G898" s="18">
        <v>133956</v>
      </c>
      <c r="H898" s="18">
        <f t="shared" si="36"/>
        <v>42022.78</v>
      </c>
      <c r="I898" s="3"/>
    </row>
    <row r="899" spans="1:9" s="4" customFormat="1" ht="18" customHeight="1" x14ac:dyDescent="0.55000000000000004">
      <c r="A899" s="18">
        <v>24.800387199999999</v>
      </c>
      <c r="B899" s="18">
        <v>34.8395534</v>
      </c>
      <c r="C899" s="18">
        <v>685948.43</v>
      </c>
      <c r="D899" s="18">
        <v>2744097.59</v>
      </c>
      <c r="E899" s="18">
        <v>232.34</v>
      </c>
      <c r="F899" s="18">
        <v>42030.54</v>
      </c>
      <c r="G899" s="18">
        <v>133958</v>
      </c>
      <c r="H899" s="18">
        <f t="shared" si="36"/>
        <v>42022.54</v>
      </c>
      <c r="I899" s="3"/>
    </row>
    <row r="900" spans="1:9" s="4" customFormat="1" ht="18" customHeight="1" x14ac:dyDescent="0.55000000000000004">
      <c r="A900" s="18">
        <v>24.8003696</v>
      </c>
      <c r="B900" s="18">
        <v>34.8395273</v>
      </c>
      <c r="C900" s="18">
        <v>685945.82</v>
      </c>
      <c r="D900" s="18">
        <v>2744095.62</v>
      </c>
      <c r="E900" s="18">
        <v>232.36</v>
      </c>
      <c r="F900" s="18">
        <v>42032.01</v>
      </c>
      <c r="G900" s="18">
        <v>134000</v>
      </c>
      <c r="H900" s="18">
        <f t="shared" si="36"/>
        <v>42024.01</v>
      </c>
      <c r="I900" s="3"/>
    </row>
    <row r="901" spans="1:9" s="4" customFormat="1" ht="18" customHeight="1" x14ac:dyDescent="0.55000000000000004">
      <c r="A901" s="18">
        <v>24.800348899999999</v>
      </c>
      <c r="B901" s="18">
        <v>34.839504300000002</v>
      </c>
      <c r="C901" s="18">
        <v>685943.52</v>
      </c>
      <c r="D901" s="18">
        <v>2744093.28</v>
      </c>
      <c r="E901" s="18">
        <v>232.34</v>
      </c>
      <c r="F901" s="18">
        <v>42029.14</v>
      </c>
      <c r="G901" s="18">
        <v>134002</v>
      </c>
      <c r="H901" s="18">
        <f t="shared" si="36"/>
        <v>42021.14</v>
      </c>
      <c r="I901" s="3"/>
    </row>
    <row r="902" spans="1:9" s="4" customFormat="1" ht="18" customHeight="1" x14ac:dyDescent="0.55000000000000004">
      <c r="A902" s="18">
        <v>24.8003249</v>
      </c>
      <c r="B902" s="18">
        <v>34.839484300000002</v>
      </c>
      <c r="C902" s="18">
        <v>685941.53</v>
      </c>
      <c r="D902" s="18">
        <v>2744090.6</v>
      </c>
      <c r="E902" s="18">
        <v>232.35</v>
      </c>
      <c r="F902" s="18">
        <v>42029.73</v>
      </c>
      <c r="G902" s="18">
        <v>134004</v>
      </c>
      <c r="H902" s="18">
        <f t="shared" si="36"/>
        <v>42021.73</v>
      </c>
      <c r="I902" s="3"/>
    </row>
    <row r="903" spans="1:9" s="4" customFormat="1" ht="18" customHeight="1" x14ac:dyDescent="0.55000000000000004">
      <c r="A903" s="18">
        <v>24.8003073</v>
      </c>
      <c r="B903" s="18">
        <v>34.839459900000001</v>
      </c>
      <c r="C903" s="18">
        <v>685939.1</v>
      </c>
      <c r="D903" s="18">
        <v>2744088.62</v>
      </c>
      <c r="E903" s="18">
        <v>232.31</v>
      </c>
      <c r="F903" s="18">
        <v>42033.45</v>
      </c>
      <c r="G903" s="18">
        <v>134006</v>
      </c>
      <c r="H903" s="18">
        <f t="shared" si="36"/>
        <v>42025.45</v>
      </c>
      <c r="I903" s="3"/>
    </row>
    <row r="904" spans="1:9" s="4" customFormat="1" ht="18" customHeight="1" x14ac:dyDescent="0.55000000000000004">
      <c r="A904" s="18">
        <v>24.800291999999999</v>
      </c>
      <c r="B904" s="18">
        <v>34.8394336</v>
      </c>
      <c r="C904" s="18">
        <v>685936.46</v>
      </c>
      <c r="D904" s="18">
        <v>2744086.88</v>
      </c>
      <c r="E904" s="18">
        <v>232.36</v>
      </c>
      <c r="F904" s="18">
        <v>42030.81</v>
      </c>
      <c r="G904" s="18">
        <v>134008</v>
      </c>
      <c r="H904" s="18">
        <f t="shared" si="36"/>
        <v>42022.81</v>
      </c>
      <c r="I904" s="3"/>
    </row>
    <row r="905" spans="1:9" s="4" customFormat="1" ht="18" customHeight="1" x14ac:dyDescent="0.55000000000000004">
      <c r="A905" s="18">
        <v>24.800277399999999</v>
      </c>
      <c r="B905" s="18">
        <v>34.8394063</v>
      </c>
      <c r="C905" s="18">
        <v>685933.72</v>
      </c>
      <c r="D905" s="18">
        <v>2744085.23</v>
      </c>
      <c r="E905" s="18">
        <v>232.35</v>
      </c>
      <c r="F905" s="18">
        <v>42029.91</v>
      </c>
      <c r="G905" s="18">
        <v>134010</v>
      </c>
      <c r="H905" s="18">
        <f t="shared" si="36"/>
        <v>42021.91</v>
      </c>
      <c r="I905" s="3"/>
    </row>
    <row r="906" spans="1:9" s="4" customFormat="1" ht="18" customHeight="1" x14ac:dyDescent="0.55000000000000004">
      <c r="A906" s="18">
        <v>24.800263300000001</v>
      </c>
      <c r="B906" s="18">
        <v>34.839378500000002</v>
      </c>
      <c r="C906" s="18">
        <v>685930.93</v>
      </c>
      <c r="D906" s="18">
        <v>2744083.63</v>
      </c>
      <c r="E906" s="18">
        <v>232.38</v>
      </c>
      <c r="F906" s="18">
        <v>42026.79</v>
      </c>
      <c r="G906" s="18">
        <v>134012</v>
      </c>
      <c r="H906" s="18">
        <f t="shared" si="36"/>
        <v>42018.79</v>
      </c>
      <c r="I906" s="3"/>
    </row>
    <row r="907" spans="1:9" s="4" customFormat="1" ht="18" customHeight="1" x14ac:dyDescent="0.55000000000000004">
      <c r="A907" s="18">
        <v>24.800248199999999</v>
      </c>
      <c r="B907" s="18">
        <v>34.839351899999997</v>
      </c>
      <c r="C907" s="18">
        <v>685928.27</v>
      </c>
      <c r="D907" s="18">
        <v>2744081.92</v>
      </c>
      <c r="E907" s="18">
        <v>232.41</v>
      </c>
      <c r="F907" s="18">
        <v>42026.03</v>
      </c>
      <c r="G907" s="18">
        <v>134014</v>
      </c>
      <c r="H907" s="18">
        <f t="shared" si="36"/>
        <v>42018.03</v>
      </c>
      <c r="I907" s="3"/>
    </row>
    <row r="908" spans="1:9" s="4" customFormat="1" ht="18" customHeight="1" x14ac:dyDescent="0.55000000000000004">
      <c r="A908" s="18">
        <v>24.8002334</v>
      </c>
      <c r="B908" s="18">
        <v>34.839324699999999</v>
      </c>
      <c r="C908" s="18">
        <v>685925.54</v>
      </c>
      <c r="D908" s="18">
        <v>2744080.25</v>
      </c>
      <c r="E908" s="18">
        <v>232.42</v>
      </c>
      <c r="F908" s="18">
        <v>42022.84</v>
      </c>
      <c r="G908" s="18">
        <v>134016</v>
      </c>
      <c r="H908" s="18">
        <f t="shared" si="36"/>
        <v>42014.84</v>
      </c>
      <c r="I908" s="3"/>
    </row>
    <row r="909" spans="1:9" s="4" customFormat="1" ht="18" customHeight="1" x14ac:dyDescent="0.55000000000000004">
      <c r="A909" s="18">
        <v>24.800219500000001</v>
      </c>
      <c r="B909" s="18">
        <v>34.8392974</v>
      </c>
      <c r="C909" s="18">
        <v>685922.8</v>
      </c>
      <c r="D909" s="18">
        <v>2744078.67</v>
      </c>
      <c r="E909" s="18">
        <v>232.4</v>
      </c>
      <c r="F909" s="18">
        <v>42024.89</v>
      </c>
      <c r="G909" s="18">
        <v>134018</v>
      </c>
      <c r="H909" s="18">
        <f t="shared" si="36"/>
        <v>42016.89</v>
      </c>
      <c r="I909" s="3"/>
    </row>
    <row r="910" spans="1:9" s="4" customFormat="1" ht="18" customHeight="1" x14ac:dyDescent="0.55000000000000004">
      <c r="A910" s="18">
        <v>24.8002061</v>
      </c>
      <c r="B910" s="18">
        <v>34.839268099999998</v>
      </c>
      <c r="C910" s="18">
        <v>685919.85</v>
      </c>
      <c r="D910" s="18">
        <v>2744077.14</v>
      </c>
      <c r="E910" s="18">
        <v>232.42</v>
      </c>
      <c r="F910" s="18">
        <v>42024.14</v>
      </c>
      <c r="G910" s="18">
        <v>134020</v>
      </c>
      <c r="H910" s="18">
        <f t="shared" si="36"/>
        <v>42016.14</v>
      </c>
      <c r="I910" s="3"/>
    </row>
    <row r="911" spans="1:9" s="4" customFormat="1" ht="18" customHeight="1" x14ac:dyDescent="0.55000000000000004">
      <c r="A911" s="18">
        <v>24.800190600000001</v>
      </c>
      <c r="B911" s="18">
        <v>34.839239999999997</v>
      </c>
      <c r="C911" s="18">
        <v>685917.04</v>
      </c>
      <c r="D911" s="18">
        <v>2744075.39</v>
      </c>
      <c r="E911" s="18">
        <v>232.39</v>
      </c>
      <c r="F911" s="18">
        <v>42024.63</v>
      </c>
      <c r="G911" s="18">
        <v>134022</v>
      </c>
      <c r="H911" s="18">
        <f t="shared" si="36"/>
        <v>42016.63</v>
      </c>
      <c r="I911" s="3"/>
    </row>
    <row r="912" spans="1:9" s="4" customFormat="1" ht="18" customHeight="1" x14ac:dyDescent="0.55000000000000004">
      <c r="A912" s="18">
        <v>24.800173000000001</v>
      </c>
      <c r="B912" s="18">
        <v>34.839215099999997</v>
      </c>
      <c r="C912" s="18">
        <v>685914.54</v>
      </c>
      <c r="D912" s="18">
        <v>2744073.41</v>
      </c>
      <c r="E912" s="18">
        <v>232.42</v>
      </c>
      <c r="F912" s="18">
        <v>42023.14</v>
      </c>
      <c r="G912" s="18">
        <v>134024</v>
      </c>
      <c r="H912" s="18">
        <f t="shared" si="36"/>
        <v>42015.14</v>
      </c>
      <c r="I912" s="3"/>
    </row>
    <row r="913" spans="1:9" s="4" customFormat="1" ht="18" customHeight="1" x14ac:dyDescent="0.55000000000000004">
      <c r="A913" s="18">
        <v>24.8001571</v>
      </c>
      <c r="B913" s="18">
        <v>34.839188999999998</v>
      </c>
      <c r="C913" s="18">
        <v>685911.94</v>
      </c>
      <c r="D913" s="18">
        <v>2744071.62</v>
      </c>
      <c r="E913" s="18">
        <v>232.42</v>
      </c>
      <c r="F913" s="18">
        <v>42020.39</v>
      </c>
      <c r="G913" s="18">
        <v>134026</v>
      </c>
      <c r="H913" s="18">
        <f t="shared" si="36"/>
        <v>42012.39</v>
      </c>
      <c r="I913" s="3"/>
    </row>
    <row r="914" spans="1:9" s="4" customFormat="1" ht="18" customHeight="1" x14ac:dyDescent="0.55000000000000004">
      <c r="A914" s="18">
        <v>24.800138400000002</v>
      </c>
      <c r="B914" s="18">
        <v>34.839165000000001</v>
      </c>
      <c r="C914" s="18">
        <v>685909.54</v>
      </c>
      <c r="D914" s="18">
        <v>2744069.51</v>
      </c>
      <c r="E914" s="18">
        <v>232.41</v>
      </c>
      <c r="F914" s="18">
        <v>42020.02</v>
      </c>
      <c r="G914" s="18">
        <v>134028</v>
      </c>
      <c r="H914" s="18">
        <f t="shared" si="36"/>
        <v>42012.02</v>
      </c>
      <c r="I914" s="3"/>
    </row>
    <row r="915" spans="1:9" s="4" customFormat="1" ht="18" customHeight="1" x14ac:dyDescent="0.55000000000000004">
      <c r="A915" s="18">
        <v>24.800123200000002</v>
      </c>
      <c r="B915" s="18">
        <v>34.839138800000001</v>
      </c>
      <c r="C915" s="18">
        <v>685906.91</v>
      </c>
      <c r="D915" s="18">
        <v>2744067.79</v>
      </c>
      <c r="E915" s="18">
        <v>232.39</v>
      </c>
      <c r="F915" s="18">
        <v>42017.71</v>
      </c>
      <c r="G915" s="18">
        <v>134030</v>
      </c>
      <c r="H915" s="18">
        <f t="shared" si="36"/>
        <v>42009.71</v>
      </c>
      <c r="I915" s="3"/>
    </row>
    <row r="916" spans="1:9" s="4" customFormat="1" ht="18" customHeight="1" x14ac:dyDescent="0.55000000000000004">
      <c r="A916" s="18">
        <v>24.800107700000002</v>
      </c>
      <c r="B916" s="18">
        <v>34.839112200000002</v>
      </c>
      <c r="C916" s="18">
        <v>685904.24</v>
      </c>
      <c r="D916" s="18">
        <v>2744066.04</v>
      </c>
      <c r="E916" s="18">
        <v>232.39</v>
      </c>
      <c r="F916" s="18">
        <v>42016.83</v>
      </c>
      <c r="G916" s="18">
        <v>134032</v>
      </c>
      <c r="H916" s="18">
        <f t="shared" si="36"/>
        <v>42008.83</v>
      </c>
      <c r="I916" s="3"/>
    </row>
    <row r="917" spans="1:9" s="4" customFormat="1" ht="18" customHeight="1" x14ac:dyDescent="0.55000000000000004">
      <c r="A917" s="18">
        <v>24.800091200000001</v>
      </c>
      <c r="B917" s="18">
        <v>34.839085900000001</v>
      </c>
      <c r="C917" s="18">
        <v>685901.61</v>
      </c>
      <c r="D917" s="18">
        <v>2744064.18</v>
      </c>
      <c r="E917" s="18">
        <v>232.41</v>
      </c>
      <c r="F917" s="18">
        <v>42017.05</v>
      </c>
      <c r="G917" s="18">
        <v>134034</v>
      </c>
      <c r="H917" s="18">
        <f t="shared" si="36"/>
        <v>42009.05</v>
      </c>
      <c r="I917" s="3"/>
    </row>
    <row r="918" spans="1:9" s="4" customFormat="1" ht="18" customHeight="1" x14ac:dyDescent="0.55000000000000004">
      <c r="A918" s="18">
        <v>24.8000744</v>
      </c>
      <c r="B918" s="18">
        <v>34.839060699999997</v>
      </c>
      <c r="C918" s="18">
        <v>685899.08</v>
      </c>
      <c r="D918" s="18">
        <v>2744062.28</v>
      </c>
      <c r="E918" s="18">
        <v>232.45</v>
      </c>
      <c r="F918" s="18">
        <v>42015.14</v>
      </c>
      <c r="G918" s="18">
        <v>134036</v>
      </c>
      <c r="H918" s="18">
        <f t="shared" si="36"/>
        <v>42007.14</v>
      </c>
      <c r="I918" s="3"/>
    </row>
    <row r="919" spans="1:9" s="4" customFormat="1" ht="18" customHeight="1" x14ac:dyDescent="0.55000000000000004">
      <c r="A919" s="18">
        <v>24.800055</v>
      </c>
      <c r="B919" s="18">
        <v>34.8390372</v>
      </c>
      <c r="C919" s="18">
        <v>685896.73</v>
      </c>
      <c r="D919" s="18">
        <v>2744060.1</v>
      </c>
      <c r="E919" s="18">
        <v>232.48</v>
      </c>
      <c r="F919" s="18">
        <v>42013.16</v>
      </c>
      <c r="G919" s="18">
        <v>134038</v>
      </c>
      <c r="H919" s="18">
        <f t="shared" si="36"/>
        <v>42005.16</v>
      </c>
      <c r="I919" s="3"/>
    </row>
    <row r="920" spans="1:9" s="4" customFormat="1" ht="18" customHeight="1" x14ac:dyDescent="0.55000000000000004">
      <c r="A920" s="18">
        <v>24.800035099999999</v>
      </c>
      <c r="B920" s="18">
        <v>34.839014599999999</v>
      </c>
      <c r="C920" s="18">
        <v>685894.48</v>
      </c>
      <c r="D920" s="18">
        <v>2744057.87</v>
      </c>
      <c r="E920" s="18">
        <v>232.48</v>
      </c>
      <c r="F920" s="18">
        <v>42015.93</v>
      </c>
      <c r="G920" s="18">
        <v>134040</v>
      </c>
      <c r="H920" s="18">
        <f t="shared" si="36"/>
        <v>42007.93</v>
      </c>
      <c r="I920" s="3"/>
    </row>
    <row r="921" spans="1:9" s="4" customFormat="1" ht="18" customHeight="1" x14ac:dyDescent="0.55000000000000004">
      <c r="A921" s="18">
        <v>24.8000145</v>
      </c>
      <c r="B921" s="18">
        <v>34.838991900000003</v>
      </c>
      <c r="C921" s="18">
        <v>685892.22</v>
      </c>
      <c r="D921" s="18">
        <v>2744055.55</v>
      </c>
      <c r="E921" s="18">
        <v>232.48</v>
      </c>
      <c r="F921" s="18">
        <v>42016.19</v>
      </c>
      <c r="G921" s="18">
        <v>134042</v>
      </c>
      <c r="H921" s="18">
        <f t="shared" si="36"/>
        <v>42008.19</v>
      </c>
      <c r="I921" s="3"/>
    </row>
    <row r="922" spans="1:9" s="4" customFormat="1" ht="18" customHeight="1" x14ac:dyDescent="0.55000000000000004">
      <c r="A922" s="18">
        <v>24.799993600000001</v>
      </c>
      <c r="B922" s="18">
        <v>34.838969400000003</v>
      </c>
      <c r="C922" s="18">
        <v>685889.97</v>
      </c>
      <c r="D922" s="18">
        <v>2744053.21</v>
      </c>
      <c r="E922" s="18">
        <v>232.45</v>
      </c>
      <c r="F922" s="18">
        <v>42016.99</v>
      </c>
      <c r="G922" s="18">
        <v>134044</v>
      </c>
      <c r="H922" s="18">
        <f t="shared" si="36"/>
        <v>42008.99</v>
      </c>
      <c r="I922" s="3"/>
    </row>
    <row r="923" spans="1:9" s="4" customFormat="1" ht="18" customHeight="1" x14ac:dyDescent="0.55000000000000004">
      <c r="A923" s="18">
        <v>24.799971500000002</v>
      </c>
      <c r="B923" s="18">
        <v>34.838946700000001</v>
      </c>
      <c r="C923" s="18">
        <v>685887.71</v>
      </c>
      <c r="D923" s="18">
        <v>2744050.72</v>
      </c>
      <c r="E923" s="18">
        <v>232.36</v>
      </c>
      <c r="F923" s="18">
        <v>42014</v>
      </c>
      <c r="G923" s="18">
        <v>134046</v>
      </c>
      <c r="H923" s="18">
        <f t="shared" si="36"/>
        <v>42006</v>
      </c>
      <c r="I923" s="3"/>
    </row>
    <row r="924" spans="1:9" s="4" customFormat="1" ht="18" customHeight="1" x14ac:dyDescent="0.55000000000000004">
      <c r="A924" s="18">
        <v>24.799951</v>
      </c>
      <c r="B924" s="18">
        <v>34.838922799999999</v>
      </c>
      <c r="C924" s="18">
        <v>685885.33</v>
      </c>
      <c r="D924" s="18">
        <v>2744048.42</v>
      </c>
      <c r="E924" s="18">
        <v>232.48</v>
      </c>
      <c r="F924" s="18">
        <v>42009.67</v>
      </c>
      <c r="G924" s="18">
        <v>134048</v>
      </c>
      <c r="H924" s="18">
        <f t="shared" si="36"/>
        <v>42001.67</v>
      </c>
      <c r="I924" s="3"/>
    </row>
    <row r="925" spans="1:9" s="4" customFormat="1" ht="18" customHeight="1" x14ac:dyDescent="0.55000000000000004">
      <c r="A925" s="18">
        <v>24.799927799999999</v>
      </c>
      <c r="B925" s="18">
        <v>34.838905099999998</v>
      </c>
      <c r="C925" s="18">
        <v>685883.57</v>
      </c>
      <c r="D925" s="18">
        <v>2744045.83</v>
      </c>
      <c r="E925" s="18">
        <v>232.58</v>
      </c>
      <c r="F925" s="18">
        <v>42015.66</v>
      </c>
      <c r="G925" s="18">
        <v>134050</v>
      </c>
      <c r="H925" s="18">
        <f t="shared" si="36"/>
        <v>42007.66</v>
      </c>
      <c r="I925" s="3"/>
    </row>
    <row r="926" spans="1:9" s="4" customFormat="1" ht="18" customHeight="1" x14ac:dyDescent="0.55000000000000004">
      <c r="A926" s="18">
        <v>24.7999039</v>
      </c>
      <c r="B926" s="18">
        <v>34.838887100000001</v>
      </c>
      <c r="C926" s="18">
        <v>685881.79</v>
      </c>
      <c r="D926" s="18">
        <v>2744043.15</v>
      </c>
      <c r="E926" s="18">
        <v>232.66</v>
      </c>
      <c r="F926" s="18">
        <v>42020.23</v>
      </c>
      <c r="G926" s="18">
        <v>134052</v>
      </c>
      <c r="H926" s="18">
        <f t="shared" si="36"/>
        <v>42012.23</v>
      </c>
      <c r="I926" s="3"/>
    </row>
    <row r="927" spans="1:9" s="4" customFormat="1" ht="18" customHeight="1" x14ac:dyDescent="0.55000000000000004">
      <c r="A927" s="18">
        <v>24.799880600000002</v>
      </c>
      <c r="B927" s="18">
        <v>34.838869099999997</v>
      </c>
      <c r="C927" s="18">
        <v>685880</v>
      </c>
      <c r="D927" s="18">
        <v>2744040.55</v>
      </c>
      <c r="E927" s="18">
        <v>232.74</v>
      </c>
      <c r="F927" s="18">
        <v>42023.93</v>
      </c>
      <c r="G927" s="18">
        <v>134054</v>
      </c>
      <c r="H927" s="18">
        <f t="shared" si="36"/>
        <v>42015.93</v>
      </c>
      <c r="I927" s="3"/>
    </row>
    <row r="928" spans="1:9" s="4" customFormat="1" ht="18" customHeight="1" x14ac:dyDescent="0.55000000000000004">
      <c r="A928" s="18">
        <v>24.799857599999999</v>
      </c>
      <c r="B928" s="18">
        <v>34.838850100000002</v>
      </c>
      <c r="C928" s="18">
        <v>685878.11</v>
      </c>
      <c r="D928" s="18">
        <v>2744037.98</v>
      </c>
      <c r="E928" s="18">
        <v>232.82</v>
      </c>
      <c r="F928" s="18">
        <v>42027.29</v>
      </c>
      <c r="G928" s="18">
        <v>134056</v>
      </c>
      <c r="H928" s="18">
        <f t="shared" si="36"/>
        <v>42019.29</v>
      </c>
      <c r="I928" s="3"/>
    </row>
    <row r="929" spans="1:9" s="4" customFormat="1" ht="18" customHeight="1" x14ac:dyDescent="0.55000000000000004">
      <c r="A929" s="18">
        <v>24.799833</v>
      </c>
      <c r="B929" s="18">
        <v>34.838833100000002</v>
      </c>
      <c r="C929" s="18">
        <v>685876.43</v>
      </c>
      <c r="D929" s="18">
        <v>2744035.24</v>
      </c>
      <c r="E929" s="18">
        <v>232.95</v>
      </c>
      <c r="F929" s="18">
        <v>42032.08</v>
      </c>
      <c r="G929" s="18">
        <v>134058</v>
      </c>
      <c r="H929" s="18">
        <f t="shared" si="36"/>
        <v>42024.08</v>
      </c>
      <c r="I929" s="3"/>
    </row>
    <row r="930" spans="1:9" s="4" customFormat="1" ht="18" customHeight="1" x14ac:dyDescent="0.55000000000000004">
      <c r="A930" s="18">
        <v>24.7998072</v>
      </c>
      <c r="B930" s="18">
        <v>34.8388165</v>
      </c>
      <c r="C930" s="18">
        <v>685874.8</v>
      </c>
      <c r="D930" s="18">
        <v>2744032.35</v>
      </c>
      <c r="E930" s="18">
        <v>233</v>
      </c>
      <c r="F930" s="18">
        <v>42030.17</v>
      </c>
      <c r="G930" s="18">
        <v>134100</v>
      </c>
      <c r="H930" s="18">
        <f t="shared" si="36"/>
        <v>42022.17</v>
      </c>
      <c r="I930" s="3"/>
    </row>
    <row r="931" spans="1:9" s="4" customFormat="1" ht="18" customHeight="1" x14ac:dyDescent="0.55000000000000004">
      <c r="A931" s="18">
        <v>24.799783300000001</v>
      </c>
      <c r="B931" s="18">
        <v>34.838798799999999</v>
      </c>
      <c r="C931" s="18">
        <v>685873.04</v>
      </c>
      <c r="D931" s="18">
        <v>2744029.68</v>
      </c>
      <c r="E931" s="18">
        <v>233.1</v>
      </c>
      <c r="F931" s="18">
        <v>42030.78</v>
      </c>
      <c r="G931" s="18">
        <v>134102</v>
      </c>
      <c r="H931" s="18">
        <f t="shared" si="36"/>
        <v>42022.78</v>
      </c>
      <c r="I931" s="3"/>
    </row>
    <row r="932" spans="1:9" s="4" customFormat="1" ht="18" customHeight="1" x14ac:dyDescent="0.55000000000000004">
      <c r="A932" s="18">
        <v>24.799759900000002</v>
      </c>
      <c r="B932" s="18">
        <v>34.838781400000002</v>
      </c>
      <c r="C932" s="18">
        <v>685871.31</v>
      </c>
      <c r="D932" s="18">
        <v>2744027.06</v>
      </c>
      <c r="E932" s="18">
        <v>233.11</v>
      </c>
      <c r="F932" s="18">
        <v>42028.9</v>
      </c>
      <c r="G932" s="18">
        <v>134104</v>
      </c>
      <c r="H932" s="18">
        <f t="shared" si="36"/>
        <v>42020.9</v>
      </c>
      <c r="I932" s="3"/>
    </row>
    <row r="933" spans="1:9" s="4" customFormat="1" ht="18" customHeight="1" x14ac:dyDescent="0.55000000000000004">
      <c r="A933" s="18">
        <v>24.799733799999998</v>
      </c>
      <c r="B933" s="18">
        <v>34.838767300000001</v>
      </c>
      <c r="C933" s="18">
        <v>685869.93</v>
      </c>
      <c r="D933" s="18">
        <v>2744024.16</v>
      </c>
      <c r="E933" s="18">
        <v>233.29</v>
      </c>
      <c r="F933" s="18">
        <v>42025.86</v>
      </c>
      <c r="G933" s="18">
        <v>134106</v>
      </c>
      <c r="H933" s="18">
        <f t="shared" si="36"/>
        <v>42017.86</v>
      </c>
      <c r="I933" s="3"/>
    </row>
    <row r="934" spans="1:9" s="4" customFormat="1" ht="18" customHeight="1" x14ac:dyDescent="0.55000000000000004">
      <c r="A934" s="18">
        <v>24.799709400000001</v>
      </c>
      <c r="B934" s="18">
        <v>34.838752700000001</v>
      </c>
      <c r="C934" s="18">
        <v>685868.49</v>
      </c>
      <c r="D934" s="18">
        <v>2744021.44</v>
      </c>
      <c r="E934" s="18">
        <v>233.46</v>
      </c>
      <c r="F934" s="18">
        <v>42025.2</v>
      </c>
      <c r="G934" s="18">
        <v>134108</v>
      </c>
      <c r="H934" s="18">
        <f t="shared" si="36"/>
        <v>42017.2</v>
      </c>
      <c r="I934" s="3"/>
    </row>
    <row r="935" spans="1:9" s="4" customFormat="1" ht="18" customHeight="1" x14ac:dyDescent="0.55000000000000004">
      <c r="A935" s="18">
        <v>24.7996862</v>
      </c>
      <c r="B935" s="18">
        <v>34.838739699999998</v>
      </c>
      <c r="C935" s="18">
        <v>685867.21</v>
      </c>
      <c r="D935" s="18">
        <v>2744018.84</v>
      </c>
      <c r="E935" s="18">
        <v>233.52</v>
      </c>
      <c r="F935" s="18">
        <v>42024.37</v>
      </c>
      <c r="G935" s="18">
        <v>134110</v>
      </c>
      <c r="H935" s="18">
        <f t="shared" si="36"/>
        <v>42016.37</v>
      </c>
      <c r="I935" s="3"/>
    </row>
    <row r="936" spans="1:9" s="4" customFormat="1" ht="18" customHeight="1" x14ac:dyDescent="0.55000000000000004">
      <c r="A936" s="18">
        <v>24.799663299999999</v>
      </c>
      <c r="B936" s="18">
        <v>34.838727599999999</v>
      </c>
      <c r="C936" s="18">
        <v>685866.02</v>
      </c>
      <c r="D936" s="18">
        <v>2744016.29</v>
      </c>
      <c r="E936" s="18">
        <v>233.59</v>
      </c>
      <c r="F936" s="18">
        <v>42025.88</v>
      </c>
      <c r="G936" s="18">
        <v>134112</v>
      </c>
      <c r="H936" s="18">
        <f t="shared" si="36"/>
        <v>42017.88</v>
      </c>
      <c r="I936" s="3"/>
    </row>
    <row r="937" spans="1:9" s="4" customFormat="1" ht="18" customHeight="1" x14ac:dyDescent="0.55000000000000004">
      <c r="A937" s="18">
        <v>24.799641000000001</v>
      </c>
      <c r="B937" s="18">
        <v>34.838717799999998</v>
      </c>
      <c r="C937" s="18">
        <v>685865.06</v>
      </c>
      <c r="D937" s="18">
        <v>2744013.81</v>
      </c>
      <c r="E937" s="18">
        <v>233.69</v>
      </c>
      <c r="F937" s="18">
        <v>42026.82</v>
      </c>
      <c r="G937" s="18">
        <v>134114</v>
      </c>
      <c r="H937" s="18">
        <f t="shared" si="36"/>
        <v>42018.82</v>
      </c>
      <c r="I937" s="3"/>
    </row>
    <row r="938" spans="1:9" s="4" customFormat="1" ht="18" customHeight="1" x14ac:dyDescent="0.55000000000000004">
      <c r="A938" s="18">
        <v>24.799620699999998</v>
      </c>
      <c r="B938" s="18">
        <v>34.838706700000003</v>
      </c>
      <c r="C938" s="18">
        <v>685863.97</v>
      </c>
      <c r="D938" s="18">
        <v>2744011.55</v>
      </c>
      <c r="E938" s="18">
        <v>233.71</v>
      </c>
      <c r="F938" s="18">
        <v>42025.46</v>
      </c>
      <c r="G938" s="18">
        <v>134116</v>
      </c>
      <c r="H938" s="18">
        <f t="shared" si="36"/>
        <v>42017.46</v>
      </c>
      <c r="I938" s="3"/>
    </row>
    <row r="939" spans="1:9" s="4" customFormat="1" ht="18" customHeight="1" x14ac:dyDescent="0.55000000000000004">
      <c r="A939" s="18">
        <v>24.7995999</v>
      </c>
      <c r="B939" s="18">
        <v>34.838695299999998</v>
      </c>
      <c r="C939" s="18">
        <v>685862.85</v>
      </c>
      <c r="D939" s="18">
        <v>2744009.22</v>
      </c>
      <c r="E939" s="18">
        <v>233.7</v>
      </c>
      <c r="F939" s="18">
        <v>42024.72</v>
      </c>
      <c r="G939" s="18">
        <v>134118</v>
      </c>
      <c r="H939" s="18">
        <f t="shared" si="36"/>
        <v>42016.72</v>
      </c>
      <c r="I939" s="3"/>
    </row>
    <row r="940" spans="1:9" s="4" customFormat="1" ht="18" customHeight="1" x14ac:dyDescent="0.55000000000000004">
      <c r="A940" s="18">
        <v>24.7995795</v>
      </c>
      <c r="B940" s="18">
        <v>34.838684700000002</v>
      </c>
      <c r="C940" s="18">
        <v>685861.8</v>
      </c>
      <c r="D940" s="18">
        <v>2744006.95</v>
      </c>
      <c r="E940" s="18">
        <v>233.78</v>
      </c>
      <c r="F940" s="18">
        <v>42022.42</v>
      </c>
      <c r="G940" s="18">
        <v>134120</v>
      </c>
      <c r="H940" s="18">
        <f t="shared" si="36"/>
        <v>42014.42</v>
      </c>
      <c r="I940" s="3"/>
    </row>
    <row r="941" spans="1:9" s="4" customFormat="1" ht="18" customHeight="1" x14ac:dyDescent="0.55000000000000004">
      <c r="A941" s="18">
        <v>24.799559200000001</v>
      </c>
      <c r="B941" s="18">
        <v>34.838672500000001</v>
      </c>
      <c r="C941" s="18">
        <v>685860.6</v>
      </c>
      <c r="D941" s="18">
        <v>2744004.68</v>
      </c>
      <c r="E941" s="18">
        <v>233.71</v>
      </c>
      <c r="F941" s="18">
        <v>42024.39</v>
      </c>
      <c r="G941" s="18">
        <v>134122</v>
      </c>
      <c r="H941" s="18">
        <f t="shared" si="36"/>
        <v>42016.39</v>
      </c>
      <c r="I941" s="3"/>
    </row>
    <row r="942" spans="1:9" s="4" customFormat="1" ht="18" customHeight="1" x14ac:dyDescent="0.55000000000000004">
      <c r="A942" s="18">
        <v>24.799538800000001</v>
      </c>
      <c r="B942" s="18">
        <v>34.838661100000003</v>
      </c>
      <c r="C942" s="18">
        <v>685859.48</v>
      </c>
      <c r="D942" s="18">
        <v>2744002.41</v>
      </c>
      <c r="E942" s="18">
        <v>233.72</v>
      </c>
      <c r="F942" s="18">
        <v>42022.99</v>
      </c>
      <c r="G942" s="18">
        <v>134124</v>
      </c>
      <c r="H942" s="18">
        <f t="shared" si="36"/>
        <v>42014.99</v>
      </c>
      <c r="I942" s="3"/>
    </row>
    <row r="943" spans="1:9" s="4" customFormat="1" ht="18" customHeight="1" x14ac:dyDescent="0.55000000000000004">
      <c r="A943" s="18">
        <v>24.7995175</v>
      </c>
      <c r="B943" s="18">
        <v>34.838648999999997</v>
      </c>
      <c r="C943" s="18">
        <v>685858.29</v>
      </c>
      <c r="D943" s="18">
        <v>2744000.04</v>
      </c>
      <c r="E943" s="18">
        <v>233.74</v>
      </c>
      <c r="F943" s="18">
        <v>42024.93</v>
      </c>
      <c r="G943" s="18">
        <v>134126</v>
      </c>
      <c r="H943" s="18">
        <f t="shared" si="36"/>
        <v>42016.93</v>
      </c>
      <c r="I943" s="3"/>
    </row>
    <row r="944" spans="1:9" s="4" customFormat="1" ht="18" customHeight="1" x14ac:dyDescent="0.55000000000000004">
      <c r="A944" s="18">
        <v>24.7994962</v>
      </c>
      <c r="B944" s="18">
        <v>34.838637800000001</v>
      </c>
      <c r="C944" s="18">
        <v>685857.19</v>
      </c>
      <c r="D944" s="18">
        <v>2743997.66</v>
      </c>
      <c r="E944" s="18">
        <v>233.71</v>
      </c>
      <c r="F944" s="18">
        <v>42025.84</v>
      </c>
      <c r="G944" s="18">
        <v>134128</v>
      </c>
      <c r="H944" s="18">
        <f t="shared" si="36"/>
        <v>42017.84</v>
      </c>
      <c r="I944" s="3"/>
    </row>
    <row r="945" spans="1:9" s="4" customFormat="1" ht="18" customHeight="1" x14ac:dyDescent="0.55000000000000004">
      <c r="A945" s="18">
        <v>24.799476200000001</v>
      </c>
      <c r="B945" s="18">
        <v>34.838627700000004</v>
      </c>
      <c r="C945" s="18">
        <v>685856.19</v>
      </c>
      <c r="D945" s="18">
        <v>2743995.43</v>
      </c>
      <c r="E945" s="18">
        <v>233.77</v>
      </c>
      <c r="F945" s="18">
        <v>42025.36</v>
      </c>
      <c r="G945" s="18">
        <v>134130</v>
      </c>
      <c r="H945" s="18">
        <f t="shared" si="36"/>
        <v>42017.36</v>
      </c>
      <c r="I945" s="3"/>
    </row>
    <row r="946" spans="1:9" s="4" customFormat="1" ht="18" customHeight="1" x14ac:dyDescent="0.55000000000000004">
      <c r="A946" s="18">
        <v>24.7994576</v>
      </c>
      <c r="B946" s="18">
        <v>34.8386146</v>
      </c>
      <c r="C946" s="18">
        <v>685854.9</v>
      </c>
      <c r="D946" s="18">
        <v>2743993.35</v>
      </c>
      <c r="E946" s="18">
        <v>233.73</v>
      </c>
      <c r="F946" s="18">
        <v>42022.32</v>
      </c>
      <c r="G946" s="18">
        <v>134132</v>
      </c>
      <c r="H946" s="18">
        <f t="shared" si="36"/>
        <v>42014.32</v>
      </c>
      <c r="I946" s="3"/>
    </row>
    <row r="947" spans="1:9" s="4" customFormat="1" ht="18" customHeight="1" x14ac:dyDescent="0.55000000000000004">
      <c r="A947" s="18">
        <v>24.799439700000001</v>
      </c>
      <c r="B947" s="18">
        <v>34.8386019</v>
      </c>
      <c r="C947" s="18">
        <v>685853.65</v>
      </c>
      <c r="D947" s="18">
        <v>2743991.35</v>
      </c>
      <c r="E947" s="18">
        <v>233.8</v>
      </c>
      <c r="F947" s="18">
        <v>42022.51</v>
      </c>
      <c r="G947" s="18">
        <v>134134</v>
      </c>
      <c r="H947" s="18">
        <f t="shared" si="36"/>
        <v>42014.51</v>
      </c>
      <c r="I947" s="3"/>
    </row>
    <row r="948" spans="1:9" s="4" customFormat="1" ht="18" customHeight="1" x14ac:dyDescent="0.55000000000000004">
      <c r="A948" s="18">
        <v>24.7994211</v>
      </c>
      <c r="B948" s="18">
        <v>34.838589800000001</v>
      </c>
      <c r="C948" s="18">
        <v>685852.45</v>
      </c>
      <c r="D948" s="18">
        <v>2743989.28</v>
      </c>
      <c r="E948" s="18">
        <v>233.78</v>
      </c>
      <c r="F948" s="18">
        <v>42026.37</v>
      </c>
      <c r="G948" s="18">
        <v>134136</v>
      </c>
      <c r="H948" s="18">
        <f t="shared" si="36"/>
        <v>42018.37</v>
      </c>
      <c r="I948" s="3"/>
    </row>
    <row r="949" spans="1:9" s="4" customFormat="1" ht="18" customHeight="1" x14ac:dyDescent="0.55000000000000004">
      <c r="A949" s="18">
        <v>24.799405400000001</v>
      </c>
      <c r="B949" s="18">
        <v>34.838576799999998</v>
      </c>
      <c r="C949" s="18">
        <v>685851.16</v>
      </c>
      <c r="D949" s="18">
        <v>2743987.52</v>
      </c>
      <c r="E949" s="18">
        <v>233.83</v>
      </c>
      <c r="F949" s="18">
        <v>42023.53</v>
      </c>
      <c r="G949" s="18">
        <v>134138</v>
      </c>
      <c r="H949" s="18">
        <f t="shared" si="36"/>
        <v>42015.53</v>
      </c>
      <c r="I949" s="3"/>
    </row>
    <row r="950" spans="1:9" s="4" customFormat="1" ht="18" customHeight="1" x14ac:dyDescent="0.55000000000000004">
      <c r="A950" s="18">
        <v>24.799385900000001</v>
      </c>
      <c r="B950" s="18">
        <v>34.838564599999998</v>
      </c>
      <c r="C950" s="18">
        <v>685849.96</v>
      </c>
      <c r="D950" s="18">
        <v>2743985.35</v>
      </c>
      <c r="E950" s="18">
        <v>233.75</v>
      </c>
      <c r="F950" s="18">
        <v>42022.38</v>
      </c>
      <c r="G950" s="18">
        <v>134140</v>
      </c>
      <c r="H950" s="18">
        <f t="shared" si="36"/>
        <v>42014.38</v>
      </c>
      <c r="I950" s="3"/>
    </row>
    <row r="951" spans="1:9" s="4" customFormat="1" ht="18" customHeight="1" x14ac:dyDescent="0.55000000000000004">
      <c r="A951" s="18">
        <v>24.799366299999999</v>
      </c>
      <c r="B951" s="18">
        <v>34.838549</v>
      </c>
      <c r="C951" s="18">
        <v>685848.4</v>
      </c>
      <c r="D951" s="18">
        <v>2743983.15</v>
      </c>
      <c r="E951" s="18">
        <v>233.78</v>
      </c>
      <c r="F951" s="18">
        <v>42024.27</v>
      </c>
      <c r="G951" s="18">
        <v>134142</v>
      </c>
      <c r="H951" s="18">
        <f t="shared" ref="H951:H1014" si="37">SUM(F951-8)</f>
        <v>42016.27</v>
      </c>
      <c r="I951" s="3"/>
    </row>
    <row r="952" spans="1:9" s="4" customFormat="1" ht="18" customHeight="1" x14ac:dyDescent="0.55000000000000004">
      <c r="A952" s="18">
        <v>24.7993457</v>
      </c>
      <c r="B952" s="18">
        <v>34.838535200000003</v>
      </c>
      <c r="C952" s="18">
        <v>685847.04000000004</v>
      </c>
      <c r="D952" s="18">
        <v>2743980.85</v>
      </c>
      <c r="E952" s="18">
        <v>233.75</v>
      </c>
      <c r="F952" s="18">
        <v>42024.639999999999</v>
      </c>
      <c r="G952" s="18">
        <v>134144</v>
      </c>
      <c r="H952" s="18">
        <f t="shared" si="37"/>
        <v>42016.639999999999</v>
      </c>
      <c r="I952" s="3"/>
    </row>
    <row r="953" spans="1:9" s="4" customFormat="1" ht="18" customHeight="1" x14ac:dyDescent="0.55000000000000004">
      <c r="A953" s="18">
        <v>24.799326199999999</v>
      </c>
      <c r="B953" s="18">
        <v>34.838519099999999</v>
      </c>
      <c r="C953" s="18">
        <v>685845.44</v>
      </c>
      <c r="D953" s="18">
        <v>2743978.67</v>
      </c>
      <c r="E953" s="18">
        <v>233.72</v>
      </c>
      <c r="F953" s="18">
        <v>42025.06</v>
      </c>
      <c r="G953" s="18">
        <v>134146</v>
      </c>
      <c r="H953" s="18">
        <f t="shared" si="37"/>
        <v>42017.06</v>
      </c>
      <c r="I953" s="3"/>
    </row>
    <row r="954" spans="1:9" s="4" customFormat="1" ht="18" customHeight="1" x14ac:dyDescent="0.55000000000000004">
      <c r="A954" s="18">
        <v>24.799308</v>
      </c>
      <c r="B954" s="18">
        <v>34.838504899999997</v>
      </c>
      <c r="C954" s="18">
        <v>685844.03</v>
      </c>
      <c r="D954" s="18">
        <v>2743976.63</v>
      </c>
      <c r="E954" s="18">
        <v>233.81</v>
      </c>
      <c r="F954" s="18">
        <v>42022.75</v>
      </c>
      <c r="G954" s="18">
        <v>134148</v>
      </c>
      <c r="H954" s="18">
        <f t="shared" si="37"/>
        <v>42014.75</v>
      </c>
      <c r="I954" s="3"/>
    </row>
    <row r="955" spans="1:9" s="4" customFormat="1" ht="18" customHeight="1" x14ac:dyDescent="0.55000000000000004">
      <c r="A955" s="18">
        <v>24.799289600000002</v>
      </c>
      <c r="B955" s="18">
        <v>34.838488099999999</v>
      </c>
      <c r="C955" s="18">
        <v>685842.36</v>
      </c>
      <c r="D955" s="18">
        <v>2743974.57</v>
      </c>
      <c r="E955" s="18">
        <v>233.8</v>
      </c>
      <c r="F955" s="18">
        <v>42022.19</v>
      </c>
      <c r="G955" s="18">
        <v>134150</v>
      </c>
      <c r="H955" s="18">
        <f t="shared" si="37"/>
        <v>42014.19</v>
      </c>
      <c r="I955" s="3"/>
    </row>
    <row r="956" spans="1:9" s="4" customFormat="1" ht="18" customHeight="1" x14ac:dyDescent="0.55000000000000004">
      <c r="A956" s="18">
        <v>24.7992709</v>
      </c>
      <c r="B956" s="18">
        <v>34.838470999999998</v>
      </c>
      <c r="C956" s="18">
        <v>685840.65</v>
      </c>
      <c r="D956" s="18">
        <v>2743972.48</v>
      </c>
      <c r="E956" s="18">
        <v>233.82</v>
      </c>
      <c r="F956" s="18">
        <v>42024.83</v>
      </c>
      <c r="G956" s="18">
        <v>134152</v>
      </c>
      <c r="H956" s="18">
        <f t="shared" si="37"/>
        <v>42016.83</v>
      </c>
      <c r="I956" s="3"/>
    </row>
    <row r="957" spans="1:9" s="4" customFormat="1" ht="18" customHeight="1" x14ac:dyDescent="0.55000000000000004">
      <c r="A957" s="18">
        <v>24.799251099999999</v>
      </c>
      <c r="B957" s="18">
        <v>34.838455099999997</v>
      </c>
      <c r="C957" s="18">
        <v>685839.08</v>
      </c>
      <c r="D957" s="18">
        <v>2743970.26</v>
      </c>
      <c r="E957" s="18">
        <v>233.85</v>
      </c>
      <c r="F957" s="18">
        <v>42027.49</v>
      </c>
      <c r="G957" s="18">
        <v>134154</v>
      </c>
      <c r="H957" s="18">
        <f t="shared" si="37"/>
        <v>42019.49</v>
      </c>
      <c r="I957" s="3"/>
    </row>
    <row r="958" spans="1:9" s="4" customFormat="1" ht="18" customHeight="1" x14ac:dyDescent="0.55000000000000004">
      <c r="A958" s="18">
        <v>24.799232199999999</v>
      </c>
      <c r="B958" s="18">
        <v>34.838436199999997</v>
      </c>
      <c r="C958" s="18">
        <v>685837.2</v>
      </c>
      <c r="D958" s="18">
        <v>2743968.15</v>
      </c>
      <c r="E958" s="18">
        <v>233.84</v>
      </c>
      <c r="F958" s="18">
        <v>42028.72</v>
      </c>
      <c r="G958" s="18">
        <v>134156</v>
      </c>
      <c r="H958" s="18">
        <f t="shared" si="37"/>
        <v>42020.72</v>
      </c>
      <c r="I958" s="3"/>
    </row>
    <row r="959" spans="1:9" s="4" customFormat="1" ht="18" customHeight="1" x14ac:dyDescent="0.55000000000000004">
      <c r="A959" s="18">
        <v>24.799210800000001</v>
      </c>
      <c r="B959" s="18">
        <v>34.838416100000003</v>
      </c>
      <c r="C959" s="18">
        <v>685835.19</v>
      </c>
      <c r="D959" s="18">
        <v>2743965.75</v>
      </c>
      <c r="E959" s="18">
        <v>233.78</v>
      </c>
      <c r="F959" s="18">
        <v>42031.77</v>
      </c>
      <c r="G959" s="18">
        <v>134158</v>
      </c>
      <c r="H959" s="18">
        <f t="shared" si="37"/>
        <v>42023.77</v>
      </c>
      <c r="I959" s="3"/>
    </row>
    <row r="960" spans="1:9" s="4" customFormat="1" ht="18" customHeight="1" x14ac:dyDescent="0.55000000000000004">
      <c r="A960" s="18">
        <v>24.799190299999999</v>
      </c>
      <c r="B960" s="18">
        <v>34.8383957</v>
      </c>
      <c r="C960" s="18">
        <v>685833.16</v>
      </c>
      <c r="D960" s="18">
        <v>2743963.45</v>
      </c>
      <c r="E960" s="18">
        <v>233.83</v>
      </c>
      <c r="F960" s="18">
        <v>42029.38</v>
      </c>
      <c r="G960" s="18">
        <v>134200</v>
      </c>
      <c r="H960" s="18">
        <f t="shared" si="37"/>
        <v>42021.38</v>
      </c>
      <c r="I960" s="3"/>
    </row>
    <row r="961" spans="1:9" s="4" customFormat="1" ht="18" customHeight="1" x14ac:dyDescent="0.55000000000000004">
      <c r="A961" s="18">
        <v>24.799171099999999</v>
      </c>
      <c r="B961" s="18">
        <v>34.838377999999999</v>
      </c>
      <c r="C961" s="18">
        <v>685831.41</v>
      </c>
      <c r="D961" s="18">
        <v>2743961.29</v>
      </c>
      <c r="E961" s="18">
        <v>233.89</v>
      </c>
      <c r="F961" s="18">
        <v>42027.360000000001</v>
      </c>
      <c r="G961" s="18">
        <v>134202</v>
      </c>
      <c r="H961" s="18">
        <f t="shared" si="37"/>
        <v>42019.360000000001</v>
      </c>
      <c r="I961" s="3"/>
    </row>
    <row r="962" spans="1:9" s="4" customFormat="1" ht="18" customHeight="1" x14ac:dyDescent="0.55000000000000004">
      <c r="A962" s="18">
        <v>24.7991527</v>
      </c>
      <c r="B962" s="18">
        <v>34.838357100000003</v>
      </c>
      <c r="C962" s="18">
        <v>685829.32</v>
      </c>
      <c r="D962" s="18">
        <v>2743959.23</v>
      </c>
      <c r="E962" s="18">
        <v>233.93</v>
      </c>
      <c r="F962" s="18">
        <v>42024.800000000003</v>
      </c>
      <c r="G962" s="18">
        <v>134204</v>
      </c>
      <c r="H962" s="18">
        <f t="shared" si="37"/>
        <v>42016.800000000003</v>
      </c>
      <c r="I962" s="3"/>
    </row>
    <row r="963" spans="1:9" s="4" customFormat="1" ht="18" customHeight="1" x14ac:dyDescent="0.55000000000000004">
      <c r="A963" s="18">
        <v>24.799134200000001</v>
      </c>
      <c r="B963" s="18">
        <v>34.838336499999997</v>
      </c>
      <c r="C963" s="18">
        <v>685827.27</v>
      </c>
      <c r="D963" s="18">
        <v>2743957.15</v>
      </c>
      <c r="E963" s="18">
        <v>233.84</v>
      </c>
      <c r="F963" s="18">
        <v>42024.07</v>
      </c>
      <c r="G963" s="18">
        <v>134206</v>
      </c>
      <c r="H963" s="18">
        <f t="shared" si="37"/>
        <v>42016.07</v>
      </c>
      <c r="I963" s="3"/>
    </row>
    <row r="964" spans="1:9" s="4" customFormat="1" ht="18" customHeight="1" x14ac:dyDescent="0.55000000000000004">
      <c r="A964" s="18">
        <v>24.799115400000002</v>
      </c>
      <c r="B964" s="18">
        <v>34.838314099999998</v>
      </c>
      <c r="C964" s="18">
        <v>685825.02</v>
      </c>
      <c r="D964" s="18">
        <v>2743955.04</v>
      </c>
      <c r="E964" s="18">
        <v>233.75</v>
      </c>
      <c r="F964" s="18">
        <v>42023.19</v>
      </c>
      <c r="G964" s="18">
        <v>134208</v>
      </c>
      <c r="H964" s="18">
        <f t="shared" si="37"/>
        <v>42015.19</v>
      </c>
      <c r="I964" s="3"/>
    </row>
    <row r="965" spans="1:9" s="4" customFormat="1" ht="18" customHeight="1" x14ac:dyDescent="0.55000000000000004">
      <c r="A965" s="18">
        <v>24.799098499999999</v>
      </c>
      <c r="B965" s="18">
        <v>34.838290700000002</v>
      </c>
      <c r="C965" s="18">
        <v>685822.69</v>
      </c>
      <c r="D965" s="18">
        <v>2743953.14</v>
      </c>
      <c r="E965" s="18">
        <v>233.65</v>
      </c>
      <c r="F965" s="18">
        <v>42022.86</v>
      </c>
      <c r="G965" s="18">
        <v>134210</v>
      </c>
      <c r="H965" s="18">
        <f t="shared" si="37"/>
        <v>42014.86</v>
      </c>
      <c r="I965" s="3"/>
    </row>
    <row r="966" spans="1:9" s="4" customFormat="1" ht="18" customHeight="1" x14ac:dyDescent="0.55000000000000004">
      <c r="A966" s="18">
        <v>24.799081900000001</v>
      </c>
      <c r="B966" s="18">
        <v>34.838266500000003</v>
      </c>
      <c r="C966" s="18">
        <v>685820.27</v>
      </c>
      <c r="D966" s="18">
        <v>2743951.27</v>
      </c>
      <c r="E966" s="18">
        <v>233.58</v>
      </c>
      <c r="F966" s="18">
        <v>42023.91</v>
      </c>
      <c r="G966" s="18">
        <v>134212</v>
      </c>
      <c r="H966" s="18">
        <f t="shared" si="37"/>
        <v>42015.91</v>
      </c>
      <c r="I966" s="3"/>
    </row>
    <row r="967" spans="1:9" s="4" customFormat="1" ht="18" customHeight="1" x14ac:dyDescent="0.55000000000000004">
      <c r="A967" s="18">
        <v>24.799064399999999</v>
      </c>
      <c r="B967" s="18">
        <v>34.838242999999999</v>
      </c>
      <c r="C967" s="18">
        <v>685817.92</v>
      </c>
      <c r="D967" s="18">
        <v>2743949.3</v>
      </c>
      <c r="E967" s="18">
        <v>233.59</v>
      </c>
      <c r="F967" s="18">
        <v>42026.77</v>
      </c>
      <c r="G967" s="18">
        <v>134214</v>
      </c>
      <c r="H967" s="18">
        <f t="shared" si="37"/>
        <v>42018.77</v>
      </c>
      <c r="I967" s="3"/>
    </row>
    <row r="968" spans="1:9" s="4" customFormat="1" ht="18" customHeight="1" x14ac:dyDescent="0.55000000000000004">
      <c r="A968" s="18">
        <v>24.799049199999999</v>
      </c>
      <c r="B968" s="18">
        <v>34.838218300000001</v>
      </c>
      <c r="C968" s="18">
        <v>685815.44</v>
      </c>
      <c r="D968" s="18">
        <v>2743947.58</v>
      </c>
      <c r="E968" s="18">
        <v>233.6</v>
      </c>
      <c r="F968" s="18">
        <v>42025.24</v>
      </c>
      <c r="G968" s="18">
        <v>134216</v>
      </c>
      <c r="H968" s="18">
        <f t="shared" si="37"/>
        <v>42017.24</v>
      </c>
      <c r="I968" s="3"/>
    </row>
    <row r="969" spans="1:9" s="4" customFormat="1" ht="18" customHeight="1" x14ac:dyDescent="0.55000000000000004">
      <c r="A969" s="18">
        <v>24.799033300000001</v>
      </c>
      <c r="B969" s="18">
        <v>34.8381927</v>
      </c>
      <c r="C969" s="18">
        <v>685812.87</v>
      </c>
      <c r="D969" s="18">
        <v>2743945.78</v>
      </c>
      <c r="E969" s="18">
        <v>233.57</v>
      </c>
      <c r="F969" s="18">
        <v>42023.15</v>
      </c>
      <c r="G969" s="18">
        <v>134218</v>
      </c>
      <c r="H969" s="18">
        <f t="shared" si="37"/>
        <v>42015.15</v>
      </c>
      <c r="I969" s="3"/>
    </row>
    <row r="970" spans="1:9" s="4" customFormat="1" ht="18" customHeight="1" x14ac:dyDescent="0.55000000000000004">
      <c r="A970" s="18">
        <v>24.799016699999999</v>
      </c>
      <c r="B970" s="18">
        <v>34.838166700000002</v>
      </c>
      <c r="C970" s="18">
        <v>685810.28</v>
      </c>
      <c r="D970" s="18">
        <v>2743943.9</v>
      </c>
      <c r="E970" s="18">
        <v>233.54</v>
      </c>
      <c r="F970" s="18">
        <v>42022.32</v>
      </c>
      <c r="G970" s="18">
        <v>134220</v>
      </c>
      <c r="H970" s="18">
        <f t="shared" si="37"/>
        <v>42014.32</v>
      </c>
      <c r="I970" s="3"/>
    </row>
    <row r="971" spans="1:9" s="4" customFormat="1" ht="18" customHeight="1" x14ac:dyDescent="0.55000000000000004">
      <c r="A971" s="18">
        <v>24.799000499999998</v>
      </c>
      <c r="B971" s="18">
        <v>34.838141399999998</v>
      </c>
      <c r="C971" s="18">
        <v>685807.74</v>
      </c>
      <c r="D971" s="18">
        <v>2743942.08</v>
      </c>
      <c r="E971" s="18">
        <v>233.51</v>
      </c>
      <c r="F971" s="18">
        <v>42023.59</v>
      </c>
      <c r="G971" s="18">
        <v>134222</v>
      </c>
      <c r="H971" s="18">
        <f t="shared" si="37"/>
        <v>42015.59</v>
      </c>
      <c r="I971" s="3"/>
    </row>
    <row r="972" spans="1:9" s="4" customFormat="1" ht="18" customHeight="1" x14ac:dyDescent="0.55000000000000004">
      <c r="A972" s="18">
        <v>24.7989845</v>
      </c>
      <c r="B972" s="18">
        <v>34.838114900000001</v>
      </c>
      <c r="C972" s="18">
        <v>685805.08</v>
      </c>
      <c r="D972" s="18">
        <v>2743940.27</v>
      </c>
      <c r="E972" s="18">
        <v>233.45</v>
      </c>
      <c r="F972" s="18">
        <v>42024.95</v>
      </c>
      <c r="G972" s="18">
        <v>134224</v>
      </c>
      <c r="H972" s="18">
        <f t="shared" si="37"/>
        <v>42016.95</v>
      </c>
      <c r="I972" s="3"/>
    </row>
    <row r="973" spans="1:9" s="4" customFormat="1" ht="18" customHeight="1" x14ac:dyDescent="0.55000000000000004">
      <c r="A973" s="18">
        <v>24.798967300000001</v>
      </c>
      <c r="B973" s="18">
        <v>34.838089199999999</v>
      </c>
      <c r="C973" s="18">
        <v>685802.51</v>
      </c>
      <c r="D973" s="18">
        <v>2743938.33</v>
      </c>
      <c r="E973" s="18">
        <v>233.42</v>
      </c>
      <c r="F973" s="18">
        <v>42022.32</v>
      </c>
      <c r="G973" s="18">
        <v>134226</v>
      </c>
      <c r="H973" s="18">
        <f t="shared" si="37"/>
        <v>42014.32</v>
      </c>
      <c r="I973" s="3"/>
    </row>
    <row r="974" spans="1:9" s="4" customFormat="1" ht="18" customHeight="1" x14ac:dyDescent="0.55000000000000004">
      <c r="A974" s="18">
        <v>24.798951599999999</v>
      </c>
      <c r="B974" s="18">
        <v>34.838062999999998</v>
      </c>
      <c r="C974" s="18">
        <v>685799.88</v>
      </c>
      <c r="D974" s="18">
        <v>2743936.55</v>
      </c>
      <c r="E974" s="18">
        <v>233.39</v>
      </c>
      <c r="F974" s="18">
        <v>42027.55</v>
      </c>
      <c r="G974" s="18">
        <v>134228</v>
      </c>
      <c r="H974" s="18">
        <f t="shared" si="37"/>
        <v>42019.55</v>
      </c>
      <c r="I974" s="3"/>
    </row>
    <row r="975" spans="1:9" s="4" customFormat="1" ht="18" customHeight="1" x14ac:dyDescent="0.55000000000000004">
      <c r="A975" s="18">
        <v>24.7989344</v>
      </c>
      <c r="B975" s="18">
        <v>34.838037800000002</v>
      </c>
      <c r="C975" s="18">
        <v>685797.36</v>
      </c>
      <c r="D975" s="18">
        <v>2743934.62</v>
      </c>
      <c r="E975" s="18">
        <v>233.34</v>
      </c>
      <c r="F975" s="18">
        <v>42027.72</v>
      </c>
      <c r="G975" s="18">
        <v>134230</v>
      </c>
      <c r="H975" s="18">
        <f t="shared" si="37"/>
        <v>42019.72</v>
      </c>
      <c r="I975" s="3"/>
    </row>
    <row r="976" spans="1:9" s="4" customFormat="1" ht="18" customHeight="1" x14ac:dyDescent="0.55000000000000004">
      <c r="A976" s="18">
        <v>24.798916699999999</v>
      </c>
      <c r="B976" s="18">
        <v>34.838012800000001</v>
      </c>
      <c r="C976" s="18">
        <v>685794.86</v>
      </c>
      <c r="D976" s="18">
        <v>2743932.63</v>
      </c>
      <c r="E976" s="18">
        <v>233.32</v>
      </c>
      <c r="F976" s="18">
        <v>42027.95</v>
      </c>
      <c r="G976" s="18">
        <v>134232</v>
      </c>
      <c r="H976" s="18">
        <f t="shared" si="37"/>
        <v>42019.95</v>
      </c>
      <c r="I976" s="3"/>
    </row>
    <row r="977" spans="1:9" s="4" customFormat="1" ht="18" customHeight="1" x14ac:dyDescent="0.55000000000000004">
      <c r="A977" s="18">
        <v>24.7988991</v>
      </c>
      <c r="B977" s="18">
        <v>34.837988199999998</v>
      </c>
      <c r="C977" s="18">
        <v>685792.39</v>
      </c>
      <c r="D977" s="18">
        <v>2743930.64</v>
      </c>
      <c r="E977" s="18">
        <v>233.3</v>
      </c>
      <c r="F977" s="18">
        <v>42026.3</v>
      </c>
      <c r="G977" s="18">
        <v>134234</v>
      </c>
      <c r="H977" s="18">
        <f t="shared" si="37"/>
        <v>42018.3</v>
      </c>
      <c r="I977" s="3"/>
    </row>
    <row r="978" spans="1:9" s="4" customFormat="1" ht="18" customHeight="1" x14ac:dyDescent="0.55000000000000004">
      <c r="A978" s="18">
        <v>24.7988812</v>
      </c>
      <c r="B978" s="18">
        <v>34.837965199999999</v>
      </c>
      <c r="C978" s="18">
        <v>685790.1</v>
      </c>
      <c r="D978" s="18">
        <v>2743928.63</v>
      </c>
      <c r="E978" s="18">
        <v>233.32</v>
      </c>
      <c r="F978" s="18">
        <v>42025.68</v>
      </c>
      <c r="G978" s="18">
        <v>134236</v>
      </c>
      <c r="H978" s="18">
        <f t="shared" si="37"/>
        <v>42017.68</v>
      </c>
      <c r="I978" s="3"/>
    </row>
    <row r="979" spans="1:9" s="4" customFormat="1" ht="18" customHeight="1" x14ac:dyDescent="0.55000000000000004">
      <c r="A979" s="18">
        <v>24.7988614</v>
      </c>
      <c r="B979" s="18">
        <v>34.837941999999998</v>
      </c>
      <c r="C979" s="18">
        <v>685787.78</v>
      </c>
      <c r="D979" s="18">
        <v>2743926.4</v>
      </c>
      <c r="E979" s="18">
        <v>233.36</v>
      </c>
      <c r="F979" s="18">
        <v>42025.94</v>
      </c>
      <c r="G979" s="18">
        <v>134238</v>
      </c>
      <c r="H979" s="18">
        <f t="shared" si="37"/>
        <v>42017.94</v>
      </c>
      <c r="I979" s="3"/>
    </row>
    <row r="980" spans="1:9" s="4" customFormat="1" ht="18" customHeight="1" x14ac:dyDescent="0.55000000000000004">
      <c r="A980" s="18">
        <v>24.7988426</v>
      </c>
      <c r="B980" s="18">
        <v>34.837918199999997</v>
      </c>
      <c r="C980" s="18">
        <v>685785.41</v>
      </c>
      <c r="D980" s="18">
        <v>2743924.29</v>
      </c>
      <c r="E980" s="18">
        <v>233.37</v>
      </c>
      <c r="F980" s="18">
        <v>42021.57</v>
      </c>
      <c r="G980" s="18">
        <v>134240</v>
      </c>
      <c r="H980" s="18">
        <f t="shared" si="37"/>
        <v>42013.57</v>
      </c>
      <c r="I980" s="3"/>
    </row>
    <row r="981" spans="1:9" s="4" customFormat="1" ht="18" customHeight="1" x14ac:dyDescent="0.55000000000000004">
      <c r="A981" s="18">
        <v>24.798824499999998</v>
      </c>
      <c r="B981" s="18">
        <v>34.837895500000002</v>
      </c>
      <c r="C981" s="18">
        <v>685783.14</v>
      </c>
      <c r="D981" s="18">
        <v>2743922.25</v>
      </c>
      <c r="E981" s="18">
        <v>233.42</v>
      </c>
      <c r="F981" s="18">
        <v>42023.86</v>
      </c>
      <c r="G981" s="18">
        <v>134242</v>
      </c>
      <c r="H981" s="18">
        <f t="shared" si="37"/>
        <v>42015.86</v>
      </c>
      <c r="I981" s="3"/>
    </row>
    <row r="982" spans="1:9" s="4" customFormat="1" ht="18" customHeight="1" x14ac:dyDescent="0.55000000000000004">
      <c r="A982" s="18">
        <v>24.798806500000001</v>
      </c>
      <c r="B982" s="18">
        <v>34.837871700000001</v>
      </c>
      <c r="C982" s="18">
        <v>685780.75</v>
      </c>
      <c r="D982" s="18">
        <v>2743920.22</v>
      </c>
      <c r="E982" s="18">
        <v>233.46</v>
      </c>
      <c r="F982" s="18">
        <v>42022.66</v>
      </c>
      <c r="G982" s="18">
        <v>134244</v>
      </c>
      <c r="H982" s="18">
        <f t="shared" si="37"/>
        <v>42014.66</v>
      </c>
      <c r="I982" s="3"/>
    </row>
    <row r="983" spans="1:9" s="4" customFormat="1" ht="18" customHeight="1" x14ac:dyDescent="0.55000000000000004">
      <c r="A983" s="18">
        <v>24.798787099999998</v>
      </c>
      <c r="B983" s="18">
        <v>34.837848800000003</v>
      </c>
      <c r="C983" s="18">
        <v>685778.47</v>
      </c>
      <c r="D983" s="18">
        <v>2743918.04</v>
      </c>
      <c r="E983" s="18">
        <v>233.52</v>
      </c>
      <c r="F983" s="18">
        <v>42022.2</v>
      </c>
      <c r="G983" s="18">
        <v>134246</v>
      </c>
      <c r="H983" s="18">
        <f t="shared" si="37"/>
        <v>42014.2</v>
      </c>
      <c r="I983" s="3"/>
    </row>
    <row r="984" spans="1:9" s="4" customFormat="1" ht="18" customHeight="1" x14ac:dyDescent="0.55000000000000004">
      <c r="A984" s="18">
        <v>24.798765499999998</v>
      </c>
      <c r="B984" s="18">
        <v>34.837826999999997</v>
      </c>
      <c r="C984" s="18">
        <v>685776.3</v>
      </c>
      <c r="D984" s="18">
        <v>2743915.62</v>
      </c>
      <c r="E984" s="18">
        <v>233.62</v>
      </c>
      <c r="F984" s="18">
        <v>42021.79</v>
      </c>
      <c r="G984" s="18">
        <v>134248</v>
      </c>
      <c r="H984" s="18">
        <f t="shared" si="37"/>
        <v>42013.79</v>
      </c>
      <c r="I984" s="3"/>
    </row>
    <row r="985" spans="1:9" s="4" customFormat="1" ht="18" customHeight="1" x14ac:dyDescent="0.55000000000000004">
      <c r="A985" s="18">
        <v>24.798743000000002</v>
      </c>
      <c r="B985" s="18">
        <v>34.837806499999999</v>
      </c>
      <c r="C985" s="18">
        <v>685774.26</v>
      </c>
      <c r="D985" s="18">
        <v>2743913.1</v>
      </c>
      <c r="E985" s="18">
        <v>233.68</v>
      </c>
      <c r="F985" s="18">
        <v>42022.400000000001</v>
      </c>
      <c r="G985" s="18">
        <v>134250</v>
      </c>
      <c r="H985" s="18">
        <f t="shared" si="37"/>
        <v>42014.400000000001</v>
      </c>
      <c r="I985" s="3"/>
    </row>
    <row r="986" spans="1:9" s="4" customFormat="1" ht="18" customHeight="1" x14ac:dyDescent="0.55000000000000004">
      <c r="A986" s="18">
        <v>24.798719299999998</v>
      </c>
      <c r="B986" s="18">
        <v>34.837787499999997</v>
      </c>
      <c r="C986" s="18">
        <v>685772.38</v>
      </c>
      <c r="D986" s="18">
        <v>2743910.45</v>
      </c>
      <c r="E986" s="18">
        <v>233.83</v>
      </c>
      <c r="F986" s="18">
        <v>42018.6</v>
      </c>
      <c r="G986" s="18">
        <v>134252</v>
      </c>
      <c r="H986" s="18">
        <f t="shared" si="37"/>
        <v>42010.6</v>
      </c>
      <c r="I986" s="3"/>
    </row>
    <row r="987" spans="1:9" s="4" customFormat="1" ht="18" customHeight="1" x14ac:dyDescent="0.55000000000000004">
      <c r="A987" s="18">
        <v>24.7986948</v>
      </c>
      <c r="B987" s="18">
        <v>34.837769299999998</v>
      </c>
      <c r="C987" s="18">
        <v>685770.57</v>
      </c>
      <c r="D987" s="18">
        <v>2743907.71</v>
      </c>
      <c r="E987" s="18">
        <v>233.93</v>
      </c>
      <c r="F987" s="18">
        <v>42015.96</v>
      </c>
      <c r="G987" s="18">
        <v>134254</v>
      </c>
      <c r="H987" s="18">
        <f t="shared" si="37"/>
        <v>42007.96</v>
      </c>
      <c r="I987" s="3"/>
    </row>
    <row r="988" spans="1:9" s="4" customFormat="1" ht="18" customHeight="1" x14ac:dyDescent="0.55000000000000004">
      <c r="A988" s="18">
        <v>24.7986708</v>
      </c>
      <c r="B988" s="18">
        <v>34.837751300000001</v>
      </c>
      <c r="C988" s="18">
        <v>685768.79</v>
      </c>
      <c r="D988" s="18">
        <v>2743905.03</v>
      </c>
      <c r="E988" s="18">
        <v>233.95</v>
      </c>
      <c r="F988" s="18">
        <v>42014.51</v>
      </c>
      <c r="G988" s="18">
        <v>134256</v>
      </c>
      <c r="H988" s="18">
        <f t="shared" si="37"/>
        <v>42006.51</v>
      </c>
      <c r="I988" s="3"/>
    </row>
    <row r="989" spans="1:9" s="4" customFormat="1" ht="18" customHeight="1" x14ac:dyDescent="0.55000000000000004">
      <c r="A989" s="18">
        <v>24.798645700000002</v>
      </c>
      <c r="B989" s="18">
        <v>34.837733200000002</v>
      </c>
      <c r="C989" s="18">
        <v>685767</v>
      </c>
      <c r="D989" s="18">
        <v>2743902.22</v>
      </c>
      <c r="E989" s="18">
        <v>234.01</v>
      </c>
      <c r="F989" s="18">
        <v>42014.86</v>
      </c>
      <c r="G989" s="18">
        <v>134258</v>
      </c>
      <c r="H989" s="18">
        <f t="shared" si="37"/>
        <v>42006.86</v>
      </c>
      <c r="I989" s="3"/>
    </row>
    <row r="990" spans="1:9" s="4" customFormat="1" ht="18" customHeight="1" x14ac:dyDescent="0.55000000000000004">
      <c r="A990" s="18">
        <v>24.798619899999998</v>
      </c>
      <c r="B990" s="18">
        <v>34.837717400000002</v>
      </c>
      <c r="C990" s="18">
        <v>685765.44</v>
      </c>
      <c r="D990" s="18">
        <v>2743899.35</v>
      </c>
      <c r="E990" s="18">
        <v>234.18</v>
      </c>
      <c r="F990" s="18">
        <v>42015.14</v>
      </c>
      <c r="G990" s="18">
        <v>134300</v>
      </c>
      <c r="H990" s="18">
        <f t="shared" si="37"/>
        <v>42007.14</v>
      </c>
      <c r="I990" s="3"/>
    </row>
    <row r="991" spans="1:9" s="4" customFormat="1" ht="18" customHeight="1" x14ac:dyDescent="0.55000000000000004">
      <c r="A991" s="18">
        <v>24.798594699999999</v>
      </c>
      <c r="B991" s="18">
        <v>34.837702399999998</v>
      </c>
      <c r="C991" s="18">
        <v>685763.96</v>
      </c>
      <c r="D991" s="18">
        <v>2743896.53</v>
      </c>
      <c r="E991" s="18">
        <v>234.26</v>
      </c>
      <c r="F991" s="18">
        <v>42016.66</v>
      </c>
      <c r="G991" s="18">
        <v>134302</v>
      </c>
      <c r="H991" s="18">
        <f t="shared" si="37"/>
        <v>42008.66</v>
      </c>
      <c r="I991" s="3"/>
    </row>
    <row r="992" spans="1:9" s="4" customFormat="1" ht="18" customHeight="1" x14ac:dyDescent="0.55000000000000004">
      <c r="A992" s="18">
        <v>24.7985696</v>
      </c>
      <c r="B992" s="18">
        <v>34.837688900000003</v>
      </c>
      <c r="C992" s="18">
        <v>685762.63</v>
      </c>
      <c r="D992" s="18">
        <v>2743893.74</v>
      </c>
      <c r="E992" s="18">
        <v>234.35</v>
      </c>
      <c r="F992" s="18">
        <v>42015.55</v>
      </c>
      <c r="G992" s="18">
        <v>134304</v>
      </c>
      <c r="H992" s="18">
        <f t="shared" si="37"/>
        <v>42007.55</v>
      </c>
      <c r="I992" s="3"/>
    </row>
    <row r="993" spans="1:9" s="4" customFormat="1" ht="18" customHeight="1" x14ac:dyDescent="0.55000000000000004">
      <c r="A993" s="18">
        <v>24.798545300000001</v>
      </c>
      <c r="B993" s="18">
        <v>34.837675300000001</v>
      </c>
      <c r="C993" s="18">
        <v>685761.29</v>
      </c>
      <c r="D993" s="18">
        <v>2743891.02</v>
      </c>
      <c r="E993" s="18">
        <v>234.39</v>
      </c>
      <c r="F993" s="18">
        <v>42020.02</v>
      </c>
      <c r="G993" s="18">
        <v>134306</v>
      </c>
      <c r="H993" s="18">
        <f t="shared" si="37"/>
        <v>42012.02</v>
      </c>
      <c r="I993" s="3"/>
    </row>
    <row r="994" spans="1:9" s="4" customFormat="1" ht="18" customHeight="1" x14ac:dyDescent="0.55000000000000004">
      <c r="A994" s="18">
        <v>24.7985209</v>
      </c>
      <c r="B994" s="18">
        <v>34.837661599999997</v>
      </c>
      <c r="C994" s="18">
        <v>685759.94</v>
      </c>
      <c r="D994" s="18">
        <v>2743888.31</v>
      </c>
      <c r="E994" s="18">
        <v>234.45</v>
      </c>
      <c r="F994" s="18">
        <v>42020.88</v>
      </c>
      <c r="G994" s="18">
        <v>134308</v>
      </c>
      <c r="H994" s="18">
        <f t="shared" si="37"/>
        <v>42012.88</v>
      </c>
      <c r="I994" s="3"/>
    </row>
    <row r="995" spans="1:9" s="4" customFormat="1" ht="18" customHeight="1" x14ac:dyDescent="0.55000000000000004">
      <c r="A995" s="18">
        <v>24.798496199999999</v>
      </c>
      <c r="B995" s="18">
        <v>34.837648100000003</v>
      </c>
      <c r="C995" s="18">
        <v>685758.62</v>
      </c>
      <c r="D995" s="18">
        <v>2743885.55</v>
      </c>
      <c r="E995" s="18">
        <v>234.47</v>
      </c>
      <c r="F995" s="18">
        <v>42020.13</v>
      </c>
      <c r="G995" s="18">
        <v>134310</v>
      </c>
      <c r="H995" s="18">
        <f t="shared" si="37"/>
        <v>42012.13</v>
      </c>
      <c r="I995" s="3"/>
    </row>
    <row r="996" spans="1:9" s="4" customFormat="1" ht="18" customHeight="1" x14ac:dyDescent="0.55000000000000004">
      <c r="A996" s="18">
        <v>24.7984717</v>
      </c>
      <c r="B996" s="18">
        <v>34.837633699999998</v>
      </c>
      <c r="C996" s="18">
        <v>685757.2</v>
      </c>
      <c r="D996" s="18">
        <v>2743882.81</v>
      </c>
      <c r="E996" s="18">
        <v>234.49</v>
      </c>
      <c r="F996" s="18">
        <v>42017.62</v>
      </c>
      <c r="G996" s="18">
        <v>134312</v>
      </c>
      <c r="H996" s="18">
        <f t="shared" si="37"/>
        <v>42009.62</v>
      </c>
      <c r="I996" s="3"/>
    </row>
    <row r="997" spans="1:9" s="4" customFormat="1" ht="18" customHeight="1" x14ac:dyDescent="0.55000000000000004">
      <c r="A997" s="18">
        <v>24.7984467</v>
      </c>
      <c r="B997" s="18">
        <v>34.837621300000002</v>
      </c>
      <c r="C997" s="18">
        <v>685755.97</v>
      </c>
      <c r="D997" s="18">
        <v>2743880.04</v>
      </c>
      <c r="E997" s="18">
        <v>234.49</v>
      </c>
      <c r="F997" s="18">
        <v>42018.49</v>
      </c>
      <c r="G997" s="18">
        <v>134314</v>
      </c>
      <c r="H997" s="18">
        <f t="shared" si="37"/>
        <v>42010.49</v>
      </c>
      <c r="I997" s="3"/>
    </row>
    <row r="998" spans="1:9" s="4" customFormat="1" ht="18" customHeight="1" x14ac:dyDescent="0.55000000000000004">
      <c r="A998" s="18">
        <v>24.798422899999998</v>
      </c>
      <c r="B998" s="18">
        <v>34.837608000000003</v>
      </c>
      <c r="C998" s="18">
        <v>685754.67</v>
      </c>
      <c r="D998" s="18">
        <v>2743877.37</v>
      </c>
      <c r="E998" s="18">
        <v>234.56</v>
      </c>
      <c r="F998" s="18">
        <v>42019.1</v>
      </c>
      <c r="G998" s="18">
        <v>134316</v>
      </c>
      <c r="H998" s="18">
        <f t="shared" si="37"/>
        <v>42011.1</v>
      </c>
      <c r="I998" s="3"/>
    </row>
    <row r="999" spans="1:9" s="4" customFormat="1" ht="18" customHeight="1" x14ac:dyDescent="0.55000000000000004">
      <c r="A999" s="18">
        <v>24.798399700000001</v>
      </c>
      <c r="B999" s="18">
        <v>34.837593900000002</v>
      </c>
      <c r="C999" s="18">
        <v>685753.28</v>
      </c>
      <c r="D999" s="18">
        <v>2743874.79</v>
      </c>
      <c r="E999" s="18">
        <v>234.65</v>
      </c>
      <c r="F999" s="18">
        <v>42017.84</v>
      </c>
      <c r="G999" s="18">
        <v>134318</v>
      </c>
      <c r="H999" s="18">
        <f t="shared" si="37"/>
        <v>42009.84</v>
      </c>
      <c r="I999" s="3"/>
    </row>
    <row r="1000" spans="1:9" s="4" customFormat="1" ht="18" customHeight="1" x14ac:dyDescent="0.55000000000000004">
      <c r="A1000" s="18">
        <v>24.798377899999998</v>
      </c>
      <c r="B1000" s="18">
        <v>34.837576200000001</v>
      </c>
      <c r="C1000" s="18">
        <v>685751.52</v>
      </c>
      <c r="D1000" s="18">
        <v>2743872.35</v>
      </c>
      <c r="E1000" s="18">
        <v>234.74</v>
      </c>
      <c r="F1000" s="18">
        <v>42017.89</v>
      </c>
      <c r="G1000" s="18">
        <v>134320</v>
      </c>
      <c r="H1000" s="18">
        <f t="shared" si="37"/>
        <v>42009.89</v>
      </c>
      <c r="I1000" s="3"/>
    </row>
    <row r="1001" spans="1:9" s="4" customFormat="1" ht="18" customHeight="1" x14ac:dyDescent="0.55000000000000004">
      <c r="A1001" s="18">
        <v>24.798359900000001</v>
      </c>
      <c r="B1001" s="18">
        <v>34.837556200000002</v>
      </c>
      <c r="C1001" s="18">
        <v>685749.52</v>
      </c>
      <c r="D1001" s="18">
        <v>2743870.32</v>
      </c>
      <c r="E1001" s="18">
        <v>234.73</v>
      </c>
      <c r="F1001" s="18">
        <v>42019.01</v>
      </c>
      <c r="G1001" s="18">
        <v>134322</v>
      </c>
      <c r="H1001" s="18">
        <f t="shared" si="37"/>
        <v>42011.01</v>
      </c>
      <c r="I1001" s="3"/>
    </row>
    <row r="1002" spans="1:9" s="4" customFormat="1" ht="18" customHeight="1" x14ac:dyDescent="0.55000000000000004">
      <c r="A1002" s="18">
        <v>24.798336899999999</v>
      </c>
      <c r="B1002" s="18">
        <v>34.837539900000003</v>
      </c>
      <c r="C1002" s="18">
        <v>685747.91</v>
      </c>
      <c r="D1002" s="18">
        <v>2743867.76</v>
      </c>
      <c r="E1002" s="18">
        <v>234.75</v>
      </c>
      <c r="F1002" s="18">
        <v>42017.97</v>
      </c>
      <c r="G1002" s="18">
        <v>134324</v>
      </c>
      <c r="H1002" s="18">
        <f t="shared" si="37"/>
        <v>42009.97</v>
      </c>
      <c r="I1002" s="3"/>
    </row>
    <row r="1003" spans="1:9" s="4" customFormat="1" ht="18" customHeight="1" x14ac:dyDescent="0.55000000000000004">
      <c r="A1003" s="18">
        <v>24.798313799999999</v>
      </c>
      <c r="B1003" s="18">
        <v>34.837524100000003</v>
      </c>
      <c r="C1003" s="18">
        <v>685746.35</v>
      </c>
      <c r="D1003" s="18">
        <v>2743865.17</v>
      </c>
      <c r="E1003" s="18">
        <v>234.77</v>
      </c>
      <c r="F1003" s="18">
        <v>42017.13</v>
      </c>
      <c r="G1003" s="18">
        <v>134326</v>
      </c>
      <c r="H1003" s="18">
        <f t="shared" si="37"/>
        <v>42009.13</v>
      </c>
      <c r="I1003" s="3"/>
    </row>
    <row r="1004" spans="1:9" s="4" customFormat="1" ht="18" customHeight="1" x14ac:dyDescent="0.55000000000000004">
      <c r="A1004" s="18">
        <v>24.798290000000001</v>
      </c>
      <c r="B1004" s="18">
        <v>34.837508999999997</v>
      </c>
      <c r="C1004" s="18">
        <v>685744.85</v>
      </c>
      <c r="D1004" s="18">
        <v>2743862.53</v>
      </c>
      <c r="E1004" s="18">
        <v>234.77</v>
      </c>
      <c r="F1004" s="18">
        <v>42018.5</v>
      </c>
      <c r="G1004" s="18">
        <v>134328</v>
      </c>
      <c r="H1004" s="18">
        <f t="shared" si="37"/>
        <v>42010.5</v>
      </c>
      <c r="I1004" s="3"/>
    </row>
    <row r="1005" spans="1:9" s="4" customFormat="1" ht="18" customHeight="1" x14ac:dyDescent="0.55000000000000004">
      <c r="A1005" s="18">
        <v>24.798268</v>
      </c>
      <c r="B1005" s="18">
        <v>34.837491200000002</v>
      </c>
      <c r="C1005" s="18">
        <v>685743.09</v>
      </c>
      <c r="D1005" s="18">
        <v>2743860.06</v>
      </c>
      <c r="E1005" s="18">
        <v>234.85</v>
      </c>
      <c r="F1005" s="18">
        <v>42015.55</v>
      </c>
      <c r="G1005" s="18">
        <v>134330</v>
      </c>
      <c r="H1005" s="18">
        <f t="shared" si="37"/>
        <v>42007.55</v>
      </c>
      <c r="I1005" s="3"/>
    </row>
    <row r="1006" spans="1:9" s="4" customFormat="1" ht="18" customHeight="1" x14ac:dyDescent="0.55000000000000004">
      <c r="A1006" s="18">
        <v>24.798247</v>
      </c>
      <c r="B1006" s="18">
        <v>34.837472099999999</v>
      </c>
      <c r="C1006" s="18">
        <v>685741.19</v>
      </c>
      <c r="D1006" s="18">
        <v>2743857.7</v>
      </c>
      <c r="E1006" s="18">
        <v>234.94</v>
      </c>
      <c r="F1006" s="18">
        <v>42016.41</v>
      </c>
      <c r="G1006" s="18">
        <v>134332</v>
      </c>
      <c r="H1006" s="18">
        <f t="shared" si="37"/>
        <v>42008.41</v>
      </c>
      <c r="I1006" s="3"/>
    </row>
    <row r="1007" spans="1:9" s="4" customFormat="1" ht="18" customHeight="1" x14ac:dyDescent="0.55000000000000004">
      <c r="A1007" s="18">
        <v>24.798226</v>
      </c>
      <c r="B1007" s="18">
        <v>34.837452599999999</v>
      </c>
      <c r="C1007" s="18">
        <v>685739.25</v>
      </c>
      <c r="D1007" s="18">
        <v>2743855.36</v>
      </c>
      <c r="E1007" s="18">
        <v>234.97</v>
      </c>
      <c r="F1007" s="18">
        <v>42017.51</v>
      </c>
      <c r="G1007" s="18">
        <v>134334</v>
      </c>
      <c r="H1007" s="18">
        <f t="shared" si="37"/>
        <v>42009.51</v>
      </c>
      <c r="I1007" s="3"/>
    </row>
    <row r="1008" spans="1:9" s="4" customFormat="1" ht="18" customHeight="1" x14ac:dyDescent="0.55000000000000004">
      <c r="A1008" s="18">
        <v>24.798203699999998</v>
      </c>
      <c r="B1008" s="18">
        <v>34.837433400000002</v>
      </c>
      <c r="C1008" s="18">
        <v>685737.35</v>
      </c>
      <c r="D1008" s="18">
        <v>2743852.87</v>
      </c>
      <c r="E1008" s="18">
        <v>234.98</v>
      </c>
      <c r="F1008" s="18">
        <v>42017.02</v>
      </c>
      <c r="G1008" s="18">
        <v>134336</v>
      </c>
      <c r="H1008" s="18">
        <f t="shared" si="37"/>
        <v>42009.02</v>
      </c>
      <c r="I1008" s="3"/>
    </row>
    <row r="1009" spans="1:9" s="4" customFormat="1" ht="18" customHeight="1" x14ac:dyDescent="0.55000000000000004">
      <c r="A1009" s="18">
        <v>24.798182199999999</v>
      </c>
      <c r="B1009" s="18">
        <v>34.837413599999998</v>
      </c>
      <c r="C1009" s="18">
        <v>685735.37</v>
      </c>
      <c r="D1009" s="18">
        <v>2743850.46</v>
      </c>
      <c r="E1009" s="18">
        <v>235.03</v>
      </c>
      <c r="F1009" s="18">
        <v>42011.33</v>
      </c>
      <c r="G1009" s="18">
        <v>134338</v>
      </c>
      <c r="H1009" s="18">
        <f t="shared" si="37"/>
        <v>42003.33</v>
      </c>
      <c r="I1009" s="3"/>
    </row>
    <row r="1010" spans="1:9" s="4" customFormat="1" ht="18" customHeight="1" x14ac:dyDescent="0.55000000000000004">
      <c r="A1010" s="18">
        <v>24.7981622</v>
      </c>
      <c r="B1010" s="18">
        <v>34.837394199999999</v>
      </c>
      <c r="C1010" s="18">
        <v>685733.43</v>
      </c>
      <c r="D1010" s="18">
        <v>2743848.21</v>
      </c>
      <c r="E1010" s="18">
        <v>235.03</v>
      </c>
      <c r="F1010" s="18">
        <v>42014.26</v>
      </c>
      <c r="G1010" s="18">
        <v>134340</v>
      </c>
      <c r="H1010" s="18">
        <f t="shared" si="37"/>
        <v>42006.26</v>
      </c>
      <c r="I1010" s="3"/>
    </row>
    <row r="1011" spans="1:9" s="4" customFormat="1" ht="18" customHeight="1" x14ac:dyDescent="0.55000000000000004">
      <c r="A1011" s="18">
        <v>24.798141300000001</v>
      </c>
      <c r="B1011" s="18">
        <v>34.837375299999998</v>
      </c>
      <c r="C1011" s="18">
        <v>685731.56</v>
      </c>
      <c r="D1011" s="18">
        <v>2743845.87</v>
      </c>
      <c r="E1011" s="18">
        <v>235.04</v>
      </c>
      <c r="F1011" s="18">
        <v>42012.63</v>
      </c>
      <c r="G1011" s="18">
        <v>134342</v>
      </c>
      <c r="H1011" s="18">
        <f t="shared" si="37"/>
        <v>42004.63</v>
      </c>
      <c r="I1011" s="3"/>
    </row>
    <row r="1012" spans="1:9" s="4" customFormat="1" ht="18" customHeight="1" x14ac:dyDescent="0.55000000000000004">
      <c r="A1012" s="18">
        <v>24.798120699999998</v>
      </c>
      <c r="B1012" s="18">
        <v>34.837355500000001</v>
      </c>
      <c r="C1012" s="18">
        <v>685729.59</v>
      </c>
      <c r="D1012" s="18">
        <v>2743843.56</v>
      </c>
      <c r="E1012" s="18">
        <v>235.03</v>
      </c>
      <c r="F1012" s="18">
        <v>42013.19</v>
      </c>
      <c r="G1012" s="18">
        <v>134344</v>
      </c>
      <c r="H1012" s="18">
        <f t="shared" si="37"/>
        <v>42005.19</v>
      </c>
      <c r="I1012" s="3"/>
    </row>
    <row r="1013" spans="1:9" s="4" customFormat="1" ht="18" customHeight="1" x14ac:dyDescent="0.55000000000000004">
      <c r="A1013" s="18">
        <v>24.7981008</v>
      </c>
      <c r="B1013" s="18">
        <v>34.837335899999999</v>
      </c>
      <c r="C1013" s="18">
        <v>685727.64</v>
      </c>
      <c r="D1013" s="18">
        <v>2743841.33</v>
      </c>
      <c r="E1013" s="18">
        <v>235.09</v>
      </c>
      <c r="F1013" s="18">
        <v>42013.38</v>
      </c>
      <c r="G1013" s="18">
        <v>134346</v>
      </c>
      <c r="H1013" s="18">
        <f t="shared" si="37"/>
        <v>42005.38</v>
      </c>
      <c r="I1013" s="3"/>
    </row>
    <row r="1014" spans="1:9" s="4" customFormat="1" ht="18" customHeight="1" x14ac:dyDescent="0.55000000000000004">
      <c r="A1014" s="18">
        <v>24.798081700000001</v>
      </c>
      <c r="B1014" s="18">
        <v>34.837316000000001</v>
      </c>
      <c r="C1014" s="18">
        <v>685725.66</v>
      </c>
      <c r="D1014" s="18">
        <v>2743839.19</v>
      </c>
      <c r="E1014" s="18">
        <v>235.17</v>
      </c>
      <c r="F1014" s="18">
        <v>42013.13</v>
      </c>
      <c r="G1014" s="18">
        <v>134348</v>
      </c>
      <c r="H1014" s="18">
        <f t="shared" si="37"/>
        <v>42005.13</v>
      </c>
      <c r="I1014" s="3"/>
    </row>
    <row r="1015" spans="1:9" s="4" customFormat="1" ht="18" customHeight="1" x14ac:dyDescent="0.55000000000000004">
      <c r="A1015" s="18">
        <v>24.798062099999999</v>
      </c>
      <c r="B1015" s="18">
        <v>34.837296000000002</v>
      </c>
      <c r="C1015" s="18">
        <v>685723.66</v>
      </c>
      <c r="D1015" s="18">
        <v>2743836.99</v>
      </c>
      <c r="E1015" s="18">
        <v>235.26</v>
      </c>
      <c r="F1015" s="18">
        <v>42014.18</v>
      </c>
      <c r="G1015" s="18">
        <v>134350</v>
      </c>
      <c r="H1015" s="18">
        <f t="shared" ref="H1015:H1078" si="38">SUM(F1015-8)</f>
        <v>42006.18</v>
      </c>
      <c r="I1015" s="3"/>
    </row>
    <row r="1016" spans="1:9" s="4" customFormat="1" ht="18" customHeight="1" x14ac:dyDescent="0.55000000000000004">
      <c r="A1016" s="18">
        <v>24.7980433</v>
      </c>
      <c r="B1016" s="18">
        <v>34.837275499999997</v>
      </c>
      <c r="C1016" s="18">
        <v>685721.61</v>
      </c>
      <c r="D1016" s="18">
        <v>2743834.88</v>
      </c>
      <c r="E1016" s="18">
        <v>235.29</v>
      </c>
      <c r="F1016" s="18">
        <v>42014.53</v>
      </c>
      <c r="G1016" s="18">
        <v>134352</v>
      </c>
      <c r="H1016" s="18">
        <f t="shared" si="38"/>
        <v>42006.53</v>
      </c>
      <c r="I1016" s="3"/>
    </row>
    <row r="1017" spans="1:9" s="4" customFormat="1" ht="18" customHeight="1" x14ac:dyDescent="0.55000000000000004">
      <c r="A1017" s="18">
        <v>24.798022899999999</v>
      </c>
      <c r="B1017" s="18">
        <v>34.837258200000001</v>
      </c>
      <c r="C1017" s="18">
        <v>685719.89</v>
      </c>
      <c r="D1017" s="18">
        <v>2743832.59</v>
      </c>
      <c r="E1017" s="18">
        <v>235.27</v>
      </c>
      <c r="F1017" s="18">
        <v>42013.96</v>
      </c>
      <c r="G1017" s="18">
        <v>134354</v>
      </c>
      <c r="H1017" s="18">
        <f t="shared" si="38"/>
        <v>42005.96</v>
      </c>
      <c r="I1017" s="3"/>
    </row>
    <row r="1018" spans="1:9" s="4" customFormat="1" ht="18" customHeight="1" x14ac:dyDescent="0.55000000000000004">
      <c r="A1018" s="18">
        <v>24.7980062</v>
      </c>
      <c r="B1018" s="18">
        <v>34.837235200000002</v>
      </c>
      <c r="C1018" s="18">
        <v>685717.59</v>
      </c>
      <c r="D1018" s="18">
        <v>2743830.71</v>
      </c>
      <c r="E1018" s="18">
        <v>235.3</v>
      </c>
      <c r="F1018" s="18">
        <v>42015.07</v>
      </c>
      <c r="G1018" s="18">
        <v>134356</v>
      </c>
      <c r="H1018" s="18">
        <f t="shared" si="38"/>
        <v>42007.07</v>
      </c>
      <c r="I1018" s="3"/>
    </row>
    <row r="1019" spans="1:9" s="4" customFormat="1" ht="18" customHeight="1" x14ac:dyDescent="0.55000000000000004">
      <c r="A1019" s="18">
        <v>24.797990299999999</v>
      </c>
      <c r="B1019" s="18">
        <v>34.837211099999998</v>
      </c>
      <c r="C1019" s="18">
        <v>685715.18</v>
      </c>
      <c r="D1019" s="18">
        <v>2743828.93</v>
      </c>
      <c r="E1019" s="18">
        <v>235.34</v>
      </c>
      <c r="F1019" s="18">
        <v>42011.59</v>
      </c>
      <c r="G1019" s="18">
        <v>134358</v>
      </c>
      <c r="H1019" s="18">
        <f t="shared" si="38"/>
        <v>42003.59</v>
      </c>
      <c r="I1019" s="3"/>
    </row>
    <row r="1020" spans="1:9" s="4" customFormat="1" ht="18" customHeight="1" x14ac:dyDescent="0.55000000000000004">
      <c r="A1020" s="18">
        <v>24.797969599999998</v>
      </c>
      <c r="B1020" s="18">
        <v>34.837189799999997</v>
      </c>
      <c r="C1020" s="18">
        <v>685713.06</v>
      </c>
      <c r="D1020" s="18">
        <v>2743826.6</v>
      </c>
      <c r="E1020" s="18">
        <v>235.41</v>
      </c>
      <c r="F1020" s="18">
        <v>42008.35</v>
      </c>
      <c r="G1020" s="18">
        <v>134400</v>
      </c>
      <c r="H1020" s="18">
        <f t="shared" si="38"/>
        <v>42000.35</v>
      </c>
      <c r="I1020" s="3"/>
    </row>
    <row r="1021" spans="1:9" s="4" customFormat="1" ht="18" customHeight="1" x14ac:dyDescent="0.55000000000000004">
      <c r="A1021" s="18">
        <v>24.797949200000001</v>
      </c>
      <c r="B1021" s="18">
        <v>34.837169500000002</v>
      </c>
      <c r="C1021" s="18">
        <v>685711.04</v>
      </c>
      <c r="D1021" s="18">
        <v>2743824.31</v>
      </c>
      <c r="E1021" s="18">
        <v>235.47</v>
      </c>
      <c r="F1021" s="18">
        <v>42005.29</v>
      </c>
      <c r="G1021" s="18">
        <v>134402</v>
      </c>
      <c r="H1021" s="18">
        <f t="shared" si="38"/>
        <v>41997.29</v>
      </c>
      <c r="I1021" s="3"/>
    </row>
    <row r="1022" spans="1:9" s="4" customFormat="1" ht="18" customHeight="1" x14ac:dyDescent="0.55000000000000004">
      <c r="A1022" s="18">
        <v>24.797926100000002</v>
      </c>
      <c r="B1022" s="18">
        <v>34.837153700000002</v>
      </c>
      <c r="C1022" s="18">
        <v>685709.47</v>
      </c>
      <c r="D1022" s="18">
        <v>2743821.73</v>
      </c>
      <c r="E1022" s="18">
        <v>235.52</v>
      </c>
      <c r="F1022" s="18">
        <v>42006.32</v>
      </c>
      <c r="G1022" s="18">
        <v>134404</v>
      </c>
      <c r="H1022" s="18">
        <f t="shared" si="38"/>
        <v>41998.32</v>
      </c>
      <c r="I1022" s="3"/>
    </row>
    <row r="1023" spans="1:9" s="4" customFormat="1" ht="18" customHeight="1" x14ac:dyDescent="0.55000000000000004">
      <c r="A1023" s="18">
        <v>24.7979056</v>
      </c>
      <c r="B1023" s="18">
        <v>34.837132099999998</v>
      </c>
      <c r="C1023" s="18">
        <v>685707.32</v>
      </c>
      <c r="D1023" s="18">
        <v>2743819.44</v>
      </c>
      <c r="E1023" s="18">
        <v>235.51</v>
      </c>
      <c r="F1023" s="18">
        <v>42003.23</v>
      </c>
      <c r="G1023" s="18">
        <v>134406</v>
      </c>
      <c r="H1023" s="18">
        <f t="shared" si="38"/>
        <v>41995.23</v>
      </c>
      <c r="I1023" s="3"/>
    </row>
    <row r="1024" spans="1:9" s="4" customFormat="1" ht="18" customHeight="1" x14ac:dyDescent="0.55000000000000004">
      <c r="A1024" s="18">
        <v>24.797887599999999</v>
      </c>
      <c r="B1024" s="18">
        <v>34.837110199999998</v>
      </c>
      <c r="C1024" s="18">
        <v>685705.13</v>
      </c>
      <c r="D1024" s="18">
        <v>2743817.41</v>
      </c>
      <c r="E1024" s="18">
        <v>235.54</v>
      </c>
      <c r="F1024" s="18">
        <v>42005.32</v>
      </c>
      <c r="G1024" s="18">
        <v>134408</v>
      </c>
      <c r="H1024" s="18">
        <f t="shared" si="38"/>
        <v>41997.32</v>
      </c>
      <c r="I1024" s="3"/>
    </row>
    <row r="1025" spans="1:9" s="4" customFormat="1" ht="18" customHeight="1" x14ac:dyDescent="0.55000000000000004">
      <c r="A1025" s="18">
        <v>24.7978697</v>
      </c>
      <c r="B1025" s="18">
        <v>34.837086300000003</v>
      </c>
      <c r="C1025" s="18">
        <v>685702.74</v>
      </c>
      <c r="D1025" s="18">
        <v>2743815.39</v>
      </c>
      <c r="E1025" s="18">
        <v>235.57</v>
      </c>
      <c r="F1025" s="18">
        <v>42002.85</v>
      </c>
      <c r="G1025" s="18">
        <v>134410</v>
      </c>
      <c r="H1025" s="18">
        <f t="shared" si="38"/>
        <v>41994.85</v>
      </c>
      <c r="I1025" s="3"/>
    </row>
    <row r="1026" spans="1:9" s="4" customFormat="1" ht="18" customHeight="1" x14ac:dyDescent="0.55000000000000004">
      <c r="A1026" s="18">
        <v>24.7978506</v>
      </c>
      <c r="B1026" s="18">
        <v>34.837062400000001</v>
      </c>
      <c r="C1026" s="18">
        <v>685700.36</v>
      </c>
      <c r="D1026" s="18">
        <v>2743813.25</v>
      </c>
      <c r="E1026" s="18">
        <v>235.6</v>
      </c>
      <c r="F1026" s="18">
        <v>41998.51</v>
      </c>
      <c r="G1026" s="18">
        <v>134412</v>
      </c>
      <c r="H1026" s="18">
        <f t="shared" si="38"/>
        <v>41990.51</v>
      </c>
      <c r="I1026" s="3"/>
    </row>
    <row r="1027" spans="1:9" s="4" customFormat="1" ht="18" customHeight="1" x14ac:dyDescent="0.55000000000000004">
      <c r="A1027" s="18">
        <v>24.797831299999999</v>
      </c>
      <c r="B1027" s="18">
        <v>34.837040000000002</v>
      </c>
      <c r="C1027" s="18">
        <v>685698.13</v>
      </c>
      <c r="D1027" s="18">
        <v>2743811.08</v>
      </c>
      <c r="E1027" s="18">
        <v>235.65</v>
      </c>
      <c r="F1027" s="18">
        <v>41999.16</v>
      </c>
      <c r="G1027" s="18">
        <v>134414</v>
      </c>
      <c r="H1027" s="18">
        <f t="shared" si="38"/>
        <v>41991.16</v>
      </c>
      <c r="I1027" s="3"/>
    </row>
    <row r="1028" spans="1:9" s="4" customFormat="1" ht="18" customHeight="1" x14ac:dyDescent="0.55000000000000004">
      <c r="A1028" s="18">
        <v>24.797812700000001</v>
      </c>
      <c r="B1028" s="18">
        <v>34.837016499999997</v>
      </c>
      <c r="C1028" s="18">
        <v>685695.77</v>
      </c>
      <c r="D1028" s="18">
        <v>2743808.98</v>
      </c>
      <c r="E1028" s="18">
        <v>235.64</v>
      </c>
      <c r="F1028" s="18">
        <v>41995.47</v>
      </c>
      <c r="G1028" s="18">
        <v>134416</v>
      </c>
      <c r="H1028" s="18">
        <f t="shared" si="38"/>
        <v>41987.47</v>
      </c>
      <c r="I1028" s="3"/>
    </row>
    <row r="1029" spans="1:9" s="4" customFormat="1" ht="18" customHeight="1" x14ac:dyDescent="0.55000000000000004">
      <c r="A1029" s="18">
        <v>24.797794100000001</v>
      </c>
      <c r="B1029" s="18">
        <v>34.836993700000001</v>
      </c>
      <c r="C1029" s="18">
        <v>685693.5</v>
      </c>
      <c r="D1029" s="18">
        <v>2743806.89</v>
      </c>
      <c r="E1029" s="18">
        <v>235.69</v>
      </c>
      <c r="F1029" s="18">
        <v>41993.440000000002</v>
      </c>
      <c r="G1029" s="18">
        <v>134418</v>
      </c>
      <c r="H1029" s="18">
        <f t="shared" si="38"/>
        <v>41985.440000000002</v>
      </c>
      <c r="I1029" s="3"/>
    </row>
    <row r="1030" spans="1:9" s="4" customFormat="1" ht="18" customHeight="1" x14ac:dyDescent="0.55000000000000004">
      <c r="A1030" s="18">
        <v>24.7977764</v>
      </c>
      <c r="B1030" s="18">
        <v>34.836971400000003</v>
      </c>
      <c r="C1030" s="18">
        <v>685691.27</v>
      </c>
      <c r="D1030" s="18">
        <v>2743804.9</v>
      </c>
      <c r="E1030" s="18">
        <v>235.71</v>
      </c>
      <c r="F1030" s="18">
        <v>41994.2</v>
      </c>
      <c r="G1030" s="18">
        <v>134420</v>
      </c>
      <c r="H1030" s="18">
        <f t="shared" si="38"/>
        <v>41986.2</v>
      </c>
      <c r="I1030" s="3"/>
    </row>
    <row r="1031" spans="1:9" s="4" customFormat="1" ht="18" customHeight="1" x14ac:dyDescent="0.55000000000000004">
      <c r="A1031" s="18">
        <v>24.797758300000002</v>
      </c>
      <c r="B1031" s="18">
        <v>34.836950799999997</v>
      </c>
      <c r="C1031" s="18">
        <v>685689.22</v>
      </c>
      <c r="D1031" s="18">
        <v>2743802.86</v>
      </c>
      <c r="E1031" s="18">
        <v>235.76</v>
      </c>
      <c r="F1031" s="18">
        <v>41992.45</v>
      </c>
      <c r="G1031" s="18">
        <v>134422</v>
      </c>
      <c r="H1031" s="18">
        <f t="shared" si="38"/>
        <v>41984.45</v>
      </c>
      <c r="I1031" s="3"/>
    </row>
    <row r="1032" spans="1:9" s="4" customFormat="1" ht="18" customHeight="1" x14ac:dyDescent="0.55000000000000004">
      <c r="A1032" s="18">
        <v>24.7977372</v>
      </c>
      <c r="B1032" s="18">
        <v>34.836931800000002</v>
      </c>
      <c r="C1032" s="18">
        <v>685687.32</v>
      </c>
      <c r="D1032" s="18">
        <v>2743800.5</v>
      </c>
      <c r="E1032" s="18">
        <v>235.8</v>
      </c>
      <c r="F1032" s="18">
        <v>41992.61</v>
      </c>
      <c r="G1032" s="18">
        <v>134424</v>
      </c>
      <c r="H1032" s="18">
        <f t="shared" si="38"/>
        <v>41984.61</v>
      </c>
      <c r="I1032" s="3"/>
    </row>
    <row r="1033" spans="1:9" s="4" customFormat="1" ht="18" customHeight="1" x14ac:dyDescent="0.55000000000000004">
      <c r="A1033" s="18">
        <v>24.797717299999999</v>
      </c>
      <c r="B1033" s="18">
        <v>34.836910099999997</v>
      </c>
      <c r="C1033" s="18">
        <v>685685.16</v>
      </c>
      <c r="D1033" s="18">
        <v>2743798.28</v>
      </c>
      <c r="E1033" s="18">
        <v>235.79</v>
      </c>
      <c r="F1033" s="18">
        <v>41990.35</v>
      </c>
      <c r="G1033" s="18">
        <v>134426</v>
      </c>
      <c r="H1033" s="18">
        <f t="shared" si="38"/>
        <v>41982.35</v>
      </c>
      <c r="I1033" s="3"/>
    </row>
    <row r="1034" spans="1:9" s="4" customFormat="1" ht="18" customHeight="1" x14ac:dyDescent="0.55000000000000004">
      <c r="A1034" s="18">
        <v>24.797697200000002</v>
      </c>
      <c r="B1034" s="18">
        <v>34.836889200000002</v>
      </c>
      <c r="C1034" s="18">
        <v>685683.07</v>
      </c>
      <c r="D1034" s="18">
        <v>2743796.02</v>
      </c>
      <c r="E1034" s="18">
        <v>235.76</v>
      </c>
      <c r="F1034" s="18">
        <v>41991.54</v>
      </c>
      <c r="G1034" s="18">
        <v>134428</v>
      </c>
      <c r="H1034" s="18">
        <f t="shared" si="38"/>
        <v>41983.54</v>
      </c>
      <c r="I1034" s="3"/>
    </row>
    <row r="1035" spans="1:9" s="4" customFormat="1" ht="18" customHeight="1" x14ac:dyDescent="0.55000000000000004">
      <c r="A1035" s="18">
        <v>24.797676500000001</v>
      </c>
      <c r="B1035" s="18">
        <v>34.836871100000003</v>
      </c>
      <c r="C1035" s="18">
        <v>685681.28</v>
      </c>
      <c r="D1035" s="18">
        <v>2743793.7</v>
      </c>
      <c r="E1035" s="18">
        <v>235.79</v>
      </c>
      <c r="F1035" s="18">
        <v>41990.99</v>
      </c>
      <c r="G1035" s="18">
        <v>134430</v>
      </c>
      <c r="H1035" s="18">
        <f t="shared" si="38"/>
        <v>41982.99</v>
      </c>
      <c r="I1035" s="3"/>
    </row>
    <row r="1036" spans="1:9" s="4" customFormat="1" ht="18" customHeight="1" x14ac:dyDescent="0.55000000000000004">
      <c r="A1036" s="18">
        <v>24.7976554</v>
      </c>
      <c r="B1036" s="18">
        <v>34.836851000000003</v>
      </c>
      <c r="C1036" s="18">
        <v>685679.28</v>
      </c>
      <c r="D1036" s="18">
        <v>2743791.34</v>
      </c>
      <c r="E1036" s="18">
        <v>235.73</v>
      </c>
      <c r="F1036" s="18">
        <v>41988.71</v>
      </c>
      <c r="G1036" s="18">
        <v>134432</v>
      </c>
      <c r="H1036" s="18">
        <f t="shared" si="38"/>
        <v>41980.71</v>
      </c>
      <c r="I1036" s="3"/>
    </row>
    <row r="1037" spans="1:9" s="4" customFormat="1" ht="18" customHeight="1" x14ac:dyDescent="0.55000000000000004">
      <c r="A1037" s="18">
        <v>24.797633600000001</v>
      </c>
      <c r="B1037" s="18">
        <v>34.836830499999998</v>
      </c>
      <c r="C1037" s="18">
        <v>685677.24</v>
      </c>
      <c r="D1037" s="18">
        <v>2743788.89</v>
      </c>
      <c r="E1037" s="18">
        <v>235.64</v>
      </c>
      <c r="F1037" s="18">
        <v>41986.28</v>
      </c>
      <c r="G1037" s="18">
        <v>134434</v>
      </c>
      <c r="H1037" s="18">
        <f t="shared" si="38"/>
        <v>41978.28</v>
      </c>
      <c r="I1037" s="3"/>
    </row>
    <row r="1038" spans="1:9" s="4" customFormat="1" ht="18" customHeight="1" x14ac:dyDescent="0.55000000000000004">
      <c r="A1038" s="18">
        <v>24.797613900000002</v>
      </c>
      <c r="B1038" s="18">
        <v>34.836809799999997</v>
      </c>
      <c r="C1038" s="18">
        <v>685675.17</v>
      </c>
      <c r="D1038" s="18">
        <v>2743786.69</v>
      </c>
      <c r="E1038" s="18">
        <v>235.61</v>
      </c>
      <c r="F1038" s="18">
        <v>41984.63</v>
      </c>
      <c r="G1038" s="18">
        <v>134436</v>
      </c>
      <c r="H1038" s="18">
        <f t="shared" si="38"/>
        <v>41976.63</v>
      </c>
      <c r="I1038" s="3"/>
    </row>
    <row r="1039" spans="1:9" s="4" customFormat="1" ht="18" customHeight="1" x14ac:dyDescent="0.55000000000000004">
      <c r="A1039" s="18">
        <v>24.797597799999998</v>
      </c>
      <c r="B1039" s="18">
        <v>34.8367869</v>
      </c>
      <c r="C1039" s="18">
        <v>685672.88</v>
      </c>
      <c r="D1039" s="18">
        <v>2743784.87</v>
      </c>
      <c r="E1039" s="18">
        <v>235.57</v>
      </c>
      <c r="F1039" s="18">
        <v>41982.14</v>
      </c>
      <c r="G1039" s="18">
        <v>134438</v>
      </c>
      <c r="H1039" s="18">
        <f t="shared" si="38"/>
        <v>41974.14</v>
      </c>
      <c r="I1039" s="3"/>
    </row>
    <row r="1040" spans="1:9" s="4" customFormat="1" ht="18" customHeight="1" x14ac:dyDescent="0.55000000000000004">
      <c r="A1040" s="18">
        <v>24.797586200000001</v>
      </c>
      <c r="B1040" s="18">
        <v>34.836759000000001</v>
      </c>
      <c r="C1040" s="18">
        <v>685670.07</v>
      </c>
      <c r="D1040" s="18">
        <v>2743783.54</v>
      </c>
      <c r="E1040" s="18">
        <v>235.5</v>
      </c>
      <c r="F1040" s="18">
        <v>41982.62</v>
      </c>
      <c r="G1040" s="18">
        <v>134440</v>
      </c>
      <c r="H1040" s="18">
        <f t="shared" si="38"/>
        <v>41974.62</v>
      </c>
      <c r="I1040" s="3"/>
    </row>
    <row r="1041" spans="1:9" s="4" customFormat="1" ht="18" customHeight="1" x14ac:dyDescent="0.55000000000000004">
      <c r="A1041" s="18">
        <v>24.797579200000001</v>
      </c>
      <c r="B1041" s="18">
        <v>34.836729800000001</v>
      </c>
      <c r="C1041" s="18">
        <v>685667.13</v>
      </c>
      <c r="D1041" s="18">
        <v>2743782.73</v>
      </c>
      <c r="E1041" s="18">
        <v>235.43</v>
      </c>
      <c r="F1041" s="18">
        <v>41978.03</v>
      </c>
      <c r="G1041" s="18">
        <v>134442</v>
      </c>
      <c r="H1041" s="18">
        <f t="shared" si="38"/>
        <v>41970.03</v>
      </c>
      <c r="I1041" s="3"/>
    </row>
    <row r="1042" spans="1:9" s="4" customFormat="1" ht="18" customHeight="1" x14ac:dyDescent="0.55000000000000004">
      <c r="A1042" s="18">
        <v>24.7975651</v>
      </c>
      <c r="B1042" s="18">
        <v>34.836706700000001</v>
      </c>
      <c r="C1042" s="18">
        <v>685664.81</v>
      </c>
      <c r="D1042" s="18">
        <v>2743781.14</v>
      </c>
      <c r="E1042" s="18">
        <v>235.45</v>
      </c>
      <c r="F1042" s="18">
        <v>41979.8</v>
      </c>
      <c r="G1042" s="18">
        <v>134444</v>
      </c>
      <c r="H1042" s="18">
        <f t="shared" si="38"/>
        <v>41971.8</v>
      </c>
      <c r="I1042" s="3"/>
    </row>
    <row r="1043" spans="1:9" s="4" customFormat="1" ht="18" customHeight="1" x14ac:dyDescent="0.55000000000000004">
      <c r="A1043" s="18">
        <v>24.7975447</v>
      </c>
      <c r="B1043" s="18">
        <v>34.836684900000002</v>
      </c>
      <c r="C1043" s="18">
        <v>685662.64</v>
      </c>
      <c r="D1043" s="18">
        <v>2743778.85</v>
      </c>
      <c r="E1043" s="18">
        <v>235.41</v>
      </c>
      <c r="F1043" s="18">
        <v>41981.52</v>
      </c>
      <c r="G1043" s="18">
        <v>134446</v>
      </c>
      <c r="H1043" s="18">
        <f t="shared" si="38"/>
        <v>41973.52</v>
      </c>
      <c r="I1043" s="3"/>
    </row>
    <row r="1044" spans="1:9" s="4" customFormat="1" ht="18" customHeight="1" x14ac:dyDescent="0.55000000000000004">
      <c r="A1044" s="18">
        <v>24.797523600000002</v>
      </c>
      <c r="B1044" s="18">
        <v>34.836663700000003</v>
      </c>
      <c r="C1044" s="18">
        <v>685660.53</v>
      </c>
      <c r="D1044" s="18">
        <v>2743776.49</v>
      </c>
      <c r="E1044" s="18">
        <v>235.27</v>
      </c>
      <c r="F1044" s="18">
        <v>41979.03</v>
      </c>
      <c r="G1044" s="18">
        <v>134448</v>
      </c>
      <c r="H1044" s="18">
        <f t="shared" si="38"/>
        <v>41971.03</v>
      </c>
      <c r="I1044" s="3"/>
    </row>
    <row r="1045" spans="1:9" s="4" customFormat="1" ht="18" customHeight="1" x14ac:dyDescent="0.55000000000000004">
      <c r="A1045" s="18">
        <v>24.797502099999999</v>
      </c>
      <c r="B1045" s="18">
        <v>34.836644200000002</v>
      </c>
      <c r="C1045" s="18">
        <v>685658.6</v>
      </c>
      <c r="D1045" s="18">
        <v>2743774.08</v>
      </c>
      <c r="E1045" s="18">
        <v>235.24</v>
      </c>
      <c r="F1045" s="18">
        <v>41980.2</v>
      </c>
      <c r="G1045" s="18">
        <v>134450</v>
      </c>
      <c r="H1045" s="18">
        <f t="shared" si="38"/>
        <v>41972.2</v>
      </c>
      <c r="I1045" s="3"/>
    </row>
    <row r="1046" spans="1:9" s="4" customFormat="1" ht="18" customHeight="1" x14ac:dyDescent="0.55000000000000004">
      <c r="A1046" s="18">
        <v>24.797479800000001</v>
      </c>
      <c r="B1046" s="18">
        <v>34.8366252</v>
      </c>
      <c r="C1046" s="18">
        <v>685656.7</v>
      </c>
      <c r="D1046" s="18">
        <v>2743771.58</v>
      </c>
      <c r="E1046" s="18">
        <v>235.16</v>
      </c>
      <c r="F1046" s="18">
        <v>41980.05</v>
      </c>
      <c r="G1046" s="18">
        <v>134452</v>
      </c>
      <c r="H1046" s="18">
        <f t="shared" si="38"/>
        <v>41972.05</v>
      </c>
      <c r="I1046" s="3"/>
    </row>
    <row r="1047" spans="1:9" s="4" customFormat="1" ht="18" customHeight="1" x14ac:dyDescent="0.55000000000000004">
      <c r="A1047" s="18">
        <v>24.7974584</v>
      </c>
      <c r="B1047" s="18">
        <v>34.836603599999997</v>
      </c>
      <c r="C1047" s="18">
        <v>685654.55</v>
      </c>
      <c r="D1047" s="18">
        <v>2743769.18</v>
      </c>
      <c r="E1047" s="18">
        <v>235.08</v>
      </c>
      <c r="F1047" s="18">
        <v>41985.4</v>
      </c>
      <c r="G1047" s="18">
        <v>134454</v>
      </c>
      <c r="H1047" s="18">
        <f t="shared" si="38"/>
        <v>41977.4</v>
      </c>
      <c r="I1047" s="3"/>
    </row>
    <row r="1048" spans="1:9" s="4" customFormat="1" ht="18" customHeight="1" x14ac:dyDescent="0.55000000000000004">
      <c r="A1048" s="18">
        <v>24.7974405</v>
      </c>
      <c r="B1048" s="18">
        <v>34.836578799999998</v>
      </c>
      <c r="C1048" s="18">
        <v>685652.07</v>
      </c>
      <c r="D1048" s="18">
        <v>2743767.16</v>
      </c>
      <c r="E1048" s="18">
        <v>234.99</v>
      </c>
      <c r="F1048" s="18">
        <v>41984.67</v>
      </c>
      <c r="G1048" s="18">
        <v>134456</v>
      </c>
      <c r="H1048" s="18">
        <f t="shared" si="38"/>
        <v>41976.67</v>
      </c>
      <c r="I1048" s="3"/>
    </row>
    <row r="1049" spans="1:9" s="4" customFormat="1" ht="18" customHeight="1" x14ac:dyDescent="0.55000000000000004">
      <c r="A1049" s="18">
        <v>24.797422699999998</v>
      </c>
      <c r="B1049" s="18">
        <v>34.836554300000003</v>
      </c>
      <c r="C1049" s="18">
        <v>685649.62</v>
      </c>
      <c r="D1049" s="18">
        <v>2743765.16</v>
      </c>
      <c r="E1049" s="18">
        <v>234.93</v>
      </c>
      <c r="F1049" s="18">
        <v>41982.69</v>
      </c>
      <c r="G1049" s="18">
        <v>134458</v>
      </c>
      <c r="H1049" s="18">
        <f t="shared" si="38"/>
        <v>41974.69</v>
      </c>
      <c r="I1049" s="3"/>
    </row>
    <row r="1050" spans="1:9" s="4" customFormat="1" ht="18" customHeight="1" x14ac:dyDescent="0.55000000000000004">
      <c r="A1050" s="18">
        <v>24.797400700000001</v>
      </c>
      <c r="B1050" s="18">
        <v>34.836534800000003</v>
      </c>
      <c r="C1050" s="18">
        <v>685647.68</v>
      </c>
      <c r="D1050" s="18">
        <v>2743762.69</v>
      </c>
      <c r="E1050" s="18">
        <v>234.83</v>
      </c>
      <c r="F1050" s="18">
        <v>41984.97</v>
      </c>
      <c r="G1050" s="18">
        <v>134500</v>
      </c>
      <c r="H1050" s="18">
        <f t="shared" si="38"/>
        <v>41976.97</v>
      </c>
      <c r="I1050" s="3"/>
    </row>
    <row r="1051" spans="1:9" s="4" customFormat="1" ht="18" customHeight="1" x14ac:dyDescent="0.55000000000000004">
      <c r="A1051" s="18">
        <v>24.797380199999999</v>
      </c>
      <c r="B1051" s="18">
        <v>34.836512499999998</v>
      </c>
      <c r="C1051" s="18">
        <v>685645.46</v>
      </c>
      <c r="D1051" s="18">
        <v>2743760.39</v>
      </c>
      <c r="E1051" s="18">
        <v>234.76</v>
      </c>
      <c r="F1051" s="18">
        <v>41985.18</v>
      </c>
      <c r="G1051" s="18">
        <v>134502</v>
      </c>
      <c r="H1051" s="18">
        <f t="shared" si="38"/>
        <v>41977.18</v>
      </c>
      <c r="I1051" s="3"/>
    </row>
    <row r="1052" spans="1:9" s="4" customFormat="1" ht="18" customHeight="1" x14ac:dyDescent="0.55000000000000004">
      <c r="A1052" s="18">
        <v>24.797360099999999</v>
      </c>
      <c r="B1052" s="18">
        <v>34.836489399999998</v>
      </c>
      <c r="C1052" s="18">
        <v>685643.16</v>
      </c>
      <c r="D1052" s="18">
        <v>2743758.14</v>
      </c>
      <c r="E1052" s="18">
        <v>234.7</v>
      </c>
      <c r="F1052" s="18">
        <v>41983.61</v>
      </c>
      <c r="G1052" s="18">
        <v>134504</v>
      </c>
      <c r="H1052" s="18">
        <f t="shared" si="38"/>
        <v>41975.61</v>
      </c>
      <c r="I1052" s="3"/>
    </row>
    <row r="1053" spans="1:9" s="4" customFormat="1" ht="18" customHeight="1" x14ac:dyDescent="0.55000000000000004">
      <c r="A1053" s="18">
        <v>24.797339099999999</v>
      </c>
      <c r="B1053" s="18">
        <v>34.836466600000001</v>
      </c>
      <c r="C1053" s="18">
        <v>685640.88</v>
      </c>
      <c r="D1053" s="18">
        <v>2743755.78</v>
      </c>
      <c r="E1053" s="18">
        <v>234.66</v>
      </c>
      <c r="F1053" s="18">
        <v>41981.88</v>
      </c>
      <c r="G1053" s="18">
        <v>134506</v>
      </c>
      <c r="H1053" s="18">
        <f t="shared" si="38"/>
        <v>41973.88</v>
      </c>
      <c r="I1053" s="3"/>
    </row>
    <row r="1054" spans="1:9" s="4" customFormat="1" ht="18" customHeight="1" x14ac:dyDescent="0.55000000000000004">
      <c r="A1054" s="18">
        <v>24.797319300000002</v>
      </c>
      <c r="B1054" s="18">
        <v>34.836443799999998</v>
      </c>
      <c r="C1054" s="18">
        <v>685638.61</v>
      </c>
      <c r="D1054" s="18">
        <v>2743753.55</v>
      </c>
      <c r="E1054" s="18">
        <v>234.6</v>
      </c>
      <c r="F1054" s="18">
        <v>41983.95</v>
      </c>
      <c r="G1054" s="18">
        <v>134508</v>
      </c>
      <c r="H1054" s="18">
        <f t="shared" si="38"/>
        <v>41975.95</v>
      </c>
      <c r="I1054" s="3"/>
    </row>
    <row r="1055" spans="1:9" s="4" customFormat="1" ht="18" customHeight="1" x14ac:dyDescent="0.55000000000000004">
      <c r="A1055" s="18">
        <v>24.7973003</v>
      </c>
      <c r="B1055" s="18">
        <v>34.836419100000001</v>
      </c>
      <c r="C1055" s="18">
        <v>685636.13</v>
      </c>
      <c r="D1055" s="18">
        <v>2743751.42</v>
      </c>
      <c r="E1055" s="18">
        <v>234.58</v>
      </c>
      <c r="F1055" s="18">
        <v>41980.88</v>
      </c>
      <c r="G1055" s="18">
        <v>134510</v>
      </c>
      <c r="H1055" s="18">
        <f t="shared" si="38"/>
        <v>41972.88</v>
      </c>
      <c r="I1055" s="3"/>
    </row>
    <row r="1056" spans="1:9" s="4" customFormat="1" ht="18" customHeight="1" x14ac:dyDescent="0.55000000000000004">
      <c r="A1056" s="18">
        <v>24.797283700000001</v>
      </c>
      <c r="B1056" s="18">
        <v>34.836392400000001</v>
      </c>
      <c r="C1056" s="18">
        <v>685633.46</v>
      </c>
      <c r="D1056" s="18">
        <v>2743749.55</v>
      </c>
      <c r="E1056" s="18">
        <v>234.71</v>
      </c>
      <c r="F1056" s="18">
        <v>41977.37</v>
      </c>
      <c r="G1056" s="18">
        <v>134512</v>
      </c>
      <c r="H1056" s="18">
        <f t="shared" si="38"/>
        <v>41969.37</v>
      </c>
      <c r="I1056" s="3"/>
    </row>
    <row r="1057" spans="1:9" s="4" customFormat="1" ht="18" customHeight="1" x14ac:dyDescent="0.55000000000000004">
      <c r="A1057" s="18">
        <v>24.7972708</v>
      </c>
      <c r="B1057" s="18">
        <v>34.836365299999997</v>
      </c>
      <c r="C1057" s="18">
        <v>685630.74</v>
      </c>
      <c r="D1057" s="18">
        <v>2743748.08</v>
      </c>
      <c r="E1057" s="18">
        <v>234.74</v>
      </c>
      <c r="F1057" s="18">
        <v>41974.74</v>
      </c>
      <c r="G1057" s="18">
        <v>134514</v>
      </c>
      <c r="H1057" s="18">
        <f t="shared" si="38"/>
        <v>41966.74</v>
      </c>
      <c r="I1057" s="3"/>
    </row>
    <row r="1058" spans="1:9" s="4" customFormat="1" ht="18" customHeight="1" x14ac:dyDescent="0.55000000000000004">
      <c r="A1058" s="18">
        <v>24.797258299999999</v>
      </c>
      <c r="B1058" s="18">
        <v>34.836339600000002</v>
      </c>
      <c r="C1058" s="18">
        <v>685628.16</v>
      </c>
      <c r="D1058" s="18">
        <v>2743746.66</v>
      </c>
      <c r="E1058" s="18">
        <v>234.94</v>
      </c>
      <c r="F1058" s="18">
        <v>41974.07</v>
      </c>
      <c r="G1058" s="18">
        <v>134516</v>
      </c>
      <c r="H1058" s="18">
        <f t="shared" si="38"/>
        <v>41966.07</v>
      </c>
      <c r="I1058" s="3"/>
    </row>
    <row r="1059" spans="1:9" s="4" customFormat="1" ht="18" customHeight="1" x14ac:dyDescent="0.55000000000000004">
      <c r="A1059" s="18">
        <v>24.7972444</v>
      </c>
      <c r="B1059" s="18">
        <v>34.836312</v>
      </c>
      <c r="C1059" s="18">
        <v>685625.38</v>
      </c>
      <c r="D1059" s="18">
        <v>2743745.08</v>
      </c>
      <c r="E1059" s="18">
        <v>235</v>
      </c>
      <c r="F1059" s="18">
        <v>41973.599999999999</v>
      </c>
      <c r="G1059" s="18">
        <v>134518</v>
      </c>
      <c r="H1059" s="18">
        <f t="shared" si="38"/>
        <v>41965.599999999999</v>
      </c>
      <c r="I1059" s="3"/>
    </row>
    <row r="1060" spans="1:9" s="4" customFormat="1" ht="18" customHeight="1" x14ac:dyDescent="0.55000000000000004">
      <c r="A1060" s="18">
        <v>24.797226299999998</v>
      </c>
      <c r="B1060" s="18">
        <v>34.836288000000003</v>
      </c>
      <c r="C1060" s="18">
        <v>685622.99</v>
      </c>
      <c r="D1060" s="18">
        <v>2743743.04</v>
      </c>
      <c r="E1060" s="18">
        <v>235.08</v>
      </c>
      <c r="F1060" s="18">
        <v>41969.25</v>
      </c>
      <c r="G1060" s="18">
        <v>134520</v>
      </c>
      <c r="H1060" s="18">
        <f t="shared" si="38"/>
        <v>41961.25</v>
      </c>
      <c r="I1060" s="3"/>
    </row>
    <row r="1061" spans="1:9" s="4" customFormat="1" ht="18" customHeight="1" x14ac:dyDescent="0.55000000000000004">
      <c r="A1061" s="18">
        <v>24.797204099999998</v>
      </c>
      <c r="B1061" s="18">
        <v>34.8362664</v>
      </c>
      <c r="C1061" s="18">
        <v>685620.83</v>
      </c>
      <c r="D1061" s="18">
        <v>2743740.56</v>
      </c>
      <c r="E1061" s="18">
        <v>235.1</v>
      </c>
      <c r="F1061" s="18">
        <v>41967.91</v>
      </c>
      <c r="G1061" s="18">
        <v>134522</v>
      </c>
      <c r="H1061" s="18">
        <f t="shared" si="38"/>
        <v>41959.91</v>
      </c>
      <c r="I1061" s="3"/>
    </row>
    <row r="1062" spans="1:9" s="4" customFormat="1" ht="18" customHeight="1" x14ac:dyDescent="0.55000000000000004">
      <c r="A1062" s="18">
        <v>24.797182500000002</v>
      </c>
      <c r="B1062" s="18">
        <v>34.8362464</v>
      </c>
      <c r="C1062" s="18">
        <v>685618.85</v>
      </c>
      <c r="D1062" s="18">
        <v>2743738.13</v>
      </c>
      <c r="E1062" s="18">
        <v>235.09</v>
      </c>
      <c r="F1062" s="18">
        <v>41966.85</v>
      </c>
      <c r="G1062" s="18">
        <v>134524</v>
      </c>
      <c r="H1062" s="18">
        <f t="shared" si="38"/>
        <v>41958.85</v>
      </c>
      <c r="I1062" s="3"/>
    </row>
    <row r="1063" spans="1:9" s="4" customFormat="1" ht="18" customHeight="1" x14ac:dyDescent="0.55000000000000004">
      <c r="A1063" s="18">
        <v>24.797162799999999</v>
      </c>
      <c r="B1063" s="18">
        <v>34.836223400000002</v>
      </c>
      <c r="C1063" s="18">
        <v>685616.56</v>
      </c>
      <c r="D1063" s="18">
        <v>2743735.92</v>
      </c>
      <c r="E1063" s="18">
        <v>235.06</v>
      </c>
      <c r="F1063" s="18">
        <v>41961.7</v>
      </c>
      <c r="G1063" s="18">
        <v>134526</v>
      </c>
      <c r="H1063" s="18">
        <f t="shared" si="38"/>
        <v>41953.7</v>
      </c>
      <c r="I1063" s="3"/>
    </row>
    <row r="1064" spans="1:9" s="4" customFormat="1" ht="18" customHeight="1" x14ac:dyDescent="0.55000000000000004">
      <c r="A1064" s="18">
        <v>24.797143999999999</v>
      </c>
      <c r="B1064" s="18">
        <v>34.836198199999998</v>
      </c>
      <c r="C1064" s="18">
        <v>685614.03</v>
      </c>
      <c r="D1064" s="18">
        <v>2743733.81</v>
      </c>
      <c r="E1064" s="18">
        <v>235.08</v>
      </c>
      <c r="F1064" s="18">
        <v>41961.01</v>
      </c>
      <c r="G1064" s="18">
        <v>134528</v>
      </c>
      <c r="H1064" s="18">
        <f t="shared" si="38"/>
        <v>41953.01</v>
      </c>
      <c r="I1064" s="3"/>
    </row>
    <row r="1065" spans="1:9" s="4" customFormat="1" ht="18" customHeight="1" x14ac:dyDescent="0.55000000000000004">
      <c r="A1065" s="18">
        <v>24.797125900000001</v>
      </c>
      <c r="B1065" s="18">
        <v>34.836172300000001</v>
      </c>
      <c r="C1065" s="18">
        <v>685611.44</v>
      </c>
      <c r="D1065" s="18">
        <v>2743731.76</v>
      </c>
      <c r="E1065" s="18">
        <v>235.13</v>
      </c>
      <c r="F1065" s="18">
        <v>41960.56</v>
      </c>
      <c r="G1065" s="18">
        <v>134530</v>
      </c>
      <c r="H1065" s="18">
        <f t="shared" si="38"/>
        <v>41952.56</v>
      </c>
      <c r="I1065" s="3"/>
    </row>
    <row r="1066" spans="1:9" s="4" customFormat="1" ht="18" customHeight="1" x14ac:dyDescent="0.55000000000000004">
      <c r="A1066" s="18">
        <v>24.7971085</v>
      </c>
      <c r="B1066" s="18">
        <v>34.836146800000002</v>
      </c>
      <c r="C1066" s="18">
        <v>685608.88</v>
      </c>
      <c r="D1066" s="18">
        <v>2743729.8</v>
      </c>
      <c r="E1066" s="18">
        <v>235.17</v>
      </c>
      <c r="F1066" s="18">
        <v>41959.53</v>
      </c>
      <c r="G1066" s="18">
        <v>134532</v>
      </c>
      <c r="H1066" s="18">
        <f t="shared" si="38"/>
        <v>41951.53</v>
      </c>
      <c r="I1066" s="3"/>
    </row>
    <row r="1067" spans="1:9" s="4" customFormat="1" ht="18" customHeight="1" x14ac:dyDescent="0.55000000000000004">
      <c r="A1067" s="18">
        <v>24.797090499999999</v>
      </c>
      <c r="B1067" s="18">
        <v>34.836121800000001</v>
      </c>
      <c r="C1067" s="18">
        <v>685606.39</v>
      </c>
      <c r="D1067" s="18">
        <v>2743727.77</v>
      </c>
      <c r="E1067" s="18">
        <v>235.2</v>
      </c>
      <c r="F1067" s="18">
        <v>41957.89</v>
      </c>
      <c r="G1067" s="18">
        <v>134534</v>
      </c>
      <c r="H1067" s="18">
        <f t="shared" si="38"/>
        <v>41949.89</v>
      </c>
      <c r="I1067" s="3"/>
    </row>
    <row r="1068" spans="1:9" s="4" customFormat="1" ht="18" customHeight="1" x14ac:dyDescent="0.55000000000000004">
      <c r="A1068" s="18">
        <v>24.7970714</v>
      </c>
      <c r="B1068" s="18">
        <v>34.836097199999998</v>
      </c>
      <c r="C1068" s="18">
        <v>685603.93</v>
      </c>
      <c r="D1068" s="18">
        <v>2743725.63</v>
      </c>
      <c r="E1068" s="18">
        <v>235.34</v>
      </c>
      <c r="F1068" s="18">
        <v>41956.88</v>
      </c>
      <c r="G1068" s="18">
        <v>134536</v>
      </c>
      <c r="H1068" s="18">
        <f t="shared" si="38"/>
        <v>41948.88</v>
      </c>
      <c r="I1068" s="3"/>
    </row>
    <row r="1069" spans="1:9" s="4" customFormat="1" ht="18" customHeight="1" x14ac:dyDescent="0.55000000000000004">
      <c r="A1069" s="18">
        <v>24.7970544</v>
      </c>
      <c r="B1069" s="18">
        <v>34.836072199999997</v>
      </c>
      <c r="C1069" s="18">
        <v>685601.42</v>
      </c>
      <c r="D1069" s="18">
        <v>2743723.7</v>
      </c>
      <c r="E1069" s="18">
        <v>235.41</v>
      </c>
      <c r="F1069" s="18">
        <v>41955.85</v>
      </c>
      <c r="G1069" s="18">
        <v>134538</v>
      </c>
      <c r="H1069" s="18">
        <f t="shared" si="38"/>
        <v>41947.85</v>
      </c>
      <c r="I1069" s="3"/>
    </row>
    <row r="1070" spans="1:9" s="4" customFormat="1" ht="18" customHeight="1" x14ac:dyDescent="0.55000000000000004">
      <c r="A1070" s="18">
        <v>24.797038000000001</v>
      </c>
      <c r="B1070" s="18">
        <v>34.836045499999997</v>
      </c>
      <c r="C1070" s="18">
        <v>685598.75</v>
      </c>
      <c r="D1070" s="18">
        <v>2743721.86</v>
      </c>
      <c r="E1070" s="18">
        <v>235.47</v>
      </c>
      <c r="F1070" s="18">
        <v>41955.199999999997</v>
      </c>
      <c r="G1070" s="18">
        <v>134540</v>
      </c>
      <c r="H1070" s="18">
        <f t="shared" si="38"/>
        <v>41947.199999999997</v>
      </c>
      <c r="I1070" s="3"/>
    </row>
    <row r="1071" spans="1:9" s="4" customFormat="1" ht="18" customHeight="1" x14ac:dyDescent="0.55000000000000004">
      <c r="A1071" s="18">
        <v>24.79702</v>
      </c>
      <c r="B1071" s="18">
        <v>34.8360226</v>
      </c>
      <c r="C1071" s="18">
        <v>685596.46</v>
      </c>
      <c r="D1071" s="18">
        <v>2743719.83</v>
      </c>
      <c r="E1071" s="18">
        <v>235.36</v>
      </c>
      <c r="F1071" s="18">
        <v>41954.51</v>
      </c>
      <c r="G1071" s="18">
        <v>134542</v>
      </c>
      <c r="H1071" s="18">
        <f t="shared" si="38"/>
        <v>41946.51</v>
      </c>
      <c r="I1071" s="3"/>
    </row>
    <row r="1072" spans="1:9" s="4" customFormat="1" ht="18" customHeight="1" x14ac:dyDescent="0.55000000000000004">
      <c r="A1072" s="18">
        <v>24.797001999999999</v>
      </c>
      <c r="B1072" s="18">
        <v>34.8359971</v>
      </c>
      <c r="C1072" s="18">
        <v>685593.91</v>
      </c>
      <c r="D1072" s="18">
        <v>2743717.81</v>
      </c>
      <c r="E1072" s="18">
        <v>235.35</v>
      </c>
      <c r="F1072" s="18">
        <v>41954.2</v>
      </c>
      <c r="G1072" s="18">
        <v>134544</v>
      </c>
      <c r="H1072" s="18">
        <f t="shared" si="38"/>
        <v>41946.2</v>
      </c>
      <c r="I1072" s="3"/>
    </row>
    <row r="1073" spans="1:9" s="4" customFormat="1" ht="18" customHeight="1" x14ac:dyDescent="0.55000000000000004">
      <c r="A1073" s="18">
        <v>24.7969914</v>
      </c>
      <c r="B1073" s="18">
        <v>34.835966800000001</v>
      </c>
      <c r="C1073" s="18">
        <v>685590.86</v>
      </c>
      <c r="D1073" s="18">
        <v>2743716.58</v>
      </c>
      <c r="E1073" s="18">
        <v>235.38</v>
      </c>
      <c r="F1073" s="18">
        <v>41950.43</v>
      </c>
      <c r="G1073" s="18">
        <v>134546</v>
      </c>
      <c r="H1073" s="18">
        <f t="shared" si="38"/>
        <v>41942.43</v>
      </c>
      <c r="I1073" s="3"/>
    </row>
    <row r="1074" spans="1:9" s="4" customFormat="1" ht="18" customHeight="1" x14ac:dyDescent="0.55000000000000004">
      <c r="A1074" s="18">
        <v>24.796980099999999</v>
      </c>
      <c r="B1074" s="18">
        <v>34.835937700000002</v>
      </c>
      <c r="C1074" s="18">
        <v>685587.94</v>
      </c>
      <c r="D1074" s="18">
        <v>2743715.3</v>
      </c>
      <c r="E1074" s="18">
        <v>235.46</v>
      </c>
      <c r="F1074" s="18">
        <v>41948.1</v>
      </c>
      <c r="G1074" s="18">
        <v>134548</v>
      </c>
      <c r="H1074" s="18">
        <f t="shared" si="38"/>
        <v>41940.1</v>
      </c>
      <c r="I1074" s="3"/>
    </row>
    <row r="1075" spans="1:9" s="4" customFormat="1" ht="18" customHeight="1" x14ac:dyDescent="0.55000000000000004">
      <c r="A1075" s="18">
        <v>24.7969738</v>
      </c>
      <c r="B1075" s="18">
        <v>34.835906999999999</v>
      </c>
      <c r="C1075" s="18">
        <v>685584.84</v>
      </c>
      <c r="D1075" s="18">
        <v>2743714.56</v>
      </c>
      <c r="E1075" s="18">
        <v>235.52</v>
      </c>
      <c r="F1075" s="18">
        <v>41944.31</v>
      </c>
      <c r="G1075" s="18">
        <v>134550</v>
      </c>
      <c r="H1075" s="18">
        <f t="shared" si="38"/>
        <v>41936.31</v>
      </c>
      <c r="I1075" s="3"/>
    </row>
    <row r="1076" spans="1:9" s="4" customFormat="1" ht="18" customHeight="1" x14ac:dyDescent="0.55000000000000004">
      <c r="A1076" s="18">
        <v>24.796962700000002</v>
      </c>
      <c r="B1076" s="18">
        <v>34.835877500000002</v>
      </c>
      <c r="C1076" s="18">
        <v>685581.87</v>
      </c>
      <c r="D1076" s="18">
        <v>2743713.28</v>
      </c>
      <c r="E1076" s="18">
        <v>235.61</v>
      </c>
      <c r="F1076" s="18">
        <v>41948.21</v>
      </c>
      <c r="G1076" s="18">
        <v>134552</v>
      </c>
      <c r="H1076" s="18">
        <f t="shared" si="38"/>
        <v>41940.21</v>
      </c>
      <c r="I1076" s="3"/>
    </row>
    <row r="1077" spans="1:9" s="4" customFormat="1" ht="18" customHeight="1" x14ac:dyDescent="0.55000000000000004">
      <c r="A1077" s="18">
        <v>24.796945000000001</v>
      </c>
      <c r="B1077" s="18">
        <v>34.835855700000003</v>
      </c>
      <c r="C1077" s="18">
        <v>685579.7</v>
      </c>
      <c r="D1077" s="18">
        <v>2743711.29</v>
      </c>
      <c r="E1077" s="18">
        <v>235.73</v>
      </c>
      <c r="F1077" s="18">
        <v>41952.24</v>
      </c>
      <c r="G1077" s="18">
        <v>134554</v>
      </c>
      <c r="H1077" s="18">
        <f t="shared" si="38"/>
        <v>41944.24</v>
      </c>
      <c r="I1077" s="3"/>
    </row>
    <row r="1078" spans="1:9" s="4" customFormat="1" ht="18" customHeight="1" x14ac:dyDescent="0.55000000000000004">
      <c r="A1078" s="18">
        <v>24.796924799999999</v>
      </c>
      <c r="B1078" s="18">
        <v>34.835832699999997</v>
      </c>
      <c r="C1078" s="18">
        <v>685577.4</v>
      </c>
      <c r="D1078" s="18">
        <v>2743709.03</v>
      </c>
      <c r="E1078" s="18">
        <v>235.79</v>
      </c>
      <c r="F1078" s="18">
        <v>41956.79</v>
      </c>
      <c r="G1078" s="18">
        <v>134556</v>
      </c>
      <c r="H1078" s="18">
        <f t="shared" si="38"/>
        <v>41948.79</v>
      </c>
      <c r="I1078" s="3"/>
    </row>
    <row r="1079" spans="1:9" s="4" customFormat="1" ht="18" customHeight="1" x14ac:dyDescent="0.55000000000000004">
      <c r="A1079" s="18">
        <v>24.796907699999998</v>
      </c>
      <c r="B1079" s="18">
        <v>34.8358062</v>
      </c>
      <c r="C1079" s="18">
        <v>685574.75</v>
      </c>
      <c r="D1079" s="18">
        <v>2743707.1</v>
      </c>
      <c r="E1079" s="18">
        <v>235.87</v>
      </c>
      <c r="F1079" s="18">
        <v>41957.18</v>
      </c>
      <c r="G1079" s="18">
        <v>134558</v>
      </c>
      <c r="H1079" s="18">
        <f t="shared" ref="H1079:H1142" si="39">SUM(F1079-8)</f>
        <v>41949.18</v>
      </c>
      <c r="I1079" s="3"/>
    </row>
    <row r="1080" spans="1:9" s="4" customFormat="1" ht="18" customHeight="1" x14ac:dyDescent="0.55000000000000004">
      <c r="A1080" s="18">
        <v>24.7968884</v>
      </c>
      <c r="B1080" s="18">
        <v>34.835781300000001</v>
      </c>
      <c r="C1080" s="18">
        <v>685572.26</v>
      </c>
      <c r="D1080" s="18">
        <v>2743704.92</v>
      </c>
      <c r="E1080" s="18">
        <v>235.94</v>
      </c>
      <c r="F1080" s="18">
        <v>41961.62</v>
      </c>
      <c r="G1080" s="18">
        <v>134600</v>
      </c>
      <c r="H1080" s="18">
        <f t="shared" si="39"/>
        <v>41953.62</v>
      </c>
      <c r="I1080" s="3"/>
    </row>
    <row r="1081" spans="1:9" s="4" customFormat="1" ht="18" customHeight="1" x14ac:dyDescent="0.55000000000000004">
      <c r="A1081" s="18">
        <v>24.7968726</v>
      </c>
      <c r="B1081" s="18">
        <v>34.835755399999996</v>
      </c>
      <c r="C1081" s="18">
        <v>685569.66</v>
      </c>
      <c r="D1081" s="18">
        <v>2743703.14</v>
      </c>
      <c r="E1081" s="18">
        <v>236.01</v>
      </c>
      <c r="F1081" s="18">
        <v>41968.160000000003</v>
      </c>
      <c r="G1081" s="18">
        <v>134602</v>
      </c>
      <c r="H1081" s="18">
        <f t="shared" si="39"/>
        <v>41960.160000000003</v>
      </c>
      <c r="I1081" s="3"/>
    </row>
    <row r="1082" spans="1:9" s="4" customFormat="1" ht="18" customHeight="1" x14ac:dyDescent="0.55000000000000004">
      <c r="A1082" s="18">
        <v>24.796858199999999</v>
      </c>
      <c r="B1082" s="18">
        <v>34.835727900000002</v>
      </c>
      <c r="C1082" s="18">
        <v>685566.9</v>
      </c>
      <c r="D1082" s="18">
        <v>2743701.51</v>
      </c>
      <c r="E1082" s="18">
        <v>236.09</v>
      </c>
      <c r="F1082" s="18">
        <v>41970.96</v>
      </c>
      <c r="G1082" s="18">
        <v>134604</v>
      </c>
      <c r="H1082" s="18">
        <f t="shared" si="39"/>
        <v>41962.96</v>
      </c>
      <c r="I1082" s="3"/>
    </row>
    <row r="1083" spans="1:9" s="4" customFormat="1" ht="18" customHeight="1" x14ac:dyDescent="0.55000000000000004">
      <c r="A1083" s="18">
        <v>24.7968431</v>
      </c>
      <c r="B1083" s="18">
        <v>34.8356998</v>
      </c>
      <c r="C1083" s="18">
        <v>685564.09</v>
      </c>
      <c r="D1083" s="18">
        <v>2743699.8</v>
      </c>
      <c r="E1083" s="18">
        <v>236.14</v>
      </c>
      <c r="F1083" s="18">
        <v>41975.75</v>
      </c>
      <c r="G1083" s="18">
        <v>134606</v>
      </c>
      <c r="H1083" s="18">
        <f t="shared" si="39"/>
        <v>41967.75</v>
      </c>
      <c r="I1083" s="3"/>
    </row>
    <row r="1084" spans="1:9" s="4" customFormat="1" ht="18" customHeight="1" x14ac:dyDescent="0.55000000000000004">
      <c r="A1084" s="18">
        <v>24.796832800000001</v>
      </c>
      <c r="B1084" s="18">
        <v>34.835670299999997</v>
      </c>
      <c r="C1084" s="18">
        <v>685561.12</v>
      </c>
      <c r="D1084" s="18">
        <v>2743698.61</v>
      </c>
      <c r="E1084" s="18">
        <v>236.11</v>
      </c>
      <c r="F1084" s="18">
        <v>41980.69</v>
      </c>
      <c r="G1084" s="18">
        <v>134608</v>
      </c>
      <c r="H1084" s="18">
        <f t="shared" si="39"/>
        <v>41972.69</v>
      </c>
      <c r="I1084" s="3"/>
    </row>
    <row r="1085" spans="1:9" s="4" customFormat="1" ht="18" customHeight="1" x14ac:dyDescent="0.55000000000000004">
      <c r="A1085" s="18">
        <v>24.796823</v>
      </c>
      <c r="B1085" s="18">
        <v>34.835639200000003</v>
      </c>
      <c r="C1085" s="18">
        <v>685557.99</v>
      </c>
      <c r="D1085" s="18">
        <v>2743697.49</v>
      </c>
      <c r="E1085" s="18">
        <v>236.24</v>
      </c>
      <c r="F1085" s="18">
        <v>41993.58</v>
      </c>
      <c r="G1085" s="18">
        <v>134610</v>
      </c>
      <c r="H1085" s="18">
        <f t="shared" si="39"/>
        <v>41985.58</v>
      </c>
      <c r="I1085" s="3"/>
    </row>
    <row r="1086" spans="1:9" s="4" customFormat="1" ht="18" customHeight="1" x14ac:dyDescent="0.55000000000000004">
      <c r="A1086" s="18">
        <v>24.796809499999998</v>
      </c>
      <c r="B1086" s="18">
        <v>34.8356122</v>
      </c>
      <c r="C1086" s="18">
        <v>685555.28</v>
      </c>
      <c r="D1086" s="18">
        <v>2743695.96</v>
      </c>
      <c r="E1086" s="18">
        <v>236.29</v>
      </c>
      <c r="F1086" s="18">
        <v>42002.45</v>
      </c>
      <c r="G1086" s="18">
        <v>134612</v>
      </c>
      <c r="H1086" s="18">
        <f t="shared" si="39"/>
        <v>41994.45</v>
      </c>
      <c r="I1086" s="3"/>
    </row>
    <row r="1087" spans="1:9" s="4" customFormat="1" ht="18" customHeight="1" x14ac:dyDescent="0.55000000000000004">
      <c r="A1087" s="18">
        <v>24.796793300000001</v>
      </c>
      <c r="B1087" s="18">
        <v>34.835585600000002</v>
      </c>
      <c r="C1087" s="18">
        <v>685552.61</v>
      </c>
      <c r="D1087" s="18">
        <v>2743694.13</v>
      </c>
      <c r="E1087" s="18">
        <v>236.33</v>
      </c>
      <c r="F1087" s="18">
        <v>42009.09</v>
      </c>
      <c r="G1087" s="18">
        <v>134614</v>
      </c>
      <c r="H1087" s="18">
        <f t="shared" si="39"/>
        <v>42001.09</v>
      </c>
      <c r="I1087" s="3"/>
    </row>
    <row r="1088" spans="1:9" s="4" customFormat="1" ht="18" customHeight="1" x14ac:dyDescent="0.55000000000000004">
      <c r="A1088" s="18">
        <v>24.7967777</v>
      </c>
      <c r="B1088" s="18">
        <v>34.835559199999999</v>
      </c>
      <c r="C1088" s="18">
        <v>685549.97</v>
      </c>
      <c r="D1088" s="18">
        <v>2743692.37</v>
      </c>
      <c r="E1088" s="18">
        <v>236.39</v>
      </c>
      <c r="F1088" s="18">
        <v>42012.79</v>
      </c>
      <c r="G1088" s="18">
        <v>134616</v>
      </c>
      <c r="H1088" s="18">
        <f t="shared" si="39"/>
        <v>42004.79</v>
      </c>
      <c r="I1088" s="3"/>
    </row>
    <row r="1089" spans="1:9" s="4" customFormat="1" ht="18" customHeight="1" x14ac:dyDescent="0.55000000000000004">
      <c r="A1089" s="18">
        <v>24.796766099999999</v>
      </c>
      <c r="B1089" s="18">
        <v>34.835530499999997</v>
      </c>
      <c r="C1089" s="18">
        <v>685547.09</v>
      </c>
      <c r="D1089" s="18">
        <v>2743691.04</v>
      </c>
      <c r="E1089" s="18">
        <v>236.43</v>
      </c>
      <c r="F1089" s="18">
        <v>42018.94</v>
      </c>
      <c r="G1089" s="18">
        <v>134618</v>
      </c>
      <c r="H1089" s="18">
        <f t="shared" si="39"/>
        <v>42010.94</v>
      </c>
      <c r="I1089" s="3"/>
    </row>
    <row r="1090" spans="1:9" s="4" customFormat="1" ht="18" customHeight="1" x14ac:dyDescent="0.55000000000000004">
      <c r="A1090" s="18">
        <v>24.7967543</v>
      </c>
      <c r="B1090" s="18">
        <v>34.835502400000003</v>
      </c>
      <c r="C1090" s="18">
        <v>685544.26</v>
      </c>
      <c r="D1090" s="18">
        <v>2743689.7</v>
      </c>
      <c r="E1090" s="18">
        <v>236.47</v>
      </c>
      <c r="F1090" s="18">
        <v>42011.63</v>
      </c>
      <c r="G1090" s="18">
        <v>134620</v>
      </c>
      <c r="H1090" s="18">
        <f t="shared" si="39"/>
        <v>42003.63</v>
      </c>
      <c r="I1090" s="3"/>
    </row>
    <row r="1091" spans="1:9" s="4" customFormat="1" ht="18" customHeight="1" x14ac:dyDescent="0.55000000000000004">
      <c r="A1091" s="18">
        <v>24.7967358</v>
      </c>
      <c r="B1091" s="18">
        <v>34.835479200000002</v>
      </c>
      <c r="C1091" s="18">
        <v>685541.94</v>
      </c>
      <c r="D1091" s="18">
        <v>2743687.61</v>
      </c>
      <c r="E1091" s="18">
        <v>236.5</v>
      </c>
      <c r="F1091" s="18">
        <v>42005.64</v>
      </c>
      <c r="G1091" s="18">
        <v>134622</v>
      </c>
      <c r="H1091" s="18">
        <f t="shared" si="39"/>
        <v>41997.64</v>
      </c>
      <c r="I1091" s="3"/>
    </row>
    <row r="1092" spans="1:9" s="4" customFormat="1" ht="18" customHeight="1" x14ac:dyDescent="0.55000000000000004">
      <c r="A1092" s="18">
        <v>24.796714000000001</v>
      </c>
      <c r="B1092" s="18">
        <v>34.8354608</v>
      </c>
      <c r="C1092" s="18">
        <v>685540.11</v>
      </c>
      <c r="D1092" s="18">
        <v>2743685.17</v>
      </c>
      <c r="E1092" s="18">
        <v>236.21</v>
      </c>
      <c r="F1092" s="18">
        <v>41998.13</v>
      </c>
      <c r="G1092" s="18">
        <v>134624</v>
      </c>
      <c r="H1092" s="18">
        <f t="shared" si="39"/>
        <v>41990.13</v>
      </c>
      <c r="I1092" s="3"/>
    </row>
    <row r="1093" spans="1:9" s="4" customFormat="1" ht="18" customHeight="1" x14ac:dyDescent="0.55000000000000004">
      <c r="A1093" s="18">
        <v>24.796688799999998</v>
      </c>
      <c r="B1093" s="18">
        <v>34.835446500000003</v>
      </c>
      <c r="C1093" s="18">
        <v>685538.7</v>
      </c>
      <c r="D1093" s="18">
        <v>2743682.37</v>
      </c>
      <c r="E1093" s="18">
        <v>236.39</v>
      </c>
      <c r="F1093" s="18">
        <v>41990.23</v>
      </c>
      <c r="G1093" s="18">
        <v>134626</v>
      </c>
      <c r="H1093" s="18">
        <f t="shared" si="39"/>
        <v>41982.23</v>
      </c>
      <c r="I1093" s="3"/>
    </row>
    <row r="1094" spans="1:9" s="4" customFormat="1" ht="18" customHeight="1" x14ac:dyDescent="0.55000000000000004">
      <c r="A1094" s="18">
        <v>24.7966683</v>
      </c>
      <c r="B1094" s="18">
        <v>34.835426300000002</v>
      </c>
      <c r="C1094" s="18">
        <v>685536.7</v>
      </c>
      <c r="D1094" s="18">
        <v>2743680.06</v>
      </c>
      <c r="E1094" s="18">
        <v>236.45</v>
      </c>
      <c r="F1094" s="18">
        <v>41986.71</v>
      </c>
      <c r="G1094" s="18">
        <v>134628</v>
      </c>
      <c r="H1094" s="18">
        <f t="shared" si="39"/>
        <v>41978.71</v>
      </c>
      <c r="I1094" s="3"/>
    </row>
    <row r="1095" spans="1:9" s="4" customFormat="1" ht="18" customHeight="1" x14ac:dyDescent="0.55000000000000004">
      <c r="A1095" s="18">
        <v>24.796651600000001</v>
      </c>
      <c r="B1095" s="18">
        <v>34.835400499999999</v>
      </c>
      <c r="C1095" s="18">
        <v>685534.11</v>
      </c>
      <c r="D1095" s="18">
        <v>2743678.18</v>
      </c>
      <c r="E1095" s="18">
        <v>236.49</v>
      </c>
      <c r="F1095" s="18">
        <v>41985.72</v>
      </c>
      <c r="G1095" s="18">
        <v>134630</v>
      </c>
      <c r="H1095" s="18">
        <f t="shared" si="39"/>
        <v>41977.72</v>
      </c>
      <c r="I1095" s="3"/>
    </row>
    <row r="1096" spans="1:9" s="4" customFormat="1" ht="18" customHeight="1" x14ac:dyDescent="0.55000000000000004">
      <c r="A1096" s="18">
        <v>24.796640700000001</v>
      </c>
      <c r="B1096" s="18">
        <v>34.835371799999997</v>
      </c>
      <c r="C1096" s="18">
        <v>685531.22</v>
      </c>
      <c r="D1096" s="18">
        <v>2743676.94</v>
      </c>
      <c r="E1096" s="18">
        <v>236.58</v>
      </c>
      <c r="F1096" s="18">
        <v>41984.37</v>
      </c>
      <c r="G1096" s="18">
        <v>134632</v>
      </c>
      <c r="H1096" s="18">
        <f t="shared" si="39"/>
        <v>41976.37</v>
      </c>
      <c r="I1096" s="3"/>
    </row>
    <row r="1097" spans="1:9" s="4" customFormat="1" ht="18" customHeight="1" x14ac:dyDescent="0.55000000000000004">
      <c r="A1097" s="18">
        <v>24.796632200000001</v>
      </c>
      <c r="B1097" s="18">
        <v>34.835341100000001</v>
      </c>
      <c r="C1097" s="18">
        <v>685528.14</v>
      </c>
      <c r="D1097" s="18">
        <v>2743675.95</v>
      </c>
      <c r="E1097" s="18">
        <v>236.62</v>
      </c>
      <c r="F1097" s="18">
        <v>41982.98</v>
      </c>
      <c r="G1097" s="18">
        <v>134634</v>
      </c>
      <c r="H1097" s="18">
        <f t="shared" si="39"/>
        <v>41974.98</v>
      </c>
      <c r="I1097" s="3"/>
    </row>
    <row r="1098" spans="1:9" s="4" customFormat="1" ht="18" customHeight="1" x14ac:dyDescent="0.55000000000000004">
      <c r="A1098" s="18">
        <v>24.796623</v>
      </c>
      <c r="B1098" s="18">
        <v>34.835311599999997</v>
      </c>
      <c r="C1098" s="18">
        <v>685525.16</v>
      </c>
      <c r="D1098" s="18">
        <v>2743674.89</v>
      </c>
      <c r="E1098" s="18">
        <v>236.72</v>
      </c>
      <c r="F1098" s="18">
        <v>41982.36</v>
      </c>
      <c r="G1098" s="18">
        <v>134636</v>
      </c>
      <c r="H1098" s="18">
        <f t="shared" si="39"/>
        <v>41974.36</v>
      </c>
      <c r="I1098" s="3"/>
    </row>
    <row r="1099" spans="1:9" s="4" customFormat="1" ht="18" customHeight="1" x14ac:dyDescent="0.55000000000000004">
      <c r="A1099" s="18">
        <v>24.796609700000001</v>
      </c>
      <c r="B1099" s="18">
        <v>34.835284600000001</v>
      </c>
      <c r="C1099" s="18">
        <v>685522.45</v>
      </c>
      <c r="D1099" s="18">
        <v>2743673.38</v>
      </c>
      <c r="E1099" s="18">
        <v>236.73</v>
      </c>
      <c r="F1099" s="18">
        <v>41983.85</v>
      </c>
      <c r="G1099" s="18">
        <v>134638</v>
      </c>
      <c r="H1099" s="18">
        <f t="shared" si="39"/>
        <v>41975.85</v>
      </c>
      <c r="I1099" s="3"/>
    </row>
    <row r="1100" spans="1:9" s="4" customFormat="1" ht="18" customHeight="1" x14ac:dyDescent="0.55000000000000004">
      <c r="A1100" s="18">
        <v>24.796596399999999</v>
      </c>
      <c r="B1100" s="18">
        <v>34.835256000000001</v>
      </c>
      <c r="C1100" s="18">
        <v>685519.58</v>
      </c>
      <c r="D1100" s="18">
        <v>2743671.87</v>
      </c>
      <c r="E1100" s="18">
        <v>236.81</v>
      </c>
      <c r="F1100" s="18">
        <v>41983.51</v>
      </c>
      <c r="G1100" s="18">
        <v>134640</v>
      </c>
      <c r="H1100" s="18">
        <f t="shared" si="39"/>
        <v>41975.51</v>
      </c>
      <c r="I1100" s="3"/>
    </row>
    <row r="1101" spans="1:9" s="4" customFormat="1" ht="18" customHeight="1" x14ac:dyDescent="0.55000000000000004">
      <c r="A1101" s="18">
        <v>24.796586099999999</v>
      </c>
      <c r="B1101" s="18">
        <v>34.8352249</v>
      </c>
      <c r="C1101" s="18">
        <v>685516.46</v>
      </c>
      <c r="D1101" s="18">
        <v>2743670.69</v>
      </c>
      <c r="E1101" s="18">
        <v>236.85</v>
      </c>
      <c r="F1101" s="18">
        <v>41981.04</v>
      </c>
      <c r="G1101" s="18">
        <v>134642</v>
      </c>
      <c r="H1101" s="18">
        <f t="shared" si="39"/>
        <v>41973.04</v>
      </c>
      <c r="I1101" s="3"/>
    </row>
    <row r="1102" spans="1:9" s="4" customFormat="1" ht="18" customHeight="1" x14ac:dyDescent="0.55000000000000004">
      <c r="A1102" s="18">
        <v>24.796577899999999</v>
      </c>
      <c r="B1102" s="18">
        <v>34.835194299999998</v>
      </c>
      <c r="C1102" s="18">
        <v>685513.37</v>
      </c>
      <c r="D1102" s="18">
        <v>2743669.74</v>
      </c>
      <c r="E1102" s="18">
        <v>236.92</v>
      </c>
      <c r="F1102" s="18">
        <v>41979.12</v>
      </c>
      <c r="G1102" s="18">
        <v>134644</v>
      </c>
      <c r="H1102" s="18">
        <f t="shared" si="39"/>
        <v>41971.12</v>
      </c>
      <c r="I1102" s="3"/>
    </row>
    <row r="1103" spans="1:9" s="4" customFormat="1" ht="18" customHeight="1" x14ac:dyDescent="0.55000000000000004">
      <c r="A1103" s="18">
        <v>24.796567199999998</v>
      </c>
      <c r="B1103" s="18">
        <v>34.835164499999998</v>
      </c>
      <c r="C1103" s="18">
        <v>685510.37</v>
      </c>
      <c r="D1103" s="18">
        <v>2743668.52</v>
      </c>
      <c r="E1103" s="18">
        <v>236.99</v>
      </c>
      <c r="F1103" s="18">
        <v>41984.06</v>
      </c>
      <c r="G1103" s="18">
        <v>134646</v>
      </c>
      <c r="H1103" s="18">
        <f t="shared" si="39"/>
        <v>41976.06</v>
      </c>
      <c r="I1103" s="3"/>
    </row>
    <row r="1104" spans="1:9" s="4" customFormat="1" ht="18" customHeight="1" x14ac:dyDescent="0.55000000000000004">
      <c r="A1104" s="18">
        <v>24.796554799999999</v>
      </c>
      <c r="B1104" s="18">
        <v>34.835135999999999</v>
      </c>
      <c r="C1104" s="18">
        <v>685507.51</v>
      </c>
      <c r="D1104" s="18">
        <v>2743667.1</v>
      </c>
      <c r="E1104" s="18">
        <v>237.05</v>
      </c>
      <c r="F1104" s="18">
        <v>41985.760000000002</v>
      </c>
      <c r="G1104" s="18">
        <v>134648</v>
      </c>
      <c r="H1104" s="18">
        <f t="shared" si="39"/>
        <v>41977.760000000002</v>
      </c>
      <c r="I1104" s="3"/>
    </row>
    <row r="1105" spans="1:9" s="4" customFormat="1" ht="18" customHeight="1" x14ac:dyDescent="0.55000000000000004">
      <c r="A1105" s="18">
        <v>24.796542599999999</v>
      </c>
      <c r="B1105" s="18">
        <v>34.835105599999999</v>
      </c>
      <c r="C1105" s="18">
        <v>685504.45</v>
      </c>
      <c r="D1105" s="18">
        <v>2743665.7</v>
      </c>
      <c r="E1105" s="18">
        <v>237.06</v>
      </c>
      <c r="F1105" s="18">
        <v>41984.86</v>
      </c>
      <c r="G1105" s="18">
        <v>134650</v>
      </c>
      <c r="H1105" s="18">
        <f t="shared" si="39"/>
        <v>41976.86</v>
      </c>
      <c r="I1105" s="3"/>
    </row>
    <row r="1106" spans="1:9" s="4" customFormat="1" ht="18" customHeight="1" x14ac:dyDescent="0.55000000000000004">
      <c r="A1106" s="18">
        <v>24.796529700000001</v>
      </c>
      <c r="B1106" s="18">
        <v>34.835077099999999</v>
      </c>
      <c r="C1106" s="18">
        <v>685501.59</v>
      </c>
      <c r="D1106" s="18">
        <v>2743664.24</v>
      </c>
      <c r="E1106" s="18">
        <v>237.09</v>
      </c>
      <c r="F1106" s="18">
        <v>41987.11</v>
      </c>
      <c r="G1106" s="18">
        <v>134652</v>
      </c>
      <c r="H1106" s="18">
        <f t="shared" si="39"/>
        <v>41979.11</v>
      </c>
      <c r="I1106" s="3"/>
    </row>
    <row r="1107" spans="1:9" s="4" customFormat="1" ht="18" customHeight="1" x14ac:dyDescent="0.55000000000000004">
      <c r="A1107" s="18">
        <v>24.796511599999999</v>
      </c>
      <c r="B1107" s="18">
        <v>34.835049699999999</v>
      </c>
      <c r="C1107" s="18">
        <v>685498.85</v>
      </c>
      <c r="D1107" s="18">
        <v>2743662.2</v>
      </c>
      <c r="E1107" s="18">
        <v>237.14</v>
      </c>
      <c r="F1107" s="18">
        <v>41991.79</v>
      </c>
      <c r="G1107" s="18">
        <v>134654</v>
      </c>
      <c r="H1107" s="18">
        <f t="shared" si="39"/>
        <v>41983.79</v>
      </c>
      <c r="I1107" s="3"/>
    </row>
    <row r="1108" spans="1:9" s="4" customFormat="1" ht="18" customHeight="1" x14ac:dyDescent="0.55000000000000004">
      <c r="A1108" s="18">
        <v>24.796491700000001</v>
      </c>
      <c r="B1108" s="18">
        <v>34.835025600000002</v>
      </c>
      <c r="C1108" s="18">
        <v>685496.44</v>
      </c>
      <c r="D1108" s="18">
        <v>2743659.96</v>
      </c>
      <c r="E1108" s="18">
        <v>237.21</v>
      </c>
      <c r="F1108" s="18">
        <v>41989.89</v>
      </c>
      <c r="G1108" s="18">
        <v>134656</v>
      </c>
      <c r="H1108" s="18">
        <f t="shared" si="39"/>
        <v>41981.89</v>
      </c>
      <c r="I1108" s="3"/>
    </row>
    <row r="1109" spans="1:9" s="4" customFormat="1" ht="18" customHeight="1" x14ac:dyDescent="0.55000000000000004">
      <c r="A1109" s="18">
        <v>24.796471100000002</v>
      </c>
      <c r="B1109" s="18">
        <v>34.835001499999997</v>
      </c>
      <c r="C1109" s="18">
        <v>685494.03</v>
      </c>
      <c r="D1109" s="18">
        <v>2743657.64</v>
      </c>
      <c r="E1109" s="18">
        <v>237.27</v>
      </c>
      <c r="F1109" s="18">
        <v>41991.85</v>
      </c>
      <c r="G1109" s="18">
        <v>134658</v>
      </c>
      <c r="H1109" s="18">
        <f t="shared" si="39"/>
        <v>41983.85</v>
      </c>
      <c r="I1109" s="3"/>
    </row>
    <row r="1110" spans="1:9" s="4" customFormat="1" ht="18" customHeight="1" x14ac:dyDescent="0.55000000000000004">
      <c r="A1110" s="18">
        <v>24.796454799999999</v>
      </c>
      <c r="B1110" s="18">
        <v>34.834974799999998</v>
      </c>
      <c r="C1110" s="18">
        <v>685491.36</v>
      </c>
      <c r="D1110" s="18">
        <v>2743655.81</v>
      </c>
      <c r="E1110" s="18">
        <v>237.28</v>
      </c>
      <c r="F1110" s="18">
        <v>41993.31</v>
      </c>
      <c r="G1110" s="18">
        <v>134700</v>
      </c>
      <c r="H1110" s="18">
        <f t="shared" si="39"/>
        <v>41985.31</v>
      </c>
      <c r="I1110" s="3"/>
    </row>
    <row r="1111" spans="1:9" s="4" customFormat="1" ht="18" customHeight="1" x14ac:dyDescent="0.55000000000000004">
      <c r="A1111" s="18">
        <v>24.7964375</v>
      </c>
      <c r="B1111" s="18">
        <v>34.834949600000002</v>
      </c>
      <c r="C1111" s="18">
        <v>685488.83</v>
      </c>
      <c r="D1111" s="18">
        <v>2743653.86</v>
      </c>
      <c r="E1111" s="18">
        <v>237.3</v>
      </c>
      <c r="F1111" s="18">
        <v>41996.86</v>
      </c>
      <c r="G1111" s="18">
        <v>134702</v>
      </c>
      <c r="H1111" s="18">
        <f t="shared" si="39"/>
        <v>41988.86</v>
      </c>
      <c r="I1111" s="3"/>
    </row>
    <row r="1112" spans="1:9" s="4" customFormat="1" ht="18" customHeight="1" x14ac:dyDescent="0.55000000000000004">
      <c r="A1112" s="18">
        <v>24.7964211</v>
      </c>
      <c r="B1112" s="18">
        <v>34.834922499999998</v>
      </c>
      <c r="C1112" s="18">
        <v>685486.12</v>
      </c>
      <c r="D1112" s="18">
        <v>2743652</v>
      </c>
      <c r="E1112" s="18">
        <v>237.35</v>
      </c>
      <c r="F1112" s="18">
        <v>41997.93</v>
      </c>
      <c r="G1112" s="18">
        <v>134704</v>
      </c>
      <c r="H1112" s="18">
        <f t="shared" si="39"/>
        <v>41989.93</v>
      </c>
      <c r="I1112" s="3"/>
    </row>
    <row r="1113" spans="1:9" s="4" customFormat="1" ht="18" customHeight="1" x14ac:dyDescent="0.55000000000000004">
      <c r="A1113" s="18">
        <v>24.796404800000001</v>
      </c>
      <c r="B1113" s="18">
        <v>34.834896999999998</v>
      </c>
      <c r="C1113" s="18">
        <v>685483.57</v>
      </c>
      <c r="D1113" s="18">
        <v>2743650.16</v>
      </c>
      <c r="E1113" s="18">
        <v>237.4</v>
      </c>
      <c r="F1113" s="18">
        <v>41997.34</v>
      </c>
      <c r="G1113" s="18">
        <v>134706</v>
      </c>
      <c r="H1113" s="18">
        <f t="shared" si="39"/>
        <v>41989.34</v>
      </c>
      <c r="I1113" s="3"/>
    </row>
    <row r="1114" spans="1:9" s="4" customFormat="1" ht="18" customHeight="1" x14ac:dyDescent="0.55000000000000004">
      <c r="A1114" s="18">
        <v>24.796383599999999</v>
      </c>
      <c r="B1114" s="18">
        <v>34.834876399999999</v>
      </c>
      <c r="C1114" s="18">
        <v>685481.51</v>
      </c>
      <c r="D1114" s="18">
        <v>2743647.79</v>
      </c>
      <c r="E1114" s="18">
        <v>237.44</v>
      </c>
      <c r="F1114" s="18">
        <v>41998.76</v>
      </c>
      <c r="G1114" s="18">
        <v>134708</v>
      </c>
      <c r="H1114" s="18">
        <f t="shared" si="39"/>
        <v>41990.76</v>
      </c>
      <c r="I1114" s="3"/>
    </row>
    <row r="1115" spans="1:9" s="4" customFormat="1" ht="18" customHeight="1" x14ac:dyDescent="0.55000000000000004">
      <c r="A1115" s="18">
        <v>24.796365300000001</v>
      </c>
      <c r="B1115" s="18">
        <v>34.834852099999999</v>
      </c>
      <c r="C1115" s="18">
        <v>685479.08</v>
      </c>
      <c r="D1115" s="18">
        <v>2743645.72</v>
      </c>
      <c r="E1115" s="18">
        <v>237.49</v>
      </c>
      <c r="F1115" s="18">
        <v>42003.56</v>
      </c>
      <c r="G1115" s="18">
        <v>134710</v>
      </c>
      <c r="H1115" s="18">
        <f t="shared" si="39"/>
        <v>41995.56</v>
      </c>
      <c r="I1115" s="3"/>
    </row>
    <row r="1116" spans="1:9" s="4" customFormat="1" ht="18" customHeight="1" x14ac:dyDescent="0.55000000000000004">
      <c r="A1116" s="18">
        <v>24.796347600000001</v>
      </c>
      <c r="B1116" s="18">
        <v>34.834826700000001</v>
      </c>
      <c r="C1116" s="18">
        <v>685476.54</v>
      </c>
      <c r="D1116" s="18">
        <v>2743643.73</v>
      </c>
      <c r="E1116" s="18">
        <v>237.51</v>
      </c>
      <c r="F1116" s="18">
        <v>42001.4</v>
      </c>
      <c r="G1116" s="18">
        <v>134712</v>
      </c>
      <c r="H1116" s="18">
        <f t="shared" si="39"/>
        <v>41993.4</v>
      </c>
      <c r="I1116" s="3"/>
    </row>
    <row r="1117" spans="1:9" s="4" customFormat="1" ht="18" customHeight="1" x14ac:dyDescent="0.55000000000000004">
      <c r="A1117" s="18">
        <v>24.796334000000002</v>
      </c>
      <c r="B1117" s="18">
        <v>34.8348005</v>
      </c>
      <c r="C1117" s="18">
        <v>685473.91</v>
      </c>
      <c r="D1117" s="18">
        <v>2743642.18</v>
      </c>
      <c r="E1117" s="18">
        <v>237.55</v>
      </c>
      <c r="F1117" s="18">
        <v>42003.03</v>
      </c>
      <c r="G1117" s="18">
        <v>134714</v>
      </c>
      <c r="H1117" s="18">
        <f t="shared" si="39"/>
        <v>41995.03</v>
      </c>
      <c r="I1117" s="3"/>
    </row>
    <row r="1118" spans="1:9" s="4" customFormat="1" ht="18" customHeight="1" x14ac:dyDescent="0.55000000000000004">
      <c r="A1118" s="18">
        <v>24.796316900000001</v>
      </c>
      <c r="B1118" s="18">
        <v>34.834775100000002</v>
      </c>
      <c r="C1118" s="18">
        <v>685471.37</v>
      </c>
      <c r="D1118" s="18">
        <v>2743640.26</v>
      </c>
      <c r="E1118" s="18">
        <v>237.59</v>
      </c>
      <c r="F1118" s="18">
        <v>42004.5</v>
      </c>
      <c r="G1118" s="18">
        <v>134716</v>
      </c>
      <c r="H1118" s="18">
        <f t="shared" si="39"/>
        <v>41996.5</v>
      </c>
      <c r="I1118" s="3"/>
    </row>
    <row r="1119" spans="1:9" s="4" customFormat="1" ht="18" customHeight="1" x14ac:dyDescent="0.55000000000000004">
      <c r="A1119" s="18">
        <v>24.796296900000002</v>
      </c>
      <c r="B1119" s="18">
        <v>34.8347531</v>
      </c>
      <c r="C1119" s="18">
        <v>685469.18</v>
      </c>
      <c r="D1119" s="18">
        <v>2743638.01</v>
      </c>
      <c r="E1119" s="18">
        <v>237.51</v>
      </c>
      <c r="F1119" s="18">
        <v>42005.52</v>
      </c>
      <c r="G1119" s="18">
        <v>134718</v>
      </c>
      <c r="H1119" s="18">
        <f t="shared" si="39"/>
        <v>41997.52</v>
      </c>
      <c r="I1119" s="3"/>
    </row>
    <row r="1120" spans="1:9" s="4" customFormat="1" ht="18" customHeight="1" x14ac:dyDescent="0.55000000000000004">
      <c r="A1120" s="18">
        <v>24.796277199999999</v>
      </c>
      <c r="B1120" s="18">
        <v>34.834729400000001</v>
      </c>
      <c r="C1120" s="18">
        <v>685466.81</v>
      </c>
      <c r="D1120" s="18">
        <v>2743635.8</v>
      </c>
      <c r="E1120" s="18">
        <v>237.45</v>
      </c>
      <c r="F1120" s="18">
        <v>42006.6</v>
      </c>
      <c r="G1120" s="18">
        <v>134720</v>
      </c>
      <c r="H1120" s="18">
        <f t="shared" si="39"/>
        <v>41998.6</v>
      </c>
      <c r="I1120" s="3"/>
    </row>
    <row r="1121" spans="1:9" s="4" customFormat="1" ht="18" customHeight="1" x14ac:dyDescent="0.55000000000000004">
      <c r="A1121" s="18">
        <v>24.796256799999998</v>
      </c>
      <c r="B1121" s="18">
        <v>34.834705300000003</v>
      </c>
      <c r="C1121" s="18">
        <v>685464.4</v>
      </c>
      <c r="D1121" s="18">
        <v>2743633.51</v>
      </c>
      <c r="E1121" s="18">
        <v>237.42</v>
      </c>
      <c r="F1121" s="18">
        <v>42002.45</v>
      </c>
      <c r="G1121" s="18">
        <v>134722</v>
      </c>
      <c r="H1121" s="18">
        <f t="shared" si="39"/>
        <v>41994.45</v>
      </c>
      <c r="I1121" s="3"/>
    </row>
    <row r="1122" spans="1:9" s="4" customFormat="1" ht="18" customHeight="1" x14ac:dyDescent="0.55000000000000004">
      <c r="A1122" s="18">
        <v>24.796237699999999</v>
      </c>
      <c r="B1122" s="18">
        <v>34.834682399999998</v>
      </c>
      <c r="C1122" s="18">
        <v>685462.11</v>
      </c>
      <c r="D1122" s="18">
        <v>2743631.36</v>
      </c>
      <c r="E1122" s="18">
        <v>237.4</v>
      </c>
      <c r="F1122" s="18">
        <v>42008.39</v>
      </c>
      <c r="G1122" s="18">
        <v>134724</v>
      </c>
      <c r="H1122" s="18">
        <f t="shared" si="39"/>
        <v>42000.39</v>
      </c>
      <c r="I1122" s="3"/>
    </row>
    <row r="1123" spans="1:9" s="4" customFormat="1" ht="18" customHeight="1" x14ac:dyDescent="0.55000000000000004">
      <c r="A1123" s="18">
        <v>24.796219000000001</v>
      </c>
      <c r="B1123" s="18">
        <v>34.834660999999997</v>
      </c>
      <c r="C1123" s="18">
        <v>685459.99</v>
      </c>
      <c r="D1123" s="18">
        <v>2743629.26</v>
      </c>
      <c r="E1123" s="18">
        <v>237.4</v>
      </c>
      <c r="F1123" s="18">
        <v>42008.08</v>
      </c>
      <c r="G1123" s="18">
        <v>134726</v>
      </c>
      <c r="H1123" s="18">
        <f t="shared" si="39"/>
        <v>42000.08</v>
      </c>
      <c r="I1123" s="3"/>
    </row>
    <row r="1124" spans="1:9" s="4" customFormat="1" ht="18" customHeight="1" x14ac:dyDescent="0.55000000000000004">
      <c r="A1124" s="18">
        <v>24.7962013</v>
      </c>
      <c r="B1124" s="18">
        <v>34.834640399999998</v>
      </c>
      <c r="C1124" s="18">
        <v>685457.92000000004</v>
      </c>
      <c r="D1124" s="18">
        <v>2743627.28</v>
      </c>
      <c r="E1124" s="18">
        <v>237.47</v>
      </c>
      <c r="F1124" s="18">
        <v>42007.73</v>
      </c>
      <c r="G1124" s="18">
        <v>134728</v>
      </c>
      <c r="H1124" s="18">
        <f t="shared" si="39"/>
        <v>41999.73</v>
      </c>
      <c r="I1124" s="3"/>
    </row>
    <row r="1125" spans="1:9" s="4" customFormat="1" ht="18" customHeight="1" x14ac:dyDescent="0.55000000000000004">
      <c r="A1125" s="18">
        <v>24.796189399999999</v>
      </c>
      <c r="B1125" s="18">
        <v>34.834612</v>
      </c>
      <c r="C1125" s="18">
        <v>685455.07</v>
      </c>
      <c r="D1125" s="18">
        <v>2743625.91</v>
      </c>
      <c r="E1125" s="18">
        <v>237.49</v>
      </c>
      <c r="F1125" s="18">
        <v>42007.18</v>
      </c>
      <c r="G1125" s="18">
        <v>134730</v>
      </c>
      <c r="H1125" s="18">
        <f t="shared" si="39"/>
        <v>41999.18</v>
      </c>
      <c r="I1125" s="3"/>
    </row>
    <row r="1126" spans="1:9" s="4" customFormat="1" ht="18" customHeight="1" x14ac:dyDescent="0.55000000000000004">
      <c r="A1126" s="18">
        <v>24.7961776</v>
      </c>
      <c r="B1126" s="18">
        <v>34.834583700000003</v>
      </c>
      <c r="C1126" s="18">
        <v>685452.23</v>
      </c>
      <c r="D1126" s="18">
        <v>2743624.57</v>
      </c>
      <c r="E1126" s="18">
        <v>237.54</v>
      </c>
      <c r="F1126" s="18">
        <v>42008.18</v>
      </c>
      <c r="G1126" s="18">
        <v>134732</v>
      </c>
      <c r="H1126" s="18">
        <f t="shared" si="39"/>
        <v>42000.18</v>
      </c>
      <c r="I1126" s="3"/>
    </row>
    <row r="1127" spans="1:9" s="4" customFormat="1" ht="18" customHeight="1" x14ac:dyDescent="0.55000000000000004">
      <c r="A1127" s="18">
        <v>24.796164000000001</v>
      </c>
      <c r="B1127" s="18">
        <v>34.834557400000001</v>
      </c>
      <c r="C1127" s="18">
        <v>685449.59</v>
      </c>
      <c r="D1127" s="18">
        <v>2743623.03</v>
      </c>
      <c r="E1127" s="18">
        <v>237.53</v>
      </c>
      <c r="F1127" s="18">
        <v>42006.71</v>
      </c>
      <c r="G1127" s="18">
        <v>134734</v>
      </c>
      <c r="H1127" s="18">
        <f t="shared" si="39"/>
        <v>41998.71</v>
      </c>
      <c r="I1127" s="3"/>
    </row>
    <row r="1128" spans="1:9" s="4" customFormat="1" ht="18" customHeight="1" x14ac:dyDescent="0.55000000000000004">
      <c r="A1128" s="18">
        <v>24.7961457</v>
      </c>
      <c r="B1128" s="18">
        <v>34.8345336</v>
      </c>
      <c r="C1128" s="18">
        <v>685447.21</v>
      </c>
      <c r="D1128" s="18">
        <v>2743620.97</v>
      </c>
      <c r="E1128" s="18">
        <v>237.51</v>
      </c>
      <c r="F1128" s="18">
        <v>42008.02</v>
      </c>
      <c r="G1128" s="18">
        <v>134736</v>
      </c>
      <c r="H1128" s="18">
        <f t="shared" si="39"/>
        <v>42000.02</v>
      </c>
      <c r="I1128" s="3"/>
    </row>
    <row r="1129" spans="1:9" s="4" customFormat="1" ht="18" customHeight="1" x14ac:dyDescent="0.55000000000000004">
      <c r="A1129" s="18">
        <v>24.796123900000001</v>
      </c>
      <c r="B1129" s="18">
        <v>34.834516000000001</v>
      </c>
      <c r="C1129" s="18">
        <v>685445.46</v>
      </c>
      <c r="D1129" s="18">
        <v>2743618.53</v>
      </c>
      <c r="E1129" s="18">
        <v>237.55</v>
      </c>
      <c r="F1129" s="18">
        <v>42012.57</v>
      </c>
      <c r="G1129" s="18">
        <v>134738</v>
      </c>
      <c r="H1129" s="18">
        <f t="shared" si="39"/>
        <v>42004.57</v>
      </c>
      <c r="I1129" s="3"/>
    </row>
    <row r="1130" spans="1:9" s="4" customFormat="1" ht="18" customHeight="1" x14ac:dyDescent="0.55000000000000004">
      <c r="A1130" s="18">
        <v>24.796106200000001</v>
      </c>
      <c r="B1130" s="18">
        <v>34.8344922</v>
      </c>
      <c r="C1130" s="18">
        <v>685443.08</v>
      </c>
      <c r="D1130" s="18">
        <v>2743616.54</v>
      </c>
      <c r="E1130" s="18">
        <v>237.64</v>
      </c>
      <c r="F1130" s="18">
        <v>42006.43</v>
      </c>
      <c r="G1130" s="18">
        <v>134740</v>
      </c>
      <c r="H1130" s="18">
        <f t="shared" si="39"/>
        <v>41998.43</v>
      </c>
      <c r="I1130" s="3"/>
    </row>
    <row r="1131" spans="1:9" s="4" customFormat="1" ht="18" customHeight="1" x14ac:dyDescent="0.55000000000000004">
      <c r="A1131" s="18">
        <v>24.796088000000001</v>
      </c>
      <c r="B1131" s="18">
        <v>34.834468600000001</v>
      </c>
      <c r="C1131" s="18">
        <v>685440.73</v>
      </c>
      <c r="D1131" s="18">
        <v>2743614.49</v>
      </c>
      <c r="E1131" s="18">
        <v>237.69</v>
      </c>
      <c r="F1131" s="18">
        <v>42009.11</v>
      </c>
      <c r="G1131" s="18">
        <v>134742</v>
      </c>
      <c r="H1131" s="18">
        <f t="shared" si="39"/>
        <v>42001.11</v>
      </c>
      <c r="I1131" s="3"/>
    </row>
    <row r="1132" spans="1:9" s="4" customFormat="1" ht="18" customHeight="1" x14ac:dyDescent="0.55000000000000004">
      <c r="A1132" s="18">
        <v>24.796071300000001</v>
      </c>
      <c r="B1132" s="18">
        <v>34.8344442</v>
      </c>
      <c r="C1132" s="18">
        <v>685438.29</v>
      </c>
      <c r="D1132" s="18">
        <v>2743612.61</v>
      </c>
      <c r="E1132" s="18">
        <v>237.77</v>
      </c>
      <c r="F1132" s="18">
        <v>42008.26</v>
      </c>
      <c r="G1132" s="18">
        <v>134744</v>
      </c>
      <c r="H1132" s="18">
        <f t="shared" si="39"/>
        <v>42000.26</v>
      </c>
      <c r="I1132" s="3"/>
    </row>
    <row r="1133" spans="1:9" s="4" customFormat="1" ht="18" customHeight="1" x14ac:dyDescent="0.55000000000000004">
      <c r="A1133" s="18">
        <v>24.796052400000001</v>
      </c>
      <c r="B1133" s="18">
        <v>34.834420999999999</v>
      </c>
      <c r="C1133" s="18">
        <v>685435.96</v>
      </c>
      <c r="D1133" s="18">
        <v>2743610.48</v>
      </c>
      <c r="E1133" s="18">
        <v>237.76</v>
      </c>
      <c r="F1133" s="18">
        <v>42008.93</v>
      </c>
      <c r="G1133" s="18">
        <v>134746</v>
      </c>
      <c r="H1133" s="18">
        <f t="shared" si="39"/>
        <v>42000.93</v>
      </c>
      <c r="I1133" s="3"/>
    </row>
    <row r="1134" spans="1:9" s="4" customFormat="1" ht="18" customHeight="1" x14ac:dyDescent="0.55000000000000004">
      <c r="A1134" s="18">
        <v>24.7960311</v>
      </c>
      <c r="B1134" s="18">
        <v>34.834398</v>
      </c>
      <c r="C1134" s="18">
        <v>685433.68</v>
      </c>
      <c r="D1134" s="18">
        <v>2743608.09</v>
      </c>
      <c r="E1134" s="18">
        <v>237.71</v>
      </c>
      <c r="F1134" s="18">
        <v>42008.03</v>
      </c>
      <c r="G1134" s="18">
        <v>134748</v>
      </c>
      <c r="H1134" s="18">
        <f t="shared" si="39"/>
        <v>42000.03</v>
      </c>
      <c r="I1134" s="3"/>
    </row>
    <row r="1135" spans="1:9" s="4" customFormat="1" ht="18" customHeight="1" x14ac:dyDescent="0.55000000000000004">
      <c r="A1135" s="18">
        <v>24.796010800000001</v>
      </c>
      <c r="B1135" s="18">
        <v>34.834373800000002</v>
      </c>
      <c r="C1135" s="18">
        <v>685431.25</v>
      </c>
      <c r="D1135" s="18">
        <v>2743605.81</v>
      </c>
      <c r="E1135" s="18">
        <v>237.65</v>
      </c>
      <c r="F1135" s="18">
        <v>42007.94</v>
      </c>
      <c r="G1135" s="18">
        <v>134750</v>
      </c>
      <c r="H1135" s="18">
        <f t="shared" si="39"/>
        <v>41999.94</v>
      </c>
      <c r="I1135" s="3"/>
    </row>
    <row r="1136" spans="1:9" s="4" customFormat="1" ht="18" customHeight="1" x14ac:dyDescent="0.55000000000000004">
      <c r="A1136" s="18">
        <v>24.795990400000001</v>
      </c>
      <c r="B1136" s="18">
        <v>34.834349199999998</v>
      </c>
      <c r="C1136" s="18">
        <v>685428.8</v>
      </c>
      <c r="D1136" s="18">
        <v>2743603.52</v>
      </c>
      <c r="E1136" s="18">
        <v>237.69</v>
      </c>
      <c r="F1136" s="18">
        <v>42005.98</v>
      </c>
      <c r="G1136" s="18">
        <v>134752</v>
      </c>
      <c r="H1136" s="18">
        <f t="shared" si="39"/>
        <v>41997.98</v>
      </c>
      <c r="I1136" s="3"/>
    </row>
    <row r="1137" spans="1:9" s="4" customFormat="1" ht="18" customHeight="1" x14ac:dyDescent="0.55000000000000004">
      <c r="A1137" s="18">
        <v>24.795969700000001</v>
      </c>
      <c r="B1137" s="18">
        <v>34.8343244</v>
      </c>
      <c r="C1137" s="18">
        <v>685426.32</v>
      </c>
      <c r="D1137" s="18">
        <v>2743601.19</v>
      </c>
      <c r="E1137" s="18">
        <v>237.78</v>
      </c>
      <c r="F1137" s="18">
        <v>42004.66</v>
      </c>
      <c r="G1137" s="18">
        <v>134754</v>
      </c>
      <c r="H1137" s="18">
        <f t="shared" si="39"/>
        <v>41996.66</v>
      </c>
      <c r="I1137" s="3"/>
    </row>
    <row r="1138" spans="1:9" s="4" customFormat="1" ht="18" customHeight="1" x14ac:dyDescent="0.55000000000000004">
      <c r="A1138" s="18">
        <v>24.795949799999999</v>
      </c>
      <c r="B1138" s="18">
        <v>34.834300800000001</v>
      </c>
      <c r="C1138" s="18">
        <v>685423.96</v>
      </c>
      <c r="D1138" s="18">
        <v>2743598.95</v>
      </c>
      <c r="E1138" s="18">
        <v>237.95</v>
      </c>
      <c r="F1138" s="18">
        <v>42008.35</v>
      </c>
      <c r="G1138" s="18">
        <v>134756</v>
      </c>
      <c r="H1138" s="18">
        <f t="shared" si="39"/>
        <v>42000.35</v>
      </c>
      <c r="I1138" s="3"/>
    </row>
    <row r="1139" spans="1:9" s="4" customFormat="1" ht="18" customHeight="1" x14ac:dyDescent="0.55000000000000004">
      <c r="A1139" s="18">
        <v>24.795930599999998</v>
      </c>
      <c r="B1139" s="18">
        <v>34.834276799999998</v>
      </c>
      <c r="C1139" s="18">
        <v>685421.56</v>
      </c>
      <c r="D1139" s="18">
        <v>2743596.8</v>
      </c>
      <c r="E1139" s="18">
        <v>237.99</v>
      </c>
      <c r="F1139" s="18">
        <v>42008.17</v>
      </c>
      <c r="G1139" s="18">
        <v>134758</v>
      </c>
      <c r="H1139" s="18">
        <f t="shared" si="39"/>
        <v>42000.17</v>
      </c>
      <c r="I1139" s="3"/>
    </row>
    <row r="1140" spans="1:9" s="4" customFormat="1" ht="18" customHeight="1" x14ac:dyDescent="0.55000000000000004">
      <c r="A1140" s="18">
        <v>24.795909699999999</v>
      </c>
      <c r="B1140" s="18">
        <v>34.834254199999997</v>
      </c>
      <c r="C1140" s="18">
        <v>685419.31</v>
      </c>
      <c r="D1140" s="18">
        <v>2743594.45</v>
      </c>
      <c r="E1140" s="18">
        <v>238.05</v>
      </c>
      <c r="F1140" s="18">
        <v>42007.63</v>
      </c>
      <c r="G1140" s="18">
        <v>134800</v>
      </c>
      <c r="H1140" s="18">
        <f t="shared" si="39"/>
        <v>41999.63</v>
      </c>
      <c r="I1140" s="3"/>
    </row>
    <row r="1141" spans="1:9" s="4" customFormat="1" ht="18" customHeight="1" x14ac:dyDescent="0.55000000000000004">
      <c r="A1141" s="18">
        <v>24.795888000000001</v>
      </c>
      <c r="B1141" s="18">
        <v>34.834232299999996</v>
      </c>
      <c r="C1141" s="18">
        <v>685417.13</v>
      </c>
      <c r="D1141" s="18">
        <v>2743592.02</v>
      </c>
      <c r="E1141" s="18">
        <v>238.11</v>
      </c>
      <c r="F1141" s="18">
        <v>42009.33</v>
      </c>
      <c r="G1141" s="18">
        <v>134802</v>
      </c>
      <c r="H1141" s="18">
        <f t="shared" si="39"/>
        <v>42001.33</v>
      </c>
      <c r="I1141" s="3"/>
    </row>
    <row r="1142" spans="1:9" s="4" customFormat="1" ht="18" customHeight="1" x14ac:dyDescent="0.55000000000000004">
      <c r="A1142" s="18">
        <v>24.795865299999999</v>
      </c>
      <c r="B1142" s="18">
        <v>34.834212299999997</v>
      </c>
      <c r="C1142" s="18">
        <v>685415.14</v>
      </c>
      <c r="D1142" s="18">
        <v>2743589.47</v>
      </c>
      <c r="E1142" s="18">
        <v>238.14</v>
      </c>
      <c r="F1142" s="18">
        <v>42007.65</v>
      </c>
      <c r="G1142" s="18">
        <v>134804</v>
      </c>
      <c r="H1142" s="18">
        <f t="shared" si="39"/>
        <v>41999.65</v>
      </c>
      <c r="I1142" s="3"/>
    </row>
    <row r="1143" spans="1:9" s="4" customFormat="1" ht="18" customHeight="1" x14ac:dyDescent="0.55000000000000004">
      <c r="A1143" s="18">
        <v>24.7958441</v>
      </c>
      <c r="B1143" s="18">
        <v>34.834190300000003</v>
      </c>
      <c r="C1143" s="18">
        <v>685412.95</v>
      </c>
      <c r="D1143" s="18">
        <v>2743587.1</v>
      </c>
      <c r="E1143" s="18">
        <v>238.15</v>
      </c>
      <c r="F1143" s="18">
        <v>42011.34</v>
      </c>
      <c r="G1143" s="18">
        <v>134806</v>
      </c>
      <c r="H1143" s="18">
        <f t="shared" ref="H1143:H1206" si="40">SUM(F1143-8)</f>
        <v>42003.34</v>
      </c>
      <c r="I1143" s="3"/>
    </row>
    <row r="1144" spans="1:9" s="4" customFormat="1" ht="18" customHeight="1" x14ac:dyDescent="0.55000000000000004">
      <c r="A1144" s="18">
        <v>24.7958231</v>
      </c>
      <c r="B1144" s="18">
        <v>34.834169299999999</v>
      </c>
      <c r="C1144" s="18">
        <v>685410.86</v>
      </c>
      <c r="D1144" s="18">
        <v>2743584.74</v>
      </c>
      <c r="E1144" s="18">
        <v>238.15</v>
      </c>
      <c r="F1144" s="18">
        <v>42009.04</v>
      </c>
      <c r="G1144" s="18">
        <v>134808</v>
      </c>
      <c r="H1144" s="18">
        <f t="shared" si="40"/>
        <v>42001.04</v>
      </c>
      <c r="I1144" s="3"/>
    </row>
    <row r="1145" spans="1:9" s="4" customFormat="1" ht="18" customHeight="1" x14ac:dyDescent="0.55000000000000004">
      <c r="A1145" s="18">
        <v>24.795802399999999</v>
      </c>
      <c r="B1145" s="18">
        <v>34.834148599999999</v>
      </c>
      <c r="C1145" s="18">
        <v>685408.79</v>
      </c>
      <c r="D1145" s="18">
        <v>2743582.42</v>
      </c>
      <c r="E1145" s="18">
        <v>238.15</v>
      </c>
      <c r="F1145" s="18">
        <v>42006.96</v>
      </c>
      <c r="G1145" s="18">
        <v>134810</v>
      </c>
      <c r="H1145" s="18">
        <f t="shared" si="40"/>
        <v>41998.96</v>
      </c>
      <c r="I1145" s="3"/>
    </row>
    <row r="1146" spans="1:9" s="4" customFormat="1" ht="18" customHeight="1" x14ac:dyDescent="0.55000000000000004">
      <c r="A1146" s="18">
        <v>24.795785299999999</v>
      </c>
      <c r="B1146" s="18">
        <v>34.834122299999997</v>
      </c>
      <c r="C1146" s="18">
        <v>685406.16</v>
      </c>
      <c r="D1146" s="18">
        <v>2743580.5</v>
      </c>
      <c r="E1146" s="18">
        <v>238.16</v>
      </c>
      <c r="F1146" s="18">
        <v>42007.49</v>
      </c>
      <c r="G1146" s="18">
        <v>134812</v>
      </c>
      <c r="H1146" s="18">
        <f t="shared" si="40"/>
        <v>41999.49</v>
      </c>
      <c r="I1146" s="3"/>
    </row>
    <row r="1147" spans="1:9" s="4" customFormat="1" ht="18" customHeight="1" x14ac:dyDescent="0.55000000000000004">
      <c r="A1147" s="18">
        <v>24.795770399999999</v>
      </c>
      <c r="B1147" s="18">
        <v>34.834094299999997</v>
      </c>
      <c r="C1147" s="18">
        <v>685403.35</v>
      </c>
      <c r="D1147" s="18">
        <v>2743578.8</v>
      </c>
      <c r="E1147" s="18">
        <v>238.17</v>
      </c>
      <c r="F1147" s="18">
        <v>42008.41</v>
      </c>
      <c r="G1147" s="18">
        <v>134814</v>
      </c>
      <c r="H1147" s="18">
        <f t="shared" si="40"/>
        <v>42000.41</v>
      </c>
      <c r="I1147" s="3"/>
    </row>
    <row r="1148" spans="1:9" s="4" customFormat="1" ht="18" customHeight="1" x14ac:dyDescent="0.55000000000000004">
      <c r="A1148" s="18">
        <v>24.795756900000001</v>
      </c>
      <c r="B1148" s="18">
        <v>34.834064699999999</v>
      </c>
      <c r="C1148" s="18">
        <v>685400.38</v>
      </c>
      <c r="D1148" s="18">
        <v>2743577.27</v>
      </c>
      <c r="E1148" s="18">
        <v>238.13</v>
      </c>
      <c r="F1148" s="18">
        <v>42006.14</v>
      </c>
      <c r="G1148" s="18">
        <v>134816</v>
      </c>
      <c r="H1148" s="18">
        <f t="shared" si="40"/>
        <v>41998.14</v>
      </c>
      <c r="I1148" s="3"/>
    </row>
    <row r="1149" spans="1:9" s="4" customFormat="1" ht="18" customHeight="1" x14ac:dyDescent="0.55000000000000004">
      <c r="A1149" s="18">
        <v>24.795742499999999</v>
      </c>
      <c r="B1149" s="18">
        <v>34.834036400000002</v>
      </c>
      <c r="C1149" s="18">
        <v>685397.54</v>
      </c>
      <c r="D1149" s="18">
        <v>2743575.64</v>
      </c>
      <c r="E1149" s="18">
        <v>238.16</v>
      </c>
      <c r="F1149" s="18">
        <v>42005.48</v>
      </c>
      <c r="G1149" s="18">
        <v>134818</v>
      </c>
      <c r="H1149" s="18">
        <f t="shared" si="40"/>
        <v>41997.48</v>
      </c>
      <c r="I1149" s="3"/>
    </row>
    <row r="1150" spans="1:9" s="4" customFormat="1" ht="18" customHeight="1" x14ac:dyDescent="0.55000000000000004">
      <c r="A1150" s="18">
        <v>24.795727899999999</v>
      </c>
      <c r="B1150" s="18">
        <v>34.834007999999997</v>
      </c>
      <c r="C1150" s="18">
        <v>685394.69</v>
      </c>
      <c r="D1150" s="18">
        <v>2743573.98</v>
      </c>
      <c r="E1150" s="18">
        <v>238.19</v>
      </c>
      <c r="F1150" s="18">
        <v>42003.4</v>
      </c>
      <c r="G1150" s="18">
        <v>134820</v>
      </c>
      <c r="H1150" s="18">
        <f t="shared" si="40"/>
        <v>41995.4</v>
      </c>
      <c r="I1150" s="3"/>
    </row>
    <row r="1151" spans="1:9" s="4" customFormat="1" ht="18" customHeight="1" x14ac:dyDescent="0.55000000000000004">
      <c r="A1151" s="18">
        <v>24.7957146</v>
      </c>
      <c r="B1151" s="18">
        <v>34.833979900000003</v>
      </c>
      <c r="C1151" s="18">
        <v>685391.86</v>
      </c>
      <c r="D1151" s="18">
        <v>2743572.46</v>
      </c>
      <c r="E1151" s="18">
        <v>238.24</v>
      </c>
      <c r="F1151" s="18">
        <v>42001.69</v>
      </c>
      <c r="G1151" s="18">
        <v>134822</v>
      </c>
      <c r="H1151" s="18">
        <f t="shared" si="40"/>
        <v>41993.69</v>
      </c>
      <c r="I1151" s="3"/>
    </row>
    <row r="1152" spans="1:9" s="4" customFormat="1" ht="18" customHeight="1" x14ac:dyDescent="0.55000000000000004">
      <c r="A1152" s="18">
        <v>24.7957</v>
      </c>
      <c r="B1152" s="18">
        <v>34.8339523</v>
      </c>
      <c r="C1152" s="18">
        <v>685389.09</v>
      </c>
      <c r="D1152" s="18">
        <v>2743570.81</v>
      </c>
      <c r="E1152" s="18">
        <v>238.3</v>
      </c>
      <c r="F1152" s="18">
        <v>42004.26</v>
      </c>
      <c r="G1152" s="18">
        <v>134824</v>
      </c>
      <c r="H1152" s="18">
        <f t="shared" si="40"/>
        <v>41996.26</v>
      </c>
      <c r="I1152" s="3"/>
    </row>
    <row r="1153" spans="1:9" s="4" customFormat="1" ht="18" customHeight="1" x14ac:dyDescent="0.55000000000000004">
      <c r="A1153" s="18">
        <v>24.7956839</v>
      </c>
      <c r="B1153" s="18">
        <v>34.833925899999997</v>
      </c>
      <c r="C1153" s="18">
        <v>685386.45</v>
      </c>
      <c r="D1153" s="18">
        <v>2743568.99</v>
      </c>
      <c r="E1153" s="18">
        <v>238.33</v>
      </c>
      <c r="F1153" s="18">
        <v>42004.57</v>
      </c>
      <c r="G1153" s="18">
        <v>134826</v>
      </c>
      <c r="H1153" s="18">
        <f t="shared" si="40"/>
        <v>41996.57</v>
      </c>
      <c r="I1153" s="3"/>
    </row>
    <row r="1154" spans="1:9" s="4" customFormat="1" ht="18" customHeight="1" x14ac:dyDescent="0.55000000000000004">
      <c r="A1154" s="18">
        <v>24.795664899999998</v>
      </c>
      <c r="B1154" s="18">
        <v>34.833902399999999</v>
      </c>
      <c r="C1154" s="18">
        <v>685384.11</v>
      </c>
      <c r="D1154" s="18">
        <v>2743566.86</v>
      </c>
      <c r="E1154" s="18">
        <v>238.37</v>
      </c>
      <c r="F1154" s="18">
        <v>42001.47</v>
      </c>
      <c r="G1154" s="18">
        <v>134828</v>
      </c>
      <c r="H1154" s="18">
        <f t="shared" si="40"/>
        <v>41993.47</v>
      </c>
      <c r="I1154" s="3"/>
    </row>
    <row r="1155" spans="1:9" s="4" customFormat="1" ht="18" customHeight="1" x14ac:dyDescent="0.55000000000000004">
      <c r="A1155" s="18">
        <v>24.795647200000001</v>
      </c>
      <c r="B1155" s="18">
        <v>34.833877100000002</v>
      </c>
      <c r="C1155" s="18">
        <v>685381.57</v>
      </c>
      <c r="D1155" s="18">
        <v>2743564.86</v>
      </c>
      <c r="E1155" s="18">
        <v>238.42</v>
      </c>
      <c r="F1155" s="18">
        <v>42001.85</v>
      </c>
      <c r="G1155" s="18">
        <v>134830</v>
      </c>
      <c r="H1155" s="18">
        <f t="shared" si="40"/>
        <v>41993.85</v>
      </c>
      <c r="I1155" s="3"/>
    </row>
    <row r="1156" spans="1:9" s="4" customFormat="1" ht="18" customHeight="1" x14ac:dyDescent="0.55000000000000004">
      <c r="A1156" s="18">
        <v>24.795632900000001</v>
      </c>
      <c r="B1156" s="18">
        <v>34.833849999999998</v>
      </c>
      <c r="C1156" s="18">
        <v>685378.85</v>
      </c>
      <c r="D1156" s="18">
        <v>2743563.24</v>
      </c>
      <c r="E1156" s="18">
        <v>238.46</v>
      </c>
      <c r="F1156" s="18">
        <v>42002.25</v>
      </c>
      <c r="G1156" s="18">
        <v>134832</v>
      </c>
      <c r="H1156" s="18">
        <f t="shared" si="40"/>
        <v>41994.25</v>
      </c>
      <c r="I1156" s="3"/>
    </row>
    <row r="1157" spans="1:9" s="4" customFormat="1" ht="18" customHeight="1" x14ac:dyDescent="0.55000000000000004">
      <c r="A1157" s="18">
        <v>24.795617700000001</v>
      </c>
      <c r="B1157" s="18">
        <v>34.833821700000001</v>
      </c>
      <c r="C1157" s="18">
        <v>685376.02</v>
      </c>
      <c r="D1157" s="18">
        <v>2743561.52</v>
      </c>
      <c r="E1157" s="18">
        <v>238.52</v>
      </c>
      <c r="F1157" s="18">
        <v>42000.75</v>
      </c>
      <c r="G1157" s="18">
        <v>134834</v>
      </c>
      <c r="H1157" s="18">
        <f t="shared" si="40"/>
        <v>41992.75</v>
      </c>
      <c r="I1157" s="3"/>
    </row>
    <row r="1158" spans="1:9" s="4" customFormat="1" ht="18" customHeight="1" x14ac:dyDescent="0.55000000000000004">
      <c r="A1158" s="18">
        <v>24.7955991</v>
      </c>
      <c r="B1158" s="18">
        <v>34.833797799999999</v>
      </c>
      <c r="C1158" s="18">
        <v>685373.63</v>
      </c>
      <c r="D1158" s="18">
        <v>2743559.43</v>
      </c>
      <c r="E1158" s="18">
        <v>238.49</v>
      </c>
      <c r="F1158" s="18">
        <v>41999.5</v>
      </c>
      <c r="G1158" s="18">
        <v>134836</v>
      </c>
      <c r="H1158" s="18">
        <f t="shared" si="40"/>
        <v>41991.5</v>
      </c>
      <c r="I1158" s="3"/>
    </row>
    <row r="1159" spans="1:9" s="4" customFormat="1" ht="18" customHeight="1" x14ac:dyDescent="0.55000000000000004">
      <c r="A1159" s="18">
        <v>24.795579400000001</v>
      </c>
      <c r="B1159" s="18">
        <v>34.833773899999997</v>
      </c>
      <c r="C1159" s="18">
        <v>685371.24</v>
      </c>
      <c r="D1159" s="18">
        <v>2743557.21</v>
      </c>
      <c r="E1159" s="18">
        <v>238.52</v>
      </c>
      <c r="F1159" s="18">
        <v>41999.45</v>
      </c>
      <c r="G1159" s="18">
        <v>134838</v>
      </c>
      <c r="H1159" s="18">
        <f t="shared" si="40"/>
        <v>41991.45</v>
      </c>
      <c r="I1159" s="3"/>
    </row>
    <row r="1160" spans="1:9" s="4" customFormat="1" ht="18" customHeight="1" x14ac:dyDescent="0.55000000000000004">
      <c r="A1160" s="18">
        <v>24.7955647</v>
      </c>
      <c r="B1160" s="18">
        <v>34.833746699999999</v>
      </c>
      <c r="C1160" s="18">
        <v>685368.51</v>
      </c>
      <c r="D1160" s="18">
        <v>2743555.54</v>
      </c>
      <c r="E1160" s="18">
        <v>238.54</v>
      </c>
      <c r="F1160" s="18">
        <v>41996.22</v>
      </c>
      <c r="G1160" s="18">
        <v>134840</v>
      </c>
      <c r="H1160" s="18">
        <f t="shared" si="40"/>
        <v>41988.22</v>
      </c>
      <c r="I1160" s="3"/>
    </row>
    <row r="1161" spans="1:9" s="4" customFormat="1" ht="18" customHeight="1" x14ac:dyDescent="0.55000000000000004">
      <c r="A1161" s="18">
        <v>24.795550299999999</v>
      </c>
      <c r="B1161" s="18">
        <v>34.833719899999998</v>
      </c>
      <c r="C1161" s="18">
        <v>685365.82</v>
      </c>
      <c r="D1161" s="18">
        <v>2743553.92</v>
      </c>
      <c r="E1161" s="18">
        <v>238.57</v>
      </c>
      <c r="F1161" s="18">
        <v>41995.38</v>
      </c>
      <c r="G1161" s="18">
        <v>134842</v>
      </c>
      <c r="H1161" s="18">
        <f t="shared" si="40"/>
        <v>41987.38</v>
      </c>
      <c r="I1161" s="3"/>
    </row>
    <row r="1162" spans="1:9" s="4" customFormat="1" ht="18" customHeight="1" x14ac:dyDescent="0.55000000000000004">
      <c r="A1162" s="18">
        <v>24.795534499999999</v>
      </c>
      <c r="B1162" s="18">
        <v>34.8336939</v>
      </c>
      <c r="C1162" s="18">
        <v>685363.22</v>
      </c>
      <c r="D1162" s="18">
        <v>2743552.13</v>
      </c>
      <c r="E1162" s="18">
        <v>238.57</v>
      </c>
      <c r="F1162" s="18">
        <v>41992.53</v>
      </c>
      <c r="G1162" s="18">
        <v>134844</v>
      </c>
      <c r="H1162" s="18">
        <f t="shared" si="40"/>
        <v>41984.53</v>
      </c>
      <c r="I1162" s="3"/>
    </row>
    <row r="1163" spans="1:9" s="4" customFormat="1" ht="18" customHeight="1" x14ac:dyDescent="0.55000000000000004">
      <c r="A1163" s="18">
        <v>24.795519200000001</v>
      </c>
      <c r="B1163" s="18">
        <v>34.833666899999997</v>
      </c>
      <c r="C1163" s="18">
        <v>685360.51</v>
      </c>
      <c r="D1163" s="18">
        <v>2743550.4</v>
      </c>
      <c r="E1163" s="18">
        <v>238.6</v>
      </c>
      <c r="F1163" s="18">
        <v>41988.78</v>
      </c>
      <c r="G1163" s="18">
        <v>134846</v>
      </c>
      <c r="H1163" s="18">
        <f t="shared" si="40"/>
        <v>41980.78</v>
      </c>
      <c r="I1163" s="3"/>
    </row>
    <row r="1164" spans="1:9" s="4" customFormat="1" ht="18" customHeight="1" x14ac:dyDescent="0.55000000000000004">
      <c r="A1164" s="18">
        <v>24.795503100000001</v>
      </c>
      <c r="B1164" s="18">
        <v>34.833640899999999</v>
      </c>
      <c r="C1164" s="18">
        <v>685357.9</v>
      </c>
      <c r="D1164" s="18">
        <v>2743548.58</v>
      </c>
      <c r="E1164" s="18">
        <v>238.64</v>
      </c>
      <c r="F1164" s="18">
        <v>41982.2</v>
      </c>
      <c r="G1164" s="18">
        <v>134848</v>
      </c>
      <c r="H1164" s="18">
        <f t="shared" si="40"/>
        <v>41974.2</v>
      </c>
      <c r="I1164" s="3"/>
    </row>
    <row r="1165" spans="1:9" s="4" customFormat="1" ht="18" customHeight="1" x14ac:dyDescent="0.55000000000000004">
      <c r="A1165" s="18">
        <v>24.795486799999999</v>
      </c>
      <c r="B1165" s="18">
        <v>34.833615399999999</v>
      </c>
      <c r="C1165" s="18">
        <v>685355.35</v>
      </c>
      <c r="D1165" s="18">
        <v>2743546.75</v>
      </c>
      <c r="E1165" s="18">
        <v>238.68</v>
      </c>
      <c r="F1165" s="18">
        <v>41985.65</v>
      </c>
      <c r="G1165" s="18">
        <v>134850</v>
      </c>
      <c r="H1165" s="18">
        <f t="shared" si="40"/>
        <v>41977.65</v>
      </c>
      <c r="I1165" s="3"/>
    </row>
    <row r="1166" spans="1:9" s="4" customFormat="1" ht="18" customHeight="1" x14ac:dyDescent="0.55000000000000004">
      <c r="A1166" s="18">
        <v>24.795472799999999</v>
      </c>
      <c r="B1166" s="18">
        <v>34.833588499999998</v>
      </c>
      <c r="C1166" s="18">
        <v>685352.65</v>
      </c>
      <c r="D1166" s="18">
        <v>2743545.16</v>
      </c>
      <c r="E1166" s="18">
        <v>238.67</v>
      </c>
      <c r="F1166" s="18">
        <v>41983.97</v>
      </c>
      <c r="G1166" s="18">
        <v>134852</v>
      </c>
      <c r="H1166" s="18">
        <f t="shared" si="40"/>
        <v>41975.97</v>
      </c>
      <c r="I1166" s="3"/>
    </row>
    <row r="1167" spans="1:9" s="4" customFormat="1" ht="18" customHeight="1" x14ac:dyDescent="0.55000000000000004">
      <c r="A1167" s="18">
        <v>24.795457599999999</v>
      </c>
      <c r="B1167" s="18">
        <v>34.8335626</v>
      </c>
      <c r="C1167" s="18">
        <v>685350.05</v>
      </c>
      <c r="D1167" s="18">
        <v>2743543.44</v>
      </c>
      <c r="E1167" s="18">
        <v>238.69</v>
      </c>
      <c r="F1167" s="18">
        <v>41981.62</v>
      </c>
      <c r="G1167" s="18">
        <v>134854</v>
      </c>
      <c r="H1167" s="18">
        <f t="shared" si="40"/>
        <v>41973.62</v>
      </c>
      <c r="I1167" s="3"/>
    </row>
    <row r="1168" spans="1:9" s="4" customFormat="1" ht="18" customHeight="1" x14ac:dyDescent="0.55000000000000004">
      <c r="A1168" s="18">
        <v>24.795439600000002</v>
      </c>
      <c r="B1168" s="18">
        <v>34.833536799999997</v>
      </c>
      <c r="C1168" s="18">
        <v>685347.47</v>
      </c>
      <c r="D1168" s="18">
        <v>2743541.41</v>
      </c>
      <c r="E1168" s="18">
        <v>238.8</v>
      </c>
      <c r="F1168" s="18">
        <v>41978.98</v>
      </c>
      <c r="G1168" s="18">
        <v>134856</v>
      </c>
      <c r="H1168" s="18">
        <f t="shared" si="40"/>
        <v>41970.98</v>
      </c>
      <c r="I1168" s="3"/>
    </row>
    <row r="1169" spans="1:9" s="4" customFormat="1" ht="18" customHeight="1" x14ac:dyDescent="0.55000000000000004">
      <c r="A1169" s="18">
        <v>24.795423400000001</v>
      </c>
      <c r="B1169" s="18">
        <v>34.833510799999999</v>
      </c>
      <c r="C1169" s="18">
        <v>685344.87</v>
      </c>
      <c r="D1169" s="18">
        <v>2743539.57</v>
      </c>
      <c r="E1169" s="18">
        <v>238.93</v>
      </c>
      <c r="F1169" s="18">
        <v>41979.49</v>
      </c>
      <c r="G1169" s="18">
        <v>134858</v>
      </c>
      <c r="H1169" s="18">
        <f t="shared" si="40"/>
        <v>41971.49</v>
      </c>
      <c r="I1169" s="3"/>
    </row>
    <row r="1170" spans="1:9" s="4" customFormat="1" ht="18" customHeight="1" x14ac:dyDescent="0.55000000000000004">
      <c r="A1170" s="18">
        <v>24.7954094</v>
      </c>
      <c r="B1170" s="18">
        <v>34.833483899999997</v>
      </c>
      <c r="C1170" s="18">
        <v>685342.18</v>
      </c>
      <c r="D1170" s="18">
        <v>2743537.99</v>
      </c>
      <c r="E1170" s="18">
        <v>239.01</v>
      </c>
      <c r="F1170" s="18">
        <v>41979.19</v>
      </c>
      <c r="G1170" s="18">
        <v>134900</v>
      </c>
      <c r="H1170" s="18">
        <f t="shared" si="40"/>
        <v>41971.19</v>
      </c>
      <c r="I1170" s="3"/>
    </row>
    <row r="1171" spans="1:9" s="4" customFormat="1" ht="18" customHeight="1" x14ac:dyDescent="0.55000000000000004">
      <c r="A1171" s="18">
        <v>24.7953945</v>
      </c>
      <c r="B1171" s="18">
        <v>34.833457299999999</v>
      </c>
      <c r="C1171" s="18">
        <v>685339.5</v>
      </c>
      <c r="D1171" s="18">
        <v>2743536.31</v>
      </c>
      <c r="E1171" s="18">
        <v>239.08</v>
      </c>
      <c r="F1171" s="18">
        <v>41978.71</v>
      </c>
      <c r="G1171" s="18">
        <v>134902</v>
      </c>
      <c r="H1171" s="18">
        <f t="shared" si="40"/>
        <v>41970.71</v>
      </c>
      <c r="I1171" s="3"/>
    </row>
    <row r="1172" spans="1:9" s="4" customFormat="1" ht="18" customHeight="1" x14ac:dyDescent="0.55000000000000004">
      <c r="A1172" s="18">
        <v>24.795379799999999</v>
      </c>
      <c r="B1172" s="18">
        <v>34.833430700000001</v>
      </c>
      <c r="C1172" s="18">
        <v>685336.83</v>
      </c>
      <c r="D1172" s="18">
        <v>2743534.63</v>
      </c>
      <c r="E1172" s="18">
        <v>239.13</v>
      </c>
      <c r="F1172" s="18">
        <v>41977.58</v>
      </c>
      <c r="G1172" s="18">
        <v>134904</v>
      </c>
      <c r="H1172" s="18">
        <f t="shared" si="40"/>
        <v>41969.58</v>
      </c>
      <c r="I1172" s="3"/>
    </row>
    <row r="1173" spans="1:9" s="4" customFormat="1" ht="18" customHeight="1" x14ac:dyDescent="0.55000000000000004">
      <c r="A1173" s="18">
        <v>24.795364200000002</v>
      </c>
      <c r="B1173" s="18">
        <v>34.833403500000003</v>
      </c>
      <c r="C1173" s="18">
        <v>685334.11</v>
      </c>
      <c r="D1173" s="18">
        <v>2743532.87</v>
      </c>
      <c r="E1173" s="18">
        <v>239.19</v>
      </c>
      <c r="F1173" s="18">
        <v>41977.39</v>
      </c>
      <c r="G1173" s="18">
        <v>134906</v>
      </c>
      <c r="H1173" s="18">
        <f t="shared" si="40"/>
        <v>41969.39</v>
      </c>
      <c r="I1173" s="3"/>
    </row>
    <row r="1174" spans="1:9" s="4" customFormat="1" ht="18" customHeight="1" x14ac:dyDescent="0.55000000000000004">
      <c r="A1174" s="18">
        <v>24.795351400000001</v>
      </c>
      <c r="B1174" s="18">
        <v>34.8333753</v>
      </c>
      <c r="C1174" s="18">
        <v>685331.28</v>
      </c>
      <c r="D1174" s="18">
        <v>2743531.41</v>
      </c>
      <c r="E1174" s="18">
        <v>239.23</v>
      </c>
      <c r="F1174" s="18">
        <v>41979.06</v>
      </c>
      <c r="G1174" s="18">
        <v>134908</v>
      </c>
      <c r="H1174" s="18">
        <f t="shared" si="40"/>
        <v>41971.06</v>
      </c>
      <c r="I1174" s="3"/>
    </row>
    <row r="1175" spans="1:9" s="4" customFormat="1" ht="18" customHeight="1" x14ac:dyDescent="0.55000000000000004">
      <c r="A1175" s="18">
        <v>24.795338999999998</v>
      </c>
      <c r="B1175" s="18">
        <v>34.833346400000003</v>
      </c>
      <c r="C1175" s="18">
        <v>685328.37</v>
      </c>
      <c r="D1175" s="18">
        <v>2743530</v>
      </c>
      <c r="E1175" s="18">
        <v>239.27</v>
      </c>
      <c r="F1175" s="18">
        <v>41979.02</v>
      </c>
      <c r="G1175" s="18">
        <v>134910</v>
      </c>
      <c r="H1175" s="18">
        <f t="shared" si="40"/>
        <v>41971.02</v>
      </c>
      <c r="I1175" s="3"/>
    </row>
    <row r="1176" spans="1:9" s="4" customFormat="1" ht="18" customHeight="1" x14ac:dyDescent="0.55000000000000004">
      <c r="A1176" s="18">
        <v>24.795326500000002</v>
      </c>
      <c r="B1176" s="18">
        <v>34.833318400000003</v>
      </c>
      <c r="C1176" s="18">
        <v>685325.56</v>
      </c>
      <c r="D1176" s="18">
        <v>2743528.59</v>
      </c>
      <c r="E1176" s="18">
        <v>239.31</v>
      </c>
      <c r="F1176" s="18">
        <v>41979.33</v>
      </c>
      <c r="G1176" s="18">
        <v>134912</v>
      </c>
      <c r="H1176" s="18">
        <f t="shared" si="40"/>
        <v>41971.33</v>
      </c>
      <c r="I1176" s="3"/>
    </row>
    <row r="1177" spans="1:9" s="4" customFormat="1" ht="18" customHeight="1" x14ac:dyDescent="0.55000000000000004">
      <c r="A1177" s="18">
        <v>24.795314399999999</v>
      </c>
      <c r="B1177" s="18">
        <v>34.833289700000002</v>
      </c>
      <c r="C1177" s="18">
        <v>685322.68</v>
      </c>
      <c r="D1177" s="18">
        <v>2743527.2</v>
      </c>
      <c r="E1177" s="18">
        <v>239.34</v>
      </c>
      <c r="F1177" s="18">
        <v>41980.97</v>
      </c>
      <c r="G1177" s="18">
        <v>134914</v>
      </c>
      <c r="H1177" s="18">
        <f t="shared" si="40"/>
        <v>41972.97</v>
      </c>
      <c r="I1177" s="3"/>
    </row>
    <row r="1178" spans="1:9" s="4" customFormat="1" ht="18" customHeight="1" x14ac:dyDescent="0.55000000000000004">
      <c r="A1178" s="18">
        <v>24.795304399999999</v>
      </c>
      <c r="B1178" s="18">
        <v>34.833260099999997</v>
      </c>
      <c r="C1178" s="18">
        <v>685319.7</v>
      </c>
      <c r="D1178" s="18">
        <v>2743526.06</v>
      </c>
      <c r="E1178" s="18">
        <v>239.38</v>
      </c>
      <c r="F1178" s="18">
        <v>41981.04</v>
      </c>
      <c r="G1178" s="18">
        <v>134916</v>
      </c>
      <c r="H1178" s="18">
        <f t="shared" si="40"/>
        <v>41973.04</v>
      </c>
      <c r="I1178" s="3"/>
    </row>
    <row r="1179" spans="1:9" s="4" customFormat="1" ht="18" customHeight="1" x14ac:dyDescent="0.55000000000000004">
      <c r="A1179" s="18">
        <v>24.795293699999998</v>
      </c>
      <c r="B1179" s="18">
        <v>34.83323</v>
      </c>
      <c r="C1179" s="18">
        <v>685316.67</v>
      </c>
      <c r="D1179" s="18">
        <v>2743524.83</v>
      </c>
      <c r="E1179" s="18">
        <v>239.41</v>
      </c>
      <c r="F1179" s="18">
        <v>41977.63</v>
      </c>
      <c r="G1179" s="18">
        <v>134918</v>
      </c>
      <c r="H1179" s="18">
        <f t="shared" si="40"/>
        <v>41969.63</v>
      </c>
      <c r="I1179" s="3"/>
    </row>
    <row r="1180" spans="1:9" s="4" customFormat="1" ht="18" customHeight="1" x14ac:dyDescent="0.55000000000000004">
      <c r="A1180" s="18">
        <v>24.7952832</v>
      </c>
      <c r="B1180" s="18">
        <v>34.833200499999997</v>
      </c>
      <c r="C1180" s="18">
        <v>685313.71</v>
      </c>
      <c r="D1180" s="18">
        <v>2743523.62</v>
      </c>
      <c r="E1180" s="18">
        <v>239.43</v>
      </c>
      <c r="F1180" s="18">
        <v>41979.68</v>
      </c>
      <c r="G1180" s="18">
        <v>134920</v>
      </c>
      <c r="H1180" s="18">
        <f t="shared" si="40"/>
        <v>41971.68</v>
      </c>
      <c r="I1180" s="3"/>
    </row>
    <row r="1181" spans="1:9" s="4" customFormat="1" ht="18" customHeight="1" x14ac:dyDescent="0.55000000000000004">
      <c r="A1181" s="18">
        <v>24.795273999999999</v>
      </c>
      <c r="B1181" s="18">
        <v>34.833171</v>
      </c>
      <c r="C1181" s="18">
        <v>685310.74</v>
      </c>
      <c r="D1181" s="18">
        <v>2743522.57</v>
      </c>
      <c r="E1181" s="18">
        <v>239.45</v>
      </c>
      <c r="F1181" s="18">
        <v>41982.19</v>
      </c>
      <c r="G1181" s="18">
        <v>134922</v>
      </c>
      <c r="H1181" s="18">
        <f t="shared" si="40"/>
        <v>41974.19</v>
      </c>
      <c r="I1181" s="3"/>
    </row>
    <row r="1182" spans="1:9" s="4" customFormat="1" ht="18" customHeight="1" x14ac:dyDescent="0.55000000000000004">
      <c r="A1182" s="18">
        <v>24.795266600000001</v>
      </c>
      <c r="B1182" s="18">
        <v>34.833140100000001</v>
      </c>
      <c r="C1182" s="18">
        <v>685307.62</v>
      </c>
      <c r="D1182" s="18">
        <v>2743521.71</v>
      </c>
      <c r="E1182" s="18">
        <v>239.47</v>
      </c>
      <c r="F1182" s="18">
        <v>41980.84</v>
      </c>
      <c r="G1182" s="18">
        <v>134924</v>
      </c>
      <c r="H1182" s="18">
        <f t="shared" si="40"/>
        <v>41972.84</v>
      </c>
      <c r="I1182" s="3"/>
    </row>
    <row r="1183" spans="1:9" s="4" customFormat="1" ht="18" customHeight="1" x14ac:dyDescent="0.55000000000000004">
      <c r="A1183" s="18">
        <v>24.795261400000001</v>
      </c>
      <c r="B1183" s="18">
        <v>34.833108699999997</v>
      </c>
      <c r="C1183" s="18">
        <v>685304.46</v>
      </c>
      <c r="D1183" s="18">
        <v>2743521.09</v>
      </c>
      <c r="E1183" s="18">
        <v>239.49</v>
      </c>
      <c r="F1183" s="18">
        <v>41982.239999999998</v>
      </c>
      <c r="G1183" s="18">
        <v>134926</v>
      </c>
      <c r="H1183" s="18">
        <f t="shared" si="40"/>
        <v>41974.239999999998</v>
      </c>
      <c r="I1183" s="3"/>
    </row>
    <row r="1184" spans="1:9" s="4" customFormat="1" ht="18" customHeight="1" x14ac:dyDescent="0.55000000000000004">
      <c r="A1184" s="18">
        <v>24.795257500000002</v>
      </c>
      <c r="B1184" s="18">
        <v>34.833077199999998</v>
      </c>
      <c r="C1184" s="18">
        <v>685301.28</v>
      </c>
      <c r="D1184" s="18">
        <v>2743520.61</v>
      </c>
      <c r="E1184" s="18">
        <v>239.54</v>
      </c>
      <c r="F1184" s="18">
        <v>41983.12</v>
      </c>
      <c r="G1184" s="18">
        <v>134928</v>
      </c>
      <c r="H1184" s="18">
        <f t="shared" si="40"/>
        <v>41975.12</v>
      </c>
      <c r="I1184" s="3"/>
    </row>
    <row r="1185" spans="1:9" s="4" customFormat="1" ht="18" customHeight="1" x14ac:dyDescent="0.55000000000000004">
      <c r="A1185" s="18">
        <v>24.795251700000001</v>
      </c>
      <c r="B1185" s="18">
        <v>34.833046000000003</v>
      </c>
      <c r="C1185" s="18">
        <v>685298.13</v>
      </c>
      <c r="D1185" s="18">
        <v>2743519.93</v>
      </c>
      <c r="E1185" s="18">
        <v>239.54</v>
      </c>
      <c r="F1185" s="18">
        <v>41983.74</v>
      </c>
      <c r="G1185" s="18">
        <v>134930</v>
      </c>
      <c r="H1185" s="18">
        <f t="shared" si="40"/>
        <v>41975.74</v>
      </c>
      <c r="I1185" s="3"/>
    </row>
    <row r="1186" spans="1:9" s="4" customFormat="1" ht="18" customHeight="1" x14ac:dyDescent="0.55000000000000004">
      <c r="A1186" s="18">
        <v>24.795247</v>
      </c>
      <c r="B1186" s="18">
        <v>34.833015000000003</v>
      </c>
      <c r="C1186" s="18">
        <v>685295</v>
      </c>
      <c r="D1186" s="18">
        <v>2743519.37</v>
      </c>
      <c r="E1186" s="18">
        <v>239.57</v>
      </c>
      <c r="F1186" s="18">
        <v>41985.27</v>
      </c>
      <c r="G1186" s="18">
        <v>134932</v>
      </c>
      <c r="H1186" s="18">
        <f t="shared" si="40"/>
        <v>41977.27</v>
      </c>
      <c r="I1186" s="3"/>
    </row>
    <row r="1187" spans="1:9" s="4" customFormat="1" ht="18" customHeight="1" x14ac:dyDescent="0.55000000000000004">
      <c r="A1187" s="18">
        <v>24.79524</v>
      </c>
      <c r="B1187" s="18">
        <v>34.8329837</v>
      </c>
      <c r="C1187" s="18">
        <v>685291.85</v>
      </c>
      <c r="D1187" s="18">
        <v>2743518.55</v>
      </c>
      <c r="E1187" s="18">
        <v>239.6</v>
      </c>
      <c r="F1187" s="18">
        <v>41989.65</v>
      </c>
      <c r="G1187" s="18">
        <v>134934</v>
      </c>
      <c r="H1187" s="18">
        <f t="shared" si="40"/>
        <v>41981.65</v>
      </c>
      <c r="I1187" s="3"/>
    </row>
    <row r="1188" spans="1:9" s="4" customFormat="1" ht="18" customHeight="1" x14ac:dyDescent="0.55000000000000004">
      <c r="A1188" s="18">
        <v>24.795233100000001</v>
      </c>
      <c r="B1188" s="18">
        <v>34.832953099999997</v>
      </c>
      <c r="C1188" s="18">
        <v>685288.76</v>
      </c>
      <c r="D1188" s="18">
        <v>2743517.74</v>
      </c>
      <c r="E1188" s="18">
        <v>239.76</v>
      </c>
      <c r="F1188" s="18">
        <v>41990.2</v>
      </c>
      <c r="G1188" s="18">
        <v>134936</v>
      </c>
      <c r="H1188" s="18">
        <f t="shared" si="40"/>
        <v>41982.2</v>
      </c>
      <c r="I1188" s="3"/>
    </row>
    <row r="1189" spans="1:9" s="4" customFormat="1" ht="18" customHeight="1" x14ac:dyDescent="0.55000000000000004">
      <c r="A1189" s="18">
        <v>24.795228999999999</v>
      </c>
      <c r="B1189" s="18">
        <v>34.832922000000003</v>
      </c>
      <c r="C1189" s="18">
        <v>685285.62</v>
      </c>
      <c r="D1189" s="18">
        <v>2743517.25</v>
      </c>
      <c r="E1189" s="18">
        <v>239.89</v>
      </c>
      <c r="F1189" s="18">
        <v>41988.28</v>
      </c>
      <c r="G1189" s="18">
        <v>134938</v>
      </c>
      <c r="H1189" s="18">
        <f t="shared" si="40"/>
        <v>41980.28</v>
      </c>
      <c r="I1189" s="3"/>
    </row>
    <row r="1190" spans="1:9" s="4" customFormat="1" ht="18" customHeight="1" x14ac:dyDescent="0.55000000000000004">
      <c r="A1190" s="18">
        <v>24.7952239</v>
      </c>
      <c r="B1190" s="18">
        <v>34.832891400000001</v>
      </c>
      <c r="C1190" s="18">
        <v>685282.54</v>
      </c>
      <c r="D1190" s="18">
        <v>2743516.64</v>
      </c>
      <c r="E1190" s="18">
        <v>240</v>
      </c>
      <c r="F1190" s="18">
        <v>41990.69</v>
      </c>
      <c r="G1190" s="18">
        <v>134940</v>
      </c>
      <c r="H1190" s="18">
        <f t="shared" si="40"/>
        <v>41982.69</v>
      </c>
      <c r="I1190" s="3"/>
    </row>
    <row r="1191" spans="1:9" s="4" customFormat="1" ht="18" customHeight="1" x14ac:dyDescent="0.55000000000000004">
      <c r="A1191" s="18">
        <v>24.7952203</v>
      </c>
      <c r="B1191" s="18">
        <v>34.8328603</v>
      </c>
      <c r="C1191" s="18">
        <v>685279.4</v>
      </c>
      <c r="D1191" s="18">
        <v>2743516.2</v>
      </c>
      <c r="E1191" s="18">
        <v>240.06</v>
      </c>
      <c r="F1191" s="18">
        <v>41991.01</v>
      </c>
      <c r="G1191" s="18">
        <v>134942</v>
      </c>
      <c r="H1191" s="18">
        <f t="shared" si="40"/>
        <v>41983.01</v>
      </c>
      <c r="I1191" s="3"/>
    </row>
    <row r="1192" spans="1:9" s="4" customFormat="1" ht="18" customHeight="1" x14ac:dyDescent="0.55000000000000004">
      <c r="A1192" s="18">
        <v>24.795219400000001</v>
      </c>
      <c r="B1192" s="18">
        <v>34.832828499999998</v>
      </c>
      <c r="C1192" s="18">
        <v>685276.18</v>
      </c>
      <c r="D1192" s="18">
        <v>2743516.06</v>
      </c>
      <c r="E1192" s="18">
        <v>240.06</v>
      </c>
      <c r="F1192" s="18">
        <v>41988.3</v>
      </c>
      <c r="G1192" s="18">
        <v>134944</v>
      </c>
      <c r="H1192" s="18">
        <f t="shared" si="40"/>
        <v>41980.3</v>
      </c>
      <c r="I1192" s="3"/>
    </row>
    <row r="1193" spans="1:9" s="4" customFormat="1" ht="18" customHeight="1" x14ac:dyDescent="0.55000000000000004">
      <c r="A1193" s="18">
        <v>24.7952203</v>
      </c>
      <c r="B1193" s="18">
        <v>34.832797100000001</v>
      </c>
      <c r="C1193" s="18">
        <v>685273.01</v>
      </c>
      <c r="D1193" s="18">
        <v>2743516.11</v>
      </c>
      <c r="E1193" s="18">
        <v>240.12</v>
      </c>
      <c r="F1193" s="18">
        <v>41986.64</v>
      </c>
      <c r="G1193" s="18">
        <v>134946</v>
      </c>
      <c r="H1193" s="18">
        <f t="shared" si="40"/>
        <v>41978.64</v>
      </c>
      <c r="I1193" s="3"/>
    </row>
    <row r="1194" spans="1:9" s="4" customFormat="1" ht="18" customHeight="1" x14ac:dyDescent="0.55000000000000004">
      <c r="A1194" s="18">
        <v>24.795217999999998</v>
      </c>
      <c r="B1194" s="18">
        <v>34.832766499999998</v>
      </c>
      <c r="C1194" s="18">
        <v>685269.92</v>
      </c>
      <c r="D1194" s="18">
        <v>2743515.82</v>
      </c>
      <c r="E1194" s="18">
        <v>240.08</v>
      </c>
      <c r="F1194" s="18">
        <v>41989.41</v>
      </c>
      <c r="G1194" s="18">
        <v>134948</v>
      </c>
      <c r="H1194" s="18">
        <f t="shared" si="40"/>
        <v>41981.41</v>
      </c>
      <c r="I1194" s="3"/>
    </row>
    <row r="1195" spans="1:9" s="4" customFormat="1" ht="18" customHeight="1" x14ac:dyDescent="0.55000000000000004">
      <c r="A1195" s="18">
        <v>24.7952139</v>
      </c>
      <c r="B1195" s="18">
        <v>34.832735100000001</v>
      </c>
      <c r="C1195" s="18">
        <v>685266.75</v>
      </c>
      <c r="D1195" s="18">
        <v>2743515.32</v>
      </c>
      <c r="E1195" s="18">
        <v>240.04</v>
      </c>
      <c r="F1195" s="18">
        <v>41989.120000000003</v>
      </c>
      <c r="G1195" s="18">
        <v>134950</v>
      </c>
      <c r="H1195" s="18">
        <f t="shared" si="40"/>
        <v>41981.120000000003</v>
      </c>
      <c r="I1195" s="3"/>
    </row>
    <row r="1196" spans="1:9" s="4" customFormat="1" ht="18" customHeight="1" x14ac:dyDescent="0.55000000000000004">
      <c r="A1196" s="18">
        <v>24.795210900000001</v>
      </c>
      <c r="B1196" s="18">
        <v>34.832703600000002</v>
      </c>
      <c r="C1196" s="18">
        <v>685263.57</v>
      </c>
      <c r="D1196" s="18">
        <v>2743514.95</v>
      </c>
      <c r="E1196" s="18">
        <v>240.01</v>
      </c>
      <c r="F1196" s="18">
        <v>41986.46</v>
      </c>
      <c r="G1196" s="18">
        <v>134952</v>
      </c>
      <c r="H1196" s="18">
        <f t="shared" si="40"/>
        <v>41978.46</v>
      </c>
      <c r="I1196" s="3"/>
    </row>
    <row r="1197" spans="1:9" s="4" customFormat="1" ht="18" customHeight="1" x14ac:dyDescent="0.55000000000000004">
      <c r="A1197" s="18">
        <v>24.795207399999999</v>
      </c>
      <c r="B1197" s="18">
        <v>34.832671599999998</v>
      </c>
      <c r="C1197" s="18">
        <v>685260.34</v>
      </c>
      <c r="D1197" s="18">
        <v>2743514.52</v>
      </c>
      <c r="E1197" s="18">
        <v>240.05</v>
      </c>
      <c r="F1197" s="18">
        <v>41988.02</v>
      </c>
      <c r="G1197" s="18">
        <v>134954</v>
      </c>
      <c r="H1197" s="18">
        <f t="shared" si="40"/>
        <v>41980.02</v>
      </c>
      <c r="I1197" s="3"/>
    </row>
    <row r="1198" spans="1:9" s="4" customFormat="1" ht="18" customHeight="1" x14ac:dyDescent="0.55000000000000004">
      <c r="A1198" s="18">
        <v>24.795203699999998</v>
      </c>
      <c r="B1198" s="18">
        <v>34.832639299999997</v>
      </c>
      <c r="C1198" s="18">
        <v>685257.08</v>
      </c>
      <c r="D1198" s="18">
        <v>2743514.06</v>
      </c>
      <c r="E1198" s="18">
        <v>240.05</v>
      </c>
      <c r="F1198" s="18">
        <v>41987.22</v>
      </c>
      <c r="G1198" s="18">
        <v>134956</v>
      </c>
      <c r="H1198" s="18">
        <f t="shared" si="40"/>
        <v>41979.22</v>
      </c>
      <c r="I1198" s="3"/>
    </row>
    <row r="1199" spans="1:9" s="4" customFormat="1" ht="18" customHeight="1" x14ac:dyDescent="0.55000000000000004">
      <c r="A1199" s="18">
        <v>24.795198299999999</v>
      </c>
      <c r="B1199" s="18">
        <v>34.832608999999998</v>
      </c>
      <c r="C1199" s="18">
        <v>685254.02</v>
      </c>
      <c r="D1199" s="18">
        <v>2743513.42</v>
      </c>
      <c r="E1199" s="18">
        <v>240.03</v>
      </c>
      <c r="F1199" s="18">
        <v>41992</v>
      </c>
      <c r="G1199" s="18">
        <v>134958</v>
      </c>
      <c r="H1199" s="18">
        <f t="shared" si="40"/>
        <v>41984</v>
      </c>
      <c r="I1199" s="3"/>
    </row>
    <row r="1200" spans="1:9" s="4" customFormat="1" ht="18" customHeight="1" x14ac:dyDescent="0.55000000000000004">
      <c r="A1200" s="18">
        <v>24.7951929</v>
      </c>
      <c r="B1200" s="18">
        <v>34.832577999999998</v>
      </c>
      <c r="C1200" s="18">
        <v>685250.9</v>
      </c>
      <c r="D1200" s="18">
        <v>2743512.78</v>
      </c>
      <c r="E1200" s="18">
        <v>240.03</v>
      </c>
      <c r="F1200" s="18">
        <v>41991.89</v>
      </c>
      <c r="G1200" s="18">
        <v>135000</v>
      </c>
      <c r="H1200" s="18">
        <f t="shared" si="40"/>
        <v>41983.89</v>
      </c>
      <c r="I1200" s="3"/>
    </row>
    <row r="1201" spans="1:9" s="4" customFormat="1" ht="18" customHeight="1" x14ac:dyDescent="0.55000000000000004">
      <c r="A1201" s="18">
        <v>24.795187299999998</v>
      </c>
      <c r="B1201" s="18">
        <v>34.832546000000001</v>
      </c>
      <c r="C1201" s="18">
        <v>685247.67</v>
      </c>
      <c r="D1201" s="18">
        <v>2743512.11</v>
      </c>
      <c r="E1201" s="18">
        <v>240.07</v>
      </c>
      <c r="F1201" s="18">
        <v>41992.93</v>
      </c>
      <c r="G1201" s="18">
        <v>135002</v>
      </c>
      <c r="H1201" s="18">
        <f t="shared" si="40"/>
        <v>41984.93</v>
      </c>
      <c r="I1201" s="3"/>
    </row>
    <row r="1202" spans="1:9" s="4" customFormat="1" ht="18" customHeight="1" x14ac:dyDescent="0.55000000000000004">
      <c r="A1202" s="18">
        <v>24.7951786</v>
      </c>
      <c r="B1202" s="18">
        <v>34.832516800000001</v>
      </c>
      <c r="C1202" s="18">
        <v>685244.73</v>
      </c>
      <c r="D1202" s="18">
        <v>2743511.11</v>
      </c>
      <c r="E1202" s="18">
        <v>240.15</v>
      </c>
      <c r="F1202" s="18">
        <v>41987.87</v>
      </c>
      <c r="G1202" s="18">
        <v>135004</v>
      </c>
      <c r="H1202" s="18">
        <f t="shared" si="40"/>
        <v>41979.87</v>
      </c>
      <c r="I1202" s="3"/>
    </row>
    <row r="1203" spans="1:9" s="4" customFormat="1" ht="18" customHeight="1" x14ac:dyDescent="0.55000000000000004">
      <c r="A1203" s="18">
        <v>24.795171199999999</v>
      </c>
      <c r="B1203" s="18">
        <v>34.832488300000001</v>
      </c>
      <c r="C1203" s="18">
        <v>685241.86</v>
      </c>
      <c r="D1203" s="18">
        <v>2743510.25</v>
      </c>
      <c r="E1203" s="18">
        <v>240.2</v>
      </c>
      <c r="F1203" s="18">
        <v>41991.360000000001</v>
      </c>
      <c r="G1203" s="18">
        <v>135006</v>
      </c>
      <c r="H1203" s="18">
        <f t="shared" si="40"/>
        <v>41983.360000000001</v>
      </c>
      <c r="I1203" s="3"/>
    </row>
    <row r="1204" spans="1:9" s="4" customFormat="1" ht="18" customHeight="1" x14ac:dyDescent="0.55000000000000004">
      <c r="A1204" s="18">
        <v>24.795166699999999</v>
      </c>
      <c r="B1204" s="18">
        <v>34.832456999999998</v>
      </c>
      <c r="C1204" s="18">
        <v>685238.71</v>
      </c>
      <c r="D1204" s="18">
        <v>2743509.71</v>
      </c>
      <c r="E1204" s="18">
        <v>240.24</v>
      </c>
      <c r="F1204" s="18">
        <v>41991.9</v>
      </c>
      <c r="G1204" s="18">
        <v>135008</v>
      </c>
      <c r="H1204" s="18">
        <f t="shared" si="40"/>
        <v>41983.9</v>
      </c>
      <c r="I1204" s="3"/>
    </row>
    <row r="1205" spans="1:9" s="4" customFormat="1" ht="18" customHeight="1" x14ac:dyDescent="0.55000000000000004">
      <c r="A1205" s="18">
        <v>24.7951576</v>
      </c>
      <c r="B1205" s="18">
        <v>34.8324274</v>
      </c>
      <c r="C1205" s="18">
        <v>685235.73</v>
      </c>
      <c r="D1205" s="18">
        <v>2743508.66</v>
      </c>
      <c r="E1205" s="18">
        <v>240.27</v>
      </c>
      <c r="F1205" s="18">
        <v>41990.64</v>
      </c>
      <c r="G1205" s="18">
        <v>135010</v>
      </c>
      <c r="H1205" s="18">
        <f t="shared" si="40"/>
        <v>41982.64</v>
      </c>
      <c r="I1205" s="3"/>
    </row>
    <row r="1206" spans="1:9" s="4" customFormat="1" ht="18" customHeight="1" x14ac:dyDescent="0.55000000000000004">
      <c r="A1206" s="18">
        <v>24.795148900000001</v>
      </c>
      <c r="B1206" s="18">
        <v>34.832396899999999</v>
      </c>
      <c r="C1206" s="18">
        <v>685232.65</v>
      </c>
      <c r="D1206" s="18">
        <v>2743507.66</v>
      </c>
      <c r="E1206" s="18">
        <v>240.33</v>
      </c>
      <c r="F1206" s="18">
        <v>41990.14</v>
      </c>
      <c r="G1206" s="18">
        <v>135012</v>
      </c>
      <c r="H1206" s="18">
        <f t="shared" si="40"/>
        <v>41982.14</v>
      </c>
      <c r="I1206" s="3"/>
    </row>
    <row r="1207" spans="1:9" s="4" customFormat="1" ht="18" customHeight="1" x14ac:dyDescent="0.55000000000000004">
      <c r="A1207" s="18">
        <v>24.795139800000001</v>
      </c>
      <c r="B1207" s="18">
        <v>34.832366899999997</v>
      </c>
      <c r="C1207" s="18">
        <v>685229.63</v>
      </c>
      <c r="D1207" s="18">
        <v>2743506.62</v>
      </c>
      <c r="E1207" s="18">
        <v>240.42</v>
      </c>
      <c r="F1207" s="18">
        <v>41990.07</v>
      </c>
      <c r="G1207" s="18">
        <v>135014</v>
      </c>
      <c r="H1207" s="18">
        <f t="shared" ref="H1207:H1270" si="41">SUM(F1207-8)</f>
        <v>41982.07</v>
      </c>
      <c r="I1207" s="3"/>
    </row>
    <row r="1208" spans="1:9" s="4" customFormat="1" ht="18" customHeight="1" x14ac:dyDescent="0.55000000000000004">
      <c r="A1208" s="18">
        <v>24.795130199999999</v>
      </c>
      <c r="B1208" s="18">
        <v>34.832336400000003</v>
      </c>
      <c r="C1208" s="18">
        <v>685226.57</v>
      </c>
      <c r="D1208" s="18">
        <v>2743505.51</v>
      </c>
      <c r="E1208" s="18">
        <v>240.5</v>
      </c>
      <c r="F1208" s="18">
        <v>41990.04</v>
      </c>
      <c r="G1208" s="18">
        <v>135016</v>
      </c>
      <c r="H1208" s="18">
        <f t="shared" si="41"/>
        <v>41982.04</v>
      </c>
      <c r="I1208" s="3"/>
    </row>
    <row r="1209" spans="1:9" s="4" customFormat="1" ht="18" customHeight="1" x14ac:dyDescent="0.55000000000000004">
      <c r="A1209" s="18">
        <v>24.795120099999998</v>
      </c>
      <c r="B1209" s="18">
        <v>34.832308300000001</v>
      </c>
      <c r="C1209" s="18">
        <v>685223.73</v>
      </c>
      <c r="D1209" s="18">
        <v>2743504.35</v>
      </c>
      <c r="E1209" s="18">
        <v>240.65</v>
      </c>
      <c r="F1209" s="18">
        <v>41989.63</v>
      </c>
      <c r="G1209" s="18">
        <v>135018</v>
      </c>
      <c r="H1209" s="18">
        <f t="shared" si="41"/>
        <v>41981.63</v>
      </c>
      <c r="I1209" s="3"/>
    </row>
    <row r="1210" spans="1:9" s="4" customFormat="1" ht="18" customHeight="1" x14ac:dyDescent="0.55000000000000004">
      <c r="A1210" s="18">
        <v>24.7951099</v>
      </c>
      <c r="B1210" s="18">
        <v>34.832281600000002</v>
      </c>
      <c r="C1210" s="18">
        <v>685221.05</v>
      </c>
      <c r="D1210" s="18">
        <v>2743503.18</v>
      </c>
      <c r="E1210" s="18">
        <v>240.71</v>
      </c>
      <c r="F1210" s="18">
        <v>41988.32</v>
      </c>
      <c r="G1210" s="18">
        <v>135020</v>
      </c>
      <c r="H1210" s="18">
        <f t="shared" si="41"/>
        <v>41980.32</v>
      </c>
      <c r="I1210" s="3"/>
    </row>
    <row r="1211" spans="1:9" s="4" customFormat="1" ht="18" customHeight="1" x14ac:dyDescent="0.55000000000000004">
      <c r="A1211" s="18">
        <v>24.7951035</v>
      </c>
      <c r="B1211" s="18">
        <v>34.832252099999998</v>
      </c>
      <c r="C1211" s="18">
        <v>685218.08</v>
      </c>
      <c r="D1211" s="18">
        <v>2743502.43</v>
      </c>
      <c r="E1211" s="18">
        <v>240.74</v>
      </c>
      <c r="F1211" s="18">
        <v>41990.25</v>
      </c>
      <c r="G1211" s="18">
        <v>135022</v>
      </c>
      <c r="H1211" s="18">
        <f t="shared" si="41"/>
        <v>41982.25</v>
      </c>
      <c r="I1211" s="3"/>
    </row>
    <row r="1212" spans="1:9" s="4" customFormat="1" ht="18" customHeight="1" x14ac:dyDescent="0.55000000000000004">
      <c r="A1212" s="18">
        <v>24.795095</v>
      </c>
      <c r="B1212" s="18">
        <v>34.832222399999999</v>
      </c>
      <c r="C1212" s="18">
        <v>685215.09</v>
      </c>
      <c r="D1212" s="18">
        <v>2743501.46</v>
      </c>
      <c r="E1212" s="18">
        <v>240.77</v>
      </c>
      <c r="F1212" s="18">
        <v>41989.65</v>
      </c>
      <c r="G1212" s="18">
        <v>135024</v>
      </c>
      <c r="H1212" s="18">
        <f t="shared" si="41"/>
        <v>41981.65</v>
      </c>
      <c r="I1212" s="3"/>
    </row>
    <row r="1213" spans="1:9" s="4" customFormat="1" ht="18" customHeight="1" x14ac:dyDescent="0.55000000000000004">
      <c r="A1213" s="18">
        <v>24.795083099999999</v>
      </c>
      <c r="B1213" s="18">
        <v>34.832193199999999</v>
      </c>
      <c r="C1213" s="18">
        <v>685212.15</v>
      </c>
      <c r="D1213" s="18">
        <v>2743500.1</v>
      </c>
      <c r="E1213" s="18">
        <v>240.81</v>
      </c>
      <c r="F1213" s="18">
        <v>41989.09</v>
      </c>
      <c r="G1213" s="18">
        <v>135026</v>
      </c>
      <c r="H1213" s="18">
        <f t="shared" si="41"/>
        <v>41981.09</v>
      </c>
      <c r="I1213" s="3"/>
    </row>
    <row r="1214" spans="1:9" s="4" customFormat="1" ht="18" customHeight="1" x14ac:dyDescent="0.55000000000000004">
      <c r="A1214" s="18">
        <v>24.7950746</v>
      </c>
      <c r="B1214" s="18">
        <v>34.832163000000001</v>
      </c>
      <c r="C1214" s="18">
        <v>685209.12</v>
      </c>
      <c r="D1214" s="18">
        <v>2743499.12</v>
      </c>
      <c r="E1214" s="18">
        <v>240.8</v>
      </c>
      <c r="F1214" s="18">
        <v>41988.15</v>
      </c>
      <c r="G1214" s="18">
        <v>135028</v>
      </c>
      <c r="H1214" s="18">
        <f t="shared" si="41"/>
        <v>41980.15</v>
      </c>
      <c r="I1214" s="3"/>
    </row>
    <row r="1215" spans="1:9" s="4" customFormat="1" ht="18" customHeight="1" x14ac:dyDescent="0.55000000000000004">
      <c r="A1215" s="18">
        <v>24.795071</v>
      </c>
      <c r="B1215" s="18">
        <v>34.832130800000002</v>
      </c>
      <c r="C1215" s="18">
        <v>685205.86</v>
      </c>
      <c r="D1215" s="18">
        <v>2743498.67</v>
      </c>
      <c r="E1215" s="18">
        <v>240.75</v>
      </c>
      <c r="F1215" s="18">
        <v>41987.17</v>
      </c>
      <c r="G1215" s="18">
        <v>135030</v>
      </c>
      <c r="H1215" s="18">
        <f t="shared" si="41"/>
        <v>41979.17</v>
      </c>
      <c r="I1215" s="3"/>
    </row>
    <row r="1216" spans="1:9" s="4" customFormat="1" ht="18" customHeight="1" x14ac:dyDescent="0.55000000000000004">
      <c r="A1216" s="18">
        <v>24.7950655</v>
      </c>
      <c r="B1216" s="18">
        <v>34.832099999999997</v>
      </c>
      <c r="C1216" s="18">
        <v>685202.75</v>
      </c>
      <c r="D1216" s="18">
        <v>2743498.02</v>
      </c>
      <c r="E1216" s="18">
        <v>240.79</v>
      </c>
      <c r="F1216" s="18">
        <v>41984.56</v>
      </c>
      <c r="G1216" s="18">
        <v>135032</v>
      </c>
      <c r="H1216" s="18">
        <f t="shared" si="41"/>
        <v>41976.56</v>
      </c>
      <c r="I1216" s="3"/>
    </row>
    <row r="1217" spans="1:9" s="4" customFormat="1" ht="18" customHeight="1" x14ac:dyDescent="0.55000000000000004">
      <c r="A1217" s="18">
        <v>24.795062300000001</v>
      </c>
      <c r="B1217" s="18">
        <v>34.832067600000002</v>
      </c>
      <c r="C1217" s="18">
        <v>685199.49</v>
      </c>
      <c r="D1217" s="18">
        <v>2743497.62</v>
      </c>
      <c r="E1217" s="18">
        <v>240.84</v>
      </c>
      <c r="F1217" s="18">
        <v>41985.760000000002</v>
      </c>
      <c r="G1217" s="18">
        <v>135034</v>
      </c>
      <c r="H1217" s="18">
        <f t="shared" si="41"/>
        <v>41977.760000000002</v>
      </c>
      <c r="I1217" s="3"/>
    </row>
    <row r="1218" spans="1:9" s="4" customFormat="1" ht="18" customHeight="1" x14ac:dyDescent="0.55000000000000004">
      <c r="A1218" s="18">
        <v>24.795060599999999</v>
      </c>
      <c r="B1218" s="18">
        <v>34.832034999999998</v>
      </c>
      <c r="C1218" s="18">
        <v>685196.19</v>
      </c>
      <c r="D1218" s="18">
        <v>2743497.39</v>
      </c>
      <c r="E1218" s="18">
        <v>240.9</v>
      </c>
      <c r="F1218" s="18">
        <v>41984.86</v>
      </c>
      <c r="G1218" s="18">
        <v>135036</v>
      </c>
      <c r="H1218" s="18">
        <f t="shared" si="41"/>
        <v>41976.86</v>
      </c>
      <c r="I1218" s="3"/>
    </row>
    <row r="1219" spans="1:9" s="4" customFormat="1" ht="18" customHeight="1" x14ac:dyDescent="0.55000000000000004">
      <c r="A1219" s="18">
        <v>24.795059999999999</v>
      </c>
      <c r="B1219" s="18">
        <v>34.832002199999998</v>
      </c>
      <c r="C1219" s="18">
        <v>685192.87</v>
      </c>
      <c r="D1219" s="18">
        <v>2743497.28</v>
      </c>
      <c r="E1219" s="18">
        <v>240.95</v>
      </c>
      <c r="F1219" s="18">
        <v>41985.55</v>
      </c>
      <c r="G1219" s="18">
        <v>135038</v>
      </c>
      <c r="H1219" s="18">
        <f t="shared" si="41"/>
        <v>41977.55</v>
      </c>
      <c r="I1219" s="3"/>
    </row>
    <row r="1220" spans="1:9" s="4" customFormat="1" ht="18" customHeight="1" x14ac:dyDescent="0.55000000000000004">
      <c r="A1220" s="18">
        <v>24.7950594</v>
      </c>
      <c r="B1220" s="18">
        <v>34.831969999999998</v>
      </c>
      <c r="C1220" s="18">
        <v>685189.63</v>
      </c>
      <c r="D1220" s="18">
        <v>2743497.17</v>
      </c>
      <c r="E1220" s="18">
        <v>241</v>
      </c>
      <c r="F1220" s="18">
        <v>41981.71</v>
      </c>
      <c r="G1220" s="18">
        <v>135040</v>
      </c>
      <c r="H1220" s="18">
        <f t="shared" si="41"/>
        <v>41973.71</v>
      </c>
      <c r="I1220" s="3"/>
    </row>
    <row r="1221" spans="1:9" s="4" customFormat="1" ht="18" customHeight="1" x14ac:dyDescent="0.55000000000000004">
      <c r="A1221" s="18">
        <v>24.7950576</v>
      </c>
      <c r="B1221" s="18">
        <v>34.831938200000003</v>
      </c>
      <c r="C1221" s="18">
        <v>685186.4</v>
      </c>
      <c r="D1221" s="18">
        <v>2743496.93</v>
      </c>
      <c r="E1221" s="18">
        <v>241.06</v>
      </c>
      <c r="F1221" s="18">
        <v>41982.78</v>
      </c>
      <c r="G1221" s="18">
        <v>135042</v>
      </c>
      <c r="H1221" s="18">
        <f t="shared" si="41"/>
        <v>41974.78</v>
      </c>
      <c r="I1221" s="3"/>
    </row>
    <row r="1222" spans="1:9" s="4" customFormat="1" ht="18" customHeight="1" x14ac:dyDescent="0.55000000000000004">
      <c r="A1222" s="18">
        <v>24.7950552</v>
      </c>
      <c r="B1222" s="18">
        <v>34.8319057</v>
      </c>
      <c r="C1222" s="18">
        <v>685183.12</v>
      </c>
      <c r="D1222" s="18">
        <v>2743496.62</v>
      </c>
      <c r="E1222" s="18">
        <v>241.07</v>
      </c>
      <c r="F1222" s="18">
        <v>41980.31</v>
      </c>
      <c r="G1222" s="18">
        <v>135044</v>
      </c>
      <c r="H1222" s="18">
        <f t="shared" si="41"/>
        <v>41972.31</v>
      </c>
      <c r="I1222" s="3"/>
    </row>
    <row r="1223" spans="1:9" s="4" customFormat="1" ht="18" customHeight="1" x14ac:dyDescent="0.55000000000000004">
      <c r="A1223" s="18">
        <v>24.79505</v>
      </c>
      <c r="B1223" s="18">
        <v>34.831874300000003</v>
      </c>
      <c r="C1223" s="18">
        <v>685179.95</v>
      </c>
      <c r="D1223" s="18">
        <v>2743496</v>
      </c>
      <c r="E1223" s="18">
        <v>241.09</v>
      </c>
      <c r="F1223" s="18">
        <v>41982.09</v>
      </c>
      <c r="G1223" s="18">
        <v>135046</v>
      </c>
      <c r="H1223" s="18">
        <f t="shared" si="41"/>
        <v>41974.09</v>
      </c>
      <c r="I1223" s="3"/>
    </row>
    <row r="1224" spans="1:9" s="4" customFormat="1" ht="18" customHeight="1" x14ac:dyDescent="0.55000000000000004">
      <c r="A1224" s="18">
        <v>24.795045999999999</v>
      </c>
      <c r="B1224" s="18">
        <v>34.831842399999999</v>
      </c>
      <c r="C1224" s="18">
        <v>685176.74</v>
      </c>
      <c r="D1224" s="18">
        <v>2743495.51</v>
      </c>
      <c r="E1224" s="18">
        <v>241.09</v>
      </c>
      <c r="F1224" s="18">
        <v>41981.55</v>
      </c>
      <c r="G1224" s="18">
        <v>135048</v>
      </c>
      <c r="H1224" s="18">
        <f t="shared" si="41"/>
        <v>41973.55</v>
      </c>
      <c r="I1224" s="3"/>
    </row>
    <row r="1225" spans="1:9" s="4" customFormat="1" ht="18" customHeight="1" x14ac:dyDescent="0.55000000000000004">
      <c r="A1225" s="18">
        <v>24.7950415</v>
      </c>
      <c r="B1225" s="18">
        <v>34.8318102</v>
      </c>
      <c r="C1225" s="18">
        <v>685173.49</v>
      </c>
      <c r="D1225" s="18">
        <v>2743494.97</v>
      </c>
      <c r="E1225" s="18">
        <v>241.09</v>
      </c>
      <c r="F1225" s="18">
        <v>41981.15</v>
      </c>
      <c r="G1225" s="18">
        <v>135050</v>
      </c>
      <c r="H1225" s="18">
        <f t="shared" si="41"/>
        <v>41973.15</v>
      </c>
      <c r="I1225" s="3"/>
    </row>
    <row r="1226" spans="1:9" s="4" customFormat="1" ht="18" customHeight="1" x14ac:dyDescent="0.55000000000000004">
      <c r="A1226" s="18">
        <v>24.795037399999998</v>
      </c>
      <c r="B1226" s="18">
        <v>34.831777500000001</v>
      </c>
      <c r="C1226" s="18">
        <v>685170.19</v>
      </c>
      <c r="D1226" s="18">
        <v>2743494.48</v>
      </c>
      <c r="E1226" s="18">
        <v>241.12</v>
      </c>
      <c r="F1226" s="18">
        <v>41979.81</v>
      </c>
      <c r="G1226" s="18">
        <v>135052</v>
      </c>
      <c r="H1226" s="18">
        <f t="shared" si="41"/>
        <v>41971.81</v>
      </c>
      <c r="I1226" s="3"/>
    </row>
    <row r="1227" spans="1:9" s="4" customFormat="1" ht="18" customHeight="1" x14ac:dyDescent="0.55000000000000004">
      <c r="A1227" s="18">
        <v>24.795033700000001</v>
      </c>
      <c r="B1227" s="18">
        <v>34.831745499999997</v>
      </c>
      <c r="C1227" s="18">
        <v>685166.96</v>
      </c>
      <c r="D1227" s="18">
        <v>2743494.01</v>
      </c>
      <c r="E1227" s="18">
        <v>241.15</v>
      </c>
      <c r="F1227" s="18">
        <v>41979.16</v>
      </c>
      <c r="G1227" s="18">
        <v>135054</v>
      </c>
      <c r="H1227" s="18">
        <f t="shared" si="41"/>
        <v>41971.16</v>
      </c>
      <c r="I1227" s="3"/>
    </row>
    <row r="1228" spans="1:9" s="4" customFormat="1" ht="18" customHeight="1" x14ac:dyDescent="0.55000000000000004">
      <c r="A1228" s="18">
        <v>24.795027300000001</v>
      </c>
      <c r="B1228" s="18">
        <v>34.831715099999997</v>
      </c>
      <c r="C1228" s="18">
        <v>685163.89</v>
      </c>
      <c r="D1228" s="18">
        <v>2743493.27</v>
      </c>
      <c r="E1228" s="18">
        <v>241.21</v>
      </c>
      <c r="F1228" s="18">
        <v>41976.29</v>
      </c>
      <c r="G1228" s="18">
        <v>135056</v>
      </c>
      <c r="H1228" s="18">
        <f t="shared" si="41"/>
        <v>41968.29</v>
      </c>
      <c r="I1228" s="3"/>
    </row>
    <row r="1229" spans="1:9" s="4" customFormat="1" ht="18" customHeight="1" x14ac:dyDescent="0.55000000000000004">
      <c r="A1229" s="18">
        <v>24.795020300000001</v>
      </c>
      <c r="B1229" s="18">
        <v>34.8316844</v>
      </c>
      <c r="C1229" s="18">
        <v>685160.8</v>
      </c>
      <c r="D1229" s="18">
        <v>2743492.45</v>
      </c>
      <c r="E1229" s="18">
        <v>241.25</v>
      </c>
      <c r="F1229" s="18">
        <v>41977.06</v>
      </c>
      <c r="G1229" s="18">
        <v>135058</v>
      </c>
      <c r="H1229" s="18">
        <f t="shared" si="41"/>
        <v>41969.06</v>
      </c>
      <c r="I1229" s="3"/>
    </row>
    <row r="1230" spans="1:9" s="4" customFormat="1" ht="18" customHeight="1" x14ac:dyDescent="0.55000000000000004">
      <c r="A1230" s="18">
        <v>24.795008200000002</v>
      </c>
      <c r="B1230" s="18">
        <v>34.831655599999998</v>
      </c>
      <c r="C1230" s="18">
        <v>685157.91</v>
      </c>
      <c r="D1230" s="18">
        <v>2743491.07</v>
      </c>
      <c r="E1230" s="18">
        <v>241.29</v>
      </c>
      <c r="F1230" s="18">
        <v>41976.95</v>
      </c>
      <c r="G1230" s="18">
        <v>135100</v>
      </c>
      <c r="H1230" s="18">
        <f t="shared" si="41"/>
        <v>41968.95</v>
      </c>
      <c r="I1230" s="3"/>
    </row>
    <row r="1231" spans="1:9" s="4" customFormat="1" ht="18" customHeight="1" x14ac:dyDescent="0.55000000000000004">
      <c r="A1231" s="18">
        <v>24.794996999999999</v>
      </c>
      <c r="B1231" s="18">
        <v>34.831626100000001</v>
      </c>
      <c r="C1231" s="18">
        <v>685154.94</v>
      </c>
      <c r="D1231" s="18">
        <v>2743489.79</v>
      </c>
      <c r="E1231" s="18">
        <v>241.39</v>
      </c>
      <c r="F1231" s="18">
        <v>41979.06</v>
      </c>
      <c r="G1231" s="18">
        <v>135102</v>
      </c>
      <c r="H1231" s="18">
        <f t="shared" si="41"/>
        <v>41971.06</v>
      </c>
      <c r="I1231" s="3"/>
    </row>
    <row r="1232" spans="1:9" s="4" customFormat="1" ht="18" customHeight="1" x14ac:dyDescent="0.55000000000000004">
      <c r="A1232" s="18">
        <v>24.7949898</v>
      </c>
      <c r="B1232" s="18">
        <v>34.831595399999998</v>
      </c>
      <c r="C1232" s="18">
        <v>685151.85</v>
      </c>
      <c r="D1232" s="18">
        <v>2743488.96</v>
      </c>
      <c r="E1232" s="18">
        <v>241.46</v>
      </c>
      <c r="F1232" s="18">
        <v>41974.61</v>
      </c>
      <c r="G1232" s="18">
        <v>135104</v>
      </c>
      <c r="H1232" s="18">
        <f t="shared" si="41"/>
        <v>41966.61</v>
      </c>
      <c r="I1232" s="3"/>
    </row>
    <row r="1233" spans="1:9" s="4" customFormat="1" ht="18" customHeight="1" x14ac:dyDescent="0.55000000000000004">
      <c r="A1233" s="18">
        <v>24.794983500000001</v>
      </c>
      <c r="B1233" s="18">
        <v>34.831564100000001</v>
      </c>
      <c r="C1233" s="18">
        <v>685148.7</v>
      </c>
      <c r="D1233" s="18">
        <v>2743488.21</v>
      </c>
      <c r="E1233" s="18">
        <v>241.5</v>
      </c>
      <c r="F1233" s="18">
        <v>41973.42</v>
      </c>
      <c r="G1233" s="18">
        <v>135106</v>
      </c>
      <c r="H1233" s="18">
        <f t="shared" si="41"/>
        <v>41965.42</v>
      </c>
      <c r="I1233" s="3"/>
    </row>
    <row r="1234" spans="1:9" s="4" customFormat="1" ht="18" customHeight="1" x14ac:dyDescent="0.55000000000000004">
      <c r="A1234" s="18">
        <v>24.794977200000002</v>
      </c>
      <c r="B1234" s="18">
        <v>34.831533499999999</v>
      </c>
      <c r="C1234" s="18">
        <v>685145.61</v>
      </c>
      <c r="D1234" s="18">
        <v>2743487.47</v>
      </c>
      <c r="E1234" s="18">
        <v>241.54</v>
      </c>
      <c r="F1234" s="18">
        <v>41972.26</v>
      </c>
      <c r="G1234" s="18">
        <v>135108</v>
      </c>
      <c r="H1234" s="18">
        <f t="shared" si="41"/>
        <v>41964.26</v>
      </c>
      <c r="I1234" s="3"/>
    </row>
    <row r="1235" spans="1:9" s="4" customFormat="1" ht="18" customHeight="1" x14ac:dyDescent="0.55000000000000004">
      <c r="A1235" s="18">
        <v>24.7949704</v>
      </c>
      <c r="B1235" s="18">
        <v>34.831503699999999</v>
      </c>
      <c r="C1235" s="18">
        <v>685142.61</v>
      </c>
      <c r="D1235" s="18">
        <v>2743486.68</v>
      </c>
      <c r="E1235" s="18">
        <v>241.58</v>
      </c>
      <c r="F1235" s="18">
        <v>41973.84</v>
      </c>
      <c r="G1235" s="18">
        <v>135110</v>
      </c>
      <c r="H1235" s="18">
        <f t="shared" si="41"/>
        <v>41965.84</v>
      </c>
      <c r="I1235" s="3"/>
    </row>
    <row r="1236" spans="1:9" s="4" customFormat="1" ht="18" customHeight="1" x14ac:dyDescent="0.55000000000000004">
      <c r="A1236" s="18">
        <v>24.794964400000001</v>
      </c>
      <c r="B1236" s="18">
        <v>34.831473699999997</v>
      </c>
      <c r="C1236" s="18">
        <v>685139.59</v>
      </c>
      <c r="D1236" s="18">
        <v>2743485.97</v>
      </c>
      <c r="E1236" s="18">
        <v>241.6</v>
      </c>
      <c r="F1236" s="18">
        <v>41979.12</v>
      </c>
      <c r="G1236" s="18">
        <v>135112</v>
      </c>
      <c r="H1236" s="18">
        <f t="shared" si="41"/>
        <v>41971.12</v>
      </c>
      <c r="I1236" s="3"/>
    </row>
    <row r="1237" spans="1:9" s="4" customFormat="1" ht="18" customHeight="1" x14ac:dyDescent="0.55000000000000004">
      <c r="A1237" s="18">
        <v>24.794955900000001</v>
      </c>
      <c r="B1237" s="18">
        <v>34.831445199999997</v>
      </c>
      <c r="C1237" s="18">
        <v>685136.71</v>
      </c>
      <c r="D1237" s="18">
        <v>2743484.99</v>
      </c>
      <c r="E1237" s="18">
        <v>241.61</v>
      </c>
      <c r="F1237" s="18">
        <v>41976.95</v>
      </c>
      <c r="G1237" s="18">
        <v>135114</v>
      </c>
      <c r="H1237" s="18">
        <f t="shared" si="41"/>
        <v>41968.95</v>
      </c>
      <c r="I1237" s="3"/>
    </row>
    <row r="1238" spans="1:9" s="4" customFormat="1" ht="18" customHeight="1" x14ac:dyDescent="0.55000000000000004">
      <c r="A1238" s="18">
        <v>24.7949488</v>
      </c>
      <c r="B1238" s="18">
        <v>34.831415</v>
      </c>
      <c r="C1238" s="18">
        <v>685133.67</v>
      </c>
      <c r="D1238" s="18">
        <v>2743484.17</v>
      </c>
      <c r="E1238" s="18">
        <v>241.58</v>
      </c>
      <c r="F1238" s="18">
        <v>41976.27</v>
      </c>
      <c r="G1238" s="18">
        <v>135116</v>
      </c>
      <c r="H1238" s="18">
        <f t="shared" si="41"/>
        <v>41968.27</v>
      </c>
      <c r="I1238" s="3"/>
    </row>
    <row r="1239" spans="1:9" s="4" customFormat="1" ht="18" customHeight="1" x14ac:dyDescent="0.55000000000000004">
      <c r="A1239" s="18">
        <v>24.794943199999999</v>
      </c>
      <c r="B1239" s="18">
        <v>34.831384300000003</v>
      </c>
      <c r="C1239" s="18">
        <v>685130.57</v>
      </c>
      <c r="D1239" s="18">
        <v>2743483.51</v>
      </c>
      <c r="E1239" s="18">
        <v>241.59</v>
      </c>
      <c r="F1239" s="18">
        <v>41976.29</v>
      </c>
      <c r="G1239" s="18">
        <v>135118</v>
      </c>
      <c r="H1239" s="18">
        <f t="shared" si="41"/>
        <v>41968.29</v>
      </c>
      <c r="I1239" s="3"/>
    </row>
    <row r="1240" spans="1:9" s="4" customFormat="1" ht="18" customHeight="1" x14ac:dyDescent="0.55000000000000004">
      <c r="A1240" s="18">
        <v>24.7949366</v>
      </c>
      <c r="B1240" s="18">
        <v>34.831354500000003</v>
      </c>
      <c r="C1240" s="18">
        <v>685127.57</v>
      </c>
      <c r="D1240" s="18">
        <v>2743482.73</v>
      </c>
      <c r="E1240" s="18">
        <v>241.61</v>
      </c>
      <c r="F1240" s="18">
        <v>41977.27</v>
      </c>
      <c r="G1240" s="18">
        <v>135120</v>
      </c>
      <c r="H1240" s="18">
        <f t="shared" si="41"/>
        <v>41969.27</v>
      </c>
      <c r="I1240" s="3"/>
    </row>
    <row r="1241" spans="1:9" s="4" customFormat="1" ht="18" customHeight="1" x14ac:dyDescent="0.55000000000000004">
      <c r="A1241" s="18">
        <v>24.7949278</v>
      </c>
      <c r="B1241" s="18">
        <v>34.831324799999997</v>
      </c>
      <c r="C1241" s="18">
        <v>685124.58</v>
      </c>
      <c r="D1241" s="18">
        <v>2743481.72</v>
      </c>
      <c r="E1241" s="18">
        <v>241.67</v>
      </c>
      <c r="F1241" s="18">
        <v>41973.61</v>
      </c>
      <c r="G1241" s="18">
        <v>135122</v>
      </c>
      <c r="H1241" s="18">
        <f t="shared" si="41"/>
        <v>41965.61</v>
      </c>
      <c r="I1241" s="3"/>
    </row>
    <row r="1242" spans="1:9" s="4" customFormat="1" ht="18" customHeight="1" x14ac:dyDescent="0.55000000000000004">
      <c r="A1242" s="18">
        <v>24.794919199999999</v>
      </c>
      <c r="B1242" s="18">
        <v>34.831294100000001</v>
      </c>
      <c r="C1242" s="18">
        <v>685121.49</v>
      </c>
      <c r="D1242" s="18">
        <v>2743480.72</v>
      </c>
      <c r="E1242" s="18">
        <v>241.71</v>
      </c>
      <c r="F1242" s="18">
        <v>41975.73</v>
      </c>
      <c r="G1242" s="18">
        <v>135124</v>
      </c>
      <c r="H1242" s="18">
        <f t="shared" si="41"/>
        <v>41967.73</v>
      </c>
      <c r="I1242" s="3"/>
    </row>
    <row r="1243" spans="1:9" s="4" customFormat="1" ht="18" customHeight="1" x14ac:dyDescent="0.55000000000000004">
      <c r="A1243" s="18">
        <v>24.794910300000002</v>
      </c>
      <c r="B1243" s="18">
        <v>34.831263700000001</v>
      </c>
      <c r="C1243" s="18">
        <v>685118.43</v>
      </c>
      <c r="D1243" s="18">
        <v>2743479.69</v>
      </c>
      <c r="E1243" s="18">
        <v>241.76</v>
      </c>
      <c r="F1243" s="18">
        <v>41975.360000000001</v>
      </c>
      <c r="G1243" s="18">
        <v>135126</v>
      </c>
      <c r="H1243" s="18">
        <f t="shared" si="41"/>
        <v>41967.360000000001</v>
      </c>
      <c r="I1243" s="3"/>
    </row>
    <row r="1244" spans="1:9" s="4" customFormat="1" ht="18" customHeight="1" x14ac:dyDescent="0.55000000000000004">
      <c r="A1244" s="18">
        <v>24.794893999999999</v>
      </c>
      <c r="B1244" s="18">
        <v>34.8312369</v>
      </c>
      <c r="C1244" s="18">
        <v>685115.74</v>
      </c>
      <c r="D1244" s="18">
        <v>2743477.85</v>
      </c>
      <c r="E1244" s="18">
        <v>241.71</v>
      </c>
      <c r="F1244" s="18">
        <v>41976.4</v>
      </c>
      <c r="G1244" s="18">
        <v>135128</v>
      </c>
      <c r="H1244" s="18">
        <f t="shared" si="41"/>
        <v>41968.4</v>
      </c>
      <c r="I1244" s="3"/>
    </row>
    <row r="1245" spans="1:9" s="4" customFormat="1" ht="18" customHeight="1" x14ac:dyDescent="0.55000000000000004">
      <c r="A1245" s="18">
        <v>24.794881700000001</v>
      </c>
      <c r="B1245" s="18">
        <v>34.831209299999998</v>
      </c>
      <c r="C1245" s="18">
        <v>685112.97</v>
      </c>
      <c r="D1245" s="18">
        <v>2743476.45</v>
      </c>
      <c r="E1245" s="18">
        <v>241.69</v>
      </c>
      <c r="F1245" s="18">
        <v>41977.03</v>
      </c>
      <c r="G1245" s="18">
        <v>135130</v>
      </c>
      <c r="H1245" s="18">
        <f t="shared" si="41"/>
        <v>41969.03</v>
      </c>
      <c r="I1245" s="3"/>
    </row>
    <row r="1246" spans="1:9" s="4" customFormat="1" ht="18" customHeight="1" x14ac:dyDescent="0.55000000000000004">
      <c r="A1246" s="18">
        <v>24.794871199999999</v>
      </c>
      <c r="B1246" s="18">
        <v>34.831180000000003</v>
      </c>
      <c r="C1246" s="18">
        <v>685110.02</v>
      </c>
      <c r="D1246" s="18">
        <v>2743475.25</v>
      </c>
      <c r="E1246" s="18">
        <v>241.76</v>
      </c>
      <c r="F1246" s="18">
        <v>41976.11</v>
      </c>
      <c r="G1246" s="18">
        <v>135132</v>
      </c>
      <c r="H1246" s="18">
        <f t="shared" si="41"/>
        <v>41968.11</v>
      </c>
      <c r="I1246" s="3"/>
    </row>
    <row r="1247" spans="1:9" s="4" customFormat="1" ht="18" customHeight="1" x14ac:dyDescent="0.55000000000000004">
      <c r="A1247" s="18">
        <v>24.794864</v>
      </c>
      <c r="B1247" s="18">
        <v>34.831149600000003</v>
      </c>
      <c r="C1247" s="18">
        <v>685106.96</v>
      </c>
      <c r="D1247" s="18">
        <v>2743474.41</v>
      </c>
      <c r="E1247" s="18">
        <v>241.74</v>
      </c>
      <c r="F1247" s="18">
        <v>41973.17</v>
      </c>
      <c r="G1247" s="18">
        <v>135134</v>
      </c>
      <c r="H1247" s="18">
        <f t="shared" si="41"/>
        <v>41965.17</v>
      </c>
      <c r="I1247" s="3"/>
    </row>
    <row r="1248" spans="1:9" s="4" customFormat="1" ht="18" customHeight="1" x14ac:dyDescent="0.55000000000000004">
      <c r="A1248" s="18">
        <v>24.794854600000001</v>
      </c>
      <c r="B1248" s="18">
        <v>34.831119800000003</v>
      </c>
      <c r="C1248" s="18">
        <v>685103.96</v>
      </c>
      <c r="D1248" s="18">
        <v>2743473.33</v>
      </c>
      <c r="E1248" s="18">
        <v>241.73</v>
      </c>
      <c r="F1248" s="18">
        <v>41981.77</v>
      </c>
      <c r="G1248" s="18">
        <v>135136</v>
      </c>
      <c r="H1248" s="18">
        <f t="shared" si="41"/>
        <v>41973.77</v>
      </c>
      <c r="I1248" s="3"/>
    </row>
    <row r="1249" spans="1:9" s="4" customFormat="1" ht="18" customHeight="1" x14ac:dyDescent="0.55000000000000004">
      <c r="A1249" s="18">
        <v>24.794845299999999</v>
      </c>
      <c r="B1249" s="18">
        <v>34.831089900000002</v>
      </c>
      <c r="C1249" s="18">
        <v>685100.95</v>
      </c>
      <c r="D1249" s="18">
        <v>2743472.26</v>
      </c>
      <c r="E1249" s="18">
        <v>241.73</v>
      </c>
      <c r="F1249" s="18">
        <v>41979.44</v>
      </c>
      <c r="G1249" s="18">
        <v>135138</v>
      </c>
      <c r="H1249" s="18">
        <f t="shared" si="41"/>
        <v>41971.44</v>
      </c>
      <c r="I1249" s="3"/>
    </row>
    <row r="1250" spans="1:9" s="4" customFormat="1" ht="18" customHeight="1" x14ac:dyDescent="0.55000000000000004">
      <c r="A1250" s="18">
        <v>24.7948351</v>
      </c>
      <c r="B1250" s="18">
        <v>34.831059199999999</v>
      </c>
      <c r="C1250" s="18">
        <v>685097.86</v>
      </c>
      <c r="D1250" s="18">
        <v>2743471.08</v>
      </c>
      <c r="E1250" s="18">
        <v>241.77</v>
      </c>
      <c r="F1250" s="18">
        <v>41983.79</v>
      </c>
      <c r="G1250" s="18">
        <v>135140</v>
      </c>
      <c r="H1250" s="18">
        <f t="shared" si="41"/>
        <v>41975.79</v>
      </c>
      <c r="I1250" s="3"/>
    </row>
    <row r="1251" spans="1:9" s="4" customFormat="1" ht="18" customHeight="1" x14ac:dyDescent="0.55000000000000004">
      <c r="A1251" s="18">
        <v>24.794823300000001</v>
      </c>
      <c r="B1251" s="18">
        <v>34.831029700000002</v>
      </c>
      <c r="C1251" s="18">
        <v>685094.9</v>
      </c>
      <c r="D1251" s="18">
        <v>2743469.74</v>
      </c>
      <c r="E1251" s="18">
        <v>241.78</v>
      </c>
      <c r="F1251" s="18">
        <v>41996.78</v>
      </c>
      <c r="G1251" s="18">
        <v>135142</v>
      </c>
      <c r="H1251" s="18">
        <f t="shared" si="41"/>
        <v>41988.78</v>
      </c>
      <c r="I1251" s="3"/>
    </row>
    <row r="1252" spans="1:9" s="4" customFormat="1" ht="18" customHeight="1" x14ac:dyDescent="0.55000000000000004">
      <c r="A1252" s="18">
        <v>24.794812199999999</v>
      </c>
      <c r="B1252" s="18">
        <v>34.831000400000001</v>
      </c>
      <c r="C1252" s="18">
        <v>685091.95</v>
      </c>
      <c r="D1252" s="18">
        <v>2743468.47</v>
      </c>
      <c r="E1252" s="18">
        <v>241.79</v>
      </c>
      <c r="F1252" s="18">
        <v>41992.77</v>
      </c>
      <c r="G1252" s="18">
        <v>135144</v>
      </c>
      <c r="H1252" s="18">
        <f t="shared" si="41"/>
        <v>41984.77</v>
      </c>
      <c r="I1252" s="3"/>
    </row>
    <row r="1253" spans="1:9" s="4" customFormat="1" ht="18" customHeight="1" x14ac:dyDescent="0.55000000000000004">
      <c r="A1253" s="18">
        <v>24.794802300000001</v>
      </c>
      <c r="B1253" s="18">
        <v>34.830971599999998</v>
      </c>
      <c r="C1253" s="18">
        <v>685089.06</v>
      </c>
      <c r="D1253" s="18">
        <v>2743467.34</v>
      </c>
      <c r="E1253" s="18">
        <v>241.86</v>
      </c>
      <c r="F1253" s="18">
        <v>41993.919999999998</v>
      </c>
      <c r="G1253" s="18">
        <v>135146</v>
      </c>
      <c r="H1253" s="18">
        <f t="shared" si="41"/>
        <v>41985.919999999998</v>
      </c>
      <c r="I1253" s="3"/>
    </row>
    <row r="1254" spans="1:9" s="4" customFormat="1" ht="18" customHeight="1" x14ac:dyDescent="0.55000000000000004">
      <c r="A1254" s="18">
        <v>24.794796399999999</v>
      </c>
      <c r="B1254" s="18">
        <v>34.830941699999997</v>
      </c>
      <c r="C1254" s="18">
        <v>685086.04</v>
      </c>
      <c r="D1254" s="18">
        <v>2743466.64</v>
      </c>
      <c r="E1254" s="18">
        <v>241.88</v>
      </c>
      <c r="F1254" s="18">
        <v>41991.19</v>
      </c>
      <c r="G1254" s="18">
        <v>135148</v>
      </c>
      <c r="H1254" s="18">
        <f t="shared" si="41"/>
        <v>41983.19</v>
      </c>
      <c r="I1254" s="3"/>
    </row>
    <row r="1255" spans="1:9" s="4" customFormat="1" ht="18" customHeight="1" x14ac:dyDescent="0.55000000000000004">
      <c r="A1255" s="18">
        <v>24.794790200000001</v>
      </c>
      <c r="B1255" s="18">
        <v>34.830910899999999</v>
      </c>
      <c r="C1255" s="18">
        <v>685082.94</v>
      </c>
      <c r="D1255" s="18">
        <v>2743465.92</v>
      </c>
      <c r="E1255" s="18">
        <v>241.93</v>
      </c>
      <c r="F1255" s="18">
        <v>41997.81</v>
      </c>
      <c r="G1255" s="18">
        <v>135150</v>
      </c>
      <c r="H1255" s="18">
        <f t="shared" si="41"/>
        <v>41989.81</v>
      </c>
      <c r="I1255" s="3"/>
    </row>
    <row r="1256" spans="1:9" s="4" customFormat="1" ht="18" customHeight="1" x14ac:dyDescent="0.55000000000000004">
      <c r="A1256" s="18">
        <v>24.794781199999999</v>
      </c>
      <c r="B1256" s="18">
        <v>34.830880100000002</v>
      </c>
      <c r="C1256" s="18">
        <v>685079.83</v>
      </c>
      <c r="D1256" s="18">
        <v>2743464.88</v>
      </c>
      <c r="E1256" s="18">
        <v>241.98</v>
      </c>
      <c r="F1256" s="18">
        <v>41999.11</v>
      </c>
      <c r="G1256" s="18">
        <v>135152</v>
      </c>
      <c r="H1256" s="18">
        <f t="shared" si="41"/>
        <v>41991.11</v>
      </c>
      <c r="I1256" s="3"/>
    </row>
    <row r="1257" spans="1:9" s="4" customFormat="1" ht="18" customHeight="1" x14ac:dyDescent="0.55000000000000004">
      <c r="A1257" s="18">
        <v>24.7947706</v>
      </c>
      <c r="B1257" s="18">
        <v>34.830850599999998</v>
      </c>
      <c r="C1257" s="18">
        <v>685076.86</v>
      </c>
      <c r="D1257" s="18">
        <v>2743463.66</v>
      </c>
      <c r="E1257" s="18">
        <v>242.02</v>
      </c>
      <c r="F1257" s="18">
        <v>41996.58</v>
      </c>
      <c r="G1257" s="18">
        <v>135154</v>
      </c>
      <c r="H1257" s="18">
        <f t="shared" si="41"/>
        <v>41988.58</v>
      </c>
      <c r="I1257" s="3"/>
    </row>
    <row r="1258" spans="1:9" s="4" customFormat="1" ht="18" customHeight="1" x14ac:dyDescent="0.55000000000000004">
      <c r="A1258" s="18">
        <v>24.794760700000001</v>
      </c>
      <c r="B1258" s="18">
        <v>34.830821700000001</v>
      </c>
      <c r="C1258" s="18">
        <v>685073.96</v>
      </c>
      <c r="D1258" s="18">
        <v>2743462.53</v>
      </c>
      <c r="E1258" s="18">
        <v>242.11</v>
      </c>
      <c r="F1258" s="18">
        <v>41997.07</v>
      </c>
      <c r="G1258" s="18">
        <v>135156</v>
      </c>
      <c r="H1258" s="18">
        <f t="shared" si="41"/>
        <v>41989.07</v>
      </c>
      <c r="I1258" s="3"/>
    </row>
    <row r="1259" spans="1:9" s="4" customFormat="1" ht="18" customHeight="1" x14ac:dyDescent="0.55000000000000004">
      <c r="A1259" s="18">
        <v>24.794752599999999</v>
      </c>
      <c r="B1259" s="18">
        <v>34.830792099999996</v>
      </c>
      <c r="C1259" s="18">
        <v>685070.98</v>
      </c>
      <c r="D1259" s="18">
        <v>2743461.59</v>
      </c>
      <c r="E1259" s="18">
        <v>242.17</v>
      </c>
      <c r="F1259" s="18">
        <v>41999.7</v>
      </c>
      <c r="G1259" s="18">
        <v>135158</v>
      </c>
      <c r="H1259" s="18">
        <f t="shared" si="41"/>
        <v>41991.7</v>
      </c>
      <c r="I1259" s="3"/>
    </row>
    <row r="1260" spans="1:9" s="4" customFormat="1" ht="18" customHeight="1" x14ac:dyDescent="0.55000000000000004">
      <c r="A1260" s="18">
        <v>24.7947448</v>
      </c>
      <c r="B1260" s="18">
        <v>34.830762800000002</v>
      </c>
      <c r="C1260" s="18">
        <v>685068.03</v>
      </c>
      <c r="D1260" s="18">
        <v>2743460.69</v>
      </c>
      <c r="E1260" s="18">
        <v>242.21</v>
      </c>
      <c r="F1260" s="18">
        <v>41992.9</v>
      </c>
      <c r="G1260" s="18">
        <v>135200</v>
      </c>
      <c r="H1260" s="18">
        <f t="shared" si="41"/>
        <v>41984.9</v>
      </c>
      <c r="I1260" s="3"/>
    </row>
    <row r="1261" spans="1:9" s="4" customFormat="1" ht="18" customHeight="1" x14ac:dyDescent="0.55000000000000004">
      <c r="A1261" s="18">
        <v>24.794734999999999</v>
      </c>
      <c r="B1261" s="18">
        <v>34.8307346</v>
      </c>
      <c r="C1261" s="18">
        <v>685065.19</v>
      </c>
      <c r="D1261" s="18">
        <v>2743459.56</v>
      </c>
      <c r="E1261" s="18">
        <v>242.29</v>
      </c>
      <c r="F1261" s="18">
        <v>41990.91</v>
      </c>
      <c r="G1261" s="18">
        <v>135202</v>
      </c>
      <c r="H1261" s="18">
        <f t="shared" si="41"/>
        <v>41982.91</v>
      </c>
      <c r="I1261" s="3"/>
    </row>
    <row r="1262" spans="1:9" s="4" customFormat="1" ht="18" customHeight="1" x14ac:dyDescent="0.55000000000000004">
      <c r="A1262" s="18">
        <v>24.794724599999999</v>
      </c>
      <c r="B1262" s="18">
        <v>34.830706499999998</v>
      </c>
      <c r="C1262" s="18">
        <v>685062.37</v>
      </c>
      <c r="D1262" s="18">
        <v>2743458.37</v>
      </c>
      <c r="E1262" s="18">
        <v>242.32</v>
      </c>
      <c r="F1262" s="18">
        <v>41992.56</v>
      </c>
      <c r="G1262" s="18">
        <v>135204</v>
      </c>
      <c r="H1262" s="18">
        <f t="shared" si="41"/>
        <v>41984.56</v>
      </c>
      <c r="I1262" s="3"/>
    </row>
    <row r="1263" spans="1:9" s="4" customFormat="1" ht="18" customHeight="1" x14ac:dyDescent="0.55000000000000004">
      <c r="A1263" s="18">
        <v>24.794713900000001</v>
      </c>
      <c r="B1263" s="18">
        <v>34.830678200000001</v>
      </c>
      <c r="C1263" s="18">
        <v>685059.52</v>
      </c>
      <c r="D1263" s="18">
        <v>2743457.15</v>
      </c>
      <c r="E1263" s="18">
        <v>242.35</v>
      </c>
      <c r="F1263" s="18">
        <v>41989.94</v>
      </c>
      <c r="G1263" s="18">
        <v>135206</v>
      </c>
      <c r="H1263" s="18">
        <f t="shared" si="41"/>
        <v>41981.94</v>
      </c>
      <c r="I1263" s="3"/>
    </row>
    <row r="1264" spans="1:9" s="4" customFormat="1" ht="18" customHeight="1" x14ac:dyDescent="0.55000000000000004">
      <c r="A1264" s="18">
        <v>24.7947053</v>
      </c>
      <c r="B1264" s="18">
        <v>34.830649100000002</v>
      </c>
      <c r="C1264" s="18">
        <v>685056.59</v>
      </c>
      <c r="D1264" s="18">
        <v>2743456.15</v>
      </c>
      <c r="E1264" s="18">
        <v>242.38</v>
      </c>
      <c r="F1264" s="18">
        <v>41993.73</v>
      </c>
      <c r="G1264" s="18">
        <v>135208</v>
      </c>
      <c r="H1264" s="18">
        <f t="shared" si="41"/>
        <v>41985.73</v>
      </c>
      <c r="I1264" s="3"/>
    </row>
    <row r="1265" spans="1:9" s="4" customFormat="1" ht="18" customHeight="1" x14ac:dyDescent="0.55000000000000004">
      <c r="A1265" s="18">
        <v>24.794698199999999</v>
      </c>
      <c r="B1265" s="18">
        <v>34.8306191</v>
      </c>
      <c r="C1265" s="18">
        <v>685053.57</v>
      </c>
      <c r="D1265" s="18">
        <v>2743455.33</v>
      </c>
      <c r="E1265" s="18">
        <v>242.42</v>
      </c>
      <c r="F1265" s="18">
        <v>41995.42</v>
      </c>
      <c r="G1265" s="18">
        <v>135210</v>
      </c>
      <c r="H1265" s="18">
        <f t="shared" si="41"/>
        <v>41987.42</v>
      </c>
      <c r="I1265" s="3"/>
    </row>
    <row r="1266" spans="1:9" s="4" customFormat="1" ht="18" customHeight="1" x14ac:dyDescent="0.55000000000000004">
      <c r="A1266" s="18">
        <v>24.794692600000001</v>
      </c>
      <c r="B1266" s="18">
        <v>34.8305893</v>
      </c>
      <c r="C1266" s="18">
        <v>685050.56</v>
      </c>
      <c r="D1266" s="18">
        <v>2743454.67</v>
      </c>
      <c r="E1266" s="18">
        <v>242.46</v>
      </c>
      <c r="F1266" s="18">
        <v>41997.99</v>
      </c>
      <c r="G1266" s="18">
        <v>135212</v>
      </c>
      <c r="H1266" s="18">
        <f t="shared" si="41"/>
        <v>41989.99</v>
      </c>
      <c r="I1266" s="3"/>
    </row>
    <row r="1267" spans="1:9" s="4" customFormat="1" ht="18" customHeight="1" x14ac:dyDescent="0.55000000000000004">
      <c r="A1267" s="18">
        <v>24.794688099999998</v>
      </c>
      <c r="B1267" s="18">
        <v>34.830559899999997</v>
      </c>
      <c r="C1267" s="18">
        <v>685047.59</v>
      </c>
      <c r="D1267" s="18">
        <v>2743454.13</v>
      </c>
      <c r="E1267" s="18">
        <v>242.51</v>
      </c>
      <c r="F1267" s="18">
        <v>41995.02</v>
      </c>
      <c r="G1267" s="18">
        <v>135214</v>
      </c>
      <c r="H1267" s="18">
        <f t="shared" si="41"/>
        <v>41987.02</v>
      </c>
      <c r="I1267" s="3"/>
    </row>
    <row r="1268" spans="1:9" s="4" customFormat="1" ht="18" customHeight="1" x14ac:dyDescent="0.55000000000000004">
      <c r="A1268" s="18">
        <v>24.794680499999998</v>
      </c>
      <c r="B1268" s="18">
        <v>34.830530600000003</v>
      </c>
      <c r="C1268" s="18">
        <v>685044.65</v>
      </c>
      <c r="D1268" s="18">
        <v>2743453.25</v>
      </c>
      <c r="E1268" s="18">
        <v>242.46</v>
      </c>
      <c r="F1268" s="18">
        <v>41999.1</v>
      </c>
      <c r="G1268" s="18">
        <v>135216</v>
      </c>
      <c r="H1268" s="18">
        <f t="shared" si="41"/>
        <v>41991.1</v>
      </c>
      <c r="I1268" s="3"/>
    </row>
    <row r="1269" spans="1:9" s="4" customFormat="1" ht="18" customHeight="1" x14ac:dyDescent="0.55000000000000004">
      <c r="A1269" s="18">
        <v>24.794674400000002</v>
      </c>
      <c r="B1269" s="18">
        <v>34.830501499999997</v>
      </c>
      <c r="C1269" s="18">
        <v>685041.72</v>
      </c>
      <c r="D1269" s="18">
        <v>2743452.53</v>
      </c>
      <c r="E1269" s="18">
        <v>242.44</v>
      </c>
      <c r="F1269" s="18">
        <v>42000.42</v>
      </c>
      <c r="G1269" s="18">
        <v>135218</v>
      </c>
      <c r="H1269" s="18">
        <f t="shared" si="41"/>
        <v>41992.42</v>
      </c>
      <c r="I1269" s="3"/>
    </row>
    <row r="1270" spans="1:9" s="4" customFormat="1" ht="18" customHeight="1" x14ac:dyDescent="0.55000000000000004">
      <c r="A1270" s="18">
        <v>24.794668999999999</v>
      </c>
      <c r="B1270" s="18">
        <v>34.830471500000002</v>
      </c>
      <c r="C1270" s="18">
        <v>685038.69</v>
      </c>
      <c r="D1270" s="18">
        <v>2743451.89</v>
      </c>
      <c r="E1270" s="18">
        <v>242.41</v>
      </c>
      <c r="F1270" s="18">
        <v>41998.07</v>
      </c>
      <c r="G1270" s="18">
        <v>135220</v>
      </c>
      <c r="H1270" s="18">
        <f t="shared" si="41"/>
        <v>41990.07</v>
      </c>
      <c r="I1270" s="3"/>
    </row>
    <row r="1271" spans="1:9" s="4" customFormat="1" ht="18" customHeight="1" x14ac:dyDescent="0.55000000000000004">
      <c r="A1271" s="18">
        <v>24.794663700000001</v>
      </c>
      <c r="B1271" s="18">
        <v>34.830441</v>
      </c>
      <c r="C1271" s="18">
        <v>685035.61</v>
      </c>
      <c r="D1271" s="18">
        <v>2743451.26</v>
      </c>
      <c r="E1271" s="18">
        <v>242.43</v>
      </c>
      <c r="F1271" s="18">
        <v>41997.18</v>
      </c>
      <c r="G1271" s="18">
        <v>135222</v>
      </c>
      <c r="H1271" s="18">
        <f t="shared" ref="H1271:H1334" si="42">SUM(F1271-8)</f>
        <v>41989.18</v>
      </c>
      <c r="I1271" s="3"/>
    </row>
    <row r="1272" spans="1:9" s="4" customFormat="1" ht="18" customHeight="1" x14ac:dyDescent="0.55000000000000004">
      <c r="A1272" s="18">
        <v>24.794661000000001</v>
      </c>
      <c r="B1272" s="18">
        <v>34.830410499999999</v>
      </c>
      <c r="C1272" s="18">
        <v>685032.53</v>
      </c>
      <c r="D1272" s="18">
        <v>2743450.92</v>
      </c>
      <c r="E1272" s="18">
        <v>242.48</v>
      </c>
      <c r="F1272" s="18">
        <v>41994.8</v>
      </c>
      <c r="G1272" s="18">
        <v>135224</v>
      </c>
      <c r="H1272" s="18">
        <f t="shared" si="42"/>
        <v>41986.8</v>
      </c>
      <c r="I1272" s="3"/>
    </row>
    <row r="1273" spans="1:9" s="4" customFormat="1" ht="18" customHeight="1" x14ac:dyDescent="0.55000000000000004">
      <c r="A1273" s="18">
        <v>24.794658099999999</v>
      </c>
      <c r="B1273" s="18">
        <v>34.830378899999999</v>
      </c>
      <c r="C1273" s="18">
        <v>685029.34</v>
      </c>
      <c r="D1273" s="18">
        <v>2743450.57</v>
      </c>
      <c r="E1273" s="18">
        <v>242.47</v>
      </c>
      <c r="F1273" s="18">
        <v>41998.82</v>
      </c>
      <c r="G1273" s="18">
        <v>135226</v>
      </c>
      <c r="H1273" s="18">
        <f t="shared" si="42"/>
        <v>41990.82</v>
      </c>
      <c r="I1273" s="3"/>
    </row>
    <row r="1274" spans="1:9" s="4" customFormat="1" ht="18" customHeight="1" x14ac:dyDescent="0.55000000000000004">
      <c r="A1274" s="18">
        <v>24.7946569</v>
      </c>
      <c r="B1274" s="18">
        <v>34.830348100000002</v>
      </c>
      <c r="C1274" s="18">
        <v>685026.22</v>
      </c>
      <c r="D1274" s="18">
        <v>2743450.39</v>
      </c>
      <c r="E1274" s="18">
        <v>242.52</v>
      </c>
      <c r="F1274" s="18">
        <v>42001.2</v>
      </c>
      <c r="G1274" s="18">
        <v>135228</v>
      </c>
      <c r="H1274" s="18">
        <f t="shared" si="42"/>
        <v>41993.2</v>
      </c>
      <c r="I1274" s="3"/>
    </row>
    <row r="1275" spans="1:9" s="4" customFormat="1" ht="18" customHeight="1" x14ac:dyDescent="0.55000000000000004">
      <c r="A1275" s="18">
        <v>24.794658200000001</v>
      </c>
      <c r="B1275" s="18">
        <v>34.8303163</v>
      </c>
      <c r="C1275" s="18">
        <v>685023.01</v>
      </c>
      <c r="D1275" s="18">
        <v>2743450.49</v>
      </c>
      <c r="E1275" s="18">
        <v>242.59</v>
      </c>
      <c r="F1275" s="18">
        <v>41997.48</v>
      </c>
      <c r="G1275" s="18">
        <v>135230</v>
      </c>
      <c r="H1275" s="18">
        <f t="shared" si="42"/>
        <v>41989.48</v>
      </c>
      <c r="I1275" s="3"/>
    </row>
    <row r="1276" spans="1:9" s="4" customFormat="1" ht="18" customHeight="1" x14ac:dyDescent="0.55000000000000004">
      <c r="A1276" s="18">
        <v>24.794657900000001</v>
      </c>
      <c r="B1276" s="18">
        <v>34.830285199999999</v>
      </c>
      <c r="C1276" s="18">
        <v>685019.86</v>
      </c>
      <c r="D1276" s="18">
        <v>2743450.41</v>
      </c>
      <c r="E1276" s="18">
        <v>242.55</v>
      </c>
      <c r="F1276" s="18">
        <v>41995.25</v>
      </c>
      <c r="G1276" s="18">
        <v>135232</v>
      </c>
      <c r="H1276" s="18">
        <f t="shared" si="42"/>
        <v>41987.25</v>
      </c>
      <c r="I1276" s="3"/>
    </row>
    <row r="1277" spans="1:9" s="4" customFormat="1" ht="18" customHeight="1" x14ac:dyDescent="0.55000000000000004">
      <c r="A1277" s="18">
        <v>24.7946606</v>
      </c>
      <c r="B1277" s="18">
        <v>34.830255299999997</v>
      </c>
      <c r="C1277" s="18">
        <v>685016.83</v>
      </c>
      <c r="D1277" s="18">
        <v>2743450.68</v>
      </c>
      <c r="E1277" s="18">
        <v>242.61</v>
      </c>
      <c r="F1277" s="18">
        <v>41995.27</v>
      </c>
      <c r="G1277" s="18">
        <v>135234</v>
      </c>
      <c r="H1277" s="18">
        <f t="shared" si="42"/>
        <v>41987.27</v>
      </c>
      <c r="I1277" s="3"/>
    </row>
    <row r="1278" spans="1:9" s="4" customFormat="1" ht="18" customHeight="1" x14ac:dyDescent="0.55000000000000004">
      <c r="A1278" s="18">
        <v>24.794665599999998</v>
      </c>
      <c r="B1278" s="18">
        <v>34.830225499999997</v>
      </c>
      <c r="C1278" s="18">
        <v>685013.81</v>
      </c>
      <c r="D1278" s="18">
        <v>2743451.18</v>
      </c>
      <c r="E1278" s="18">
        <v>242.67</v>
      </c>
      <c r="F1278" s="18">
        <v>41997.62</v>
      </c>
      <c r="G1278" s="18">
        <v>135236</v>
      </c>
      <c r="H1278" s="18">
        <f t="shared" si="42"/>
        <v>41989.62</v>
      </c>
      <c r="I1278" s="3"/>
    </row>
    <row r="1279" spans="1:9" s="4" customFormat="1" ht="18" customHeight="1" x14ac:dyDescent="0.55000000000000004">
      <c r="A1279" s="18">
        <v>24.794666599999999</v>
      </c>
      <c r="B1279" s="18">
        <v>34.830196200000003</v>
      </c>
      <c r="C1279" s="18">
        <v>685010.86</v>
      </c>
      <c r="D1279" s="18">
        <v>2743451.26</v>
      </c>
      <c r="E1279" s="18">
        <v>242.73</v>
      </c>
      <c r="F1279" s="18">
        <v>41995.75</v>
      </c>
      <c r="G1279" s="18">
        <v>135238</v>
      </c>
      <c r="H1279" s="18">
        <f t="shared" si="42"/>
        <v>41987.75</v>
      </c>
      <c r="I1279" s="3"/>
    </row>
    <row r="1280" spans="1:9" s="4" customFormat="1" ht="18" customHeight="1" x14ac:dyDescent="0.55000000000000004">
      <c r="A1280" s="18">
        <v>24.7946688</v>
      </c>
      <c r="B1280" s="18">
        <v>34.830166400000003</v>
      </c>
      <c r="C1280" s="18">
        <v>685007.84</v>
      </c>
      <c r="D1280" s="18">
        <v>2743451.46</v>
      </c>
      <c r="E1280" s="18">
        <v>242.71</v>
      </c>
      <c r="F1280" s="18">
        <v>41994.55</v>
      </c>
      <c r="G1280" s="18">
        <v>135240</v>
      </c>
      <c r="H1280" s="18">
        <f t="shared" si="42"/>
        <v>41986.55</v>
      </c>
      <c r="I1280" s="3"/>
    </row>
    <row r="1281" spans="1:9" s="4" customFormat="1" ht="18" customHeight="1" x14ac:dyDescent="0.55000000000000004">
      <c r="A1281" s="18">
        <v>24.794674700000002</v>
      </c>
      <c r="B1281" s="18">
        <v>34.830137399999998</v>
      </c>
      <c r="C1281" s="18">
        <v>685004.9</v>
      </c>
      <c r="D1281" s="18">
        <v>2743452.07</v>
      </c>
      <c r="E1281" s="18">
        <v>242.7</v>
      </c>
      <c r="F1281" s="18">
        <v>41999.040000000001</v>
      </c>
      <c r="G1281" s="18">
        <v>135242</v>
      </c>
      <c r="H1281" s="18">
        <f t="shared" si="42"/>
        <v>41991.040000000001</v>
      </c>
      <c r="I1281" s="3"/>
    </row>
    <row r="1282" spans="1:9" s="4" customFormat="1" ht="18" customHeight="1" x14ac:dyDescent="0.55000000000000004">
      <c r="A1282" s="18">
        <v>24.794680899999999</v>
      </c>
      <c r="B1282" s="18">
        <v>34.8301078</v>
      </c>
      <c r="C1282" s="18">
        <v>685001.9</v>
      </c>
      <c r="D1282" s="18">
        <v>2743452.72</v>
      </c>
      <c r="E1282" s="18">
        <v>242.66</v>
      </c>
      <c r="F1282" s="18">
        <v>41995.29</v>
      </c>
      <c r="G1282" s="18">
        <v>135244</v>
      </c>
      <c r="H1282" s="18">
        <f t="shared" si="42"/>
        <v>41987.29</v>
      </c>
      <c r="I1282" s="3"/>
    </row>
    <row r="1283" spans="1:9" s="4" customFormat="1" ht="18" customHeight="1" x14ac:dyDescent="0.55000000000000004">
      <c r="A1283" s="18">
        <v>24.794684700000001</v>
      </c>
      <c r="B1283" s="18">
        <v>34.830077899999999</v>
      </c>
      <c r="C1283" s="18">
        <v>684998.87</v>
      </c>
      <c r="D1283" s="18">
        <v>2743453.1</v>
      </c>
      <c r="E1283" s="18">
        <v>242.66</v>
      </c>
      <c r="F1283" s="18">
        <v>41994.68</v>
      </c>
      <c r="G1283" s="18">
        <v>135246</v>
      </c>
      <c r="H1283" s="18">
        <f t="shared" si="42"/>
        <v>41986.68</v>
      </c>
      <c r="I1283" s="3"/>
    </row>
    <row r="1284" spans="1:9" s="4" customFormat="1" ht="18" customHeight="1" x14ac:dyDescent="0.55000000000000004">
      <c r="A1284" s="18">
        <v>24.794690599999999</v>
      </c>
      <c r="B1284" s="18">
        <v>34.830048599999998</v>
      </c>
      <c r="C1284" s="18">
        <v>684995.89</v>
      </c>
      <c r="D1284" s="18">
        <v>2743453.71</v>
      </c>
      <c r="E1284" s="18">
        <v>242.64</v>
      </c>
      <c r="F1284" s="18">
        <v>41993.7</v>
      </c>
      <c r="G1284" s="18">
        <v>135248</v>
      </c>
      <c r="H1284" s="18">
        <f t="shared" si="42"/>
        <v>41985.7</v>
      </c>
      <c r="I1284" s="3"/>
    </row>
    <row r="1285" spans="1:9" s="4" customFormat="1" ht="18" customHeight="1" x14ac:dyDescent="0.55000000000000004">
      <c r="A1285" s="18">
        <v>24.7946986</v>
      </c>
      <c r="B1285" s="18">
        <v>34.830020699999999</v>
      </c>
      <c r="C1285" s="18">
        <v>684993.06</v>
      </c>
      <c r="D1285" s="18">
        <v>2743454.56</v>
      </c>
      <c r="E1285" s="18">
        <v>242.59</v>
      </c>
      <c r="F1285" s="18">
        <v>41993.42</v>
      </c>
      <c r="G1285" s="18">
        <v>135250</v>
      </c>
      <c r="H1285" s="18">
        <f t="shared" si="42"/>
        <v>41985.42</v>
      </c>
      <c r="I1285" s="3"/>
    </row>
    <row r="1286" spans="1:9" s="4" customFormat="1" ht="18" customHeight="1" x14ac:dyDescent="0.55000000000000004">
      <c r="A1286" s="18">
        <v>24.794706300000001</v>
      </c>
      <c r="B1286" s="18">
        <v>34.8299935</v>
      </c>
      <c r="C1286" s="18">
        <v>684990.3</v>
      </c>
      <c r="D1286" s="18">
        <v>2743455.38</v>
      </c>
      <c r="E1286" s="18">
        <v>242.57</v>
      </c>
      <c r="F1286" s="18">
        <v>41995.839999999997</v>
      </c>
      <c r="G1286" s="18">
        <v>135252</v>
      </c>
      <c r="H1286" s="18">
        <f t="shared" si="42"/>
        <v>41987.839999999997</v>
      </c>
      <c r="I1286" s="3"/>
    </row>
    <row r="1287" spans="1:9" s="4" customFormat="1" ht="18" customHeight="1" x14ac:dyDescent="0.55000000000000004">
      <c r="A1287" s="18">
        <v>24.794712499999999</v>
      </c>
      <c r="B1287" s="18">
        <v>34.829964400000001</v>
      </c>
      <c r="C1287" s="18">
        <v>684987.35</v>
      </c>
      <c r="D1287" s="18">
        <v>2743456.02</v>
      </c>
      <c r="E1287" s="18">
        <v>242.51</v>
      </c>
      <c r="F1287" s="18">
        <v>41995.6</v>
      </c>
      <c r="G1287" s="18">
        <v>135254</v>
      </c>
      <c r="H1287" s="18">
        <f t="shared" si="42"/>
        <v>41987.6</v>
      </c>
      <c r="I1287" s="3"/>
    </row>
    <row r="1288" spans="1:9" s="4" customFormat="1" ht="18" customHeight="1" x14ac:dyDescent="0.55000000000000004">
      <c r="A1288" s="18">
        <v>24.794716600000001</v>
      </c>
      <c r="B1288" s="18">
        <v>34.829934799999997</v>
      </c>
      <c r="C1288" s="18">
        <v>684984.35</v>
      </c>
      <c r="D1288" s="18">
        <v>2743456.44</v>
      </c>
      <c r="E1288" s="18">
        <v>242.51</v>
      </c>
      <c r="F1288" s="18">
        <v>41987.54</v>
      </c>
      <c r="G1288" s="18">
        <v>135256</v>
      </c>
      <c r="H1288" s="18">
        <f t="shared" si="42"/>
        <v>41979.54</v>
      </c>
      <c r="I1288" s="3"/>
    </row>
    <row r="1289" spans="1:9" s="4" customFormat="1" ht="18" customHeight="1" x14ac:dyDescent="0.55000000000000004">
      <c r="A1289" s="18">
        <v>24.794719600000001</v>
      </c>
      <c r="B1289" s="18">
        <v>34.8299053</v>
      </c>
      <c r="C1289" s="18">
        <v>684981.37</v>
      </c>
      <c r="D1289" s="18">
        <v>2743456.73</v>
      </c>
      <c r="E1289" s="18">
        <v>242.54</v>
      </c>
      <c r="F1289" s="18">
        <v>41997.22</v>
      </c>
      <c r="G1289" s="18">
        <v>135258</v>
      </c>
      <c r="H1289" s="18">
        <f t="shared" si="42"/>
        <v>41989.22</v>
      </c>
      <c r="I1289" s="3"/>
    </row>
    <row r="1290" spans="1:9" s="4" customFormat="1" ht="18" customHeight="1" x14ac:dyDescent="0.55000000000000004">
      <c r="A1290" s="18">
        <v>24.794724599999999</v>
      </c>
      <c r="B1290" s="18">
        <v>34.8298773</v>
      </c>
      <c r="C1290" s="18">
        <v>684978.53</v>
      </c>
      <c r="D1290" s="18">
        <v>2743457.25</v>
      </c>
      <c r="E1290" s="18">
        <v>242.49</v>
      </c>
      <c r="F1290" s="18">
        <v>42002.34</v>
      </c>
      <c r="G1290" s="18">
        <v>135300</v>
      </c>
      <c r="H1290" s="18">
        <f t="shared" si="42"/>
        <v>41994.34</v>
      </c>
      <c r="I1290" s="3"/>
    </row>
    <row r="1291" spans="1:9" s="4" customFormat="1" ht="18" customHeight="1" x14ac:dyDescent="0.55000000000000004">
      <c r="A1291" s="18">
        <v>24.794728800000001</v>
      </c>
      <c r="B1291" s="18">
        <v>34.829847399999998</v>
      </c>
      <c r="C1291" s="18">
        <v>684975.5</v>
      </c>
      <c r="D1291" s="18">
        <v>2743457.67</v>
      </c>
      <c r="E1291" s="18">
        <v>242.49</v>
      </c>
      <c r="F1291" s="18">
        <v>42002.86</v>
      </c>
      <c r="G1291" s="18">
        <v>135302</v>
      </c>
      <c r="H1291" s="18">
        <f t="shared" si="42"/>
        <v>41994.86</v>
      </c>
      <c r="I1291" s="3"/>
    </row>
    <row r="1292" spans="1:9" s="4" customFormat="1" ht="18" customHeight="1" x14ac:dyDescent="0.55000000000000004">
      <c r="A1292" s="18">
        <v>24.794730600000001</v>
      </c>
      <c r="B1292" s="18">
        <v>34.829819100000002</v>
      </c>
      <c r="C1292" s="18">
        <v>684972.63</v>
      </c>
      <c r="D1292" s="18">
        <v>2743457.83</v>
      </c>
      <c r="E1292" s="18">
        <v>242.51</v>
      </c>
      <c r="F1292" s="18">
        <v>42002.15</v>
      </c>
      <c r="G1292" s="18">
        <v>135304</v>
      </c>
      <c r="H1292" s="18">
        <f t="shared" si="42"/>
        <v>41994.15</v>
      </c>
      <c r="I1292" s="3"/>
    </row>
    <row r="1293" spans="1:9" s="4" customFormat="1" ht="18" customHeight="1" x14ac:dyDescent="0.55000000000000004">
      <c r="A1293" s="18">
        <v>24.794732199999999</v>
      </c>
      <c r="B1293" s="18">
        <v>34.829791200000003</v>
      </c>
      <c r="C1293" s="18">
        <v>684969.81</v>
      </c>
      <c r="D1293" s="18">
        <v>2743457.98</v>
      </c>
      <c r="E1293" s="18">
        <v>242.63</v>
      </c>
      <c r="F1293" s="18">
        <v>41999.39</v>
      </c>
      <c r="G1293" s="18">
        <v>135306</v>
      </c>
      <c r="H1293" s="18">
        <f t="shared" si="42"/>
        <v>41991.39</v>
      </c>
      <c r="I1293" s="3"/>
    </row>
    <row r="1294" spans="1:9" s="4" customFormat="1" ht="18" customHeight="1" x14ac:dyDescent="0.55000000000000004">
      <c r="A1294" s="18">
        <v>24.794731800000001</v>
      </c>
      <c r="B1294" s="18">
        <v>34.829761599999998</v>
      </c>
      <c r="C1294" s="18">
        <v>684966.82</v>
      </c>
      <c r="D1294" s="18">
        <v>2743457.89</v>
      </c>
      <c r="E1294" s="18">
        <v>242.63</v>
      </c>
      <c r="F1294" s="18">
        <v>41994.96</v>
      </c>
      <c r="G1294" s="18">
        <v>135308</v>
      </c>
      <c r="H1294" s="18">
        <f t="shared" si="42"/>
        <v>41986.96</v>
      </c>
      <c r="I1294" s="3"/>
    </row>
    <row r="1295" spans="1:9" s="4" customFormat="1" ht="18" customHeight="1" x14ac:dyDescent="0.55000000000000004">
      <c r="A1295" s="18">
        <v>24.794728899999999</v>
      </c>
      <c r="B1295" s="18">
        <v>34.829733400000002</v>
      </c>
      <c r="C1295" s="18">
        <v>684963.96</v>
      </c>
      <c r="D1295" s="18">
        <v>2743457.53</v>
      </c>
      <c r="E1295" s="18">
        <v>242.65</v>
      </c>
      <c r="F1295" s="18">
        <v>41994.83</v>
      </c>
      <c r="G1295" s="18">
        <v>135310</v>
      </c>
      <c r="H1295" s="18">
        <f t="shared" si="42"/>
        <v>41986.83</v>
      </c>
      <c r="I1295" s="3"/>
    </row>
    <row r="1296" spans="1:9" s="4" customFormat="1" ht="18" customHeight="1" x14ac:dyDescent="0.55000000000000004">
      <c r="A1296" s="18">
        <v>24.794726199999999</v>
      </c>
      <c r="B1296" s="18">
        <v>34.829704499999998</v>
      </c>
      <c r="C1296" s="18">
        <v>684961.06</v>
      </c>
      <c r="D1296" s="18">
        <v>2743457.19</v>
      </c>
      <c r="E1296" s="18">
        <v>242.59</v>
      </c>
      <c r="F1296" s="18">
        <v>41999.16</v>
      </c>
      <c r="G1296" s="18">
        <v>135312</v>
      </c>
      <c r="H1296" s="18">
        <f t="shared" si="42"/>
        <v>41991.16</v>
      </c>
      <c r="I1296" s="3"/>
    </row>
    <row r="1297" spans="1:9" s="4" customFormat="1" ht="18" customHeight="1" x14ac:dyDescent="0.55000000000000004">
      <c r="A1297" s="18">
        <v>24.794722</v>
      </c>
      <c r="B1297" s="18">
        <v>34.829674799999999</v>
      </c>
      <c r="C1297" s="18">
        <v>684958.05</v>
      </c>
      <c r="D1297" s="18">
        <v>2743456.69</v>
      </c>
      <c r="E1297" s="18">
        <v>242.6</v>
      </c>
      <c r="F1297" s="18">
        <v>42003.09</v>
      </c>
      <c r="G1297" s="18">
        <v>135314</v>
      </c>
      <c r="H1297" s="18">
        <f t="shared" si="42"/>
        <v>41995.09</v>
      </c>
      <c r="I1297" s="3"/>
    </row>
    <row r="1298" spans="1:9" s="4" customFormat="1" ht="18" customHeight="1" x14ac:dyDescent="0.55000000000000004">
      <c r="A1298" s="18">
        <v>24.794717800000001</v>
      </c>
      <c r="B1298" s="18">
        <v>34.829645399999997</v>
      </c>
      <c r="C1298" s="18">
        <v>684955.09</v>
      </c>
      <c r="D1298" s="18">
        <v>2743456.18</v>
      </c>
      <c r="E1298" s="18">
        <v>242.62</v>
      </c>
      <c r="F1298" s="18">
        <v>42002.23</v>
      </c>
      <c r="G1298" s="18">
        <v>135316</v>
      </c>
      <c r="H1298" s="18">
        <f t="shared" si="42"/>
        <v>41994.23</v>
      </c>
      <c r="I1298" s="3"/>
    </row>
    <row r="1299" spans="1:9" s="4" customFormat="1" ht="18" customHeight="1" x14ac:dyDescent="0.55000000000000004">
      <c r="A1299" s="18">
        <v>24.794722</v>
      </c>
      <c r="B1299" s="18">
        <v>34.829619800000003</v>
      </c>
      <c r="C1299" s="18">
        <v>684952.49</v>
      </c>
      <c r="D1299" s="18">
        <v>2743456.61</v>
      </c>
      <c r="E1299" s="18">
        <v>242.76</v>
      </c>
      <c r="F1299" s="18">
        <v>42006.11</v>
      </c>
      <c r="G1299" s="18">
        <v>135318</v>
      </c>
      <c r="H1299" s="18">
        <f t="shared" si="42"/>
        <v>41998.11</v>
      </c>
      <c r="I1299" s="3"/>
    </row>
    <row r="1300" spans="1:9" s="4" customFormat="1" ht="18" customHeight="1" x14ac:dyDescent="0.55000000000000004">
      <c r="A1300" s="18">
        <v>24.794738599999999</v>
      </c>
      <c r="B1300" s="18">
        <v>34.8295964</v>
      </c>
      <c r="C1300" s="18">
        <v>684950.11</v>
      </c>
      <c r="D1300" s="18">
        <v>2743458.42</v>
      </c>
      <c r="E1300" s="18">
        <v>242.73</v>
      </c>
      <c r="F1300" s="18">
        <v>42000.88</v>
      </c>
      <c r="G1300" s="18">
        <v>135320</v>
      </c>
      <c r="H1300" s="18">
        <f t="shared" si="42"/>
        <v>41992.88</v>
      </c>
      <c r="I1300" s="3"/>
    </row>
    <row r="1301" spans="1:9" s="4" customFormat="1" ht="18" customHeight="1" x14ac:dyDescent="0.55000000000000004">
      <c r="A1301" s="18">
        <v>24.7947436</v>
      </c>
      <c r="B1301" s="18">
        <v>34.8295678</v>
      </c>
      <c r="C1301" s="18">
        <v>684947.2</v>
      </c>
      <c r="D1301" s="18">
        <v>2743458.93</v>
      </c>
      <c r="E1301" s="18">
        <v>242.76</v>
      </c>
      <c r="F1301" s="18">
        <v>42003.13</v>
      </c>
      <c r="G1301" s="18">
        <v>135322</v>
      </c>
      <c r="H1301" s="18">
        <f t="shared" si="42"/>
        <v>41995.13</v>
      </c>
      <c r="I1301" s="3"/>
    </row>
    <row r="1302" spans="1:9" s="4" customFormat="1" ht="18" customHeight="1" x14ac:dyDescent="0.55000000000000004">
      <c r="A1302" s="18">
        <v>24.7947451</v>
      </c>
      <c r="B1302" s="18">
        <v>34.829535999999997</v>
      </c>
      <c r="C1302" s="18">
        <v>684943.98</v>
      </c>
      <c r="D1302" s="18">
        <v>2743459.05</v>
      </c>
      <c r="E1302" s="18">
        <v>242.74</v>
      </c>
      <c r="F1302" s="18">
        <v>42006.06</v>
      </c>
      <c r="G1302" s="18">
        <v>135324</v>
      </c>
      <c r="H1302" s="18">
        <f t="shared" si="42"/>
        <v>41998.06</v>
      </c>
      <c r="I1302" s="3"/>
    </row>
    <row r="1303" spans="1:9" s="4" customFormat="1" ht="18" customHeight="1" x14ac:dyDescent="0.55000000000000004">
      <c r="A1303" s="18">
        <v>24.7947457</v>
      </c>
      <c r="B1303" s="18">
        <v>34.829506299999998</v>
      </c>
      <c r="C1303" s="18">
        <v>684940.98</v>
      </c>
      <c r="D1303" s="18">
        <v>2743459.08</v>
      </c>
      <c r="E1303" s="18">
        <v>242.75</v>
      </c>
      <c r="F1303" s="18">
        <v>42003.76</v>
      </c>
      <c r="G1303" s="18">
        <v>135326</v>
      </c>
      <c r="H1303" s="18">
        <f t="shared" si="42"/>
        <v>41995.76</v>
      </c>
      <c r="I1303" s="3"/>
    </row>
    <row r="1304" spans="1:9" s="4" customFormat="1" ht="18" customHeight="1" x14ac:dyDescent="0.55000000000000004">
      <c r="A1304" s="18">
        <v>24.794746199999999</v>
      </c>
      <c r="B1304" s="18">
        <v>34.829476100000001</v>
      </c>
      <c r="C1304" s="18">
        <v>684937.93</v>
      </c>
      <c r="D1304" s="18">
        <v>2743459.1</v>
      </c>
      <c r="E1304" s="18">
        <v>242.8</v>
      </c>
      <c r="F1304" s="18">
        <v>42002.54</v>
      </c>
      <c r="G1304" s="18">
        <v>135328</v>
      </c>
      <c r="H1304" s="18">
        <f t="shared" si="42"/>
        <v>41994.54</v>
      </c>
      <c r="I1304" s="3"/>
    </row>
    <row r="1305" spans="1:9" s="4" customFormat="1" ht="18" customHeight="1" x14ac:dyDescent="0.55000000000000004">
      <c r="A1305" s="18">
        <v>24.7947472</v>
      </c>
      <c r="B1305" s="18">
        <v>34.8294462</v>
      </c>
      <c r="C1305" s="18">
        <v>684934.91</v>
      </c>
      <c r="D1305" s="18">
        <v>2743459.17</v>
      </c>
      <c r="E1305" s="18">
        <v>242.83</v>
      </c>
      <c r="F1305" s="18">
        <v>42001.9</v>
      </c>
      <c r="G1305" s="18">
        <v>135330</v>
      </c>
      <c r="H1305" s="18">
        <f t="shared" si="42"/>
        <v>41993.9</v>
      </c>
      <c r="I1305" s="3"/>
    </row>
    <row r="1306" spans="1:9" s="4" customFormat="1" ht="18" customHeight="1" x14ac:dyDescent="0.55000000000000004">
      <c r="A1306" s="18">
        <v>24.794749400000001</v>
      </c>
      <c r="B1306" s="18">
        <v>34.829417100000001</v>
      </c>
      <c r="C1306" s="18">
        <v>684931.95</v>
      </c>
      <c r="D1306" s="18">
        <v>2743459.38</v>
      </c>
      <c r="E1306" s="18">
        <v>242.87</v>
      </c>
      <c r="F1306" s="18">
        <v>41999.64</v>
      </c>
      <c r="G1306" s="18">
        <v>135332</v>
      </c>
      <c r="H1306" s="18">
        <f t="shared" si="42"/>
        <v>41991.64</v>
      </c>
      <c r="I1306" s="3"/>
    </row>
    <row r="1307" spans="1:9" s="4" customFormat="1" ht="18" customHeight="1" x14ac:dyDescent="0.55000000000000004">
      <c r="A1307" s="18">
        <v>24.7947487</v>
      </c>
      <c r="B1307" s="18">
        <v>34.829388700000003</v>
      </c>
      <c r="C1307" s="18">
        <v>684929.09</v>
      </c>
      <c r="D1307" s="18">
        <v>2743459.25</v>
      </c>
      <c r="E1307" s="18">
        <v>242.92</v>
      </c>
      <c r="F1307" s="18">
        <v>42000.25</v>
      </c>
      <c r="G1307" s="18">
        <v>135334</v>
      </c>
      <c r="H1307" s="18">
        <f t="shared" si="42"/>
        <v>41992.25</v>
      </c>
      <c r="I1307" s="3"/>
    </row>
    <row r="1308" spans="1:9" s="4" customFormat="1" ht="18" customHeight="1" x14ac:dyDescent="0.55000000000000004">
      <c r="A1308" s="18">
        <v>24.794746799999999</v>
      </c>
      <c r="B1308" s="18">
        <v>34.829362699999997</v>
      </c>
      <c r="C1308" s="18">
        <v>684926.46</v>
      </c>
      <c r="D1308" s="18">
        <v>2743459.01</v>
      </c>
      <c r="E1308" s="18">
        <v>242.83</v>
      </c>
      <c r="F1308" s="18">
        <v>42004.23</v>
      </c>
      <c r="G1308" s="18">
        <v>135336</v>
      </c>
      <c r="H1308" s="18">
        <f t="shared" si="42"/>
        <v>41996.23</v>
      </c>
      <c r="I1308" s="3"/>
    </row>
    <row r="1309" spans="1:9" s="4" customFormat="1" ht="18" customHeight="1" x14ac:dyDescent="0.55000000000000004">
      <c r="A1309" s="18">
        <v>24.794747000000001</v>
      </c>
      <c r="B1309" s="18">
        <v>34.829333099999999</v>
      </c>
      <c r="C1309" s="18">
        <v>684923.46</v>
      </c>
      <c r="D1309" s="18">
        <v>2743458.99</v>
      </c>
      <c r="E1309" s="18">
        <v>242.8</v>
      </c>
      <c r="F1309" s="18">
        <v>42005.22</v>
      </c>
      <c r="G1309" s="18">
        <v>135338</v>
      </c>
      <c r="H1309" s="18">
        <f t="shared" si="42"/>
        <v>41997.22</v>
      </c>
      <c r="I1309" s="3"/>
    </row>
    <row r="1310" spans="1:9" s="4" customFormat="1" ht="18" customHeight="1" x14ac:dyDescent="0.55000000000000004">
      <c r="A1310" s="18">
        <v>24.794745899999999</v>
      </c>
      <c r="B1310" s="18">
        <v>34.829302400000003</v>
      </c>
      <c r="C1310" s="18">
        <v>684920.36</v>
      </c>
      <c r="D1310" s="18">
        <v>2743458.83</v>
      </c>
      <c r="E1310" s="18">
        <v>242.78</v>
      </c>
      <c r="F1310" s="18">
        <v>42003.01</v>
      </c>
      <c r="G1310" s="18">
        <v>135340</v>
      </c>
      <c r="H1310" s="18">
        <f t="shared" si="42"/>
        <v>41995.01</v>
      </c>
      <c r="I1310" s="3"/>
    </row>
    <row r="1311" spans="1:9" s="4" customFormat="1" ht="18" customHeight="1" x14ac:dyDescent="0.55000000000000004">
      <c r="A1311" s="18">
        <v>24.7947439</v>
      </c>
      <c r="B1311" s="18">
        <v>34.829272899999999</v>
      </c>
      <c r="C1311" s="18">
        <v>684917.38</v>
      </c>
      <c r="D1311" s="18">
        <v>2743458.57</v>
      </c>
      <c r="E1311" s="18">
        <v>242.83</v>
      </c>
      <c r="F1311" s="18">
        <v>42004.52</v>
      </c>
      <c r="G1311" s="18">
        <v>135342</v>
      </c>
      <c r="H1311" s="18">
        <f t="shared" si="42"/>
        <v>41996.52</v>
      </c>
      <c r="I1311" s="3"/>
    </row>
    <row r="1312" spans="1:9" s="4" customFormat="1" ht="18" customHeight="1" x14ac:dyDescent="0.55000000000000004">
      <c r="A1312" s="18">
        <v>24.7947405</v>
      </c>
      <c r="B1312" s="18">
        <v>34.829242399999998</v>
      </c>
      <c r="C1312" s="18">
        <v>684914.31</v>
      </c>
      <c r="D1312" s="18">
        <v>2743458.15</v>
      </c>
      <c r="E1312" s="18">
        <v>242.87</v>
      </c>
      <c r="F1312" s="18">
        <v>42006.559999999998</v>
      </c>
      <c r="G1312" s="18">
        <v>135344</v>
      </c>
      <c r="H1312" s="18">
        <f t="shared" si="42"/>
        <v>41998.559999999998</v>
      </c>
      <c r="I1312" s="3"/>
    </row>
    <row r="1313" spans="1:9" s="4" customFormat="1" ht="18" customHeight="1" x14ac:dyDescent="0.55000000000000004">
      <c r="A1313" s="18">
        <v>24.794737399999999</v>
      </c>
      <c r="B1313" s="18">
        <v>34.829211700000002</v>
      </c>
      <c r="C1313" s="18">
        <v>684911.21</v>
      </c>
      <c r="D1313" s="18">
        <v>2743457.77</v>
      </c>
      <c r="E1313" s="18">
        <v>242.89</v>
      </c>
      <c r="F1313" s="18">
        <v>42006</v>
      </c>
      <c r="G1313" s="18">
        <v>135346</v>
      </c>
      <c r="H1313" s="18">
        <f t="shared" si="42"/>
        <v>41998</v>
      </c>
      <c r="I1313" s="3"/>
    </row>
    <row r="1314" spans="1:9" s="4" customFormat="1" ht="18" customHeight="1" x14ac:dyDescent="0.55000000000000004">
      <c r="A1314" s="18">
        <v>24.794735200000002</v>
      </c>
      <c r="B1314" s="18">
        <v>34.829181200000001</v>
      </c>
      <c r="C1314" s="18">
        <v>684908.13</v>
      </c>
      <c r="D1314" s="18">
        <v>2743457.48</v>
      </c>
      <c r="E1314" s="18">
        <v>242.86</v>
      </c>
      <c r="F1314" s="18">
        <v>42007.199999999997</v>
      </c>
      <c r="G1314" s="18">
        <v>135348</v>
      </c>
      <c r="H1314" s="18">
        <f t="shared" si="42"/>
        <v>41999.199999999997</v>
      </c>
      <c r="I1314" s="3"/>
    </row>
    <row r="1315" spans="1:9" s="4" customFormat="1" ht="18" customHeight="1" x14ac:dyDescent="0.55000000000000004">
      <c r="A1315" s="18">
        <v>24.794733399999998</v>
      </c>
      <c r="B1315" s="18">
        <v>34.829151799999998</v>
      </c>
      <c r="C1315" s="18">
        <v>684905.16</v>
      </c>
      <c r="D1315" s="18">
        <v>2743457.24</v>
      </c>
      <c r="E1315" s="18">
        <v>242.85</v>
      </c>
      <c r="F1315" s="18">
        <v>42007.57</v>
      </c>
      <c r="G1315" s="18">
        <v>135350</v>
      </c>
      <c r="H1315" s="18">
        <f t="shared" si="42"/>
        <v>41999.57</v>
      </c>
      <c r="I1315" s="3"/>
    </row>
    <row r="1316" spans="1:9" s="4" customFormat="1" ht="18" customHeight="1" x14ac:dyDescent="0.55000000000000004">
      <c r="A1316" s="18">
        <v>24.794728800000001</v>
      </c>
      <c r="B1316" s="18">
        <v>34.829122599999998</v>
      </c>
      <c r="C1316" s="18">
        <v>684902.21</v>
      </c>
      <c r="D1316" s="18">
        <v>2743456.7</v>
      </c>
      <c r="E1316" s="18">
        <v>242.85</v>
      </c>
      <c r="F1316" s="18">
        <v>42011.74</v>
      </c>
      <c r="G1316" s="18">
        <v>135352</v>
      </c>
      <c r="H1316" s="18">
        <f t="shared" si="42"/>
        <v>42003.74</v>
      </c>
      <c r="I1316" s="3"/>
    </row>
    <row r="1317" spans="1:9" s="4" customFormat="1" ht="18" customHeight="1" x14ac:dyDescent="0.55000000000000004">
      <c r="A1317" s="18">
        <v>24.794726099999998</v>
      </c>
      <c r="B1317" s="18">
        <v>34.829092699999997</v>
      </c>
      <c r="C1317" s="18">
        <v>684899.19</v>
      </c>
      <c r="D1317" s="18">
        <v>2743456.35</v>
      </c>
      <c r="E1317" s="18">
        <v>242.83</v>
      </c>
      <c r="F1317" s="18">
        <v>42012.69</v>
      </c>
      <c r="G1317" s="18">
        <v>135354</v>
      </c>
      <c r="H1317" s="18">
        <f t="shared" si="42"/>
        <v>42004.69</v>
      </c>
      <c r="I1317" s="3"/>
    </row>
    <row r="1318" spans="1:9" s="4" customFormat="1" ht="18" customHeight="1" x14ac:dyDescent="0.55000000000000004">
      <c r="A1318" s="18">
        <v>24.7947214</v>
      </c>
      <c r="B1318" s="18">
        <v>34.8290632</v>
      </c>
      <c r="C1318" s="18">
        <v>684896.21</v>
      </c>
      <c r="D1318" s="18">
        <v>2743455.79</v>
      </c>
      <c r="E1318" s="18">
        <v>242.84</v>
      </c>
      <c r="F1318" s="18">
        <v>42026.36</v>
      </c>
      <c r="G1318" s="18">
        <v>135356</v>
      </c>
      <c r="H1318" s="18">
        <f t="shared" si="42"/>
        <v>42018.36</v>
      </c>
      <c r="I1318" s="3"/>
    </row>
    <row r="1319" spans="1:9" s="4" customFormat="1" ht="18" customHeight="1" x14ac:dyDescent="0.55000000000000004">
      <c r="A1319" s="18">
        <v>24.7947171</v>
      </c>
      <c r="B1319" s="18">
        <v>34.829033799999998</v>
      </c>
      <c r="C1319" s="18">
        <v>684893.25</v>
      </c>
      <c r="D1319" s="18">
        <v>2743455.28</v>
      </c>
      <c r="E1319" s="18">
        <v>242.88</v>
      </c>
      <c r="F1319" s="18">
        <v>42008.56</v>
      </c>
      <c r="G1319" s="18">
        <v>135358</v>
      </c>
      <c r="H1319" s="18">
        <f t="shared" si="42"/>
        <v>42000.56</v>
      </c>
      <c r="I1319" s="3"/>
    </row>
    <row r="1320" spans="1:9" s="4" customFormat="1" ht="18" customHeight="1" x14ac:dyDescent="0.55000000000000004">
      <c r="A1320" s="18">
        <v>24.794716099999999</v>
      </c>
      <c r="B1320" s="18">
        <v>34.829005299999999</v>
      </c>
      <c r="C1320" s="18">
        <v>684890.37</v>
      </c>
      <c r="D1320" s="18">
        <v>2743455.12</v>
      </c>
      <c r="E1320" s="18">
        <v>242.92</v>
      </c>
      <c r="F1320" s="18">
        <v>42005.27</v>
      </c>
      <c r="G1320" s="18">
        <v>135400</v>
      </c>
      <c r="H1320" s="18">
        <f t="shared" si="42"/>
        <v>41997.27</v>
      </c>
      <c r="I1320" s="3"/>
    </row>
    <row r="1321" spans="1:9" s="4" customFormat="1" ht="18" customHeight="1" x14ac:dyDescent="0.55000000000000004">
      <c r="A1321" s="18">
        <v>24.794712000000001</v>
      </c>
      <c r="B1321" s="18">
        <v>34.828974799999997</v>
      </c>
      <c r="C1321" s="18">
        <v>684887.29</v>
      </c>
      <c r="D1321" s="18">
        <v>2743454.64</v>
      </c>
      <c r="E1321" s="18">
        <v>242.92</v>
      </c>
      <c r="F1321" s="18">
        <v>42001.1</v>
      </c>
      <c r="G1321" s="18">
        <v>135402</v>
      </c>
      <c r="H1321" s="18">
        <f t="shared" si="42"/>
        <v>41993.1</v>
      </c>
      <c r="I1321" s="3"/>
    </row>
    <row r="1322" spans="1:9" s="4" customFormat="1" ht="18" customHeight="1" x14ac:dyDescent="0.55000000000000004">
      <c r="A1322" s="18">
        <v>24.7947107</v>
      </c>
      <c r="B1322" s="18">
        <v>34.828945300000001</v>
      </c>
      <c r="C1322" s="18">
        <v>684884.31</v>
      </c>
      <c r="D1322" s="18">
        <v>2743454.44</v>
      </c>
      <c r="E1322" s="18">
        <v>242.91</v>
      </c>
      <c r="F1322" s="18">
        <v>42006.52</v>
      </c>
      <c r="G1322" s="18">
        <v>135404</v>
      </c>
      <c r="H1322" s="18">
        <f t="shared" si="42"/>
        <v>41998.52</v>
      </c>
      <c r="I1322" s="3"/>
    </row>
    <row r="1323" spans="1:9" s="4" customFormat="1" ht="18" customHeight="1" x14ac:dyDescent="0.55000000000000004">
      <c r="A1323" s="18">
        <v>24.794710200000001</v>
      </c>
      <c r="B1323" s="18">
        <v>34.828913999999997</v>
      </c>
      <c r="C1323" s="18">
        <v>684881.15</v>
      </c>
      <c r="D1323" s="18">
        <v>2743454.35</v>
      </c>
      <c r="E1323" s="18">
        <v>242.86</v>
      </c>
      <c r="F1323" s="18">
        <v>42006.06</v>
      </c>
      <c r="G1323" s="18">
        <v>135406</v>
      </c>
      <c r="H1323" s="18">
        <f t="shared" si="42"/>
        <v>41998.06</v>
      </c>
      <c r="I1323" s="3"/>
    </row>
    <row r="1324" spans="1:9" s="4" customFormat="1" ht="18" customHeight="1" x14ac:dyDescent="0.55000000000000004">
      <c r="A1324" s="18">
        <v>24.794709900000001</v>
      </c>
      <c r="B1324" s="18">
        <v>34.828884299999999</v>
      </c>
      <c r="C1324" s="18">
        <v>684878.14</v>
      </c>
      <c r="D1324" s="18">
        <v>2743454.27</v>
      </c>
      <c r="E1324" s="18">
        <v>242.84</v>
      </c>
      <c r="F1324" s="18">
        <v>42003.47</v>
      </c>
      <c r="G1324" s="18">
        <v>135408</v>
      </c>
      <c r="H1324" s="18">
        <f t="shared" si="42"/>
        <v>41995.47</v>
      </c>
      <c r="I1324" s="3"/>
    </row>
    <row r="1325" spans="1:9" s="4" customFormat="1" ht="18" customHeight="1" x14ac:dyDescent="0.55000000000000004">
      <c r="A1325" s="18">
        <v>24.794712700000002</v>
      </c>
      <c r="B1325" s="18">
        <v>34.828854100000001</v>
      </c>
      <c r="C1325" s="18">
        <v>684875.08</v>
      </c>
      <c r="D1325" s="18">
        <v>2743454.55</v>
      </c>
      <c r="E1325" s="18">
        <v>242.92</v>
      </c>
      <c r="F1325" s="18">
        <v>42005.7</v>
      </c>
      <c r="G1325" s="18">
        <v>135410</v>
      </c>
      <c r="H1325" s="18">
        <f t="shared" si="42"/>
        <v>41997.7</v>
      </c>
      <c r="I1325" s="3"/>
    </row>
    <row r="1326" spans="1:9" s="4" customFormat="1" ht="18" customHeight="1" x14ac:dyDescent="0.55000000000000004">
      <c r="A1326" s="18">
        <v>24.794714899999999</v>
      </c>
      <c r="B1326" s="18">
        <v>34.828823900000003</v>
      </c>
      <c r="C1326" s="18">
        <v>684872.03</v>
      </c>
      <c r="D1326" s="18">
        <v>2743454.75</v>
      </c>
      <c r="E1326" s="18">
        <v>242.97</v>
      </c>
      <c r="F1326" s="18">
        <v>42003.71</v>
      </c>
      <c r="G1326" s="18">
        <v>135412</v>
      </c>
      <c r="H1326" s="18">
        <f t="shared" si="42"/>
        <v>41995.71</v>
      </c>
      <c r="I1326" s="3"/>
    </row>
    <row r="1327" spans="1:9" s="4" customFormat="1" ht="18" customHeight="1" x14ac:dyDescent="0.55000000000000004">
      <c r="A1327" s="18">
        <v>24.794719600000001</v>
      </c>
      <c r="B1327" s="18">
        <v>34.828794500000001</v>
      </c>
      <c r="C1327" s="18">
        <v>684869.05</v>
      </c>
      <c r="D1327" s="18">
        <v>2743455.23</v>
      </c>
      <c r="E1327" s="18">
        <v>243.03</v>
      </c>
      <c r="F1327" s="18">
        <v>42002.27</v>
      </c>
      <c r="G1327" s="18">
        <v>135414</v>
      </c>
      <c r="H1327" s="18">
        <f t="shared" si="42"/>
        <v>41994.27</v>
      </c>
      <c r="I1327" s="3"/>
    </row>
    <row r="1328" spans="1:9" s="4" customFormat="1" ht="18" customHeight="1" x14ac:dyDescent="0.55000000000000004">
      <c r="A1328" s="18">
        <v>24.794726199999999</v>
      </c>
      <c r="B1328" s="18">
        <v>34.828764800000002</v>
      </c>
      <c r="C1328" s="18">
        <v>684866.03</v>
      </c>
      <c r="D1328" s="18">
        <v>2743455.91</v>
      </c>
      <c r="E1328" s="18">
        <v>243.07</v>
      </c>
      <c r="F1328" s="18">
        <v>42003.83</v>
      </c>
      <c r="G1328" s="18">
        <v>135416</v>
      </c>
      <c r="H1328" s="18">
        <f t="shared" si="42"/>
        <v>41995.83</v>
      </c>
      <c r="I1328" s="3"/>
    </row>
    <row r="1329" spans="1:9" s="4" customFormat="1" ht="18" customHeight="1" x14ac:dyDescent="0.55000000000000004">
      <c r="A1329" s="18">
        <v>24.794737000000001</v>
      </c>
      <c r="B1329" s="18">
        <v>34.828735600000002</v>
      </c>
      <c r="C1329" s="18">
        <v>684863.06</v>
      </c>
      <c r="D1329" s="18">
        <v>2743457.08</v>
      </c>
      <c r="E1329" s="18">
        <v>243.18</v>
      </c>
      <c r="F1329" s="18">
        <v>42003.09</v>
      </c>
      <c r="G1329" s="18">
        <v>135418</v>
      </c>
      <c r="H1329" s="18">
        <f t="shared" si="42"/>
        <v>41995.09</v>
      </c>
      <c r="I1329" s="3"/>
    </row>
    <row r="1330" spans="1:9" s="4" customFormat="1" ht="18" customHeight="1" x14ac:dyDescent="0.55000000000000004">
      <c r="A1330" s="18">
        <v>24.794752200000001</v>
      </c>
      <c r="B1330" s="18">
        <v>34.828714499999997</v>
      </c>
      <c r="C1330" s="18">
        <v>684860.91</v>
      </c>
      <c r="D1330" s="18">
        <v>2743458.73</v>
      </c>
      <c r="E1330" s="18">
        <v>243.19</v>
      </c>
      <c r="F1330" s="18">
        <v>41998.3</v>
      </c>
      <c r="G1330" s="18">
        <v>135420</v>
      </c>
      <c r="H1330" s="18">
        <f t="shared" si="42"/>
        <v>41990.3</v>
      </c>
      <c r="I1330" s="3"/>
    </row>
    <row r="1331" spans="1:9" s="4" customFormat="1" ht="18" customHeight="1" x14ac:dyDescent="0.55000000000000004">
      <c r="A1331" s="18">
        <v>24.794760700000001</v>
      </c>
      <c r="B1331" s="18">
        <v>34.8286862</v>
      </c>
      <c r="C1331" s="18">
        <v>684858.03</v>
      </c>
      <c r="D1331" s="18">
        <v>2743459.64</v>
      </c>
      <c r="E1331" s="18">
        <v>243.22</v>
      </c>
      <c r="F1331" s="18">
        <v>41996.480000000003</v>
      </c>
      <c r="G1331" s="18">
        <v>135422</v>
      </c>
      <c r="H1331" s="18">
        <f t="shared" si="42"/>
        <v>41988.480000000003</v>
      </c>
      <c r="I1331" s="3"/>
    </row>
    <row r="1332" spans="1:9" s="4" customFormat="1" ht="18" customHeight="1" x14ac:dyDescent="0.55000000000000004">
      <c r="A1332" s="18">
        <v>24.794765900000002</v>
      </c>
      <c r="B1332" s="18">
        <v>34.828657499999998</v>
      </c>
      <c r="C1332" s="18">
        <v>684855.13</v>
      </c>
      <c r="D1332" s="18">
        <v>2743460.17</v>
      </c>
      <c r="E1332" s="18">
        <v>243.2</v>
      </c>
      <c r="F1332" s="18">
        <v>41995.56</v>
      </c>
      <c r="G1332" s="18">
        <v>135424</v>
      </c>
      <c r="H1332" s="18">
        <f t="shared" si="42"/>
        <v>41987.56</v>
      </c>
      <c r="I1332" s="3"/>
    </row>
    <row r="1333" spans="1:9" s="4" customFormat="1" ht="18" customHeight="1" x14ac:dyDescent="0.55000000000000004">
      <c r="A1333" s="18">
        <v>24.794774</v>
      </c>
      <c r="B1333" s="18">
        <v>34.828630400000002</v>
      </c>
      <c r="C1333" s="18">
        <v>684852.38</v>
      </c>
      <c r="D1333" s="18">
        <v>2743461.03</v>
      </c>
      <c r="E1333" s="18">
        <v>243.2</v>
      </c>
      <c r="F1333" s="18">
        <v>41996.42</v>
      </c>
      <c r="G1333" s="18">
        <v>135426</v>
      </c>
      <c r="H1333" s="18">
        <f t="shared" si="42"/>
        <v>41988.42</v>
      </c>
      <c r="I1333" s="3"/>
    </row>
    <row r="1334" spans="1:9" s="4" customFormat="1" ht="18" customHeight="1" x14ac:dyDescent="0.55000000000000004">
      <c r="A1334" s="18">
        <v>24.794780100000001</v>
      </c>
      <c r="B1334" s="18">
        <v>34.828602600000004</v>
      </c>
      <c r="C1334" s="18">
        <v>684849.56</v>
      </c>
      <c r="D1334" s="18">
        <v>2743461.67</v>
      </c>
      <c r="E1334" s="18">
        <v>243.22</v>
      </c>
      <c r="F1334" s="18">
        <v>41995.88</v>
      </c>
      <c r="G1334" s="18">
        <v>135428</v>
      </c>
      <c r="H1334" s="18">
        <f t="shared" si="42"/>
        <v>41987.88</v>
      </c>
      <c r="I1334" s="3"/>
    </row>
    <row r="1335" spans="1:9" s="4" customFormat="1" ht="18" customHeight="1" x14ac:dyDescent="0.55000000000000004">
      <c r="A1335" s="18">
        <v>24.794788400000002</v>
      </c>
      <c r="B1335" s="18">
        <v>34.828575000000001</v>
      </c>
      <c r="C1335" s="18">
        <v>684846.75</v>
      </c>
      <c r="D1335" s="18">
        <v>2743462.55</v>
      </c>
      <c r="E1335" s="18">
        <v>243.27</v>
      </c>
      <c r="F1335" s="18">
        <v>41996.39</v>
      </c>
      <c r="G1335" s="18">
        <v>135430</v>
      </c>
      <c r="H1335" s="18">
        <f t="shared" ref="H1335:H1398" si="43">SUM(F1335-8)</f>
        <v>41988.39</v>
      </c>
      <c r="I1335" s="3"/>
    </row>
    <row r="1336" spans="1:9" s="4" customFormat="1" ht="18" customHeight="1" x14ac:dyDescent="0.55000000000000004">
      <c r="A1336" s="18">
        <v>24.7947986</v>
      </c>
      <c r="B1336" s="18">
        <v>34.828548300000001</v>
      </c>
      <c r="C1336" s="18">
        <v>684844.04</v>
      </c>
      <c r="D1336" s="18">
        <v>2743463.64</v>
      </c>
      <c r="E1336" s="18">
        <v>243.32</v>
      </c>
      <c r="F1336" s="18">
        <v>41998.42</v>
      </c>
      <c r="G1336" s="18">
        <v>135432</v>
      </c>
      <c r="H1336" s="18">
        <f t="shared" si="43"/>
        <v>41990.42</v>
      </c>
      <c r="I1336" s="3"/>
    </row>
    <row r="1337" spans="1:9" s="4" customFormat="1" ht="18" customHeight="1" x14ac:dyDescent="0.55000000000000004">
      <c r="A1337" s="18">
        <v>24.794809300000001</v>
      </c>
      <c r="B1337" s="18">
        <v>34.828520699999999</v>
      </c>
      <c r="C1337" s="18">
        <v>684841.23</v>
      </c>
      <c r="D1337" s="18">
        <v>2743464.8</v>
      </c>
      <c r="E1337" s="18">
        <v>243.34</v>
      </c>
      <c r="F1337" s="18">
        <v>42000.35</v>
      </c>
      <c r="G1337" s="18">
        <v>135434</v>
      </c>
      <c r="H1337" s="18">
        <f t="shared" si="43"/>
        <v>41992.35</v>
      </c>
      <c r="I1337" s="3"/>
    </row>
    <row r="1338" spans="1:9" s="4" customFormat="1" ht="18" customHeight="1" x14ac:dyDescent="0.55000000000000004">
      <c r="A1338" s="18">
        <v>24.7948205</v>
      </c>
      <c r="B1338" s="18">
        <v>34.828493199999997</v>
      </c>
      <c r="C1338" s="18">
        <v>684838.43</v>
      </c>
      <c r="D1338" s="18">
        <v>2743465.99</v>
      </c>
      <c r="E1338" s="18">
        <v>243.37</v>
      </c>
      <c r="F1338" s="18">
        <v>42002.84</v>
      </c>
      <c r="G1338" s="18">
        <v>135436</v>
      </c>
      <c r="H1338" s="18">
        <f t="shared" si="43"/>
        <v>41994.84</v>
      </c>
      <c r="I1338" s="3"/>
    </row>
    <row r="1339" spans="1:9" s="4" customFormat="1" ht="18" customHeight="1" x14ac:dyDescent="0.55000000000000004">
      <c r="A1339" s="18">
        <v>24.794830699999999</v>
      </c>
      <c r="B1339" s="18">
        <v>34.828465299999998</v>
      </c>
      <c r="C1339" s="18">
        <v>684835.6</v>
      </c>
      <c r="D1339" s="18">
        <v>2743467.09</v>
      </c>
      <c r="E1339" s="18">
        <v>243.37</v>
      </c>
      <c r="F1339" s="18">
        <v>41998.720000000001</v>
      </c>
      <c r="G1339" s="18">
        <v>135438</v>
      </c>
      <c r="H1339" s="18">
        <f t="shared" si="43"/>
        <v>41990.720000000001</v>
      </c>
      <c r="I1339" s="3"/>
    </row>
    <row r="1340" spans="1:9" s="4" customFormat="1" ht="18" customHeight="1" x14ac:dyDescent="0.55000000000000004">
      <c r="A1340" s="18">
        <v>24.794840300000001</v>
      </c>
      <c r="B1340" s="18">
        <v>34.828437999999998</v>
      </c>
      <c r="C1340" s="18">
        <v>684832.82</v>
      </c>
      <c r="D1340" s="18">
        <v>2743468.11</v>
      </c>
      <c r="E1340" s="18">
        <v>243.31</v>
      </c>
      <c r="F1340" s="18">
        <v>41998.98</v>
      </c>
      <c r="G1340" s="18">
        <v>135440</v>
      </c>
      <c r="H1340" s="18">
        <f t="shared" si="43"/>
        <v>41990.98</v>
      </c>
      <c r="I1340" s="3"/>
    </row>
    <row r="1341" spans="1:9" s="4" customFormat="1" ht="18" customHeight="1" x14ac:dyDescent="0.55000000000000004">
      <c r="A1341" s="18">
        <v>24.7948509</v>
      </c>
      <c r="B1341" s="18">
        <v>34.828412200000002</v>
      </c>
      <c r="C1341" s="18">
        <v>684830.2</v>
      </c>
      <c r="D1341" s="18">
        <v>2743469.26</v>
      </c>
      <c r="E1341" s="18">
        <v>243.32</v>
      </c>
      <c r="F1341" s="18">
        <v>41996.959999999999</v>
      </c>
      <c r="G1341" s="18">
        <v>135442</v>
      </c>
      <c r="H1341" s="18">
        <f t="shared" si="43"/>
        <v>41988.959999999999</v>
      </c>
      <c r="I1341" s="3"/>
    </row>
    <row r="1342" spans="1:9" s="4" customFormat="1" ht="18" customHeight="1" x14ac:dyDescent="0.55000000000000004">
      <c r="A1342" s="18">
        <v>24.794863100000001</v>
      </c>
      <c r="B1342" s="18">
        <v>34.828386700000003</v>
      </c>
      <c r="C1342" s="18">
        <v>684827.6</v>
      </c>
      <c r="D1342" s="18">
        <v>2743470.57</v>
      </c>
      <c r="E1342" s="18">
        <v>243.38</v>
      </c>
      <c r="F1342" s="18">
        <v>41993.97</v>
      </c>
      <c r="G1342" s="18">
        <v>135444</v>
      </c>
      <c r="H1342" s="18">
        <f t="shared" si="43"/>
        <v>41985.97</v>
      </c>
      <c r="I1342" s="3"/>
    </row>
    <row r="1343" spans="1:9" s="4" customFormat="1" ht="18" customHeight="1" x14ac:dyDescent="0.55000000000000004">
      <c r="A1343" s="18">
        <v>24.794872699999999</v>
      </c>
      <c r="B1343" s="18">
        <v>34.828359900000002</v>
      </c>
      <c r="C1343" s="18">
        <v>684824.88</v>
      </c>
      <c r="D1343" s="18">
        <v>2743471.6</v>
      </c>
      <c r="E1343" s="18">
        <v>243.42</v>
      </c>
      <c r="F1343" s="18">
        <v>41991.59</v>
      </c>
      <c r="G1343" s="18">
        <v>135446</v>
      </c>
      <c r="H1343" s="18">
        <f t="shared" si="43"/>
        <v>41983.59</v>
      </c>
      <c r="I1343" s="3"/>
    </row>
    <row r="1344" spans="1:9" s="4" customFormat="1" ht="18" customHeight="1" x14ac:dyDescent="0.55000000000000004">
      <c r="A1344" s="18">
        <v>24.7948822</v>
      </c>
      <c r="B1344" s="18">
        <v>34.828332099999997</v>
      </c>
      <c r="C1344" s="18">
        <v>684822.06</v>
      </c>
      <c r="D1344" s="18">
        <v>2743472.62</v>
      </c>
      <c r="E1344" s="18">
        <v>243.46</v>
      </c>
      <c r="F1344" s="18">
        <v>41991.21</v>
      </c>
      <c r="G1344" s="18">
        <v>135448</v>
      </c>
      <c r="H1344" s="18">
        <f t="shared" si="43"/>
        <v>41983.21</v>
      </c>
      <c r="I1344" s="3"/>
    </row>
    <row r="1345" spans="1:9" s="4" customFormat="1" ht="18" customHeight="1" x14ac:dyDescent="0.55000000000000004">
      <c r="A1345" s="18">
        <v>24.7948944</v>
      </c>
      <c r="B1345" s="18">
        <v>34.8283056</v>
      </c>
      <c r="C1345" s="18">
        <v>684819.36</v>
      </c>
      <c r="D1345" s="18">
        <v>2743473.93</v>
      </c>
      <c r="E1345" s="18">
        <v>243.47</v>
      </c>
      <c r="F1345" s="18">
        <v>41990.36</v>
      </c>
      <c r="G1345" s="18">
        <v>135450</v>
      </c>
      <c r="H1345" s="18">
        <f t="shared" si="43"/>
        <v>41982.36</v>
      </c>
      <c r="I1345" s="3"/>
    </row>
    <row r="1346" spans="1:9" s="4" customFormat="1" ht="18" customHeight="1" x14ac:dyDescent="0.55000000000000004">
      <c r="A1346" s="18">
        <v>24.794906000000001</v>
      </c>
      <c r="B1346" s="18">
        <v>34.828278599999997</v>
      </c>
      <c r="C1346" s="18">
        <v>684816.61</v>
      </c>
      <c r="D1346" s="18">
        <v>2743475.18</v>
      </c>
      <c r="E1346" s="18">
        <v>243.45</v>
      </c>
      <c r="F1346" s="18">
        <v>41989.18</v>
      </c>
      <c r="G1346" s="18">
        <v>135452</v>
      </c>
      <c r="H1346" s="18">
        <f t="shared" si="43"/>
        <v>41981.18</v>
      </c>
      <c r="I1346" s="3"/>
    </row>
    <row r="1347" spans="1:9" s="4" customFormat="1" ht="18" customHeight="1" x14ac:dyDescent="0.55000000000000004">
      <c r="A1347" s="18">
        <v>24.7949184</v>
      </c>
      <c r="B1347" s="18">
        <v>34.828252300000003</v>
      </c>
      <c r="C1347" s="18">
        <v>684813.93</v>
      </c>
      <c r="D1347" s="18">
        <v>2743476.52</v>
      </c>
      <c r="E1347" s="18">
        <v>243.42</v>
      </c>
      <c r="F1347" s="18">
        <v>41989.84</v>
      </c>
      <c r="G1347" s="18">
        <v>135454</v>
      </c>
      <c r="H1347" s="18">
        <f t="shared" si="43"/>
        <v>41981.84</v>
      </c>
      <c r="I1347" s="3"/>
    </row>
    <row r="1348" spans="1:9" s="4" customFormat="1" ht="18" customHeight="1" x14ac:dyDescent="0.55000000000000004">
      <c r="A1348" s="18">
        <v>24.7949321</v>
      </c>
      <c r="B1348" s="18">
        <v>34.8282259</v>
      </c>
      <c r="C1348" s="18">
        <v>684811.24</v>
      </c>
      <c r="D1348" s="18">
        <v>2743478</v>
      </c>
      <c r="E1348" s="18">
        <v>243.44</v>
      </c>
      <c r="F1348" s="18">
        <v>41987.65</v>
      </c>
      <c r="G1348" s="18">
        <v>135456</v>
      </c>
      <c r="H1348" s="18">
        <f t="shared" si="43"/>
        <v>41979.65</v>
      </c>
      <c r="I1348" s="3"/>
    </row>
    <row r="1349" spans="1:9" s="4" customFormat="1" ht="18" customHeight="1" x14ac:dyDescent="0.55000000000000004">
      <c r="A1349" s="18">
        <v>24.7949454</v>
      </c>
      <c r="B1349" s="18">
        <v>34.8281992</v>
      </c>
      <c r="C1349" s="18">
        <v>684808.52</v>
      </c>
      <c r="D1349" s="18">
        <v>2743479.43</v>
      </c>
      <c r="E1349" s="18">
        <v>243.41</v>
      </c>
      <c r="F1349" s="18">
        <v>41989.37</v>
      </c>
      <c r="G1349" s="18">
        <v>135458</v>
      </c>
      <c r="H1349" s="18">
        <f t="shared" si="43"/>
        <v>41981.37</v>
      </c>
      <c r="I1349" s="3"/>
    </row>
    <row r="1350" spans="1:9" s="4" customFormat="1" ht="18" customHeight="1" x14ac:dyDescent="0.55000000000000004">
      <c r="A1350" s="18">
        <v>24.7949573</v>
      </c>
      <c r="B1350" s="18">
        <v>34.828172899999998</v>
      </c>
      <c r="C1350" s="18">
        <v>684805.85</v>
      </c>
      <c r="D1350" s="18">
        <v>2743480.72</v>
      </c>
      <c r="E1350" s="18">
        <v>243.51</v>
      </c>
      <c r="F1350" s="18">
        <v>41991.55</v>
      </c>
      <c r="G1350" s="18">
        <v>135500</v>
      </c>
      <c r="H1350" s="18">
        <f t="shared" si="43"/>
        <v>41983.55</v>
      </c>
      <c r="I1350" s="3"/>
    </row>
    <row r="1351" spans="1:9" s="4" customFormat="1" ht="18" customHeight="1" x14ac:dyDescent="0.55000000000000004">
      <c r="A1351" s="18">
        <v>24.794968699999998</v>
      </c>
      <c r="B1351" s="18">
        <v>34.828143599999997</v>
      </c>
      <c r="C1351" s="18">
        <v>684802.87</v>
      </c>
      <c r="D1351" s="18">
        <v>2743481.94</v>
      </c>
      <c r="E1351" s="18">
        <v>243.61</v>
      </c>
      <c r="F1351" s="18">
        <v>41993.53</v>
      </c>
      <c r="G1351" s="18">
        <v>135502</v>
      </c>
      <c r="H1351" s="18">
        <f t="shared" si="43"/>
        <v>41985.53</v>
      </c>
      <c r="I1351" s="3"/>
    </row>
    <row r="1352" spans="1:9" s="4" customFormat="1" ht="18" customHeight="1" x14ac:dyDescent="0.55000000000000004">
      <c r="A1352" s="18">
        <v>24.794980800000001</v>
      </c>
      <c r="B1352" s="18">
        <v>34.828114800000002</v>
      </c>
      <c r="C1352" s="18">
        <v>684799.93</v>
      </c>
      <c r="D1352" s="18">
        <v>2743483.24</v>
      </c>
      <c r="E1352" s="18">
        <v>243.68</v>
      </c>
      <c r="F1352" s="18">
        <v>41990.49</v>
      </c>
      <c r="G1352" s="18">
        <v>135504</v>
      </c>
      <c r="H1352" s="18">
        <f t="shared" si="43"/>
        <v>41982.49</v>
      </c>
      <c r="I1352" s="3"/>
    </row>
    <row r="1353" spans="1:9" s="4" customFormat="1" ht="18" customHeight="1" x14ac:dyDescent="0.55000000000000004">
      <c r="A1353" s="18">
        <v>24.794991199999998</v>
      </c>
      <c r="B1353" s="18">
        <v>34.828085000000002</v>
      </c>
      <c r="C1353" s="18">
        <v>684796.91</v>
      </c>
      <c r="D1353" s="18">
        <v>2743484.35</v>
      </c>
      <c r="E1353" s="18">
        <v>243.77</v>
      </c>
      <c r="F1353" s="18">
        <v>41991.16</v>
      </c>
      <c r="G1353" s="18">
        <v>135506</v>
      </c>
      <c r="H1353" s="18">
        <f t="shared" si="43"/>
        <v>41983.16</v>
      </c>
      <c r="I1353" s="3"/>
    </row>
    <row r="1354" spans="1:9" s="4" customFormat="1" ht="18" customHeight="1" x14ac:dyDescent="0.55000000000000004">
      <c r="A1354" s="18">
        <v>24.795003399999999</v>
      </c>
      <c r="B1354" s="18">
        <v>34.8280563</v>
      </c>
      <c r="C1354" s="18">
        <v>684793.99</v>
      </c>
      <c r="D1354" s="18">
        <v>2743485.66</v>
      </c>
      <c r="E1354" s="18">
        <v>243.8</v>
      </c>
      <c r="F1354" s="18">
        <v>41988.47</v>
      </c>
      <c r="G1354" s="18">
        <v>135508</v>
      </c>
      <c r="H1354" s="18">
        <f t="shared" si="43"/>
        <v>41980.47</v>
      </c>
      <c r="I1354" s="3"/>
    </row>
    <row r="1355" spans="1:9" s="4" customFormat="1" ht="18" customHeight="1" x14ac:dyDescent="0.55000000000000004">
      <c r="A1355" s="18">
        <v>24.795016199999999</v>
      </c>
      <c r="B1355" s="18">
        <v>34.828026399999999</v>
      </c>
      <c r="C1355" s="18">
        <v>684790.95</v>
      </c>
      <c r="D1355" s="18">
        <v>2743487.04</v>
      </c>
      <c r="E1355" s="18">
        <v>243.83</v>
      </c>
      <c r="F1355" s="18">
        <v>41989.13</v>
      </c>
      <c r="G1355" s="18">
        <v>135510</v>
      </c>
      <c r="H1355" s="18">
        <f t="shared" si="43"/>
        <v>41981.13</v>
      </c>
      <c r="I1355" s="3"/>
    </row>
    <row r="1356" spans="1:9" s="4" customFormat="1" ht="18" customHeight="1" x14ac:dyDescent="0.55000000000000004">
      <c r="A1356" s="18">
        <v>24.795024900000001</v>
      </c>
      <c r="B1356" s="18">
        <v>34.8279961</v>
      </c>
      <c r="C1356" s="18">
        <v>684787.87</v>
      </c>
      <c r="D1356" s="18">
        <v>2743487.97</v>
      </c>
      <c r="E1356" s="18">
        <v>243.85</v>
      </c>
      <c r="F1356" s="18">
        <v>41994.15</v>
      </c>
      <c r="G1356" s="18">
        <v>135512</v>
      </c>
      <c r="H1356" s="18">
        <f t="shared" si="43"/>
        <v>41986.15</v>
      </c>
      <c r="I1356" s="3"/>
    </row>
    <row r="1357" spans="1:9" s="4" customFormat="1" ht="18" customHeight="1" x14ac:dyDescent="0.55000000000000004">
      <c r="A1357" s="18">
        <v>24.795031900000001</v>
      </c>
      <c r="B1357" s="18">
        <v>34.827964999999999</v>
      </c>
      <c r="C1357" s="18">
        <v>684784.72</v>
      </c>
      <c r="D1357" s="18">
        <v>2743488.69</v>
      </c>
      <c r="E1357" s="18">
        <v>243.89</v>
      </c>
      <c r="F1357" s="18">
        <v>41992.7</v>
      </c>
      <c r="G1357" s="18">
        <v>135514</v>
      </c>
      <c r="H1357" s="18">
        <f t="shared" si="43"/>
        <v>41984.7</v>
      </c>
      <c r="I1357" s="3"/>
    </row>
    <row r="1358" spans="1:9" s="4" customFormat="1" ht="18" customHeight="1" x14ac:dyDescent="0.55000000000000004">
      <c r="A1358" s="18">
        <v>24.795041600000001</v>
      </c>
      <c r="B1358" s="18">
        <v>34.827935500000002</v>
      </c>
      <c r="C1358" s="18">
        <v>684781.72</v>
      </c>
      <c r="D1358" s="18">
        <v>2743489.73</v>
      </c>
      <c r="E1358" s="18">
        <v>243.95</v>
      </c>
      <c r="F1358" s="18">
        <v>41989.17</v>
      </c>
      <c r="G1358" s="18">
        <v>135516</v>
      </c>
      <c r="H1358" s="18">
        <f t="shared" si="43"/>
        <v>41981.17</v>
      </c>
      <c r="I1358" s="3"/>
    </row>
    <row r="1359" spans="1:9" s="4" customFormat="1" ht="18" customHeight="1" x14ac:dyDescent="0.55000000000000004">
      <c r="A1359" s="18">
        <v>24.795047400000001</v>
      </c>
      <c r="B1359" s="18">
        <v>34.827905600000001</v>
      </c>
      <c r="C1359" s="18">
        <v>684778.68</v>
      </c>
      <c r="D1359" s="18">
        <v>2743490.34</v>
      </c>
      <c r="E1359" s="18">
        <v>243.96</v>
      </c>
      <c r="F1359" s="18">
        <v>41986.55</v>
      </c>
      <c r="G1359" s="18">
        <v>135518</v>
      </c>
      <c r="H1359" s="18">
        <f t="shared" si="43"/>
        <v>41978.55</v>
      </c>
      <c r="I1359" s="3"/>
    </row>
    <row r="1360" spans="1:9" s="4" customFormat="1" ht="18" customHeight="1" x14ac:dyDescent="0.55000000000000004">
      <c r="A1360" s="18">
        <v>24.7950488</v>
      </c>
      <c r="B1360" s="18">
        <v>34.827873799999999</v>
      </c>
      <c r="C1360" s="18">
        <v>684775.47</v>
      </c>
      <c r="D1360" s="18">
        <v>2743490.45</v>
      </c>
      <c r="E1360" s="18">
        <v>244.01</v>
      </c>
      <c r="F1360" s="18">
        <v>41985.5</v>
      </c>
      <c r="G1360" s="18">
        <v>135520</v>
      </c>
      <c r="H1360" s="18">
        <f t="shared" si="43"/>
        <v>41977.5</v>
      </c>
      <c r="I1360" s="3"/>
    </row>
    <row r="1361" spans="1:9" s="4" customFormat="1" ht="18" customHeight="1" x14ac:dyDescent="0.55000000000000004">
      <c r="A1361" s="18">
        <v>24.7950506</v>
      </c>
      <c r="B1361" s="18">
        <v>34.827842799999999</v>
      </c>
      <c r="C1361" s="18">
        <v>684772.34</v>
      </c>
      <c r="D1361" s="18">
        <v>2743490.6</v>
      </c>
      <c r="E1361" s="18">
        <v>244.06</v>
      </c>
      <c r="F1361" s="18">
        <v>41988.53</v>
      </c>
      <c r="G1361" s="18">
        <v>135522</v>
      </c>
      <c r="H1361" s="18">
        <f t="shared" si="43"/>
        <v>41980.53</v>
      </c>
      <c r="I1361" s="3"/>
    </row>
    <row r="1362" spans="1:9" s="4" customFormat="1" ht="18" customHeight="1" x14ac:dyDescent="0.55000000000000004">
      <c r="A1362" s="18">
        <v>24.795055099999999</v>
      </c>
      <c r="B1362" s="18">
        <v>34.827810700000001</v>
      </c>
      <c r="C1362" s="18">
        <v>684769.08</v>
      </c>
      <c r="D1362" s="18">
        <v>2743491.06</v>
      </c>
      <c r="E1362" s="18">
        <v>244.12</v>
      </c>
      <c r="F1362" s="18">
        <v>41988.800000000003</v>
      </c>
      <c r="G1362" s="18">
        <v>135524</v>
      </c>
      <c r="H1362" s="18">
        <f t="shared" si="43"/>
        <v>41980.800000000003</v>
      </c>
      <c r="I1362" s="3"/>
    </row>
    <row r="1363" spans="1:9" s="4" customFormat="1" ht="18" customHeight="1" x14ac:dyDescent="0.55000000000000004">
      <c r="A1363" s="18">
        <v>24.795056500000001</v>
      </c>
      <c r="B1363" s="18">
        <v>34.827779399999997</v>
      </c>
      <c r="C1363" s="18">
        <v>684765.91</v>
      </c>
      <c r="D1363" s="18">
        <v>2743491.17</v>
      </c>
      <c r="E1363" s="18">
        <v>244.2</v>
      </c>
      <c r="F1363" s="18">
        <v>41992.13</v>
      </c>
      <c r="G1363" s="18">
        <v>135526</v>
      </c>
      <c r="H1363" s="18">
        <f t="shared" si="43"/>
        <v>41984.13</v>
      </c>
      <c r="I1363" s="3"/>
    </row>
    <row r="1364" spans="1:9" s="4" customFormat="1" ht="18" customHeight="1" x14ac:dyDescent="0.55000000000000004">
      <c r="A1364" s="18">
        <v>24.795053599999999</v>
      </c>
      <c r="B1364" s="18">
        <v>34.827747600000002</v>
      </c>
      <c r="C1364" s="18">
        <v>684762.7</v>
      </c>
      <c r="D1364" s="18">
        <v>2743490.81</v>
      </c>
      <c r="E1364" s="18">
        <v>244.26</v>
      </c>
      <c r="F1364" s="18">
        <v>41990.95</v>
      </c>
      <c r="G1364" s="18">
        <v>135528</v>
      </c>
      <c r="H1364" s="18">
        <f t="shared" si="43"/>
        <v>41982.95</v>
      </c>
      <c r="I1364" s="3"/>
    </row>
    <row r="1365" spans="1:9" s="4" customFormat="1" ht="18" customHeight="1" x14ac:dyDescent="0.55000000000000004">
      <c r="A1365" s="18">
        <v>24.7950509</v>
      </c>
      <c r="B1365" s="18">
        <v>34.827715099999999</v>
      </c>
      <c r="C1365" s="18">
        <v>684759.42</v>
      </c>
      <c r="D1365" s="18">
        <v>2743490.47</v>
      </c>
      <c r="E1365" s="18">
        <v>244.31</v>
      </c>
      <c r="F1365" s="18">
        <v>41989.15</v>
      </c>
      <c r="G1365" s="18">
        <v>135530</v>
      </c>
      <c r="H1365" s="18">
        <f t="shared" si="43"/>
        <v>41981.15</v>
      </c>
      <c r="I1365" s="3"/>
    </row>
    <row r="1366" spans="1:9" s="4" customFormat="1" ht="18" customHeight="1" x14ac:dyDescent="0.55000000000000004">
      <c r="A1366" s="18">
        <v>24.795048900000001</v>
      </c>
      <c r="B1366" s="18">
        <v>34.827683200000003</v>
      </c>
      <c r="C1366" s="18">
        <v>684756.2</v>
      </c>
      <c r="D1366" s="18">
        <v>2743490.2</v>
      </c>
      <c r="E1366" s="18">
        <v>244.33</v>
      </c>
      <c r="F1366" s="18">
        <v>41986.13</v>
      </c>
      <c r="G1366" s="18">
        <v>135532</v>
      </c>
      <c r="H1366" s="18">
        <f t="shared" si="43"/>
        <v>41978.13</v>
      </c>
      <c r="I1366" s="3"/>
    </row>
    <row r="1367" spans="1:9" s="4" customFormat="1" ht="18" customHeight="1" x14ac:dyDescent="0.55000000000000004">
      <c r="A1367" s="18">
        <v>24.7950415</v>
      </c>
      <c r="B1367" s="18">
        <v>34.8276532</v>
      </c>
      <c r="C1367" s="18">
        <v>684753.17</v>
      </c>
      <c r="D1367" s="18">
        <v>2743489.34</v>
      </c>
      <c r="E1367" s="18">
        <v>244.36</v>
      </c>
      <c r="F1367" s="18">
        <v>41989.04</v>
      </c>
      <c r="G1367" s="18">
        <v>135534</v>
      </c>
      <c r="H1367" s="18">
        <f t="shared" si="43"/>
        <v>41981.04</v>
      </c>
      <c r="I1367" s="3"/>
    </row>
    <row r="1368" spans="1:9" s="4" customFormat="1" ht="18" customHeight="1" x14ac:dyDescent="0.55000000000000004">
      <c r="A1368" s="18">
        <v>24.7950351</v>
      </c>
      <c r="B1368" s="18">
        <v>34.827622300000002</v>
      </c>
      <c r="C1368" s="18">
        <v>684750.06</v>
      </c>
      <c r="D1368" s="18">
        <v>2743488.59</v>
      </c>
      <c r="E1368" s="18">
        <v>244.38</v>
      </c>
      <c r="F1368" s="18">
        <v>41989.13</v>
      </c>
      <c r="G1368" s="18">
        <v>135536</v>
      </c>
      <c r="H1368" s="18">
        <f t="shared" si="43"/>
        <v>41981.13</v>
      </c>
      <c r="I1368" s="3"/>
    </row>
    <row r="1369" spans="1:9" s="4" customFormat="1" ht="18" customHeight="1" x14ac:dyDescent="0.55000000000000004">
      <c r="A1369" s="18">
        <v>24.795030499999999</v>
      </c>
      <c r="B1369" s="18">
        <v>34.827593899999997</v>
      </c>
      <c r="C1369" s="18">
        <v>684747.19</v>
      </c>
      <c r="D1369" s="18">
        <v>2743488.04</v>
      </c>
      <c r="E1369" s="18">
        <v>244.41</v>
      </c>
      <c r="F1369" s="18">
        <v>41988.43</v>
      </c>
      <c r="G1369" s="18">
        <v>135538</v>
      </c>
      <c r="H1369" s="18">
        <f t="shared" si="43"/>
        <v>41980.43</v>
      </c>
      <c r="I1369" s="3"/>
    </row>
    <row r="1370" spans="1:9" s="4" customFormat="1" ht="18" customHeight="1" x14ac:dyDescent="0.55000000000000004">
      <c r="A1370" s="18">
        <v>24.795027699999999</v>
      </c>
      <c r="B1370" s="18">
        <v>34.827567500000001</v>
      </c>
      <c r="C1370" s="18">
        <v>684744.53</v>
      </c>
      <c r="D1370" s="18">
        <v>2743487.7</v>
      </c>
      <c r="E1370" s="18">
        <v>244.49</v>
      </c>
      <c r="F1370" s="18">
        <v>41991.02</v>
      </c>
      <c r="G1370" s="18">
        <v>135540</v>
      </c>
      <c r="H1370" s="18">
        <f t="shared" si="43"/>
        <v>41983.02</v>
      </c>
      <c r="I1370" s="3"/>
    </row>
    <row r="1371" spans="1:9" s="4" customFormat="1" ht="18" customHeight="1" x14ac:dyDescent="0.55000000000000004">
      <c r="A1371" s="18">
        <v>24.795022800000002</v>
      </c>
      <c r="B1371" s="18">
        <v>34.827539600000001</v>
      </c>
      <c r="C1371" s="18">
        <v>684741.72</v>
      </c>
      <c r="D1371" s="18">
        <v>2743487.11</v>
      </c>
      <c r="E1371" s="18">
        <v>244.58</v>
      </c>
      <c r="F1371" s="18">
        <v>41991.34</v>
      </c>
      <c r="G1371" s="18">
        <v>135542</v>
      </c>
      <c r="H1371" s="18">
        <f t="shared" si="43"/>
        <v>41983.34</v>
      </c>
      <c r="I1371" s="3"/>
    </row>
    <row r="1372" spans="1:9" s="4" customFormat="1" ht="18" customHeight="1" x14ac:dyDescent="0.55000000000000004">
      <c r="A1372" s="18">
        <v>24.795015599999999</v>
      </c>
      <c r="B1372" s="18">
        <v>34.827510699999998</v>
      </c>
      <c r="C1372" s="18">
        <v>684738.8</v>
      </c>
      <c r="D1372" s="18">
        <v>2743486.27</v>
      </c>
      <c r="E1372" s="18">
        <v>244.65</v>
      </c>
      <c r="F1372" s="18">
        <v>41993.22</v>
      </c>
      <c r="G1372" s="18">
        <v>135544</v>
      </c>
      <c r="H1372" s="18">
        <f t="shared" si="43"/>
        <v>41985.22</v>
      </c>
      <c r="I1372" s="3"/>
    </row>
    <row r="1373" spans="1:9" s="4" customFormat="1" ht="18" customHeight="1" x14ac:dyDescent="0.55000000000000004">
      <c r="A1373" s="18">
        <v>24.795007099999999</v>
      </c>
      <c r="B1373" s="18">
        <v>34.8274823</v>
      </c>
      <c r="C1373" s="18">
        <v>684735.94</v>
      </c>
      <c r="D1373" s="18">
        <v>2743485.3</v>
      </c>
      <c r="E1373" s="18">
        <v>244.68</v>
      </c>
      <c r="F1373" s="18">
        <v>41990.83</v>
      </c>
      <c r="G1373" s="18">
        <v>135546</v>
      </c>
      <c r="H1373" s="18">
        <f t="shared" si="43"/>
        <v>41982.83</v>
      </c>
      <c r="I1373" s="3"/>
    </row>
    <row r="1374" spans="1:9" s="4" customFormat="1" ht="18" customHeight="1" x14ac:dyDescent="0.55000000000000004">
      <c r="A1374" s="18">
        <v>24.794997299999999</v>
      </c>
      <c r="B1374" s="18">
        <v>34.827452800000003</v>
      </c>
      <c r="C1374" s="18">
        <v>684732.98</v>
      </c>
      <c r="D1374" s="18">
        <v>2743484.17</v>
      </c>
      <c r="E1374" s="18">
        <v>244.68</v>
      </c>
      <c r="F1374" s="18">
        <v>41990.23</v>
      </c>
      <c r="G1374" s="18">
        <v>135548</v>
      </c>
      <c r="H1374" s="18">
        <f t="shared" si="43"/>
        <v>41982.23</v>
      </c>
      <c r="I1374" s="3"/>
    </row>
    <row r="1375" spans="1:9" s="4" customFormat="1" ht="18" customHeight="1" x14ac:dyDescent="0.55000000000000004">
      <c r="A1375" s="18">
        <v>24.794989399999999</v>
      </c>
      <c r="B1375" s="18">
        <v>34.827423899999999</v>
      </c>
      <c r="C1375" s="18">
        <v>684730.07</v>
      </c>
      <c r="D1375" s="18">
        <v>2743483.26</v>
      </c>
      <c r="E1375" s="18">
        <v>244.75</v>
      </c>
      <c r="F1375" s="18">
        <v>41991.38</v>
      </c>
      <c r="G1375" s="18">
        <v>135550</v>
      </c>
      <c r="H1375" s="18">
        <f t="shared" si="43"/>
        <v>41983.38</v>
      </c>
      <c r="I1375" s="3"/>
    </row>
    <row r="1376" spans="1:9" s="4" customFormat="1" ht="18" customHeight="1" x14ac:dyDescent="0.55000000000000004">
      <c r="A1376" s="18">
        <v>24.794983500000001</v>
      </c>
      <c r="B1376" s="18">
        <v>34.827393700000002</v>
      </c>
      <c r="C1376" s="18">
        <v>684727.02</v>
      </c>
      <c r="D1376" s="18">
        <v>2743482.56</v>
      </c>
      <c r="E1376" s="18">
        <v>244.79</v>
      </c>
      <c r="F1376" s="18">
        <v>41991.96</v>
      </c>
      <c r="G1376" s="18">
        <v>135552</v>
      </c>
      <c r="H1376" s="18">
        <f t="shared" si="43"/>
        <v>41983.96</v>
      </c>
      <c r="I1376" s="3"/>
    </row>
    <row r="1377" spans="1:9" s="4" customFormat="1" ht="18" customHeight="1" x14ac:dyDescent="0.55000000000000004">
      <c r="A1377" s="18">
        <v>24.794975300000001</v>
      </c>
      <c r="B1377" s="18">
        <v>34.8273644</v>
      </c>
      <c r="C1377" s="18">
        <v>684724.07</v>
      </c>
      <c r="D1377" s="18">
        <v>2743481.62</v>
      </c>
      <c r="E1377" s="18">
        <v>244.8</v>
      </c>
      <c r="F1377" s="18">
        <v>41990.98</v>
      </c>
      <c r="G1377" s="18">
        <v>135554</v>
      </c>
      <c r="H1377" s="18">
        <f t="shared" si="43"/>
        <v>41982.98</v>
      </c>
      <c r="I1377" s="3"/>
    </row>
    <row r="1378" spans="1:9" s="4" customFormat="1" ht="18" customHeight="1" x14ac:dyDescent="0.55000000000000004">
      <c r="A1378" s="18">
        <v>24.794968900000001</v>
      </c>
      <c r="B1378" s="18">
        <v>34.827334800000003</v>
      </c>
      <c r="C1378" s="18">
        <v>684721.09</v>
      </c>
      <c r="D1378" s="18">
        <v>2743480.87</v>
      </c>
      <c r="E1378" s="18">
        <v>244.82</v>
      </c>
      <c r="F1378" s="18">
        <v>41990.879999999997</v>
      </c>
      <c r="G1378" s="18">
        <v>135556</v>
      </c>
      <c r="H1378" s="18">
        <f t="shared" si="43"/>
        <v>41982.879999999997</v>
      </c>
      <c r="I1378" s="3"/>
    </row>
    <row r="1379" spans="1:9" s="4" customFormat="1" ht="18" customHeight="1" x14ac:dyDescent="0.55000000000000004">
      <c r="A1379" s="18">
        <v>24.794962999999999</v>
      </c>
      <c r="B1379" s="18">
        <v>34.827305899999999</v>
      </c>
      <c r="C1379" s="18">
        <v>684718.18</v>
      </c>
      <c r="D1379" s="18">
        <v>2743480.17</v>
      </c>
      <c r="E1379" s="18">
        <v>244.83</v>
      </c>
      <c r="F1379" s="18">
        <v>41989.01</v>
      </c>
      <c r="G1379" s="18">
        <v>135558</v>
      </c>
      <c r="H1379" s="18">
        <f t="shared" si="43"/>
        <v>41981.01</v>
      </c>
      <c r="I1379" s="3"/>
    </row>
    <row r="1380" spans="1:9" s="4" customFormat="1" ht="18" customHeight="1" x14ac:dyDescent="0.55000000000000004">
      <c r="A1380" s="18">
        <v>24.794957400000001</v>
      </c>
      <c r="B1380" s="18">
        <v>34.827277500000001</v>
      </c>
      <c r="C1380" s="18">
        <v>684715.32</v>
      </c>
      <c r="D1380" s="18">
        <v>2743479.51</v>
      </c>
      <c r="E1380" s="18">
        <v>244.87</v>
      </c>
      <c r="F1380" s="18">
        <v>41987.98</v>
      </c>
      <c r="G1380" s="18">
        <v>135600</v>
      </c>
      <c r="H1380" s="18">
        <f t="shared" si="43"/>
        <v>41979.98</v>
      </c>
      <c r="I1380" s="3"/>
    </row>
    <row r="1381" spans="1:9" s="4" customFormat="1" ht="18" customHeight="1" x14ac:dyDescent="0.55000000000000004">
      <c r="A1381" s="18">
        <v>24.794952899999998</v>
      </c>
      <c r="B1381" s="18">
        <v>34.8272476</v>
      </c>
      <c r="C1381" s="18">
        <v>684712.3</v>
      </c>
      <c r="D1381" s="18">
        <v>2743478.97</v>
      </c>
      <c r="E1381" s="18">
        <v>244.88</v>
      </c>
      <c r="F1381" s="18">
        <v>41986.3</v>
      </c>
      <c r="G1381" s="18">
        <v>135602</v>
      </c>
      <c r="H1381" s="18">
        <f t="shared" si="43"/>
        <v>41978.3</v>
      </c>
      <c r="I1381" s="3"/>
    </row>
    <row r="1382" spans="1:9" s="4" customFormat="1" ht="18" customHeight="1" x14ac:dyDescent="0.55000000000000004">
      <c r="A1382" s="18">
        <v>24.794946500000002</v>
      </c>
      <c r="B1382" s="18">
        <v>34.827218000000002</v>
      </c>
      <c r="C1382" s="18">
        <v>684709.31</v>
      </c>
      <c r="D1382" s="18">
        <v>2743478.23</v>
      </c>
      <c r="E1382" s="18">
        <v>244.92</v>
      </c>
      <c r="F1382" s="18">
        <v>41986.19</v>
      </c>
      <c r="G1382" s="18">
        <v>135604</v>
      </c>
      <c r="H1382" s="18">
        <f t="shared" si="43"/>
        <v>41978.19</v>
      </c>
      <c r="I1382" s="3"/>
    </row>
    <row r="1383" spans="1:9" s="4" customFormat="1" ht="18" customHeight="1" x14ac:dyDescent="0.55000000000000004">
      <c r="A1383" s="18">
        <v>24.794943400000001</v>
      </c>
      <c r="B1383" s="18">
        <v>34.827187500000001</v>
      </c>
      <c r="C1383" s="18">
        <v>684706.24</v>
      </c>
      <c r="D1383" s="18">
        <v>2743477.84</v>
      </c>
      <c r="E1383" s="18">
        <v>245</v>
      </c>
      <c r="F1383" s="18">
        <v>41981.82</v>
      </c>
      <c r="G1383" s="18">
        <v>135606</v>
      </c>
      <c r="H1383" s="18">
        <f t="shared" si="43"/>
        <v>41973.82</v>
      </c>
      <c r="I1383" s="3"/>
    </row>
    <row r="1384" spans="1:9" s="4" customFormat="1" ht="18" customHeight="1" x14ac:dyDescent="0.55000000000000004">
      <c r="A1384" s="18">
        <v>24.794941000000001</v>
      </c>
      <c r="B1384" s="18">
        <v>34.827156500000001</v>
      </c>
      <c r="C1384" s="18">
        <v>684703.1</v>
      </c>
      <c r="D1384" s="18">
        <v>2743477.54</v>
      </c>
      <c r="E1384" s="18">
        <v>245.02</v>
      </c>
      <c r="F1384" s="18">
        <v>41978.75</v>
      </c>
      <c r="G1384" s="18">
        <v>135608</v>
      </c>
      <c r="H1384" s="18">
        <f t="shared" si="43"/>
        <v>41970.75</v>
      </c>
      <c r="I1384" s="3"/>
    </row>
    <row r="1385" spans="1:9" s="4" customFormat="1" ht="18" customHeight="1" x14ac:dyDescent="0.55000000000000004">
      <c r="A1385" s="18">
        <v>24.794936799999999</v>
      </c>
      <c r="B1385" s="18">
        <v>34.827127400000002</v>
      </c>
      <c r="C1385" s="18">
        <v>684700.17</v>
      </c>
      <c r="D1385" s="18">
        <v>2743477.03</v>
      </c>
      <c r="E1385" s="18">
        <v>245.02</v>
      </c>
      <c r="F1385" s="18">
        <v>41980.03</v>
      </c>
      <c r="G1385" s="18">
        <v>135610</v>
      </c>
      <c r="H1385" s="18">
        <f t="shared" si="43"/>
        <v>41972.03</v>
      </c>
      <c r="I1385" s="3"/>
    </row>
    <row r="1386" spans="1:9" s="4" customFormat="1" ht="18" customHeight="1" x14ac:dyDescent="0.55000000000000004">
      <c r="A1386" s="18">
        <v>24.794934000000001</v>
      </c>
      <c r="B1386" s="18">
        <v>34.827097700000003</v>
      </c>
      <c r="C1386" s="18">
        <v>684697.17</v>
      </c>
      <c r="D1386" s="18">
        <v>2743476.67</v>
      </c>
      <c r="E1386" s="18">
        <v>244.98</v>
      </c>
      <c r="F1386" s="18">
        <v>41980</v>
      </c>
      <c r="G1386" s="18">
        <v>135612</v>
      </c>
      <c r="H1386" s="18">
        <f t="shared" si="43"/>
        <v>41972</v>
      </c>
      <c r="I1386" s="3"/>
    </row>
    <row r="1387" spans="1:9" s="4" customFormat="1" ht="18" customHeight="1" x14ac:dyDescent="0.55000000000000004">
      <c r="A1387" s="18">
        <v>24.794931800000001</v>
      </c>
      <c r="B1387" s="18">
        <v>34.827067700000001</v>
      </c>
      <c r="C1387" s="18">
        <v>684694.14</v>
      </c>
      <c r="D1387" s="18">
        <v>2743476.39</v>
      </c>
      <c r="E1387" s="18">
        <v>244.98</v>
      </c>
      <c r="F1387" s="18">
        <v>41979.15</v>
      </c>
      <c r="G1387" s="18">
        <v>135614</v>
      </c>
      <c r="H1387" s="18">
        <f t="shared" si="43"/>
        <v>41971.15</v>
      </c>
      <c r="I1387" s="3"/>
    </row>
    <row r="1388" spans="1:9" s="4" customFormat="1" ht="18" customHeight="1" x14ac:dyDescent="0.55000000000000004">
      <c r="A1388" s="18">
        <v>24.7949324</v>
      </c>
      <c r="B1388" s="18">
        <v>34.8270366</v>
      </c>
      <c r="C1388" s="18">
        <v>684691</v>
      </c>
      <c r="D1388" s="18">
        <v>2743476.42</v>
      </c>
      <c r="E1388" s="18">
        <v>244.97</v>
      </c>
      <c r="F1388" s="18">
        <v>41979.45</v>
      </c>
      <c r="G1388" s="18">
        <v>135616</v>
      </c>
      <c r="H1388" s="18">
        <f t="shared" si="43"/>
        <v>41971.45</v>
      </c>
      <c r="I1388" s="3"/>
    </row>
    <row r="1389" spans="1:9" s="4" customFormat="1" ht="18" customHeight="1" x14ac:dyDescent="0.55000000000000004">
      <c r="A1389" s="18">
        <v>24.7949333</v>
      </c>
      <c r="B1389" s="18">
        <v>34.827007299999998</v>
      </c>
      <c r="C1389" s="18">
        <v>684688.03</v>
      </c>
      <c r="D1389" s="18">
        <v>2743476.48</v>
      </c>
      <c r="E1389" s="18">
        <v>244.98</v>
      </c>
      <c r="F1389" s="18">
        <v>41980.55</v>
      </c>
      <c r="G1389" s="18">
        <v>135618</v>
      </c>
      <c r="H1389" s="18">
        <f t="shared" si="43"/>
        <v>41972.55</v>
      </c>
      <c r="I1389" s="3"/>
    </row>
    <row r="1390" spans="1:9" s="4" customFormat="1" ht="18" customHeight="1" x14ac:dyDescent="0.55000000000000004">
      <c r="A1390" s="18">
        <v>24.794932899999999</v>
      </c>
      <c r="B1390" s="18">
        <v>34.8269777</v>
      </c>
      <c r="C1390" s="18">
        <v>684685.04</v>
      </c>
      <c r="D1390" s="18">
        <v>2743476.4</v>
      </c>
      <c r="E1390" s="18">
        <v>245.01</v>
      </c>
      <c r="F1390" s="18">
        <v>41984.37</v>
      </c>
      <c r="G1390" s="18">
        <v>135620</v>
      </c>
      <c r="H1390" s="18">
        <f t="shared" si="43"/>
        <v>41976.37</v>
      </c>
      <c r="I1390" s="3"/>
    </row>
    <row r="1391" spans="1:9" s="4" customFormat="1" ht="18" customHeight="1" x14ac:dyDescent="0.55000000000000004">
      <c r="A1391" s="18">
        <v>24.794933700000001</v>
      </c>
      <c r="B1391" s="18">
        <v>34.826946300000003</v>
      </c>
      <c r="C1391" s="18">
        <v>684681.87</v>
      </c>
      <c r="D1391" s="18">
        <v>2743476.44</v>
      </c>
      <c r="E1391" s="18">
        <v>245.05</v>
      </c>
      <c r="F1391" s="18">
        <v>41983.85</v>
      </c>
      <c r="G1391" s="18">
        <v>135622</v>
      </c>
      <c r="H1391" s="18">
        <f t="shared" si="43"/>
        <v>41975.85</v>
      </c>
      <c r="I1391" s="3"/>
    </row>
    <row r="1392" spans="1:9" s="4" customFormat="1" ht="18" customHeight="1" x14ac:dyDescent="0.55000000000000004">
      <c r="A1392" s="18">
        <v>24.794934000000001</v>
      </c>
      <c r="B1392" s="18">
        <v>34.826915499999998</v>
      </c>
      <c r="C1392" s="18">
        <v>684678.75</v>
      </c>
      <c r="D1392" s="18">
        <v>2743476.43</v>
      </c>
      <c r="E1392" s="18">
        <v>245.06</v>
      </c>
      <c r="F1392" s="18">
        <v>41981.04</v>
      </c>
      <c r="G1392" s="18">
        <v>135624</v>
      </c>
      <c r="H1392" s="18">
        <f t="shared" si="43"/>
        <v>41973.04</v>
      </c>
      <c r="I1392" s="3"/>
    </row>
    <row r="1393" spans="1:9" s="4" customFormat="1" ht="18" customHeight="1" x14ac:dyDescent="0.55000000000000004">
      <c r="A1393" s="18">
        <v>24.7949348</v>
      </c>
      <c r="B1393" s="18">
        <v>34.826884800000002</v>
      </c>
      <c r="C1393" s="18">
        <v>684675.64</v>
      </c>
      <c r="D1393" s="18">
        <v>2743476.48</v>
      </c>
      <c r="E1393" s="18">
        <v>245.03</v>
      </c>
      <c r="F1393" s="18">
        <v>41980.42</v>
      </c>
      <c r="G1393" s="18">
        <v>135626</v>
      </c>
      <c r="H1393" s="18">
        <f t="shared" si="43"/>
        <v>41972.42</v>
      </c>
      <c r="I1393" s="3"/>
    </row>
    <row r="1394" spans="1:9" s="4" customFormat="1" ht="18" customHeight="1" x14ac:dyDescent="0.55000000000000004">
      <c r="A1394" s="18">
        <v>24.794935899999999</v>
      </c>
      <c r="B1394" s="18">
        <v>34.8268536</v>
      </c>
      <c r="C1394" s="18">
        <v>684672.49</v>
      </c>
      <c r="D1394" s="18">
        <v>2743476.56</v>
      </c>
      <c r="E1394" s="18">
        <v>245.09</v>
      </c>
      <c r="F1394" s="18">
        <v>41975.39</v>
      </c>
      <c r="G1394" s="18">
        <v>135628</v>
      </c>
      <c r="H1394" s="18">
        <f t="shared" si="43"/>
        <v>41967.39</v>
      </c>
      <c r="I1394" s="3"/>
    </row>
    <row r="1395" spans="1:9" s="4" customFormat="1" ht="18" customHeight="1" x14ac:dyDescent="0.55000000000000004">
      <c r="A1395" s="18">
        <v>24.794937600000001</v>
      </c>
      <c r="B1395" s="18">
        <v>34.826823400000002</v>
      </c>
      <c r="C1395" s="18">
        <v>684669.42</v>
      </c>
      <c r="D1395" s="18">
        <v>2743476.71</v>
      </c>
      <c r="E1395" s="18">
        <v>245.09</v>
      </c>
      <c r="F1395" s="18">
        <v>41982.559999999998</v>
      </c>
      <c r="G1395" s="18">
        <v>135630</v>
      </c>
      <c r="H1395" s="18">
        <f t="shared" si="43"/>
        <v>41974.559999999998</v>
      </c>
      <c r="I1395" s="3"/>
    </row>
    <row r="1396" spans="1:9" s="4" customFormat="1" ht="18" customHeight="1" x14ac:dyDescent="0.55000000000000004">
      <c r="A1396" s="18">
        <v>24.794938800000001</v>
      </c>
      <c r="B1396" s="18">
        <v>34.826792599999997</v>
      </c>
      <c r="C1396" s="18">
        <v>684666.31</v>
      </c>
      <c r="D1396" s="18">
        <v>2743476.8</v>
      </c>
      <c r="E1396" s="18">
        <v>245.07</v>
      </c>
      <c r="F1396" s="18">
        <v>41985.46</v>
      </c>
      <c r="G1396" s="18">
        <v>135632</v>
      </c>
      <c r="H1396" s="18">
        <f t="shared" si="43"/>
        <v>41977.46</v>
      </c>
      <c r="I1396" s="3"/>
    </row>
    <row r="1397" spans="1:9" s="4" customFormat="1" ht="18" customHeight="1" x14ac:dyDescent="0.55000000000000004">
      <c r="A1397" s="18">
        <v>24.794939100000001</v>
      </c>
      <c r="B1397" s="18">
        <v>34.826761599999998</v>
      </c>
      <c r="C1397" s="18">
        <v>684663.18</v>
      </c>
      <c r="D1397" s="18">
        <v>2743476.79</v>
      </c>
      <c r="E1397" s="18">
        <v>245.09</v>
      </c>
      <c r="F1397" s="18">
        <v>41981.55</v>
      </c>
      <c r="G1397" s="18">
        <v>135634</v>
      </c>
      <c r="H1397" s="18">
        <f t="shared" si="43"/>
        <v>41973.55</v>
      </c>
      <c r="I1397" s="3"/>
    </row>
    <row r="1398" spans="1:9" s="4" customFormat="1" ht="18" customHeight="1" x14ac:dyDescent="0.55000000000000004">
      <c r="A1398" s="18">
        <v>24.7949381</v>
      </c>
      <c r="B1398" s="18">
        <v>34.826729999999998</v>
      </c>
      <c r="C1398" s="18">
        <v>684659.98</v>
      </c>
      <c r="D1398" s="18">
        <v>2743476.63</v>
      </c>
      <c r="E1398" s="18">
        <v>245.2</v>
      </c>
      <c r="F1398" s="18">
        <v>41982.79</v>
      </c>
      <c r="G1398" s="18">
        <v>135636</v>
      </c>
      <c r="H1398" s="18">
        <f t="shared" si="43"/>
        <v>41974.79</v>
      </c>
      <c r="I1398" s="3"/>
    </row>
    <row r="1399" spans="1:9" s="4" customFormat="1" ht="18" customHeight="1" x14ac:dyDescent="0.55000000000000004">
      <c r="A1399" s="18">
        <v>24.794937999999998</v>
      </c>
      <c r="B1399" s="18">
        <v>34.826699099999999</v>
      </c>
      <c r="C1399" s="18">
        <v>684656.86</v>
      </c>
      <c r="D1399" s="18">
        <v>2743476.58</v>
      </c>
      <c r="E1399" s="18">
        <v>245.31</v>
      </c>
      <c r="F1399" s="18">
        <v>41981.43</v>
      </c>
      <c r="G1399" s="18">
        <v>135638</v>
      </c>
      <c r="H1399" s="18">
        <f t="shared" ref="H1399:H1462" si="44">SUM(F1399-8)</f>
        <v>41973.43</v>
      </c>
      <c r="I1399" s="3"/>
    </row>
    <row r="1400" spans="1:9" s="4" customFormat="1" ht="18" customHeight="1" x14ac:dyDescent="0.55000000000000004">
      <c r="A1400" s="18">
        <v>24.794937999999998</v>
      </c>
      <c r="B1400" s="18">
        <v>34.826669000000003</v>
      </c>
      <c r="C1400" s="18">
        <v>684653.81</v>
      </c>
      <c r="D1400" s="18">
        <v>2743476.55</v>
      </c>
      <c r="E1400" s="18">
        <v>245.43</v>
      </c>
      <c r="F1400" s="18">
        <v>41980.02</v>
      </c>
      <c r="G1400" s="18">
        <v>135640</v>
      </c>
      <c r="H1400" s="18">
        <f t="shared" si="44"/>
        <v>41972.02</v>
      </c>
      <c r="I1400" s="3"/>
    </row>
    <row r="1401" spans="1:9" s="4" customFormat="1" ht="18" customHeight="1" x14ac:dyDescent="0.55000000000000004">
      <c r="A1401" s="18">
        <v>24.7949345</v>
      </c>
      <c r="B1401" s="18">
        <v>34.826639200000002</v>
      </c>
      <c r="C1401" s="18">
        <v>684650.81</v>
      </c>
      <c r="D1401" s="18">
        <v>2743476.11</v>
      </c>
      <c r="E1401" s="18">
        <v>245.53</v>
      </c>
      <c r="F1401" s="18">
        <v>41978.19</v>
      </c>
      <c r="G1401" s="18">
        <v>135642</v>
      </c>
      <c r="H1401" s="18">
        <f t="shared" si="44"/>
        <v>41970.19</v>
      </c>
      <c r="I1401" s="3"/>
    </row>
    <row r="1402" spans="1:9" s="4" customFormat="1" ht="18" customHeight="1" x14ac:dyDescent="0.55000000000000004">
      <c r="A1402" s="18">
        <v>24.794932899999999</v>
      </c>
      <c r="B1402" s="18">
        <v>34.826607600000003</v>
      </c>
      <c r="C1402" s="18">
        <v>684647.62</v>
      </c>
      <c r="D1402" s="18">
        <v>2743475.9</v>
      </c>
      <c r="E1402" s="18">
        <v>245.57</v>
      </c>
      <c r="F1402" s="18">
        <v>41975.29</v>
      </c>
      <c r="G1402" s="18">
        <v>135644</v>
      </c>
      <c r="H1402" s="18">
        <f t="shared" si="44"/>
        <v>41967.29</v>
      </c>
      <c r="I1402" s="3"/>
    </row>
    <row r="1403" spans="1:9" s="4" customFormat="1" ht="18" customHeight="1" x14ac:dyDescent="0.55000000000000004">
      <c r="A1403" s="18">
        <v>24.794931200000001</v>
      </c>
      <c r="B1403" s="18">
        <v>34.826576699999997</v>
      </c>
      <c r="C1403" s="18">
        <v>684644.49</v>
      </c>
      <c r="D1403" s="18">
        <v>2743475.66</v>
      </c>
      <c r="E1403" s="18">
        <v>245.59</v>
      </c>
      <c r="F1403" s="18">
        <v>41977.29</v>
      </c>
      <c r="G1403" s="18">
        <v>135646</v>
      </c>
      <c r="H1403" s="18">
        <f t="shared" si="44"/>
        <v>41969.29</v>
      </c>
      <c r="I1403" s="3"/>
    </row>
    <row r="1404" spans="1:9" s="4" customFormat="1" ht="18" customHeight="1" x14ac:dyDescent="0.55000000000000004">
      <c r="A1404" s="18">
        <v>24.7949272</v>
      </c>
      <c r="B1404" s="18">
        <v>34.826545400000001</v>
      </c>
      <c r="C1404" s="18">
        <v>684641.34</v>
      </c>
      <c r="D1404" s="18">
        <v>2743475.18</v>
      </c>
      <c r="E1404" s="18">
        <v>245.62</v>
      </c>
      <c r="F1404" s="18">
        <v>41975.71</v>
      </c>
      <c r="G1404" s="18">
        <v>135648</v>
      </c>
      <c r="H1404" s="18">
        <f t="shared" si="44"/>
        <v>41967.71</v>
      </c>
      <c r="I1404" s="3"/>
    </row>
    <row r="1405" spans="1:9" s="4" customFormat="1" ht="18" customHeight="1" x14ac:dyDescent="0.55000000000000004">
      <c r="A1405" s="18">
        <v>24.794923600000001</v>
      </c>
      <c r="B1405" s="18">
        <v>34.826514899999999</v>
      </c>
      <c r="C1405" s="18">
        <v>684638.26</v>
      </c>
      <c r="D1405" s="18">
        <v>2743474.74</v>
      </c>
      <c r="E1405" s="18">
        <v>245.65</v>
      </c>
      <c r="F1405" s="18">
        <v>41974.13</v>
      </c>
      <c r="G1405" s="18">
        <v>135650</v>
      </c>
      <c r="H1405" s="18">
        <f t="shared" si="44"/>
        <v>41966.13</v>
      </c>
      <c r="I1405" s="3"/>
    </row>
    <row r="1406" spans="1:9" s="4" customFormat="1" ht="18" customHeight="1" x14ac:dyDescent="0.55000000000000004">
      <c r="A1406" s="18">
        <v>24.794921599999999</v>
      </c>
      <c r="B1406" s="18">
        <v>34.826483199999998</v>
      </c>
      <c r="C1406" s="18">
        <v>684635.06</v>
      </c>
      <c r="D1406" s="18">
        <v>2743474.47</v>
      </c>
      <c r="E1406" s="18">
        <v>245.69</v>
      </c>
      <c r="F1406" s="18">
        <v>41972.34</v>
      </c>
      <c r="G1406" s="18">
        <v>135652</v>
      </c>
      <c r="H1406" s="18">
        <f t="shared" si="44"/>
        <v>41964.34</v>
      </c>
      <c r="I1406" s="3"/>
    </row>
    <row r="1407" spans="1:9" s="4" customFormat="1" ht="18" customHeight="1" x14ac:dyDescent="0.55000000000000004">
      <c r="A1407" s="18">
        <v>24.794918599999999</v>
      </c>
      <c r="B1407" s="18">
        <v>34.826451499999997</v>
      </c>
      <c r="C1407" s="18">
        <v>684631.86</v>
      </c>
      <c r="D1407" s="18">
        <v>2743474.1</v>
      </c>
      <c r="E1407" s="18">
        <v>245.71</v>
      </c>
      <c r="F1407" s="18">
        <v>41971.03</v>
      </c>
      <c r="G1407" s="18">
        <v>135654</v>
      </c>
      <c r="H1407" s="18">
        <f t="shared" si="44"/>
        <v>41963.03</v>
      </c>
      <c r="I1407" s="3"/>
    </row>
    <row r="1408" spans="1:9" s="4" customFormat="1" ht="18" customHeight="1" x14ac:dyDescent="0.55000000000000004">
      <c r="A1408" s="18">
        <v>24.794913699999999</v>
      </c>
      <c r="B1408" s="18">
        <v>34.8264207</v>
      </c>
      <c r="C1408" s="18">
        <v>684628.75</v>
      </c>
      <c r="D1408" s="18">
        <v>2743473.52</v>
      </c>
      <c r="E1408" s="18">
        <v>245.7</v>
      </c>
      <c r="F1408" s="18">
        <v>41969.9</v>
      </c>
      <c r="G1408" s="18">
        <v>135656</v>
      </c>
      <c r="H1408" s="18">
        <f t="shared" si="44"/>
        <v>41961.9</v>
      </c>
      <c r="I1408" s="3"/>
    </row>
    <row r="1409" spans="1:9" s="4" customFormat="1" ht="18" customHeight="1" x14ac:dyDescent="0.55000000000000004">
      <c r="A1409" s="18">
        <v>24.794908100000001</v>
      </c>
      <c r="B1409" s="18">
        <v>34.8263903</v>
      </c>
      <c r="C1409" s="18">
        <v>684625.68</v>
      </c>
      <c r="D1409" s="18">
        <v>2743472.85</v>
      </c>
      <c r="E1409" s="18">
        <v>245.74</v>
      </c>
      <c r="F1409" s="18">
        <v>41969.26</v>
      </c>
      <c r="G1409" s="18">
        <v>135658</v>
      </c>
      <c r="H1409" s="18">
        <f t="shared" si="44"/>
        <v>41961.26</v>
      </c>
      <c r="I1409" s="3"/>
    </row>
    <row r="1410" spans="1:9" s="4" customFormat="1" ht="18" customHeight="1" x14ac:dyDescent="0.55000000000000004">
      <c r="A1410" s="18">
        <v>24.7949047</v>
      </c>
      <c r="B1410" s="18">
        <v>34.826358800000001</v>
      </c>
      <c r="C1410" s="18">
        <v>684622.5</v>
      </c>
      <c r="D1410" s="18">
        <v>2743472.44</v>
      </c>
      <c r="E1410" s="18">
        <v>245.73</v>
      </c>
      <c r="F1410" s="18">
        <v>41969.65</v>
      </c>
      <c r="G1410" s="18">
        <v>135700</v>
      </c>
      <c r="H1410" s="18">
        <f t="shared" si="44"/>
        <v>41961.65</v>
      </c>
      <c r="I1410" s="3"/>
    </row>
    <row r="1411" spans="1:9" s="4" customFormat="1" ht="18" customHeight="1" x14ac:dyDescent="0.55000000000000004">
      <c r="A1411" s="18">
        <v>24.794900699999999</v>
      </c>
      <c r="B1411" s="18">
        <v>34.826327399999997</v>
      </c>
      <c r="C1411" s="18">
        <v>684619.33</v>
      </c>
      <c r="D1411" s="18">
        <v>2743471.95</v>
      </c>
      <c r="E1411" s="18">
        <v>245.77</v>
      </c>
      <c r="F1411" s="18">
        <v>41968.25</v>
      </c>
      <c r="G1411" s="18">
        <v>135702</v>
      </c>
      <c r="H1411" s="18">
        <f t="shared" si="44"/>
        <v>41960.25</v>
      </c>
      <c r="I1411" s="3"/>
    </row>
    <row r="1412" spans="1:9" s="4" customFormat="1" ht="18" customHeight="1" x14ac:dyDescent="0.55000000000000004">
      <c r="A1412" s="18">
        <v>24.7948944</v>
      </c>
      <c r="B1412" s="18">
        <v>34.8262961</v>
      </c>
      <c r="C1412" s="18">
        <v>684616.18</v>
      </c>
      <c r="D1412" s="18">
        <v>2743471.2</v>
      </c>
      <c r="E1412" s="18">
        <v>245.82</v>
      </c>
      <c r="F1412" s="18">
        <v>41969.79</v>
      </c>
      <c r="G1412" s="18">
        <v>135704</v>
      </c>
      <c r="H1412" s="18">
        <f t="shared" si="44"/>
        <v>41961.79</v>
      </c>
      <c r="I1412" s="3"/>
    </row>
    <row r="1413" spans="1:9" s="4" customFormat="1" ht="18" customHeight="1" x14ac:dyDescent="0.55000000000000004">
      <c r="A1413" s="18">
        <v>24.794887200000002</v>
      </c>
      <c r="B1413" s="18">
        <v>34.826264600000002</v>
      </c>
      <c r="C1413" s="18">
        <v>684613.01</v>
      </c>
      <c r="D1413" s="18">
        <v>2743470.37</v>
      </c>
      <c r="E1413" s="18">
        <v>245.87</v>
      </c>
      <c r="F1413" s="18">
        <v>41966.9</v>
      </c>
      <c r="G1413" s="18">
        <v>135706</v>
      </c>
      <c r="H1413" s="18">
        <f t="shared" si="44"/>
        <v>41958.9</v>
      </c>
      <c r="I1413" s="3"/>
    </row>
    <row r="1414" spans="1:9" s="4" customFormat="1" ht="18" customHeight="1" x14ac:dyDescent="0.55000000000000004">
      <c r="A1414" s="18">
        <v>24.794878799999999</v>
      </c>
      <c r="B1414" s="18">
        <v>34.826233100000003</v>
      </c>
      <c r="C1414" s="18">
        <v>684609.83</v>
      </c>
      <c r="D1414" s="18">
        <v>2743469.4</v>
      </c>
      <c r="E1414" s="18">
        <v>245.87</v>
      </c>
      <c r="F1414" s="18">
        <v>41966.23</v>
      </c>
      <c r="G1414" s="18">
        <v>135708</v>
      </c>
      <c r="H1414" s="18">
        <f t="shared" si="44"/>
        <v>41958.23</v>
      </c>
      <c r="I1414" s="3"/>
    </row>
    <row r="1415" spans="1:9" s="4" customFormat="1" ht="18" customHeight="1" x14ac:dyDescent="0.55000000000000004">
      <c r="A1415" s="18">
        <v>24.794872099999999</v>
      </c>
      <c r="B1415" s="18">
        <v>34.826202500000001</v>
      </c>
      <c r="C1415" s="18">
        <v>684606.75</v>
      </c>
      <c r="D1415" s="18">
        <v>2743468.61</v>
      </c>
      <c r="E1415" s="18">
        <v>245.9</v>
      </c>
      <c r="F1415" s="18">
        <v>41965.96</v>
      </c>
      <c r="G1415" s="18">
        <v>135710</v>
      </c>
      <c r="H1415" s="18">
        <f t="shared" si="44"/>
        <v>41957.96</v>
      </c>
      <c r="I1415" s="3"/>
    </row>
    <row r="1416" spans="1:9" s="4" customFormat="1" ht="18" customHeight="1" x14ac:dyDescent="0.55000000000000004">
      <c r="A1416" s="18">
        <v>24.7948655</v>
      </c>
      <c r="B1416" s="18">
        <v>34.826171299999999</v>
      </c>
      <c r="C1416" s="18">
        <v>684603.6</v>
      </c>
      <c r="D1416" s="18">
        <v>2743467.83</v>
      </c>
      <c r="E1416" s="18">
        <v>245.96</v>
      </c>
      <c r="F1416" s="18">
        <v>41957.38</v>
      </c>
      <c r="G1416" s="18">
        <v>135712</v>
      </c>
      <c r="H1416" s="18">
        <f t="shared" si="44"/>
        <v>41949.38</v>
      </c>
      <c r="I1416" s="3"/>
    </row>
    <row r="1417" spans="1:9" s="4" customFormat="1" ht="18" customHeight="1" x14ac:dyDescent="0.55000000000000004">
      <c r="A1417" s="18">
        <v>24.7948588</v>
      </c>
      <c r="B1417" s="18">
        <v>34.826139699999999</v>
      </c>
      <c r="C1417" s="18">
        <v>684600.42</v>
      </c>
      <c r="D1417" s="18">
        <v>2743467.06</v>
      </c>
      <c r="E1417" s="18">
        <v>245.98</v>
      </c>
      <c r="F1417" s="18">
        <v>41964.6</v>
      </c>
      <c r="G1417" s="18">
        <v>135714</v>
      </c>
      <c r="H1417" s="18">
        <f t="shared" si="44"/>
        <v>41956.6</v>
      </c>
      <c r="I1417" s="3"/>
    </row>
    <row r="1418" spans="1:9" s="4" customFormat="1" ht="18" customHeight="1" x14ac:dyDescent="0.55000000000000004">
      <c r="A1418" s="18">
        <v>24.794850199999999</v>
      </c>
      <c r="B1418" s="18">
        <v>34.826109099999996</v>
      </c>
      <c r="C1418" s="18">
        <v>684597.33</v>
      </c>
      <c r="D1418" s="18">
        <v>2743466.06</v>
      </c>
      <c r="E1418" s="18">
        <v>246.03</v>
      </c>
      <c r="F1418" s="18">
        <v>41962.63</v>
      </c>
      <c r="G1418" s="18">
        <v>135716</v>
      </c>
      <c r="H1418" s="18">
        <f t="shared" si="44"/>
        <v>41954.63</v>
      </c>
      <c r="I1418" s="3"/>
    </row>
    <row r="1419" spans="1:9" s="4" customFormat="1" ht="18" customHeight="1" x14ac:dyDescent="0.55000000000000004">
      <c r="A1419" s="18">
        <v>24.7948418</v>
      </c>
      <c r="B1419" s="18">
        <v>34.8260784</v>
      </c>
      <c r="C1419" s="18">
        <v>684594.24</v>
      </c>
      <c r="D1419" s="18">
        <v>2743465.09</v>
      </c>
      <c r="E1419" s="18">
        <v>246.08</v>
      </c>
      <c r="F1419" s="18">
        <v>41963.12</v>
      </c>
      <c r="G1419" s="18">
        <v>135718</v>
      </c>
      <c r="H1419" s="18">
        <f t="shared" si="44"/>
        <v>41955.12</v>
      </c>
      <c r="I1419" s="3"/>
    </row>
    <row r="1420" spans="1:9" s="4" customFormat="1" ht="18" customHeight="1" x14ac:dyDescent="0.55000000000000004">
      <c r="A1420" s="18">
        <v>24.794833300000001</v>
      </c>
      <c r="B1420" s="18">
        <v>34.826047799999998</v>
      </c>
      <c r="C1420" s="18">
        <v>684591.16</v>
      </c>
      <c r="D1420" s="18">
        <v>2743464.11</v>
      </c>
      <c r="E1420" s="18">
        <v>246.14</v>
      </c>
      <c r="F1420" s="18">
        <v>41964.58</v>
      </c>
      <c r="G1420" s="18">
        <v>135720</v>
      </c>
      <c r="H1420" s="18">
        <f t="shared" si="44"/>
        <v>41956.58</v>
      </c>
      <c r="I1420" s="3"/>
    </row>
    <row r="1421" spans="1:9" s="4" customFormat="1" ht="18" customHeight="1" x14ac:dyDescent="0.55000000000000004">
      <c r="A1421" s="18">
        <v>24.794825199999998</v>
      </c>
      <c r="B1421" s="18">
        <v>34.826017299999997</v>
      </c>
      <c r="C1421" s="18">
        <v>684588.09</v>
      </c>
      <c r="D1421" s="18">
        <v>2743463.17</v>
      </c>
      <c r="E1421" s="18">
        <v>246.16</v>
      </c>
      <c r="F1421" s="18">
        <v>41967.360000000001</v>
      </c>
      <c r="G1421" s="18">
        <v>135722</v>
      </c>
      <c r="H1421" s="18">
        <f t="shared" si="44"/>
        <v>41959.360000000001</v>
      </c>
      <c r="I1421" s="3"/>
    </row>
    <row r="1422" spans="1:9" s="4" customFormat="1" ht="18" customHeight="1" x14ac:dyDescent="0.55000000000000004">
      <c r="A1422" s="18">
        <v>24.794814599999999</v>
      </c>
      <c r="B1422" s="18">
        <v>34.825986200000003</v>
      </c>
      <c r="C1422" s="18">
        <v>684584.95999999996</v>
      </c>
      <c r="D1422" s="18">
        <v>2743461.95</v>
      </c>
      <c r="E1422" s="18">
        <v>246.21</v>
      </c>
      <c r="F1422" s="18">
        <v>41964.480000000003</v>
      </c>
      <c r="G1422" s="18">
        <v>135724</v>
      </c>
      <c r="H1422" s="18">
        <f t="shared" si="44"/>
        <v>41956.480000000003</v>
      </c>
      <c r="I1422" s="3"/>
    </row>
    <row r="1423" spans="1:9" s="4" customFormat="1" ht="18" customHeight="1" x14ac:dyDescent="0.55000000000000004">
      <c r="A1423" s="18">
        <v>24.794804500000001</v>
      </c>
      <c r="B1423" s="18">
        <v>34.825955800000003</v>
      </c>
      <c r="C1423" s="18">
        <v>684581.9</v>
      </c>
      <c r="D1423" s="18">
        <v>2743460.79</v>
      </c>
      <c r="E1423" s="18">
        <v>246.22</v>
      </c>
      <c r="F1423" s="18">
        <v>41962.33</v>
      </c>
      <c r="G1423" s="18">
        <v>135726</v>
      </c>
      <c r="H1423" s="18">
        <f t="shared" si="44"/>
        <v>41954.33</v>
      </c>
      <c r="I1423" s="3"/>
    </row>
    <row r="1424" spans="1:9" s="4" customFormat="1" ht="18" customHeight="1" x14ac:dyDescent="0.55000000000000004">
      <c r="A1424" s="18">
        <v>24.794795100000002</v>
      </c>
      <c r="B1424" s="18">
        <v>34.825924000000001</v>
      </c>
      <c r="C1424" s="18">
        <v>684578.7</v>
      </c>
      <c r="D1424" s="18">
        <v>2743459.71</v>
      </c>
      <c r="E1424" s="18">
        <v>246.26</v>
      </c>
      <c r="F1424" s="18">
        <v>41961.68</v>
      </c>
      <c r="G1424" s="18">
        <v>135728</v>
      </c>
      <c r="H1424" s="18">
        <f t="shared" si="44"/>
        <v>41953.68</v>
      </c>
      <c r="I1424" s="3"/>
    </row>
    <row r="1425" spans="1:9" s="4" customFormat="1" ht="18" customHeight="1" x14ac:dyDescent="0.55000000000000004">
      <c r="A1425" s="18">
        <v>24.7947852</v>
      </c>
      <c r="B1425" s="18">
        <v>34.825895699999997</v>
      </c>
      <c r="C1425" s="18">
        <v>684575.86</v>
      </c>
      <c r="D1425" s="18">
        <v>2743458.58</v>
      </c>
      <c r="E1425" s="18">
        <v>246.37</v>
      </c>
      <c r="F1425" s="18">
        <v>41958.2</v>
      </c>
      <c r="G1425" s="18">
        <v>135730</v>
      </c>
      <c r="H1425" s="18">
        <f t="shared" si="44"/>
        <v>41950.2</v>
      </c>
      <c r="I1425" s="3"/>
    </row>
    <row r="1426" spans="1:9" s="4" customFormat="1" ht="18" customHeight="1" x14ac:dyDescent="0.55000000000000004">
      <c r="A1426" s="18">
        <v>24.794776200000001</v>
      </c>
      <c r="B1426" s="18">
        <v>34.825870999999999</v>
      </c>
      <c r="C1426" s="18">
        <v>684573.37</v>
      </c>
      <c r="D1426" s="18">
        <v>2743457.54</v>
      </c>
      <c r="E1426" s="18">
        <v>246.44</v>
      </c>
      <c r="F1426" s="18">
        <v>41962.81</v>
      </c>
      <c r="G1426" s="18">
        <v>135732</v>
      </c>
      <c r="H1426" s="18">
        <f t="shared" si="44"/>
        <v>41954.81</v>
      </c>
      <c r="I1426" s="3"/>
    </row>
    <row r="1427" spans="1:9" s="4" customFormat="1" ht="18" customHeight="1" x14ac:dyDescent="0.55000000000000004">
      <c r="A1427" s="18">
        <v>24.794769299999999</v>
      </c>
      <c r="B1427" s="18">
        <v>34.825841699999998</v>
      </c>
      <c r="C1427" s="18">
        <v>684570.42</v>
      </c>
      <c r="D1427" s="18">
        <v>2743456.74</v>
      </c>
      <c r="E1427" s="18">
        <v>246.61</v>
      </c>
      <c r="F1427" s="18">
        <v>41959.67</v>
      </c>
      <c r="G1427" s="18">
        <v>135734</v>
      </c>
      <c r="H1427" s="18">
        <f t="shared" si="44"/>
        <v>41951.67</v>
      </c>
      <c r="I1427" s="3"/>
    </row>
    <row r="1428" spans="1:9" s="4" customFormat="1" ht="18" customHeight="1" x14ac:dyDescent="0.55000000000000004">
      <c r="A1428" s="18">
        <v>24.794761699999999</v>
      </c>
      <c r="B1428" s="18">
        <v>34.825811899999998</v>
      </c>
      <c r="C1428" s="18">
        <v>684567.41</v>
      </c>
      <c r="D1428" s="18">
        <v>2743455.85</v>
      </c>
      <c r="E1428" s="18">
        <v>246.72</v>
      </c>
      <c r="F1428" s="18">
        <v>41958.29</v>
      </c>
      <c r="G1428" s="18">
        <v>135736</v>
      </c>
      <c r="H1428" s="18">
        <f t="shared" si="44"/>
        <v>41950.29</v>
      </c>
      <c r="I1428" s="3"/>
    </row>
    <row r="1429" spans="1:9" s="4" customFormat="1" ht="18" customHeight="1" x14ac:dyDescent="0.55000000000000004">
      <c r="A1429" s="18">
        <v>24.794753499999999</v>
      </c>
      <c r="B1429" s="18">
        <v>34.825781599999999</v>
      </c>
      <c r="C1429" s="18">
        <v>684564.36</v>
      </c>
      <c r="D1429" s="18">
        <v>2743454.9</v>
      </c>
      <c r="E1429" s="18">
        <v>246.8</v>
      </c>
      <c r="F1429" s="18">
        <v>41959.58</v>
      </c>
      <c r="G1429" s="18">
        <v>135738</v>
      </c>
      <c r="H1429" s="18">
        <f t="shared" si="44"/>
        <v>41951.58</v>
      </c>
      <c r="I1429" s="3"/>
    </row>
    <row r="1430" spans="1:9" s="4" customFormat="1" ht="18" customHeight="1" x14ac:dyDescent="0.55000000000000004">
      <c r="A1430" s="18">
        <v>24.794744999999999</v>
      </c>
      <c r="B1430" s="18">
        <v>34.825750200000002</v>
      </c>
      <c r="C1430" s="18">
        <v>684561.2</v>
      </c>
      <c r="D1430" s="18">
        <v>2743453.92</v>
      </c>
      <c r="E1430" s="18">
        <v>246.88</v>
      </c>
      <c r="F1430" s="18">
        <v>41958.59</v>
      </c>
      <c r="G1430" s="18">
        <v>135740</v>
      </c>
      <c r="H1430" s="18">
        <f t="shared" si="44"/>
        <v>41950.59</v>
      </c>
      <c r="I1430" s="3"/>
    </row>
    <row r="1431" spans="1:9" s="4" customFormat="1" ht="18" customHeight="1" x14ac:dyDescent="0.55000000000000004">
      <c r="A1431" s="18">
        <v>24.794736799999999</v>
      </c>
      <c r="B1431" s="18">
        <v>34.825719499999998</v>
      </c>
      <c r="C1431" s="18">
        <v>684558.11</v>
      </c>
      <c r="D1431" s="18">
        <v>2743452.97</v>
      </c>
      <c r="E1431" s="18">
        <v>247</v>
      </c>
      <c r="F1431" s="18">
        <v>41960.78</v>
      </c>
      <c r="G1431" s="18">
        <v>135742</v>
      </c>
      <c r="H1431" s="18">
        <f t="shared" si="44"/>
        <v>41952.78</v>
      </c>
      <c r="I1431" s="3"/>
    </row>
    <row r="1432" spans="1:9" s="4" customFormat="1" ht="18" customHeight="1" x14ac:dyDescent="0.55000000000000004">
      <c r="A1432" s="18">
        <v>24.794727900000002</v>
      </c>
      <c r="B1432" s="18">
        <v>34.825689300000001</v>
      </c>
      <c r="C1432" s="18">
        <v>684555.07</v>
      </c>
      <c r="D1432" s="18">
        <v>2743451.95</v>
      </c>
      <c r="E1432" s="18">
        <v>247.09</v>
      </c>
      <c r="F1432" s="18">
        <v>41961.55</v>
      </c>
      <c r="G1432" s="18">
        <v>135744</v>
      </c>
      <c r="H1432" s="18">
        <f t="shared" si="44"/>
        <v>41953.55</v>
      </c>
      <c r="I1432" s="3"/>
    </row>
    <row r="1433" spans="1:9" s="4" customFormat="1" ht="18" customHeight="1" x14ac:dyDescent="0.55000000000000004">
      <c r="A1433" s="18">
        <v>24.794719099999998</v>
      </c>
      <c r="B1433" s="18">
        <v>34.825659299999998</v>
      </c>
      <c r="C1433" s="18">
        <v>684552.05</v>
      </c>
      <c r="D1433" s="18">
        <v>2743450.93</v>
      </c>
      <c r="E1433" s="18">
        <v>247.18</v>
      </c>
      <c r="F1433" s="18">
        <v>41961.45</v>
      </c>
      <c r="G1433" s="18">
        <v>135746</v>
      </c>
      <c r="H1433" s="18">
        <f t="shared" si="44"/>
        <v>41953.45</v>
      </c>
      <c r="I1433" s="3"/>
    </row>
    <row r="1434" spans="1:9" s="4" customFormat="1" ht="18" customHeight="1" x14ac:dyDescent="0.55000000000000004">
      <c r="A1434" s="18">
        <v>24.794711199999998</v>
      </c>
      <c r="B1434" s="18">
        <v>34.825628399999999</v>
      </c>
      <c r="C1434" s="18">
        <v>684548.94</v>
      </c>
      <c r="D1434" s="18">
        <v>2743450.02</v>
      </c>
      <c r="E1434" s="18">
        <v>247.28</v>
      </c>
      <c r="F1434" s="18">
        <v>41960.83</v>
      </c>
      <c r="G1434" s="18">
        <v>135748</v>
      </c>
      <c r="H1434" s="18">
        <f t="shared" si="44"/>
        <v>41952.83</v>
      </c>
      <c r="I1434" s="3"/>
    </row>
    <row r="1435" spans="1:9" s="4" customFormat="1" ht="18" customHeight="1" x14ac:dyDescent="0.55000000000000004">
      <c r="A1435" s="18">
        <v>24.794701499999999</v>
      </c>
      <c r="B1435" s="18">
        <v>34.825598800000002</v>
      </c>
      <c r="C1435" s="18">
        <v>684545.96</v>
      </c>
      <c r="D1435" s="18">
        <v>2743448.91</v>
      </c>
      <c r="E1435" s="18">
        <v>247.35</v>
      </c>
      <c r="F1435" s="18">
        <v>41962.15</v>
      </c>
      <c r="G1435" s="18">
        <v>135750</v>
      </c>
      <c r="H1435" s="18">
        <f t="shared" si="44"/>
        <v>41954.15</v>
      </c>
      <c r="I1435" s="3"/>
    </row>
    <row r="1436" spans="1:9" s="4" customFormat="1" ht="18" customHeight="1" x14ac:dyDescent="0.55000000000000004">
      <c r="A1436" s="18">
        <v>24.794694100000001</v>
      </c>
      <c r="B1436" s="18">
        <v>34.825568599999997</v>
      </c>
      <c r="C1436" s="18">
        <v>684542.92</v>
      </c>
      <c r="D1436" s="18">
        <v>2743448.04</v>
      </c>
      <c r="E1436" s="18">
        <v>247.42</v>
      </c>
      <c r="F1436" s="18">
        <v>41961.7</v>
      </c>
      <c r="G1436" s="18">
        <v>135752</v>
      </c>
      <c r="H1436" s="18">
        <f t="shared" si="44"/>
        <v>41953.7</v>
      </c>
      <c r="I1436" s="3"/>
    </row>
    <row r="1437" spans="1:9" s="4" customFormat="1" ht="18" customHeight="1" x14ac:dyDescent="0.55000000000000004">
      <c r="A1437" s="18">
        <v>24.7946861</v>
      </c>
      <c r="B1437" s="18">
        <v>34.825538600000002</v>
      </c>
      <c r="C1437" s="18">
        <v>684539.9</v>
      </c>
      <c r="D1437" s="18">
        <v>2743447.11</v>
      </c>
      <c r="E1437" s="18">
        <v>247.49</v>
      </c>
      <c r="F1437" s="18">
        <v>41963.72</v>
      </c>
      <c r="G1437" s="18">
        <v>135754</v>
      </c>
      <c r="H1437" s="18">
        <f t="shared" si="44"/>
        <v>41955.72</v>
      </c>
      <c r="I1437" s="3"/>
    </row>
    <row r="1438" spans="1:9" s="4" customFormat="1" ht="18" customHeight="1" x14ac:dyDescent="0.55000000000000004">
      <c r="A1438" s="18">
        <v>24.7946782</v>
      </c>
      <c r="B1438" s="18">
        <v>34.8255081</v>
      </c>
      <c r="C1438" s="18">
        <v>684536.82</v>
      </c>
      <c r="D1438" s="18">
        <v>2743446.2</v>
      </c>
      <c r="E1438" s="18">
        <v>247.55</v>
      </c>
      <c r="F1438" s="18">
        <v>41965.14</v>
      </c>
      <c r="G1438" s="18">
        <v>135756</v>
      </c>
      <c r="H1438" s="18">
        <f t="shared" si="44"/>
        <v>41957.14</v>
      </c>
      <c r="I1438" s="3"/>
    </row>
    <row r="1439" spans="1:9" s="4" customFormat="1" ht="18" customHeight="1" x14ac:dyDescent="0.55000000000000004">
      <c r="A1439" s="18">
        <v>24.794669899999999</v>
      </c>
      <c r="B1439" s="18">
        <v>34.825476999999999</v>
      </c>
      <c r="C1439" s="18">
        <v>684533.69</v>
      </c>
      <c r="D1439" s="18">
        <v>2743445.24</v>
      </c>
      <c r="E1439" s="18">
        <v>247.56</v>
      </c>
      <c r="F1439" s="18">
        <v>41965.73</v>
      </c>
      <c r="G1439" s="18">
        <v>135758</v>
      </c>
      <c r="H1439" s="18">
        <f t="shared" si="44"/>
        <v>41957.73</v>
      </c>
      <c r="I1439" s="3"/>
    </row>
    <row r="1440" spans="1:9" s="4" customFormat="1" ht="18" customHeight="1" x14ac:dyDescent="0.55000000000000004">
      <c r="A1440" s="18">
        <v>24.794662299999999</v>
      </c>
      <c r="B1440" s="18">
        <v>34.825447199999999</v>
      </c>
      <c r="C1440" s="18">
        <v>684530.69</v>
      </c>
      <c r="D1440" s="18">
        <v>2743444.35</v>
      </c>
      <c r="E1440" s="18">
        <v>247.6</v>
      </c>
      <c r="F1440" s="18">
        <v>41966.22</v>
      </c>
      <c r="G1440" s="18">
        <v>135800</v>
      </c>
      <c r="H1440" s="18">
        <f t="shared" si="44"/>
        <v>41958.22</v>
      </c>
      <c r="I1440" s="3"/>
    </row>
    <row r="1441" spans="1:9" s="4" customFormat="1" ht="18" customHeight="1" x14ac:dyDescent="0.55000000000000004">
      <c r="A1441" s="18">
        <v>24.794659100000001</v>
      </c>
      <c r="B1441" s="18">
        <v>34.825417700000003</v>
      </c>
      <c r="C1441" s="18">
        <v>684527.71</v>
      </c>
      <c r="D1441" s="18">
        <v>2743443.96</v>
      </c>
      <c r="E1441" s="18">
        <v>247.65</v>
      </c>
      <c r="F1441" s="18">
        <v>41967.72</v>
      </c>
      <c r="G1441" s="18">
        <v>135802</v>
      </c>
      <c r="H1441" s="18">
        <f t="shared" si="44"/>
        <v>41959.72</v>
      </c>
      <c r="I1441" s="3"/>
    </row>
    <row r="1442" spans="1:9" s="4" customFormat="1" ht="18" customHeight="1" x14ac:dyDescent="0.55000000000000004">
      <c r="A1442" s="18">
        <v>24.794653</v>
      </c>
      <c r="B1442" s="18">
        <v>34.825389000000001</v>
      </c>
      <c r="C1442" s="18">
        <v>684524.82</v>
      </c>
      <c r="D1442" s="18">
        <v>2743443.24</v>
      </c>
      <c r="E1442" s="18">
        <v>247.67</v>
      </c>
      <c r="F1442" s="18">
        <v>41969.279999999999</v>
      </c>
      <c r="G1442" s="18">
        <v>135804</v>
      </c>
      <c r="H1442" s="18">
        <f t="shared" si="44"/>
        <v>41961.279999999999</v>
      </c>
      <c r="I1442" s="3"/>
    </row>
    <row r="1443" spans="1:9" s="4" customFormat="1" ht="18" customHeight="1" x14ac:dyDescent="0.55000000000000004">
      <c r="A1443" s="18">
        <v>24.7946445</v>
      </c>
      <c r="B1443" s="18">
        <v>34.825359200000001</v>
      </c>
      <c r="C1443" s="18">
        <v>684521.82</v>
      </c>
      <c r="D1443" s="18">
        <v>2743442.27</v>
      </c>
      <c r="E1443" s="18">
        <v>247.71</v>
      </c>
      <c r="F1443" s="18">
        <v>41969.91</v>
      </c>
      <c r="G1443" s="18">
        <v>135806</v>
      </c>
      <c r="H1443" s="18">
        <f t="shared" si="44"/>
        <v>41961.91</v>
      </c>
      <c r="I1443" s="3"/>
    </row>
    <row r="1444" spans="1:9" s="4" customFormat="1" ht="18" customHeight="1" x14ac:dyDescent="0.55000000000000004">
      <c r="A1444" s="18">
        <v>24.794637000000002</v>
      </c>
      <c r="B1444" s="18">
        <v>34.8253299</v>
      </c>
      <c r="C1444" s="18">
        <v>684518.87</v>
      </c>
      <c r="D1444" s="18">
        <v>2743441.4</v>
      </c>
      <c r="E1444" s="18">
        <v>247.73</v>
      </c>
      <c r="F1444" s="18">
        <v>41970.720000000001</v>
      </c>
      <c r="G1444" s="18">
        <v>135808</v>
      </c>
      <c r="H1444" s="18">
        <f t="shared" si="44"/>
        <v>41962.720000000001</v>
      </c>
      <c r="I1444" s="3"/>
    </row>
    <row r="1445" spans="1:9" s="4" customFormat="1" ht="18" customHeight="1" x14ac:dyDescent="0.55000000000000004">
      <c r="A1445" s="18">
        <v>24.794627299999998</v>
      </c>
      <c r="B1445" s="18">
        <v>34.825300400000003</v>
      </c>
      <c r="C1445" s="18">
        <v>684515.89</v>
      </c>
      <c r="D1445" s="18">
        <v>2743440.28</v>
      </c>
      <c r="E1445" s="18">
        <v>247.77</v>
      </c>
      <c r="F1445" s="18">
        <v>41970.2</v>
      </c>
      <c r="G1445" s="18">
        <v>135810</v>
      </c>
      <c r="H1445" s="18">
        <f t="shared" si="44"/>
        <v>41962.2</v>
      </c>
      <c r="I1445" s="3"/>
    </row>
    <row r="1446" spans="1:9" s="4" customFormat="1" ht="18" customHeight="1" x14ac:dyDescent="0.55000000000000004">
      <c r="A1446" s="18">
        <v>24.794616099999999</v>
      </c>
      <c r="B1446" s="18">
        <v>34.825272099999999</v>
      </c>
      <c r="C1446" s="18">
        <v>684513.05</v>
      </c>
      <c r="D1446" s="18">
        <v>2743439</v>
      </c>
      <c r="E1446" s="18">
        <v>247.83</v>
      </c>
      <c r="F1446" s="18">
        <v>41971.22</v>
      </c>
      <c r="G1446" s="18">
        <v>135812</v>
      </c>
      <c r="H1446" s="18">
        <f t="shared" si="44"/>
        <v>41963.22</v>
      </c>
      <c r="I1446" s="3"/>
    </row>
    <row r="1447" spans="1:9" s="4" customFormat="1" ht="18" customHeight="1" x14ac:dyDescent="0.55000000000000004">
      <c r="A1447" s="18">
        <v>24.794605900000001</v>
      </c>
      <c r="B1447" s="18">
        <v>34.825243100000002</v>
      </c>
      <c r="C1447" s="18">
        <v>684510.14</v>
      </c>
      <c r="D1447" s="18">
        <v>2743437.83</v>
      </c>
      <c r="E1447" s="18">
        <v>247.86</v>
      </c>
      <c r="F1447" s="18">
        <v>41970.06</v>
      </c>
      <c r="G1447" s="18">
        <v>135814</v>
      </c>
      <c r="H1447" s="18">
        <f t="shared" si="44"/>
        <v>41962.06</v>
      </c>
      <c r="I1447" s="3"/>
    </row>
    <row r="1448" spans="1:9" s="4" customFormat="1" ht="18" customHeight="1" x14ac:dyDescent="0.55000000000000004">
      <c r="A1448" s="18">
        <v>24.7945949</v>
      </c>
      <c r="B1448" s="18">
        <v>34.825214299999999</v>
      </c>
      <c r="C1448" s="18">
        <v>684507.24</v>
      </c>
      <c r="D1448" s="18">
        <v>2743436.57</v>
      </c>
      <c r="E1448" s="18">
        <v>247.88</v>
      </c>
      <c r="F1448" s="18">
        <v>41972.27</v>
      </c>
      <c r="G1448" s="18">
        <v>135816</v>
      </c>
      <c r="H1448" s="18">
        <f t="shared" si="44"/>
        <v>41964.27</v>
      </c>
      <c r="I1448" s="3"/>
    </row>
    <row r="1449" spans="1:9" s="4" customFormat="1" ht="18" customHeight="1" x14ac:dyDescent="0.55000000000000004">
      <c r="A1449" s="18">
        <v>24.7945852</v>
      </c>
      <c r="B1449" s="18">
        <v>34.825185300000001</v>
      </c>
      <c r="C1449" s="18">
        <v>684504.32</v>
      </c>
      <c r="D1449" s="18">
        <v>2743435.46</v>
      </c>
      <c r="E1449" s="18">
        <v>247.91</v>
      </c>
      <c r="F1449" s="18">
        <v>41972.61</v>
      </c>
      <c r="G1449" s="18">
        <v>135818</v>
      </c>
      <c r="H1449" s="18">
        <f t="shared" si="44"/>
        <v>41964.61</v>
      </c>
      <c r="I1449" s="3"/>
    </row>
    <row r="1450" spans="1:9" s="4" customFormat="1" ht="18" customHeight="1" x14ac:dyDescent="0.55000000000000004">
      <c r="A1450" s="18">
        <v>24.794575699999999</v>
      </c>
      <c r="B1450" s="18">
        <v>34.8251566</v>
      </c>
      <c r="C1450" s="18">
        <v>684501.43</v>
      </c>
      <c r="D1450" s="18">
        <v>2743434.37</v>
      </c>
      <c r="E1450" s="18">
        <v>247.96</v>
      </c>
      <c r="F1450" s="18">
        <v>41970.87</v>
      </c>
      <c r="G1450" s="18">
        <v>135820</v>
      </c>
      <c r="H1450" s="18">
        <f t="shared" si="44"/>
        <v>41962.87</v>
      </c>
      <c r="I1450" s="3"/>
    </row>
    <row r="1451" spans="1:9" s="4" customFormat="1" ht="18" customHeight="1" x14ac:dyDescent="0.55000000000000004">
      <c r="A1451" s="18">
        <v>24.794567000000001</v>
      </c>
      <c r="B1451" s="18">
        <v>34.8251274</v>
      </c>
      <c r="C1451" s="18">
        <v>684498.5</v>
      </c>
      <c r="D1451" s="18">
        <v>2743433.36</v>
      </c>
      <c r="E1451" s="18">
        <v>248.03</v>
      </c>
      <c r="F1451" s="18">
        <v>41969.760000000002</v>
      </c>
      <c r="G1451" s="18">
        <v>135822</v>
      </c>
      <c r="H1451" s="18">
        <f t="shared" si="44"/>
        <v>41961.760000000002</v>
      </c>
      <c r="I1451" s="3"/>
    </row>
    <row r="1452" spans="1:9" s="4" customFormat="1" ht="18" customHeight="1" x14ac:dyDescent="0.55000000000000004">
      <c r="A1452" s="18">
        <v>24.794560799999999</v>
      </c>
      <c r="B1452" s="18">
        <v>34.825096700000003</v>
      </c>
      <c r="C1452" s="18">
        <v>684495.4</v>
      </c>
      <c r="D1452" s="18">
        <v>2743432.64</v>
      </c>
      <c r="E1452" s="18">
        <v>248.07</v>
      </c>
      <c r="F1452" s="18">
        <v>41969.35</v>
      </c>
      <c r="G1452" s="18">
        <v>135824</v>
      </c>
      <c r="H1452" s="18">
        <f t="shared" si="44"/>
        <v>41961.35</v>
      </c>
      <c r="I1452" s="3"/>
    </row>
    <row r="1453" spans="1:9" s="4" customFormat="1" ht="18" customHeight="1" x14ac:dyDescent="0.55000000000000004">
      <c r="A1453" s="18">
        <v>24.7945536</v>
      </c>
      <c r="B1453" s="18">
        <v>34.8250666</v>
      </c>
      <c r="C1453" s="18">
        <v>684492.36</v>
      </c>
      <c r="D1453" s="18">
        <v>2743431.8</v>
      </c>
      <c r="E1453" s="18">
        <v>248.1</v>
      </c>
      <c r="F1453" s="18">
        <v>41971.39</v>
      </c>
      <c r="G1453" s="18">
        <v>135826</v>
      </c>
      <c r="H1453" s="18">
        <f t="shared" si="44"/>
        <v>41963.39</v>
      </c>
      <c r="I1453" s="3"/>
    </row>
    <row r="1454" spans="1:9" s="4" customFormat="1" ht="18" customHeight="1" x14ac:dyDescent="0.55000000000000004">
      <c r="A1454" s="18">
        <v>24.794545200000002</v>
      </c>
      <c r="B1454" s="18">
        <v>34.825037500000001</v>
      </c>
      <c r="C1454" s="18">
        <v>684489.44</v>
      </c>
      <c r="D1454" s="18">
        <v>2743430.83</v>
      </c>
      <c r="E1454" s="18">
        <v>248.16</v>
      </c>
      <c r="F1454" s="18">
        <v>41969.38</v>
      </c>
      <c r="G1454" s="18">
        <v>135828</v>
      </c>
      <c r="H1454" s="18">
        <f t="shared" si="44"/>
        <v>41961.38</v>
      </c>
      <c r="I1454" s="3"/>
    </row>
    <row r="1455" spans="1:9" s="4" customFormat="1" ht="18" customHeight="1" x14ac:dyDescent="0.55000000000000004">
      <c r="A1455" s="18">
        <v>24.794533900000001</v>
      </c>
      <c r="B1455" s="18">
        <v>34.825009299999998</v>
      </c>
      <c r="C1455" s="18">
        <v>684486.6</v>
      </c>
      <c r="D1455" s="18">
        <v>2743429.54</v>
      </c>
      <c r="E1455" s="18">
        <v>248.17</v>
      </c>
      <c r="F1455" s="18">
        <v>41968.55</v>
      </c>
      <c r="G1455" s="18">
        <v>135830</v>
      </c>
      <c r="H1455" s="18">
        <f t="shared" si="44"/>
        <v>41960.55</v>
      </c>
      <c r="I1455" s="3"/>
    </row>
    <row r="1456" spans="1:9" s="4" customFormat="1" ht="18" customHeight="1" x14ac:dyDescent="0.55000000000000004">
      <c r="A1456" s="18">
        <v>24.794521199999998</v>
      </c>
      <c r="B1456" s="18">
        <v>34.824981100000002</v>
      </c>
      <c r="C1456" s="18">
        <v>684483.77</v>
      </c>
      <c r="D1456" s="18">
        <v>2743428.09</v>
      </c>
      <c r="E1456" s="18">
        <v>248.18</v>
      </c>
      <c r="F1456" s="18">
        <v>41969.54</v>
      </c>
      <c r="G1456" s="18">
        <v>135832</v>
      </c>
      <c r="H1456" s="18">
        <f t="shared" si="44"/>
        <v>41961.54</v>
      </c>
      <c r="I1456" s="3"/>
    </row>
    <row r="1457" spans="1:9" s="4" customFormat="1" ht="18" customHeight="1" x14ac:dyDescent="0.55000000000000004">
      <c r="A1457" s="18">
        <v>24.794508199999999</v>
      </c>
      <c r="B1457" s="18">
        <v>34.824953499999999</v>
      </c>
      <c r="C1457" s="18">
        <v>684480.99</v>
      </c>
      <c r="D1457" s="18">
        <v>2743426.62</v>
      </c>
      <c r="E1457" s="18">
        <v>248.2</v>
      </c>
      <c r="F1457" s="18">
        <v>41969.64</v>
      </c>
      <c r="G1457" s="18">
        <v>135834</v>
      </c>
      <c r="H1457" s="18">
        <f t="shared" si="44"/>
        <v>41961.64</v>
      </c>
      <c r="I1457" s="3"/>
    </row>
    <row r="1458" spans="1:9" s="4" customFormat="1" ht="18" customHeight="1" x14ac:dyDescent="0.55000000000000004">
      <c r="A1458" s="18">
        <v>24.794494700000001</v>
      </c>
      <c r="B1458" s="18">
        <v>34.824926599999998</v>
      </c>
      <c r="C1458" s="18">
        <v>684478.3</v>
      </c>
      <c r="D1458" s="18">
        <v>2743425.08</v>
      </c>
      <c r="E1458" s="18">
        <v>248.22</v>
      </c>
      <c r="F1458" s="18">
        <v>41965.83</v>
      </c>
      <c r="G1458" s="18">
        <v>135836</v>
      </c>
      <c r="H1458" s="18">
        <f t="shared" si="44"/>
        <v>41957.83</v>
      </c>
      <c r="I1458" s="3"/>
    </row>
    <row r="1459" spans="1:9" s="4" customFormat="1" ht="18" customHeight="1" x14ac:dyDescent="0.55000000000000004">
      <c r="A1459" s="18">
        <v>24.794480400000001</v>
      </c>
      <c r="B1459" s="18">
        <v>34.8248994</v>
      </c>
      <c r="C1459" s="18">
        <v>684475.57</v>
      </c>
      <c r="D1459" s="18">
        <v>2743423.47</v>
      </c>
      <c r="E1459" s="18">
        <v>248.21</v>
      </c>
      <c r="F1459" s="18">
        <v>41966.27</v>
      </c>
      <c r="G1459" s="18">
        <v>135838</v>
      </c>
      <c r="H1459" s="18">
        <f t="shared" si="44"/>
        <v>41958.27</v>
      </c>
      <c r="I1459" s="3"/>
    </row>
    <row r="1460" spans="1:9" s="4" customFormat="1" ht="18" customHeight="1" x14ac:dyDescent="0.55000000000000004">
      <c r="A1460" s="18">
        <v>24.7944651</v>
      </c>
      <c r="B1460" s="18">
        <v>34.824872499999998</v>
      </c>
      <c r="C1460" s="18">
        <v>684472.87</v>
      </c>
      <c r="D1460" s="18">
        <v>2743421.73</v>
      </c>
      <c r="E1460" s="18">
        <v>248.23</v>
      </c>
      <c r="F1460" s="18">
        <v>41967.35</v>
      </c>
      <c r="G1460" s="18">
        <v>135840</v>
      </c>
      <c r="H1460" s="18">
        <f t="shared" si="44"/>
        <v>41959.35</v>
      </c>
      <c r="I1460" s="3"/>
    </row>
    <row r="1461" spans="1:9" s="4" customFormat="1" ht="18" customHeight="1" x14ac:dyDescent="0.55000000000000004">
      <c r="A1461" s="18">
        <v>24.794447399999999</v>
      </c>
      <c r="B1461" s="18">
        <v>34.824846299999997</v>
      </c>
      <c r="C1461" s="18">
        <v>684470.25</v>
      </c>
      <c r="D1461" s="18">
        <v>2743419.74</v>
      </c>
      <c r="E1461" s="18">
        <v>248.22</v>
      </c>
      <c r="F1461" s="18">
        <v>41970.81</v>
      </c>
      <c r="G1461" s="18">
        <v>135842</v>
      </c>
      <c r="H1461" s="18">
        <f t="shared" si="44"/>
        <v>41962.81</v>
      </c>
      <c r="I1461" s="3"/>
    </row>
    <row r="1462" spans="1:9" s="4" customFormat="1" ht="18" customHeight="1" x14ac:dyDescent="0.55000000000000004">
      <c r="A1462" s="18">
        <v>24.794431299999999</v>
      </c>
      <c r="B1462" s="18">
        <v>34.824818800000003</v>
      </c>
      <c r="C1462" s="18">
        <v>684467.49</v>
      </c>
      <c r="D1462" s="18">
        <v>2743417.91</v>
      </c>
      <c r="E1462" s="18">
        <v>248.26</v>
      </c>
      <c r="F1462" s="18">
        <v>41969.85</v>
      </c>
      <c r="G1462" s="18">
        <v>135844</v>
      </c>
      <c r="H1462" s="18">
        <f t="shared" si="44"/>
        <v>41961.85</v>
      </c>
      <c r="I1462" s="3"/>
    </row>
    <row r="1463" spans="1:9" s="4" customFormat="1" ht="18" customHeight="1" x14ac:dyDescent="0.55000000000000004">
      <c r="A1463" s="18">
        <v>24.794416699999999</v>
      </c>
      <c r="B1463" s="18">
        <v>34.824791300000001</v>
      </c>
      <c r="C1463" s="18">
        <v>684464.73</v>
      </c>
      <c r="D1463" s="18">
        <v>2743416.26</v>
      </c>
      <c r="E1463" s="18">
        <v>248.29</v>
      </c>
      <c r="F1463" s="18">
        <v>41968.95</v>
      </c>
      <c r="G1463" s="18">
        <v>135846</v>
      </c>
      <c r="H1463" s="18">
        <f t="shared" ref="H1463:H1516" si="45">SUM(F1463-8)</f>
        <v>41960.95</v>
      </c>
      <c r="I1463" s="3"/>
    </row>
    <row r="1464" spans="1:9" s="4" customFormat="1" ht="18" customHeight="1" x14ac:dyDescent="0.55000000000000004">
      <c r="A1464" s="18">
        <v>24.7944016</v>
      </c>
      <c r="B1464" s="18">
        <v>34.824763400000002</v>
      </c>
      <c r="C1464" s="18">
        <v>684461.94</v>
      </c>
      <c r="D1464" s="18">
        <v>2743414.56</v>
      </c>
      <c r="E1464" s="18">
        <v>248.31</v>
      </c>
      <c r="F1464" s="18">
        <v>41970.23</v>
      </c>
      <c r="G1464" s="18">
        <v>135848</v>
      </c>
      <c r="H1464" s="18">
        <f t="shared" si="45"/>
        <v>41962.23</v>
      </c>
      <c r="I1464" s="3"/>
    </row>
    <row r="1465" spans="1:9" s="4" customFormat="1" ht="18" customHeight="1" x14ac:dyDescent="0.55000000000000004">
      <c r="A1465" s="18">
        <v>24.794385999999999</v>
      </c>
      <c r="B1465" s="18">
        <v>34.824737200000001</v>
      </c>
      <c r="C1465" s="18">
        <v>684459.31</v>
      </c>
      <c r="D1465" s="18">
        <v>2743412.79</v>
      </c>
      <c r="E1465" s="18">
        <v>248.35</v>
      </c>
      <c r="F1465" s="18">
        <v>41968.69</v>
      </c>
      <c r="G1465" s="18">
        <v>135850</v>
      </c>
      <c r="H1465" s="18">
        <f t="shared" si="45"/>
        <v>41960.69</v>
      </c>
      <c r="I1465" s="3"/>
    </row>
    <row r="1466" spans="1:9" s="4" customFormat="1" ht="18" customHeight="1" x14ac:dyDescent="0.55000000000000004">
      <c r="A1466" s="18">
        <v>24.7943724</v>
      </c>
      <c r="B1466" s="18">
        <v>34.824709400000003</v>
      </c>
      <c r="C1466" s="18">
        <v>684456.52</v>
      </c>
      <c r="D1466" s="18">
        <v>2743411.24</v>
      </c>
      <c r="E1466" s="18">
        <v>248.36</v>
      </c>
      <c r="F1466" s="18">
        <v>41967.040000000001</v>
      </c>
      <c r="G1466" s="18">
        <v>135852</v>
      </c>
      <c r="H1466" s="18">
        <f t="shared" si="45"/>
        <v>41959.040000000001</v>
      </c>
      <c r="I1466" s="3"/>
    </row>
    <row r="1467" spans="1:9" s="4" customFormat="1" ht="18" customHeight="1" x14ac:dyDescent="0.55000000000000004">
      <c r="A1467" s="18">
        <v>24.794361800000001</v>
      </c>
      <c r="B1467" s="18">
        <v>34.824680499999999</v>
      </c>
      <c r="C1467" s="18">
        <v>684453.61</v>
      </c>
      <c r="D1467" s="18">
        <v>2743410.04</v>
      </c>
      <c r="E1467" s="18">
        <v>248.37</v>
      </c>
      <c r="F1467" s="18">
        <v>41965.89</v>
      </c>
      <c r="G1467" s="18">
        <v>135854</v>
      </c>
      <c r="H1467" s="18">
        <f t="shared" si="45"/>
        <v>41957.89</v>
      </c>
      <c r="I1467" s="3"/>
    </row>
    <row r="1468" spans="1:9" s="4" customFormat="1" ht="18" customHeight="1" x14ac:dyDescent="0.55000000000000004">
      <c r="A1468" s="18">
        <v>24.794350300000001</v>
      </c>
      <c r="B1468" s="18">
        <v>34.824651500000002</v>
      </c>
      <c r="C1468" s="18">
        <v>684450.7</v>
      </c>
      <c r="D1468" s="18">
        <v>2743408.72</v>
      </c>
      <c r="E1468" s="18">
        <v>248.43</v>
      </c>
      <c r="F1468" s="18">
        <v>41965.65</v>
      </c>
      <c r="G1468" s="18">
        <v>135856</v>
      </c>
      <c r="H1468" s="18">
        <f t="shared" si="45"/>
        <v>41957.65</v>
      </c>
      <c r="I1468" s="3"/>
    </row>
    <row r="1469" spans="1:9" s="4" customFormat="1" ht="18" customHeight="1" x14ac:dyDescent="0.55000000000000004">
      <c r="A1469" s="18">
        <v>24.7943362</v>
      </c>
      <c r="B1469" s="18">
        <v>34.824624399999998</v>
      </c>
      <c r="C1469" s="18">
        <v>684447.98</v>
      </c>
      <c r="D1469" s="18">
        <v>2743407.13</v>
      </c>
      <c r="E1469" s="18">
        <v>248.48</v>
      </c>
      <c r="F1469" s="18">
        <v>41962.44</v>
      </c>
      <c r="G1469" s="18">
        <v>135858</v>
      </c>
      <c r="H1469" s="18">
        <f t="shared" si="45"/>
        <v>41954.44</v>
      </c>
      <c r="I1469" s="3"/>
    </row>
    <row r="1470" spans="1:9" s="4" customFormat="1" ht="18" customHeight="1" x14ac:dyDescent="0.55000000000000004">
      <c r="A1470" s="18">
        <v>24.7943192</v>
      </c>
      <c r="B1470" s="18">
        <v>34.8245991</v>
      </c>
      <c r="C1470" s="18">
        <v>684445.45</v>
      </c>
      <c r="D1470" s="18">
        <v>2743405.21</v>
      </c>
      <c r="E1470" s="18">
        <v>248.52</v>
      </c>
      <c r="F1470" s="18">
        <v>41962.3</v>
      </c>
      <c r="G1470" s="18">
        <v>135900</v>
      </c>
      <c r="H1470" s="18">
        <f t="shared" si="45"/>
        <v>41954.3</v>
      </c>
      <c r="I1470" s="3"/>
    </row>
    <row r="1471" spans="1:9" s="4" customFormat="1" ht="18" customHeight="1" x14ac:dyDescent="0.55000000000000004">
      <c r="A1471" s="18">
        <v>24.794297700000001</v>
      </c>
      <c r="B1471" s="18">
        <v>34.824580099999999</v>
      </c>
      <c r="C1471" s="18">
        <v>684443.55</v>
      </c>
      <c r="D1471" s="18">
        <v>2743402.8</v>
      </c>
      <c r="E1471" s="18">
        <v>248.58</v>
      </c>
      <c r="F1471" s="18">
        <v>41965.49</v>
      </c>
      <c r="G1471" s="18">
        <v>135902</v>
      </c>
      <c r="H1471" s="18">
        <f t="shared" si="45"/>
        <v>41957.49</v>
      </c>
      <c r="I1471" s="3"/>
    </row>
    <row r="1472" spans="1:9" s="4" customFormat="1" ht="18" customHeight="1" x14ac:dyDescent="0.55000000000000004">
      <c r="A1472" s="18">
        <v>24.794279700000001</v>
      </c>
      <c r="B1472" s="18">
        <v>34.8245559</v>
      </c>
      <c r="C1472" s="18">
        <v>684441.14</v>
      </c>
      <c r="D1472" s="18">
        <v>2743400.77</v>
      </c>
      <c r="E1472" s="18">
        <v>248.61</v>
      </c>
      <c r="F1472" s="18">
        <v>41962.92</v>
      </c>
      <c r="G1472" s="18">
        <v>135904</v>
      </c>
      <c r="H1472" s="18">
        <f t="shared" si="45"/>
        <v>41954.92</v>
      </c>
      <c r="I1472" s="3"/>
    </row>
    <row r="1473" spans="1:9" s="4" customFormat="1" ht="18" customHeight="1" x14ac:dyDescent="0.55000000000000004">
      <c r="A1473" s="18">
        <v>24.794261899999999</v>
      </c>
      <c r="B1473" s="18">
        <v>34.8245316</v>
      </c>
      <c r="C1473" s="18">
        <v>684438.71</v>
      </c>
      <c r="D1473" s="18">
        <v>2743398.77</v>
      </c>
      <c r="E1473" s="18">
        <v>248.62</v>
      </c>
      <c r="F1473" s="18">
        <v>41962.86</v>
      </c>
      <c r="G1473" s="18">
        <v>135906</v>
      </c>
      <c r="H1473" s="18">
        <f t="shared" si="45"/>
        <v>41954.86</v>
      </c>
      <c r="I1473" s="3"/>
    </row>
    <row r="1474" spans="1:9" s="4" customFormat="1" ht="18" customHeight="1" x14ac:dyDescent="0.55000000000000004">
      <c r="A1474" s="18">
        <v>24.794244599999999</v>
      </c>
      <c r="B1474" s="18">
        <v>34.824507099999998</v>
      </c>
      <c r="C1474" s="18">
        <v>684436.25</v>
      </c>
      <c r="D1474" s="18">
        <v>2743396.82</v>
      </c>
      <c r="E1474" s="18">
        <v>248.66</v>
      </c>
      <c r="F1474" s="18">
        <v>41964.05</v>
      </c>
      <c r="G1474" s="18">
        <v>135908</v>
      </c>
      <c r="H1474" s="18">
        <f t="shared" si="45"/>
        <v>41956.05</v>
      </c>
      <c r="I1474" s="3"/>
    </row>
    <row r="1475" spans="1:9" s="4" customFormat="1" ht="18" customHeight="1" x14ac:dyDescent="0.55000000000000004">
      <c r="A1475" s="18">
        <v>24.794227200000002</v>
      </c>
      <c r="B1475" s="18">
        <v>34.824481599999999</v>
      </c>
      <c r="C1475" s="18">
        <v>684433.7</v>
      </c>
      <c r="D1475" s="18">
        <v>2743394.85</v>
      </c>
      <c r="E1475" s="18">
        <v>248.68</v>
      </c>
      <c r="F1475" s="18">
        <v>41960.43</v>
      </c>
      <c r="G1475" s="18">
        <v>135910</v>
      </c>
      <c r="H1475" s="18">
        <f t="shared" si="45"/>
        <v>41952.43</v>
      </c>
      <c r="I1475" s="3"/>
    </row>
    <row r="1476" spans="1:9" s="4" customFormat="1" ht="18" customHeight="1" x14ac:dyDescent="0.55000000000000004">
      <c r="A1476" s="18">
        <v>24.794208600000001</v>
      </c>
      <c r="B1476" s="18">
        <v>34.824456400000003</v>
      </c>
      <c r="C1476" s="18">
        <v>684431.18</v>
      </c>
      <c r="D1476" s="18">
        <v>2743392.76</v>
      </c>
      <c r="E1476" s="18">
        <v>248.71</v>
      </c>
      <c r="F1476" s="18">
        <v>41958.91</v>
      </c>
      <c r="G1476" s="18">
        <v>135912</v>
      </c>
      <c r="H1476" s="18">
        <f t="shared" si="45"/>
        <v>41950.91</v>
      </c>
      <c r="I1476" s="3"/>
    </row>
    <row r="1477" spans="1:9" s="4" customFormat="1" ht="18" customHeight="1" x14ac:dyDescent="0.55000000000000004">
      <c r="A1477" s="18">
        <v>24.79419</v>
      </c>
      <c r="B1477" s="18">
        <v>34.824432999999999</v>
      </c>
      <c r="C1477" s="18">
        <v>684428.84</v>
      </c>
      <c r="D1477" s="18">
        <v>2743390.67</v>
      </c>
      <c r="E1477" s="18">
        <v>248.75</v>
      </c>
      <c r="F1477" s="18">
        <v>41963.12</v>
      </c>
      <c r="G1477" s="18">
        <v>135914</v>
      </c>
      <c r="H1477" s="18">
        <f t="shared" si="45"/>
        <v>41955.12</v>
      </c>
      <c r="I1477" s="3"/>
    </row>
    <row r="1478" spans="1:9" s="4" customFormat="1" ht="18" customHeight="1" x14ac:dyDescent="0.55000000000000004">
      <c r="A1478" s="18">
        <v>24.7941717</v>
      </c>
      <c r="B1478" s="18">
        <v>34.824411300000001</v>
      </c>
      <c r="C1478" s="18">
        <v>684426.67</v>
      </c>
      <c r="D1478" s="18">
        <v>2743388.62</v>
      </c>
      <c r="E1478" s="18">
        <v>248.71</v>
      </c>
      <c r="F1478" s="18">
        <v>41957.8</v>
      </c>
      <c r="G1478" s="18">
        <v>135916</v>
      </c>
      <c r="H1478" s="18">
        <f t="shared" si="45"/>
        <v>41949.8</v>
      </c>
      <c r="I1478" s="3"/>
    </row>
    <row r="1479" spans="1:9" s="4" customFormat="1" ht="18" customHeight="1" x14ac:dyDescent="0.55000000000000004">
      <c r="A1479" s="18">
        <v>24.7941562</v>
      </c>
      <c r="B1479" s="18">
        <v>34.824393299999997</v>
      </c>
      <c r="C1479" s="18">
        <v>684424.88</v>
      </c>
      <c r="D1479" s="18">
        <v>2743386.87</v>
      </c>
      <c r="E1479" s="18">
        <v>248.72</v>
      </c>
      <c r="F1479" s="18">
        <v>41958.17</v>
      </c>
      <c r="G1479" s="18">
        <v>135918</v>
      </c>
      <c r="H1479" s="18">
        <f t="shared" si="45"/>
        <v>41950.17</v>
      </c>
      <c r="I1479" s="3"/>
    </row>
    <row r="1480" spans="1:9" s="4" customFormat="1" ht="18" customHeight="1" x14ac:dyDescent="0.55000000000000004">
      <c r="A1480" s="18">
        <v>24.7941407</v>
      </c>
      <c r="B1480" s="18">
        <v>34.824369300000001</v>
      </c>
      <c r="C1480" s="18">
        <v>684422.47</v>
      </c>
      <c r="D1480" s="18">
        <v>2743385.12</v>
      </c>
      <c r="E1480" s="18">
        <v>248.71</v>
      </c>
      <c r="F1480" s="18">
        <v>41958.33</v>
      </c>
      <c r="G1480" s="18">
        <v>135920</v>
      </c>
      <c r="H1480" s="18">
        <f t="shared" si="45"/>
        <v>41950.33</v>
      </c>
      <c r="I1480" s="3"/>
    </row>
    <row r="1481" spans="1:9" s="4" customFormat="1" ht="18" customHeight="1" x14ac:dyDescent="0.55000000000000004">
      <c r="A1481" s="18">
        <v>24.7941246</v>
      </c>
      <c r="B1481" s="18">
        <v>34.824345299999997</v>
      </c>
      <c r="C1481" s="18">
        <v>684420.07</v>
      </c>
      <c r="D1481" s="18">
        <v>2743383.3</v>
      </c>
      <c r="E1481" s="18">
        <v>248.74</v>
      </c>
      <c r="F1481" s="18">
        <v>41955.199999999997</v>
      </c>
      <c r="G1481" s="18">
        <v>135922</v>
      </c>
      <c r="H1481" s="18">
        <f t="shared" si="45"/>
        <v>41947.199999999997</v>
      </c>
      <c r="I1481" s="3"/>
    </row>
    <row r="1482" spans="1:9" s="4" customFormat="1" ht="18" customHeight="1" x14ac:dyDescent="0.55000000000000004">
      <c r="A1482" s="18">
        <v>24.794104799999999</v>
      </c>
      <c r="B1482" s="18">
        <v>34.824322600000002</v>
      </c>
      <c r="C1482" s="18">
        <v>684417.8</v>
      </c>
      <c r="D1482" s="18">
        <v>2743381.09</v>
      </c>
      <c r="E1482" s="18">
        <v>248.78</v>
      </c>
      <c r="F1482" s="18">
        <v>41959.9</v>
      </c>
      <c r="G1482" s="18">
        <v>135924</v>
      </c>
      <c r="H1482" s="18">
        <f t="shared" si="45"/>
        <v>41951.9</v>
      </c>
      <c r="I1482" s="3"/>
    </row>
    <row r="1483" spans="1:9" s="4" customFormat="1" ht="18" customHeight="1" x14ac:dyDescent="0.55000000000000004">
      <c r="A1483" s="18">
        <v>24.794087099999999</v>
      </c>
      <c r="B1483" s="18">
        <v>34.824299799999999</v>
      </c>
      <c r="C1483" s="18">
        <v>684415.52</v>
      </c>
      <c r="D1483" s="18">
        <v>2743379.09</v>
      </c>
      <c r="E1483" s="18">
        <v>248.82</v>
      </c>
      <c r="F1483" s="18">
        <v>41959.93</v>
      </c>
      <c r="G1483" s="18">
        <v>135926</v>
      </c>
      <c r="H1483" s="18">
        <f t="shared" si="45"/>
        <v>41951.93</v>
      </c>
      <c r="I1483" s="3"/>
    </row>
    <row r="1484" spans="1:9" s="4" customFormat="1" ht="18" customHeight="1" x14ac:dyDescent="0.55000000000000004">
      <c r="A1484" s="18">
        <v>24.7940702</v>
      </c>
      <c r="B1484" s="18">
        <v>34.824275200000002</v>
      </c>
      <c r="C1484" s="18">
        <v>684413.07</v>
      </c>
      <c r="D1484" s="18">
        <v>2743377.19</v>
      </c>
      <c r="E1484" s="18">
        <v>248.81</v>
      </c>
      <c r="F1484" s="18">
        <v>41958.36</v>
      </c>
      <c r="G1484" s="18">
        <v>135928</v>
      </c>
      <c r="H1484" s="18">
        <f t="shared" si="45"/>
        <v>41950.36</v>
      </c>
      <c r="I1484" s="3"/>
    </row>
    <row r="1485" spans="1:9" s="4" customFormat="1" ht="18" customHeight="1" x14ac:dyDescent="0.55000000000000004">
      <c r="A1485" s="18">
        <v>24.794055100000001</v>
      </c>
      <c r="B1485" s="18">
        <v>34.824249899999998</v>
      </c>
      <c r="C1485" s="18">
        <v>684410.53</v>
      </c>
      <c r="D1485" s="18">
        <v>2743375.48</v>
      </c>
      <c r="E1485" s="18">
        <v>248.77</v>
      </c>
      <c r="F1485" s="18">
        <v>41959.839999999997</v>
      </c>
      <c r="G1485" s="18">
        <v>135930</v>
      </c>
      <c r="H1485" s="18">
        <f t="shared" si="45"/>
        <v>41951.839999999997</v>
      </c>
      <c r="I1485" s="3"/>
    </row>
    <row r="1486" spans="1:9" s="4" customFormat="1" ht="18" customHeight="1" x14ac:dyDescent="0.55000000000000004">
      <c r="A1486" s="18">
        <v>24.794041799999999</v>
      </c>
      <c r="B1486" s="18">
        <v>34.824221600000001</v>
      </c>
      <c r="C1486" s="18">
        <v>684407.69</v>
      </c>
      <c r="D1486" s="18">
        <v>2743373.97</v>
      </c>
      <c r="E1486" s="18">
        <v>248.81</v>
      </c>
      <c r="F1486" s="18">
        <v>41957.13</v>
      </c>
      <c r="G1486" s="18">
        <v>135932</v>
      </c>
      <c r="H1486" s="18">
        <f t="shared" si="45"/>
        <v>41949.13</v>
      </c>
      <c r="I1486" s="3"/>
    </row>
    <row r="1487" spans="1:9" s="4" customFormat="1" ht="18" customHeight="1" x14ac:dyDescent="0.55000000000000004">
      <c r="A1487" s="18">
        <v>24.794029900000002</v>
      </c>
      <c r="B1487" s="18">
        <v>34.824194599999998</v>
      </c>
      <c r="C1487" s="18">
        <v>684404.97</v>
      </c>
      <c r="D1487" s="18">
        <v>2743372.62</v>
      </c>
      <c r="E1487" s="18">
        <v>248.83</v>
      </c>
      <c r="F1487" s="18">
        <v>41957.36</v>
      </c>
      <c r="G1487" s="18">
        <v>135934</v>
      </c>
      <c r="H1487" s="18">
        <f t="shared" si="45"/>
        <v>41949.36</v>
      </c>
      <c r="I1487" s="3"/>
    </row>
    <row r="1488" spans="1:9" s="4" customFormat="1" ht="18" customHeight="1" x14ac:dyDescent="0.55000000000000004">
      <c r="A1488" s="18">
        <v>24.794017400000001</v>
      </c>
      <c r="B1488" s="18">
        <v>34.824167099999997</v>
      </c>
      <c r="C1488" s="18">
        <v>684402.21</v>
      </c>
      <c r="D1488" s="18">
        <v>2743371.19</v>
      </c>
      <c r="E1488" s="18">
        <v>248.83</v>
      </c>
      <c r="F1488" s="18">
        <v>41958.76</v>
      </c>
      <c r="G1488" s="18">
        <v>135936</v>
      </c>
      <c r="H1488" s="18">
        <f t="shared" si="45"/>
        <v>41950.76</v>
      </c>
      <c r="I1488" s="3"/>
    </row>
    <row r="1489" spans="1:9" s="4" customFormat="1" ht="18" customHeight="1" x14ac:dyDescent="0.55000000000000004">
      <c r="A1489" s="18">
        <v>24.7940051</v>
      </c>
      <c r="B1489" s="18">
        <v>34.824139299999999</v>
      </c>
      <c r="C1489" s="18">
        <v>684399.41</v>
      </c>
      <c r="D1489" s="18">
        <v>2743369.79</v>
      </c>
      <c r="E1489" s="18">
        <v>248.82</v>
      </c>
      <c r="F1489" s="18">
        <v>41956.44</v>
      </c>
      <c r="G1489" s="18">
        <v>135938</v>
      </c>
      <c r="H1489" s="18">
        <f t="shared" si="45"/>
        <v>41948.44</v>
      </c>
      <c r="I1489" s="3"/>
    </row>
    <row r="1490" spans="1:9" s="4" customFormat="1" ht="18" customHeight="1" x14ac:dyDescent="0.55000000000000004">
      <c r="A1490" s="18">
        <v>24.793994399999999</v>
      </c>
      <c r="B1490" s="18">
        <v>34.824110699999999</v>
      </c>
      <c r="C1490" s="18">
        <v>684396.55</v>
      </c>
      <c r="D1490" s="18">
        <v>2743368.57</v>
      </c>
      <c r="E1490" s="18">
        <v>248.86</v>
      </c>
      <c r="F1490" s="18">
        <v>41958.83</v>
      </c>
      <c r="G1490" s="18">
        <v>135940</v>
      </c>
      <c r="H1490" s="18">
        <f t="shared" si="45"/>
        <v>41950.83</v>
      </c>
      <c r="I1490" s="3"/>
    </row>
    <row r="1491" spans="1:9" s="4" customFormat="1" ht="18" customHeight="1" x14ac:dyDescent="0.55000000000000004">
      <c r="A1491" s="18">
        <v>24.793985299999999</v>
      </c>
      <c r="B1491" s="18">
        <v>34.824082699999998</v>
      </c>
      <c r="C1491" s="18">
        <v>684393.72</v>
      </c>
      <c r="D1491" s="18">
        <v>2743367.53</v>
      </c>
      <c r="E1491" s="18">
        <v>248.9</v>
      </c>
      <c r="F1491" s="18">
        <v>41955.4</v>
      </c>
      <c r="G1491" s="18">
        <v>135942</v>
      </c>
      <c r="H1491" s="18">
        <f t="shared" si="45"/>
        <v>41947.4</v>
      </c>
      <c r="I1491" s="3"/>
    </row>
    <row r="1492" spans="1:9" s="4" customFormat="1" ht="18" customHeight="1" x14ac:dyDescent="0.55000000000000004">
      <c r="A1492" s="18">
        <v>24.793969199999999</v>
      </c>
      <c r="B1492" s="18">
        <v>34.824058600000001</v>
      </c>
      <c r="C1492" s="18">
        <v>684391.31</v>
      </c>
      <c r="D1492" s="18">
        <v>2743365.71</v>
      </c>
      <c r="E1492" s="18">
        <v>248.91</v>
      </c>
      <c r="F1492" s="18">
        <v>41956.45</v>
      </c>
      <c r="G1492" s="18">
        <v>135944</v>
      </c>
      <c r="H1492" s="18">
        <f t="shared" si="45"/>
        <v>41948.45</v>
      </c>
      <c r="I1492" s="3"/>
    </row>
    <row r="1493" spans="1:9" s="4" customFormat="1" ht="18" customHeight="1" x14ac:dyDescent="0.55000000000000004">
      <c r="A1493" s="18">
        <v>24.793952300000001</v>
      </c>
      <c r="B1493" s="18">
        <v>34.824034099999999</v>
      </c>
      <c r="C1493" s="18">
        <v>684388.86</v>
      </c>
      <c r="D1493" s="18">
        <v>2743363.81</v>
      </c>
      <c r="E1493" s="18">
        <v>248.92</v>
      </c>
      <c r="F1493" s="18">
        <v>41958.879999999997</v>
      </c>
      <c r="G1493" s="18">
        <v>135946</v>
      </c>
      <c r="H1493" s="18">
        <f t="shared" si="45"/>
        <v>41950.879999999997</v>
      </c>
      <c r="I1493" s="3"/>
    </row>
    <row r="1494" spans="1:9" s="4" customFormat="1" ht="18" customHeight="1" x14ac:dyDescent="0.55000000000000004">
      <c r="A1494" s="18">
        <v>24.793937199999998</v>
      </c>
      <c r="B1494" s="18">
        <v>34.824007999999999</v>
      </c>
      <c r="C1494" s="18">
        <v>684386.24</v>
      </c>
      <c r="D1494" s="18">
        <v>2743362.09</v>
      </c>
      <c r="E1494" s="18">
        <v>248.93</v>
      </c>
      <c r="F1494" s="18">
        <v>41959.62</v>
      </c>
      <c r="G1494" s="18">
        <v>135948</v>
      </c>
      <c r="H1494" s="18">
        <f t="shared" si="45"/>
        <v>41951.62</v>
      </c>
      <c r="I1494" s="3"/>
    </row>
    <row r="1495" spans="1:9" s="4" customFormat="1" ht="18" customHeight="1" x14ac:dyDescent="0.55000000000000004">
      <c r="A1495" s="18">
        <v>24.793922800000001</v>
      </c>
      <c r="B1495" s="18">
        <v>34.823982299999997</v>
      </c>
      <c r="C1495" s="18">
        <v>684383.67</v>
      </c>
      <c r="D1495" s="18">
        <v>2743360.46</v>
      </c>
      <c r="E1495" s="18">
        <v>248.95</v>
      </c>
      <c r="F1495" s="18">
        <v>41958.559999999998</v>
      </c>
      <c r="G1495" s="18">
        <v>135950</v>
      </c>
      <c r="H1495" s="18">
        <f t="shared" si="45"/>
        <v>41950.559999999998</v>
      </c>
      <c r="I1495" s="3"/>
    </row>
    <row r="1496" spans="1:9" s="4" customFormat="1" ht="18" customHeight="1" x14ac:dyDescent="0.55000000000000004">
      <c r="A1496" s="18">
        <v>24.7939094</v>
      </c>
      <c r="B1496" s="18">
        <v>34.823955499999997</v>
      </c>
      <c r="C1496" s="18">
        <v>684380.98</v>
      </c>
      <c r="D1496" s="18">
        <v>2743358.95</v>
      </c>
      <c r="E1496" s="18">
        <v>248.96</v>
      </c>
      <c r="F1496" s="18">
        <v>41952.45</v>
      </c>
      <c r="G1496" s="18">
        <v>135952</v>
      </c>
      <c r="H1496" s="18">
        <f t="shared" si="45"/>
        <v>41944.45</v>
      </c>
      <c r="I1496" s="3"/>
    </row>
    <row r="1497" spans="1:9" s="4" customFormat="1" ht="18" customHeight="1" x14ac:dyDescent="0.55000000000000004">
      <c r="A1497" s="18">
        <v>24.793894999999999</v>
      </c>
      <c r="B1497" s="18">
        <v>34.823929900000003</v>
      </c>
      <c r="C1497" s="18">
        <v>684378.41</v>
      </c>
      <c r="D1497" s="18">
        <v>2743357.32</v>
      </c>
      <c r="E1497" s="18">
        <v>248.96</v>
      </c>
      <c r="F1497" s="18">
        <v>41949.99</v>
      </c>
      <c r="G1497" s="18">
        <v>135954</v>
      </c>
      <c r="H1497" s="18">
        <f t="shared" si="45"/>
        <v>41941.99</v>
      </c>
      <c r="I1497" s="3"/>
    </row>
    <row r="1498" spans="1:9" s="4" customFormat="1" ht="18" customHeight="1" x14ac:dyDescent="0.55000000000000004">
      <c r="A1498" s="18">
        <v>24.793881500000001</v>
      </c>
      <c r="B1498" s="18">
        <v>34.8239047</v>
      </c>
      <c r="C1498" s="18">
        <v>684375.88</v>
      </c>
      <c r="D1498" s="18">
        <v>2743355.79</v>
      </c>
      <c r="E1498" s="18">
        <v>248.96</v>
      </c>
      <c r="F1498" s="18">
        <v>41949.95</v>
      </c>
      <c r="G1498" s="18">
        <v>135956</v>
      </c>
      <c r="H1498" s="18">
        <f t="shared" si="45"/>
        <v>41941.949999999997</v>
      </c>
      <c r="I1498" s="3"/>
    </row>
    <row r="1499" spans="1:9" s="4" customFormat="1" ht="18" customHeight="1" x14ac:dyDescent="0.55000000000000004">
      <c r="A1499" s="18">
        <v>24.793868700000001</v>
      </c>
      <c r="B1499" s="18">
        <v>34.823878899999997</v>
      </c>
      <c r="C1499" s="18">
        <v>684373.3</v>
      </c>
      <c r="D1499" s="18">
        <v>2743354.33</v>
      </c>
      <c r="E1499" s="18">
        <v>248.91</v>
      </c>
      <c r="F1499" s="18">
        <v>41951.37</v>
      </c>
      <c r="G1499" s="18">
        <v>135958</v>
      </c>
      <c r="H1499" s="18">
        <f t="shared" si="45"/>
        <v>41943.37</v>
      </c>
      <c r="I1499" s="3"/>
    </row>
    <row r="1500" spans="1:9" s="4" customFormat="1" ht="18" customHeight="1" x14ac:dyDescent="0.55000000000000004">
      <c r="A1500" s="18">
        <v>24.793855400000002</v>
      </c>
      <c r="B1500" s="18">
        <v>34.823852700000003</v>
      </c>
      <c r="C1500" s="18">
        <v>684370.66</v>
      </c>
      <c r="D1500" s="18">
        <v>2743352.83</v>
      </c>
      <c r="E1500" s="18">
        <v>248.94</v>
      </c>
      <c r="F1500" s="18">
        <v>41949.29</v>
      </c>
      <c r="G1500" s="18">
        <v>140000</v>
      </c>
      <c r="H1500" s="18">
        <f t="shared" si="45"/>
        <v>41941.29</v>
      </c>
      <c r="I1500" s="3"/>
    </row>
    <row r="1501" spans="1:9" s="4" customFormat="1" ht="18" customHeight="1" x14ac:dyDescent="0.55000000000000004">
      <c r="A1501" s="18">
        <v>24.793844499999999</v>
      </c>
      <c r="B1501" s="18">
        <v>34.823824899999998</v>
      </c>
      <c r="C1501" s="18">
        <v>684367.87</v>
      </c>
      <c r="D1501" s="18">
        <v>2743351.58</v>
      </c>
      <c r="E1501" s="18">
        <v>249</v>
      </c>
      <c r="F1501" s="18">
        <v>41945.18</v>
      </c>
      <c r="G1501" s="18">
        <v>140002</v>
      </c>
      <c r="H1501" s="18">
        <f t="shared" si="45"/>
        <v>41937.18</v>
      </c>
      <c r="I1501" s="3"/>
    </row>
    <row r="1502" spans="1:9" s="4" customFormat="1" ht="18" customHeight="1" x14ac:dyDescent="0.55000000000000004">
      <c r="A1502" s="18">
        <v>24.793832999999999</v>
      </c>
      <c r="B1502" s="18">
        <v>34.823798099999998</v>
      </c>
      <c r="C1502" s="18">
        <v>684365.17</v>
      </c>
      <c r="D1502" s="18">
        <v>2743350.27</v>
      </c>
      <c r="E1502" s="18">
        <v>249.07</v>
      </c>
      <c r="F1502" s="18">
        <v>41947.519999999997</v>
      </c>
      <c r="G1502" s="18">
        <v>140004</v>
      </c>
      <c r="H1502" s="18">
        <f t="shared" si="45"/>
        <v>41939.519999999997</v>
      </c>
      <c r="I1502" s="3"/>
    </row>
    <row r="1503" spans="1:9" s="4" customFormat="1" ht="18" customHeight="1" x14ac:dyDescent="0.55000000000000004">
      <c r="A1503" s="18">
        <v>24.793820700000001</v>
      </c>
      <c r="B1503" s="18">
        <v>34.823771299999997</v>
      </c>
      <c r="C1503" s="18">
        <v>684362.48</v>
      </c>
      <c r="D1503" s="18">
        <v>2743348.88</v>
      </c>
      <c r="E1503" s="18">
        <v>249.13</v>
      </c>
      <c r="F1503" s="18">
        <v>41946.49</v>
      </c>
      <c r="G1503" s="18">
        <v>140006</v>
      </c>
      <c r="H1503" s="18">
        <f t="shared" si="45"/>
        <v>41938.49</v>
      </c>
      <c r="I1503" s="3"/>
    </row>
    <row r="1504" spans="1:9" s="4" customFormat="1" ht="18" customHeight="1" x14ac:dyDescent="0.55000000000000004">
      <c r="A1504" s="18">
        <v>24.793809899999999</v>
      </c>
      <c r="B1504" s="18">
        <v>34.823743499999999</v>
      </c>
      <c r="C1504" s="18">
        <v>684359.69</v>
      </c>
      <c r="D1504" s="18">
        <v>2743347.64</v>
      </c>
      <c r="E1504" s="18">
        <v>249.18</v>
      </c>
      <c r="F1504" s="18">
        <v>41945.56</v>
      </c>
      <c r="G1504" s="18">
        <v>140008</v>
      </c>
      <c r="H1504" s="18">
        <f t="shared" si="45"/>
        <v>41937.56</v>
      </c>
      <c r="I1504" s="3"/>
    </row>
    <row r="1505" spans="1:9" s="4" customFormat="1" ht="18" customHeight="1" x14ac:dyDescent="0.55000000000000004">
      <c r="A1505" s="18">
        <v>24.7938014</v>
      </c>
      <c r="B1505" s="18">
        <v>34.823715</v>
      </c>
      <c r="C1505" s="18">
        <v>684356.82</v>
      </c>
      <c r="D1505" s="18">
        <v>2743346.66</v>
      </c>
      <c r="E1505" s="18">
        <v>249.22</v>
      </c>
      <c r="F1505" s="18">
        <v>41946.81</v>
      </c>
      <c r="G1505" s="18">
        <v>140010</v>
      </c>
      <c r="H1505" s="18">
        <f t="shared" si="45"/>
        <v>41938.81</v>
      </c>
      <c r="I1505" s="3"/>
    </row>
    <row r="1506" spans="1:9" s="4" customFormat="1" ht="18" customHeight="1" x14ac:dyDescent="0.55000000000000004">
      <c r="A1506" s="18">
        <v>24.793794399999999</v>
      </c>
      <c r="B1506" s="18">
        <v>34.823686600000002</v>
      </c>
      <c r="C1506" s="18">
        <v>684353.95</v>
      </c>
      <c r="D1506" s="18">
        <v>2743345.84</v>
      </c>
      <c r="E1506" s="18">
        <v>249.25</v>
      </c>
      <c r="F1506" s="18">
        <v>41946.9</v>
      </c>
      <c r="G1506" s="18">
        <v>140012</v>
      </c>
      <c r="H1506" s="18">
        <f t="shared" si="45"/>
        <v>41938.9</v>
      </c>
      <c r="I1506" s="3"/>
    </row>
    <row r="1507" spans="1:9" s="4" customFormat="1" ht="18" customHeight="1" x14ac:dyDescent="0.55000000000000004">
      <c r="A1507" s="18">
        <v>24.7937862</v>
      </c>
      <c r="B1507" s="18">
        <v>34.823657500000003</v>
      </c>
      <c r="C1507" s="18">
        <v>684351.02</v>
      </c>
      <c r="D1507" s="18">
        <v>2743344.9</v>
      </c>
      <c r="E1507" s="18">
        <v>249.29</v>
      </c>
      <c r="F1507" s="18">
        <v>41949.56</v>
      </c>
      <c r="G1507" s="18">
        <v>140014</v>
      </c>
      <c r="H1507" s="18">
        <f t="shared" si="45"/>
        <v>41941.56</v>
      </c>
      <c r="I1507" s="3"/>
    </row>
    <row r="1508" spans="1:9" s="4" customFormat="1" ht="18" customHeight="1" x14ac:dyDescent="0.55000000000000004">
      <c r="A1508" s="18">
        <v>24.793778499999998</v>
      </c>
      <c r="B1508" s="18">
        <v>34.8236293</v>
      </c>
      <c r="C1508" s="18">
        <v>684348.19</v>
      </c>
      <c r="D1508" s="18">
        <v>2743344.01</v>
      </c>
      <c r="E1508" s="18">
        <v>249.35</v>
      </c>
      <c r="F1508" s="18">
        <v>41948.54</v>
      </c>
      <c r="G1508" s="18">
        <v>140016</v>
      </c>
      <c r="H1508" s="18">
        <f t="shared" si="45"/>
        <v>41940.54</v>
      </c>
      <c r="I1508" s="3"/>
    </row>
    <row r="1509" spans="1:9" s="4" customFormat="1" ht="18" customHeight="1" x14ac:dyDescent="0.55000000000000004">
      <c r="A1509" s="18">
        <v>24.793771199999998</v>
      </c>
      <c r="B1509" s="18">
        <v>34.8236007</v>
      </c>
      <c r="C1509" s="18">
        <v>684345.3</v>
      </c>
      <c r="D1509" s="18">
        <v>2743343.16</v>
      </c>
      <c r="E1509" s="18">
        <v>249.43</v>
      </c>
      <c r="F1509" s="18">
        <v>41949.22</v>
      </c>
      <c r="G1509" s="18">
        <v>140018</v>
      </c>
      <c r="H1509" s="18">
        <f t="shared" si="45"/>
        <v>41941.22</v>
      </c>
      <c r="I1509" s="3"/>
    </row>
    <row r="1510" spans="1:9" s="4" customFormat="1" ht="18" customHeight="1" x14ac:dyDescent="0.55000000000000004">
      <c r="A1510" s="18">
        <v>24.793765400000002</v>
      </c>
      <c r="B1510" s="18">
        <v>34.823571800000003</v>
      </c>
      <c r="C1510" s="18">
        <v>684342.4</v>
      </c>
      <c r="D1510" s="18">
        <v>2743342.48</v>
      </c>
      <c r="E1510" s="18">
        <v>249.44</v>
      </c>
      <c r="F1510" s="18">
        <v>41950.01</v>
      </c>
      <c r="G1510" s="18">
        <v>140020</v>
      </c>
      <c r="H1510" s="18">
        <f t="shared" si="45"/>
        <v>41942.01</v>
      </c>
      <c r="I1510" s="3"/>
    </row>
    <row r="1511" spans="1:9" s="4" customFormat="1" ht="18" customHeight="1" x14ac:dyDescent="0.55000000000000004">
      <c r="A1511" s="18">
        <v>24.793758400000002</v>
      </c>
      <c r="B1511" s="18">
        <v>34.823544099999999</v>
      </c>
      <c r="C1511" s="18">
        <v>684339.6</v>
      </c>
      <c r="D1511" s="18">
        <v>2743341.66</v>
      </c>
      <c r="E1511" s="18">
        <v>249.48</v>
      </c>
      <c r="F1511" s="18">
        <v>41949.120000000003</v>
      </c>
      <c r="G1511" s="18">
        <v>140022</v>
      </c>
      <c r="H1511" s="18">
        <f t="shared" si="45"/>
        <v>41941.120000000003</v>
      </c>
      <c r="I1511" s="3"/>
    </row>
    <row r="1512" spans="1:9" s="4" customFormat="1" ht="18" customHeight="1" x14ac:dyDescent="0.55000000000000004">
      <c r="A1512" s="18">
        <v>24.793750899999999</v>
      </c>
      <c r="B1512" s="18">
        <v>34.8235156</v>
      </c>
      <c r="C1512" s="18">
        <v>684336.74</v>
      </c>
      <c r="D1512" s="18">
        <v>2743340.79</v>
      </c>
      <c r="E1512" s="18">
        <v>249.48</v>
      </c>
      <c r="F1512" s="18">
        <v>41950.31</v>
      </c>
      <c r="G1512" s="18">
        <v>140024</v>
      </c>
      <c r="H1512" s="18">
        <f t="shared" si="45"/>
        <v>41942.31</v>
      </c>
      <c r="I1512" s="3"/>
    </row>
    <row r="1513" spans="1:9" s="4" customFormat="1" ht="18" customHeight="1" x14ac:dyDescent="0.55000000000000004">
      <c r="A1513" s="18">
        <v>24.793745099999999</v>
      </c>
      <c r="B1513" s="18">
        <v>34.823486299999999</v>
      </c>
      <c r="C1513" s="18">
        <v>684333.78</v>
      </c>
      <c r="D1513" s="18">
        <v>2743340.12</v>
      </c>
      <c r="E1513" s="18">
        <v>249.54</v>
      </c>
      <c r="F1513" s="18">
        <v>41948.41</v>
      </c>
      <c r="G1513" s="18">
        <v>140026</v>
      </c>
      <c r="H1513" s="18">
        <f t="shared" si="45"/>
        <v>41940.410000000003</v>
      </c>
      <c r="I1513" s="3"/>
    </row>
    <row r="1514" spans="1:9" s="4" customFormat="1" ht="18" customHeight="1" x14ac:dyDescent="0.55000000000000004">
      <c r="A1514" s="18">
        <v>24.793737100000001</v>
      </c>
      <c r="B1514" s="18">
        <v>34.823457099999999</v>
      </c>
      <c r="C1514" s="18">
        <v>684330.84</v>
      </c>
      <c r="D1514" s="18">
        <v>2743339.18</v>
      </c>
      <c r="E1514" s="18">
        <v>249.59</v>
      </c>
      <c r="F1514" s="18">
        <v>41948.9</v>
      </c>
      <c r="G1514" s="18">
        <v>140028</v>
      </c>
      <c r="H1514" s="18">
        <f t="shared" si="45"/>
        <v>41940.9</v>
      </c>
      <c r="I1514" s="3"/>
    </row>
    <row r="1515" spans="1:9" s="4" customFormat="1" ht="18" customHeight="1" x14ac:dyDescent="0.55000000000000004">
      <c r="A1515" s="18">
        <v>24.793731600000001</v>
      </c>
      <c r="B1515" s="18">
        <v>34.823428100000001</v>
      </c>
      <c r="C1515" s="18">
        <v>684327.91</v>
      </c>
      <c r="D1515" s="18">
        <v>2743338.54</v>
      </c>
      <c r="E1515" s="18">
        <v>249.81</v>
      </c>
      <c r="F1515" s="18">
        <v>41947.74</v>
      </c>
      <c r="G1515" s="18">
        <v>140030</v>
      </c>
      <c r="H1515" s="18">
        <f t="shared" si="45"/>
        <v>41939.74</v>
      </c>
      <c r="I1515" s="3"/>
    </row>
    <row r="1516" spans="1:9" s="4" customFormat="1" ht="18" customHeight="1" x14ac:dyDescent="0.55000000000000004">
      <c r="A1516" s="18">
        <v>24.793724900000001</v>
      </c>
      <c r="B1516" s="18">
        <v>34.823405899999997</v>
      </c>
      <c r="C1516" s="18">
        <v>684325.68</v>
      </c>
      <c r="D1516" s="18">
        <v>2743337.77</v>
      </c>
      <c r="E1516" s="18">
        <v>249.94</v>
      </c>
      <c r="F1516" s="18">
        <v>41947.53</v>
      </c>
      <c r="G1516" s="18">
        <v>140032</v>
      </c>
      <c r="H1516" s="18">
        <f t="shared" si="45"/>
        <v>41939.53</v>
      </c>
      <c r="I1516" s="3"/>
    </row>
    <row r="1517" spans="1:9" ht="15.6" x14ac:dyDescent="0.55000000000000004">
      <c r="A1517" s="7">
        <v>24.793633799999999</v>
      </c>
      <c r="B1517" s="7">
        <v>34.823115899999998</v>
      </c>
      <c r="C1517" s="18">
        <v>684296.49</v>
      </c>
      <c r="D1517" s="18">
        <v>2743327.29</v>
      </c>
      <c r="E1517" s="18">
        <v>254.37</v>
      </c>
      <c r="F1517" s="18">
        <v>41966.79</v>
      </c>
      <c r="G1517" s="18">
        <v>65249</v>
      </c>
      <c r="H1517" s="18">
        <f>SUM(F1517-0.5)</f>
        <v>41966.29</v>
      </c>
    </row>
    <row r="1518" spans="1:9" ht="15.6" x14ac:dyDescent="0.55000000000000004">
      <c r="A1518" s="7">
        <v>24.793631900000001</v>
      </c>
      <c r="B1518" s="7">
        <v>34.823152700000001</v>
      </c>
      <c r="C1518" s="18">
        <v>684300.22</v>
      </c>
      <c r="D1518" s="18">
        <v>2743327.13</v>
      </c>
      <c r="E1518" s="18">
        <v>254.46</v>
      </c>
      <c r="F1518" s="18">
        <v>41967.21</v>
      </c>
      <c r="G1518" s="18">
        <v>65307</v>
      </c>
      <c r="H1518" s="18">
        <f t="shared" ref="H1518:H1556" si="46">SUM(F1518-0.5)</f>
        <v>41966.71</v>
      </c>
    </row>
    <row r="1519" spans="1:9" ht="15.6" x14ac:dyDescent="0.55000000000000004">
      <c r="A1519" s="7">
        <v>24.793599199999999</v>
      </c>
      <c r="B1519" s="7">
        <v>34.8208901</v>
      </c>
      <c r="C1519" s="18">
        <v>684071.48</v>
      </c>
      <c r="D1519" s="18">
        <v>2743320.45</v>
      </c>
      <c r="E1519" s="18">
        <v>256.10000000000002</v>
      </c>
      <c r="F1519" s="18">
        <v>41954.48</v>
      </c>
      <c r="G1519" s="18">
        <v>65510</v>
      </c>
      <c r="H1519" s="18">
        <f t="shared" si="46"/>
        <v>41953.98</v>
      </c>
    </row>
    <row r="1520" spans="1:9" ht="15.6" x14ac:dyDescent="0.55000000000000004">
      <c r="A1520" s="7">
        <v>24.793599400000002</v>
      </c>
      <c r="B1520" s="7">
        <v>34.8208895</v>
      </c>
      <c r="C1520" s="18">
        <v>684071.42</v>
      </c>
      <c r="D1520" s="18">
        <v>2743320.47</v>
      </c>
      <c r="E1520" s="18">
        <v>255.9</v>
      </c>
      <c r="F1520" s="18">
        <v>41954.41</v>
      </c>
      <c r="G1520" s="18">
        <v>65519</v>
      </c>
      <c r="H1520" s="18">
        <f t="shared" si="46"/>
        <v>41953.91</v>
      </c>
    </row>
    <row r="1521" spans="1:8" ht="15.6" x14ac:dyDescent="0.55000000000000004">
      <c r="A1521" s="7">
        <v>24.793494899999999</v>
      </c>
      <c r="B1521" s="7">
        <v>34.818874999999998</v>
      </c>
      <c r="C1521" s="18">
        <v>683867.89</v>
      </c>
      <c r="D1521" s="18">
        <v>2743306.18</v>
      </c>
      <c r="E1521" s="18">
        <v>257.29000000000002</v>
      </c>
      <c r="F1521" s="18">
        <v>41927.96</v>
      </c>
      <c r="G1521" s="18">
        <v>65643</v>
      </c>
      <c r="H1521" s="18">
        <f t="shared" si="46"/>
        <v>41927.46</v>
      </c>
    </row>
    <row r="1522" spans="1:8" ht="15.6" x14ac:dyDescent="0.55000000000000004">
      <c r="A1522" s="7">
        <v>24.793495499999999</v>
      </c>
      <c r="B1522" s="7">
        <v>34.818874800000003</v>
      </c>
      <c r="C1522" s="18">
        <v>683867.87</v>
      </c>
      <c r="D1522" s="18">
        <v>2743306.25</v>
      </c>
      <c r="E1522" s="18">
        <v>257.32</v>
      </c>
      <c r="F1522" s="18">
        <v>41928.730000000003</v>
      </c>
      <c r="G1522" s="18">
        <v>65701</v>
      </c>
      <c r="H1522" s="18">
        <f t="shared" si="46"/>
        <v>41928.230000000003</v>
      </c>
    </row>
    <row r="1523" spans="1:8" ht="15.6" x14ac:dyDescent="0.55000000000000004">
      <c r="A1523" s="7">
        <v>24.793635500000001</v>
      </c>
      <c r="B1523" s="7">
        <v>34.8166875</v>
      </c>
      <c r="C1523" s="18">
        <v>683646.51</v>
      </c>
      <c r="D1523" s="18">
        <v>2743318.82</v>
      </c>
      <c r="E1523" s="18">
        <v>260.24</v>
      </c>
      <c r="F1523" s="18">
        <v>41938.519999999997</v>
      </c>
      <c r="G1523" s="18">
        <v>65831</v>
      </c>
      <c r="H1523" s="18">
        <f t="shared" si="46"/>
        <v>41938.019999999997</v>
      </c>
    </row>
    <row r="1524" spans="1:8" ht="15.6" x14ac:dyDescent="0.55000000000000004">
      <c r="A1524" s="7">
        <v>24.793635099999999</v>
      </c>
      <c r="B1524" s="7">
        <v>34.8166875</v>
      </c>
      <c r="C1524" s="18">
        <v>683646.5</v>
      </c>
      <c r="D1524" s="18">
        <v>2743318.77</v>
      </c>
      <c r="E1524" s="18">
        <v>260.36</v>
      </c>
      <c r="F1524" s="18">
        <v>41938.69</v>
      </c>
      <c r="G1524" s="18">
        <v>65840</v>
      </c>
      <c r="H1524" s="18">
        <f t="shared" si="46"/>
        <v>41938.19</v>
      </c>
    </row>
    <row r="1525" spans="1:8" ht="15.6" x14ac:dyDescent="0.55000000000000004">
      <c r="A1525" s="7">
        <v>24.7936932</v>
      </c>
      <c r="B1525" s="7">
        <v>34.8149747</v>
      </c>
      <c r="C1525" s="18">
        <v>683473.24</v>
      </c>
      <c r="D1525" s="18">
        <v>2743322.9</v>
      </c>
      <c r="E1525" s="18">
        <v>262.02</v>
      </c>
      <c r="F1525" s="18">
        <v>41965.13</v>
      </c>
      <c r="G1525" s="18">
        <v>70004</v>
      </c>
      <c r="H1525" s="18">
        <f t="shared" si="46"/>
        <v>41964.63</v>
      </c>
    </row>
    <row r="1526" spans="1:8" ht="15.6" x14ac:dyDescent="0.55000000000000004">
      <c r="A1526" s="7">
        <v>24.7936932</v>
      </c>
      <c r="B1526" s="7">
        <v>34.814975099999998</v>
      </c>
      <c r="C1526" s="18">
        <v>683473.28</v>
      </c>
      <c r="D1526" s="18">
        <v>2743322.9</v>
      </c>
      <c r="E1526" s="18">
        <v>261.98</v>
      </c>
      <c r="F1526" s="18">
        <v>41965.5</v>
      </c>
      <c r="G1526" s="18">
        <v>70013</v>
      </c>
      <c r="H1526" s="18">
        <f t="shared" si="46"/>
        <v>41965</v>
      </c>
    </row>
    <row r="1527" spans="1:8" ht="15.6" x14ac:dyDescent="0.55000000000000004">
      <c r="A1527" s="7">
        <v>24.794390400000001</v>
      </c>
      <c r="B1527" s="7">
        <v>34.813121500000001</v>
      </c>
      <c r="C1527" s="18">
        <v>683284.84</v>
      </c>
      <c r="D1527" s="18">
        <v>2743397.64</v>
      </c>
      <c r="E1527" s="18">
        <v>263.08</v>
      </c>
      <c r="F1527" s="18">
        <v>41959.57</v>
      </c>
      <c r="G1527" s="18">
        <v>70149</v>
      </c>
      <c r="H1527" s="18">
        <f t="shared" si="46"/>
        <v>41959.07</v>
      </c>
    </row>
    <row r="1528" spans="1:8" ht="15.6" x14ac:dyDescent="0.55000000000000004">
      <c r="A1528" s="7">
        <v>24.794391099999999</v>
      </c>
      <c r="B1528" s="7">
        <v>34.813122499999999</v>
      </c>
      <c r="C1528" s="18">
        <v>683284.94</v>
      </c>
      <c r="D1528" s="18">
        <v>2743397.72</v>
      </c>
      <c r="E1528" s="18">
        <v>262.77</v>
      </c>
      <c r="F1528" s="18">
        <v>41959.7</v>
      </c>
      <c r="G1528" s="18">
        <v>70201</v>
      </c>
      <c r="H1528" s="18">
        <f t="shared" si="46"/>
        <v>41959.199999999997</v>
      </c>
    </row>
    <row r="1529" spans="1:8" ht="15.6" x14ac:dyDescent="0.55000000000000004">
      <c r="A1529" s="7">
        <v>24.794695000000001</v>
      </c>
      <c r="B1529" s="7">
        <v>34.8112998</v>
      </c>
      <c r="C1529" s="18">
        <v>683100.2</v>
      </c>
      <c r="D1529" s="18">
        <v>2743428.93</v>
      </c>
      <c r="E1529" s="18">
        <v>263.97000000000003</v>
      </c>
      <c r="F1529" s="18">
        <v>41960.19</v>
      </c>
      <c r="G1529" s="18">
        <v>70343</v>
      </c>
      <c r="H1529" s="18">
        <f t="shared" si="46"/>
        <v>41959.69</v>
      </c>
    </row>
    <row r="1530" spans="1:8" ht="15.6" x14ac:dyDescent="0.55000000000000004">
      <c r="A1530" s="7">
        <v>24.794695999999998</v>
      </c>
      <c r="B1530" s="7">
        <v>34.811300600000003</v>
      </c>
      <c r="C1530" s="18">
        <v>683100.28</v>
      </c>
      <c r="D1530" s="18">
        <v>2743429.04</v>
      </c>
      <c r="E1530" s="18">
        <v>263.89</v>
      </c>
      <c r="F1530" s="18">
        <v>41960.19</v>
      </c>
      <c r="G1530" s="18">
        <v>70355</v>
      </c>
      <c r="H1530" s="18">
        <f t="shared" si="46"/>
        <v>41959.69</v>
      </c>
    </row>
    <row r="1531" spans="1:8" ht="15.6" x14ac:dyDescent="0.55000000000000004">
      <c r="A1531" s="7">
        <v>24.7951652</v>
      </c>
      <c r="B1531" s="7">
        <v>34.809430900000002</v>
      </c>
      <c r="C1531" s="18">
        <v>682910.54</v>
      </c>
      <c r="D1531" s="18">
        <v>2743478.5</v>
      </c>
      <c r="E1531" s="18">
        <v>266.22000000000003</v>
      </c>
      <c r="F1531" s="18">
        <v>41939.800000000003</v>
      </c>
      <c r="G1531" s="18">
        <v>70537</v>
      </c>
      <c r="H1531" s="18">
        <f t="shared" si="46"/>
        <v>41939.300000000003</v>
      </c>
    </row>
    <row r="1532" spans="1:8" ht="15.6" x14ac:dyDescent="0.55000000000000004">
      <c r="A1532" s="7">
        <v>24.795165399999998</v>
      </c>
      <c r="B1532" s="7">
        <v>34.809430800000001</v>
      </c>
      <c r="C1532" s="18">
        <v>682910.53</v>
      </c>
      <c r="D1532" s="18">
        <v>2743478.53</v>
      </c>
      <c r="E1532" s="18">
        <v>266.16000000000003</v>
      </c>
      <c r="F1532" s="18">
        <v>41939.769999999997</v>
      </c>
      <c r="G1532" s="18">
        <v>70546</v>
      </c>
      <c r="H1532" s="18">
        <f t="shared" si="46"/>
        <v>41939.269999999997</v>
      </c>
    </row>
    <row r="1533" spans="1:8" ht="15.6" x14ac:dyDescent="0.55000000000000004">
      <c r="A1533" s="7">
        <v>24.795511600000001</v>
      </c>
      <c r="B1533" s="7">
        <v>34.807624099999998</v>
      </c>
      <c r="C1533" s="18">
        <v>682727.35</v>
      </c>
      <c r="D1533" s="18">
        <v>2743514.45</v>
      </c>
      <c r="E1533" s="18">
        <v>268</v>
      </c>
      <c r="F1533" s="18">
        <v>41912.94</v>
      </c>
      <c r="G1533" s="18">
        <v>70722</v>
      </c>
      <c r="H1533" s="18">
        <f t="shared" si="46"/>
        <v>41912.44</v>
      </c>
    </row>
    <row r="1534" spans="1:8" ht="15.6" x14ac:dyDescent="0.55000000000000004">
      <c r="A1534" s="7">
        <v>24.795509800000001</v>
      </c>
      <c r="B1534" s="7">
        <v>34.807624599999997</v>
      </c>
      <c r="C1534" s="18">
        <v>682727.4</v>
      </c>
      <c r="D1534" s="18">
        <v>2743514.25</v>
      </c>
      <c r="E1534" s="18">
        <v>267.98</v>
      </c>
      <c r="F1534" s="18">
        <v>41912.660000000003</v>
      </c>
      <c r="G1534" s="18">
        <v>70737</v>
      </c>
      <c r="H1534" s="18">
        <f t="shared" si="46"/>
        <v>41912.160000000003</v>
      </c>
    </row>
    <row r="1535" spans="1:8" ht="15.6" x14ac:dyDescent="0.55000000000000004">
      <c r="A1535" s="7">
        <v>24.795534400000001</v>
      </c>
      <c r="B1535" s="7">
        <v>34.805654400000002</v>
      </c>
      <c r="C1535" s="18">
        <v>682528.17</v>
      </c>
      <c r="D1535" s="18">
        <v>2743514.35</v>
      </c>
      <c r="E1535" s="18">
        <v>269.81</v>
      </c>
      <c r="F1535" s="18">
        <v>41925.64</v>
      </c>
      <c r="G1535" s="18">
        <v>70913</v>
      </c>
      <c r="H1535" s="18">
        <f t="shared" si="46"/>
        <v>41925.14</v>
      </c>
    </row>
    <row r="1536" spans="1:8" ht="15.6" x14ac:dyDescent="0.55000000000000004">
      <c r="A1536" s="7">
        <v>24.795532699999999</v>
      </c>
      <c r="B1536" s="7">
        <v>34.805654699999998</v>
      </c>
      <c r="C1536" s="18">
        <v>682528.2</v>
      </c>
      <c r="D1536" s="18">
        <v>2743514.16</v>
      </c>
      <c r="E1536" s="18">
        <v>269.82</v>
      </c>
      <c r="F1536" s="18">
        <v>41926.1</v>
      </c>
      <c r="G1536" s="18">
        <v>70928</v>
      </c>
      <c r="H1536" s="18">
        <f t="shared" si="46"/>
        <v>41925.599999999999</v>
      </c>
    </row>
    <row r="1537" spans="1:8" ht="15.6" x14ac:dyDescent="0.55000000000000004">
      <c r="A1537" s="7">
        <v>24.7961694</v>
      </c>
      <c r="B1537" s="7">
        <v>34.803818900000003</v>
      </c>
      <c r="C1537" s="18">
        <v>682341.65</v>
      </c>
      <c r="D1537" s="18">
        <v>2743582.23</v>
      </c>
      <c r="E1537" s="18">
        <v>271.95999999999998</v>
      </c>
      <c r="F1537" s="18">
        <v>41940</v>
      </c>
      <c r="G1537" s="18">
        <v>71058</v>
      </c>
      <c r="H1537" s="18">
        <f t="shared" si="46"/>
        <v>41939.5</v>
      </c>
    </row>
    <row r="1538" spans="1:8" ht="15.6" x14ac:dyDescent="0.55000000000000004">
      <c r="A1538" s="7">
        <v>24.796166400000001</v>
      </c>
      <c r="B1538" s="7">
        <v>34.803825099999997</v>
      </c>
      <c r="C1538" s="18">
        <v>682342.28</v>
      </c>
      <c r="D1538" s="18">
        <v>2743581.9</v>
      </c>
      <c r="E1538" s="18">
        <v>271.98</v>
      </c>
      <c r="F1538" s="18">
        <v>41940.46</v>
      </c>
      <c r="G1538" s="18">
        <v>71110</v>
      </c>
      <c r="H1538" s="18">
        <f t="shared" si="46"/>
        <v>41939.96</v>
      </c>
    </row>
    <row r="1539" spans="1:8" ht="15.6" x14ac:dyDescent="0.55000000000000004">
      <c r="A1539" s="7">
        <v>24.796945699999998</v>
      </c>
      <c r="B1539" s="7">
        <v>34.801921499999999</v>
      </c>
      <c r="C1539" s="18">
        <v>682148.67</v>
      </c>
      <c r="D1539" s="18">
        <v>2743665.68</v>
      </c>
      <c r="E1539" s="18">
        <v>273.7</v>
      </c>
      <c r="F1539" s="18">
        <v>41920.68</v>
      </c>
      <c r="G1539" s="18">
        <v>71258</v>
      </c>
      <c r="H1539" s="18">
        <f t="shared" si="46"/>
        <v>41920.18</v>
      </c>
    </row>
    <row r="1540" spans="1:8" ht="15.6" x14ac:dyDescent="0.55000000000000004">
      <c r="A1540" s="7">
        <v>24.796945900000001</v>
      </c>
      <c r="B1540" s="7">
        <v>34.801921700000001</v>
      </c>
      <c r="C1540" s="18">
        <v>682148.7</v>
      </c>
      <c r="D1540" s="18">
        <v>2743665.7</v>
      </c>
      <c r="E1540" s="18">
        <v>273.72000000000003</v>
      </c>
      <c r="F1540" s="18">
        <v>41920.370000000003</v>
      </c>
      <c r="G1540" s="18">
        <v>71307</v>
      </c>
      <c r="H1540" s="18">
        <f t="shared" si="46"/>
        <v>41919.870000000003</v>
      </c>
    </row>
    <row r="1541" spans="1:8" ht="15.6" x14ac:dyDescent="0.55000000000000004">
      <c r="A1541" s="7">
        <v>24.796986499999999</v>
      </c>
      <c r="B1541" s="7">
        <v>34.799870499999997</v>
      </c>
      <c r="C1541" s="18">
        <v>681941.24</v>
      </c>
      <c r="D1541" s="18">
        <v>2743667.47</v>
      </c>
      <c r="E1541" s="18">
        <v>276.42</v>
      </c>
      <c r="F1541" s="18">
        <v>41948.83</v>
      </c>
      <c r="G1541" s="18">
        <v>71446</v>
      </c>
      <c r="H1541" s="18">
        <f t="shared" si="46"/>
        <v>41948.33</v>
      </c>
    </row>
    <row r="1542" spans="1:8" ht="15.6" x14ac:dyDescent="0.55000000000000004">
      <c r="A1542" s="7">
        <v>24.7969826</v>
      </c>
      <c r="B1542" s="7">
        <v>34.798186600000001</v>
      </c>
      <c r="C1542" s="18">
        <v>681771</v>
      </c>
      <c r="D1542" s="18">
        <v>2743664.79</v>
      </c>
      <c r="E1542" s="18">
        <v>278.51</v>
      </c>
      <c r="F1542" s="18">
        <v>41979.28</v>
      </c>
      <c r="G1542" s="18">
        <v>71616</v>
      </c>
      <c r="H1542" s="18">
        <f t="shared" si="46"/>
        <v>41978.78</v>
      </c>
    </row>
    <row r="1543" spans="1:8" ht="15.6" x14ac:dyDescent="0.55000000000000004">
      <c r="A1543" s="7">
        <v>24.796982499999999</v>
      </c>
      <c r="B1543" s="7">
        <v>34.798186600000001</v>
      </c>
      <c r="C1543" s="18">
        <v>681770.99</v>
      </c>
      <c r="D1543" s="18">
        <v>2743664.78</v>
      </c>
      <c r="E1543" s="18">
        <v>278.43</v>
      </c>
      <c r="F1543" s="18">
        <v>41979.01</v>
      </c>
      <c r="G1543" s="18">
        <v>71625</v>
      </c>
      <c r="H1543" s="18">
        <f t="shared" si="46"/>
        <v>41978.51</v>
      </c>
    </row>
    <row r="1544" spans="1:8" ht="15.6" x14ac:dyDescent="0.55000000000000004">
      <c r="A1544" s="7">
        <v>24.7973517</v>
      </c>
      <c r="B1544" s="7">
        <v>34.796282300000001</v>
      </c>
      <c r="C1544" s="18">
        <v>681577.92</v>
      </c>
      <c r="D1544" s="18">
        <v>2743703.13</v>
      </c>
      <c r="E1544" s="18">
        <v>280.73</v>
      </c>
      <c r="F1544" s="18">
        <v>41984.92</v>
      </c>
      <c r="G1544" s="18">
        <v>71801</v>
      </c>
      <c r="H1544" s="18">
        <f t="shared" si="46"/>
        <v>41984.42</v>
      </c>
    </row>
    <row r="1545" spans="1:8" ht="15.6" x14ac:dyDescent="0.55000000000000004">
      <c r="A1545" s="7">
        <v>24.797352700000001</v>
      </c>
      <c r="B1545" s="7">
        <v>34.796283699999996</v>
      </c>
      <c r="C1545" s="18">
        <v>681578.06</v>
      </c>
      <c r="D1545" s="18">
        <v>2743703.25</v>
      </c>
      <c r="E1545" s="18">
        <v>280.77</v>
      </c>
      <c r="F1545" s="18">
        <v>41985.54</v>
      </c>
      <c r="G1545" s="18">
        <v>71816</v>
      </c>
      <c r="H1545" s="18">
        <f t="shared" si="46"/>
        <v>41985.04</v>
      </c>
    </row>
    <row r="1546" spans="1:8" ht="15.6" x14ac:dyDescent="0.55000000000000004">
      <c r="A1546" s="7">
        <v>24.7984902</v>
      </c>
      <c r="B1546" s="7">
        <v>34.794806999999999</v>
      </c>
      <c r="C1546" s="18">
        <v>681427.09</v>
      </c>
      <c r="D1546" s="18">
        <v>2743827.28</v>
      </c>
      <c r="E1546" s="18">
        <v>283.49</v>
      </c>
      <c r="F1546" s="18">
        <v>42012.78</v>
      </c>
      <c r="G1546" s="18">
        <v>72019</v>
      </c>
      <c r="H1546" s="18">
        <f t="shared" si="46"/>
        <v>42012.28</v>
      </c>
    </row>
    <row r="1547" spans="1:8" ht="15.6" x14ac:dyDescent="0.55000000000000004">
      <c r="A1547" s="7">
        <v>24.798490099999999</v>
      </c>
      <c r="B1547" s="7">
        <v>34.794807200000001</v>
      </c>
      <c r="C1547" s="18">
        <v>681427.11</v>
      </c>
      <c r="D1547" s="18">
        <v>2743827.27</v>
      </c>
      <c r="E1547" s="18">
        <v>283.49</v>
      </c>
      <c r="F1547" s="18">
        <v>42010.73</v>
      </c>
      <c r="G1547" s="18">
        <v>72028</v>
      </c>
      <c r="H1547" s="18">
        <f t="shared" si="46"/>
        <v>42010.23</v>
      </c>
    </row>
    <row r="1548" spans="1:8" ht="15.6" x14ac:dyDescent="0.55000000000000004">
      <c r="A1548" s="7">
        <v>24.7993837</v>
      </c>
      <c r="B1548" s="7">
        <v>34.792948899999999</v>
      </c>
      <c r="C1548" s="18">
        <v>681237.93</v>
      </c>
      <c r="D1548" s="18">
        <v>2743923.77</v>
      </c>
      <c r="E1548" s="18">
        <v>285.79000000000002</v>
      </c>
      <c r="F1548" s="18">
        <v>41981.66</v>
      </c>
      <c r="G1548" s="18">
        <v>72207</v>
      </c>
      <c r="H1548" s="18">
        <f t="shared" si="46"/>
        <v>41981.16</v>
      </c>
    </row>
    <row r="1549" spans="1:8" ht="15.6" x14ac:dyDescent="0.55000000000000004">
      <c r="A1549" s="7">
        <v>24.7993837</v>
      </c>
      <c r="B1549" s="7">
        <v>34.792949200000002</v>
      </c>
      <c r="C1549" s="18">
        <v>681237.96</v>
      </c>
      <c r="D1549" s="18">
        <v>2743923.77</v>
      </c>
      <c r="E1549" s="18">
        <v>285.77</v>
      </c>
      <c r="F1549" s="18">
        <v>41981.51</v>
      </c>
      <c r="G1549" s="18">
        <v>72216</v>
      </c>
      <c r="H1549" s="18">
        <f t="shared" si="46"/>
        <v>41981.01</v>
      </c>
    </row>
    <row r="1550" spans="1:8" ht="15.6" x14ac:dyDescent="0.55000000000000004">
      <c r="A1550" s="7">
        <v>24.8006551</v>
      </c>
      <c r="B1550" s="7">
        <v>34.791961700000002</v>
      </c>
      <c r="C1550" s="18">
        <v>681136.27</v>
      </c>
      <c r="D1550" s="18">
        <v>2744063.28</v>
      </c>
      <c r="E1550" s="18">
        <v>287.17</v>
      </c>
      <c r="F1550" s="18">
        <v>41970.720000000001</v>
      </c>
      <c r="G1550" s="18">
        <v>72346</v>
      </c>
      <c r="H1550" s="18">
        <f t="shared" si="46"/>
        <v>41970.22</v>
      </c>
    </row>
    <row r="1551" spans="1:8" ht="15.6" x14ac:dyDescent="0.55000000000000004">
      <c r="A1551" s="7">
        <v>24.802275999999999</v>
      </c>
      <c r="B1551" s="7">
        <v>34.791216400000003</v>
      </c>
      <c r="C1551" s="18">
        <v>681058.57</v>
      </c>
      <c r="D1551" s="18">
        <v>2744241.83</v>
      </c>
      <c r="E1551" s="18">
        <v>290.62</v>
      </c>
      <c r="F1551" s="18">
        <v>41961.27</v>
      </c>
      <c r="G1551" s="18">
        <v>72534</v>
      </c>
      <c r="H1551" s="18">
        <f t="shared" si="46"/>
        <v>41960.77</v>
      </c>
    </row>
    <row r="1552" spans="1:8" ht="15.6" x14ac:dyDescent="0.55000000000000004">
      <c r="A1552" s="7">
        <v>24.8022758</v>
      </c>
      <c r="B1552" s="7">
        <v>34.7912167</v>
      </c>
      <c r="C1552" s="18">
        <v>681058.59</v>
      </c>
      <c r="D1552" s="18">
        <v>2744241.81</v>
      </c>
      <c r="E1552" s="18">
        <v>290.77</v>
      </c>
      <c r="F1552" s="18">
        <v>41961.78</v>
      </c>
      <c r="G1552" s="18">
        <v>72543</v>
      </c>
      <c r="H1552" s="18">
        <f t="shared" si="46"/>
        <v>41961.279999999999</v>
      </c>
    </row>
    <row r="1553" spans="1:8" ht="15.6" x14ac:dyDescent="0.55000000000000004">
      <c r="A1553" s="7">
        <v>24.804261400000001</v>
      </c>
      <c r="B1553" s="7">
        <v>34.791023899999999</v>
      </c>
      <c r="C1553" s="18">
        <v>681036.22</v>
      </c>
      <c r="D1553" s="18">
        <v>2744461.48</v>
      </c>
      <c r="E1553" s="18">
        <v>293.69</v>
      </c>
      <c r="F1553" s="18">
        <v>41971.55</v>
      </c>
      <c r="G1553" s="18">
        <v>72722</v>
      </c>
      <c r="H1553" s="18">
        <f t="shared" si="46"/>
        <v>41971.05</v>
      </c>
    </row>
    <row r="1554" spans="1:8" ht="15.6" x14ac:dyDescent="0.55000000000000004">
      <c r="A1554" s="7">
        <v>24.804261100000002</v>
      </c>
      <c r="B1554" s="7">
        <v>34.791023099999997</v>
      </c>
      <c r="C1554" s="18">
        <v>681036.13</v>
      </c>
      <c r="D1554" s="18">
        <v>2744461.44</v>
      </c>
      <c r="E1554" s="18">
        <v>293.7</v>
      </c>
      <c r="F1554" s="18">
        <v>41971.63</v>
      </c>
      <c r="G1554" s="18">
        <v>72731</v>
      </c>
      <c r="H1554" s="18">
        <f t="shared" si="46"/>
        <v>41971.13</v>
      </c>
    </row>
    <row r="1555" spans="1:8" ht="15.6" x14ac:dyDescent="0.55000000000000004">
      <c r="A1555" s="7">
        <v>24.805616700000002</v>
      </c>
      <c r="B1555" s="7">
        <v>34.790317799999997</v>
      </c>
      <c r="C1555" s="18">
        <v>680962.86</v>
      </c>
      <c r="D1555" s="18">
        <v>2744610.65</v>
      </c>
      <c r="E1555" s="18">
        <v>295.56</v>
      </c>
      <c r="F1555" s="18">
        <v>41990.26</v>
      </c>
      <c r="G1555" s="18">
        <v>72858</v>
      </c>
      <c r="H1555" s="18">
        <f t="shared" si="46"/>
        <v>41989.760000000002</v>
      </c>
    </row>
    <row r="1556" spans="1:8" ht="15.6" x14ac:dyDescent="0.55000000000000004">
      <c r="A1556" s="7">
        <v>24.8056181</v>
      </c>
      <c r="B1556" s="7">
        <v>34.7903181</v>
      </c>
      <c r="C1556" s="18">
        <v>680962.89</v>
      </c>
      <c r="D1556" s="18">
        <v>2744610.81</v>
      </c>
      <c r="E1556" s="18">
        <v>295.39</v>
      </c>
      <c r="F1556" s="18">
        <v>41989.57</v>
      </c>
      <c r="G1556" s="18">
        <v>72916</v>
      </c>
      <c r="H1556" s="18">
        <f t="shared" si="46"/>
        <v>41989.07</v>
      </c>
    </row>
    <row r="1557" spans="1:8" ht="15.6" x14ac:dyDescent="0.55000000000000004">
      <c r="A1557" s="7">
        <v>24.8070281</v>
      </c>
      <c r="B1557" s="7">
        <v>34.789109099999997</v>
      </c>
      <c r="C1557" s="18">
        <v>680838.61</v>
      </c>
      <c r="D1557" s="18">
        <v>2744765.38</v>
      </c>
      <c r="E1557" s="18">
        <v>297.2</v>
      </c>
      <c r="F1557" s="18">
        <v>41980.23</v>
      </c>
      <c r="G1557" s="18">
        <v>73107</v>
      </c>
      <c r="H1557" s="18">
        <f>SUM(F1557-1)</f>
        <v>41979.23</v>
      </c>
    </row>
    <row r="1558" spans="1:8" ht="15.6" x14ac:dyDescent="0.55000000000000004">
      <c r="A1558" s="7">
        <v>24.807028800000001</v>
      </c>
      <c r="B1558" s="7">
        <v>34.789110200000003</v>
      </c>
      <c r="C1558" s="18">
        <v>680838.72</v>
      </c>
      <c r="D1558" s="18">
        <v>2744765.46</v>
      </c>
      <c r="E1558" s="18">
        <v>297.13</v>
      </c>
      <c r="F1558" s="18">
        <v>41979.9</v>
      </c>
      <c r="G1558" s="18">
        <v>73125</v>
      </c>
      <c r="H1558" s="18">
        <f t="shared" ref="H1558:H1602" si="47">SUM(F1558-1)</f>
        <v>41978.9</v>
      </c>
    </row>
    <row r="1559" spans="1:8" ht="15.6" x14ac:dyDescent="0.55000000000000004">
      <c r="A1559" s="7">
        <v>24.8087357</v>
      </c>
      <c r="B1559" s="7">
        <v>34.788576499999998</v>
      </c>
      <c r="C1559" s="18">
        <v>680782.28</v>
      </c>
      <c r="D1559" s="18">
        <v>2744953.81</v>
      </c>
      <c r="E1559" s="18">
        <v>300.60000000000002</v>
      </c>
      <c r="F1559" s="18">
        <v>41991.54</v>
      </c>
      <c r="G1559" s="18">
        <v>73619</v>
      </c>
      <c r="H1559" s="18">
        <f t="shared" si="47"/>
        <v>41990.54</v>
      </c>
    </row>
    <row r="1560" spans="1:8" ht="15.6" x14ac:dyDescent="0.55000000000000004">
      <c r="A1560" s="7">
        <v>24.810152200000001</v>
      </c>
      <c r="B1560" s="7">
        <v>34.7874397</v>
      </c>
      <c r="C1560" s="18">
        <v>680665.31</v>
      </c>
      <c r="D1560" s="18">
        <v>2745109.2</v>
      </c>
      <c r="E1560" s="18">
        <v>302.24</v>
      </c>
      <c r="F1560" s="18">
        <v>42021.599999999999</v>
      </c>
      <c r="G1560" s="18">
        <v>73810</v>
      </c>
      <c r="H1560" s="18">
        <f t="shared" si="47"/>
        <v>42020.6</v>
      </c>
    </row>
    <row r="1561" spans="1:8" ht="15.6" x14ac:dyDescent="0.55000000000000004">
      <c r="A1561" s="7">
        <v>24.810152599999999</v>
      </c>
      <c r="B1561" s="7">
        <v>34.787440699999998</v>
      </c>
      <c r="C1561" s="18">
        <v>680665.4</v>
      </c>
      <c r="D1561" s="18">
        <v>2745109.25</v>
      </c>
      <c r="E1561" s="18">
        <v>302.22000000000003</v>
      </c>
      <c r="F1561" s="18">
        <v>42021.85</v>
      </c>
      <c r="G1561" s="18">
        <v>73819</v>
      </c>
      <c r="H1561" s="18">
        <f t="shared" si="47"/>
        <v>42020.85</v>
      </c>
    </row>
    <row r="1562" spans="1:8" ht="15.6" x14ac:dyDescent="0.55000000000000004">
      <c r="A1562" s="7">
        <v>24.811260300000001</v>
      </c>
      <c r="B1562" s="7">
        <v>34.785971799999999</v>
      </c>
      <c r="C1562" s="18">
        <v>680515.31</v>
      </c>
      <c r="D1562" s="18">
        <v>2745229.99</v>
      </c>
      <c r="E1562" s="18">
        <v>305.19</v>
      </c>
      <c r="F1562" s="18">
        <v>42056.24</v>
      </c>
      <c r="G1562" s="18">
        <v>74007</v>
      </c>
      <c r="H1562" s="18">
        <f t="shared" si="47"/>
        <v>42055.24</v>
      </c>
    </row>
    <row r="1563" spans="1:8" ht="15.6" x14ac:dyDescent="0.55000000000000004">
      <c r="A1563" s="7">
        <v>24.811260099999998</v>
      </c>
      <c r="B1563" s="7">
        <v>34.7859719</v>
      </c>
      <c r="C1563" s="18">
        <v>680515.32</v>
      </c>
      <c r="D1563" s="18">
        <v>2745229.97</v>
      </c>
      <c r="E1563" s="18">
        <v>305.19</v>
      </c>
      <c r="F1563" s="18">
        <v>42055.93</v>
      </c>
      <c r="G1563" s="18">
        <v>74016</v>
      </c>
      <c r="H1563" s="18">
        <f t="shared" si="47"/>
        <v>42054.93</v>
      </c>
    </row>
    <row r="1564" spans="1:8" ht="15.6" x14ac:dyDescent="0.55000000000000004">
      <c r="A1564" s="7">
        <v>24.8119376</v>
      </c>
      <c r="B1564" s="7">
        <v>34.7841594</v>
      </c>
      <c r="C1564" s="18">
        <v>680331.1</v>
      </c>
      <c r="D1564" s="18">
        <v>2745302.61</v>
      </c>
      <c r="E1564" s="18">
        <v>307.76</v>
      </c>
      <c r="F1564" s="18">
        <v>42055.05</v>
      </c>
      <c r="G1564" s="18">
        <v>74201</v>
      </c>
      <c r="H1564" s="18">
        <f t="shared" si="47"/>
        <v>42054.05</v>
      </c>
    </row>
    <row r="1565" spans="1:8" ht="15.6" x14ac:dyDescent="0.55000000000000004">
      <c r="A1565" s="7">
        <v>24.811939200000001</v>
      </c>
      <c r="B1565" s="7">
        <v>34.784159099999997</v>
      </c>
      <c r="C1565" s="18">
        <v>680331.07</v>
      </c>
      <c r="D1565" s="18">
        <v>2745302.79</v>
      </c>
      <c r="E1565" s="18">
        <v>307.68</v>
      </c>
      <c r="F1565" s="18">
        <v>42055.5</v>
      </c>
      <c r="G1565" s="18">
        <v>74213</v>
      </c>
      <c r="H1565" s="18">
        <f t="shared" si="47"/>
        <v>42054.5</v>
      </c>
    </row>
    <row r="1566" spans="1:8" ht="15.6" x14ac:dyDescent="0.55000000000000004">
      <c r="A1566" s="7">
        <v>24.8129618</v>
      </c>
      <c r="B1566" s="7">
        <v>34.782216499999997</v>
      </c>
      <c r="C1566" s="18">
        <v>680133.2</v>
      </c>
      <c r="D1566" s="18">
        <v>2745413.49</v>
      </c>
      <c r="E1566" s="18">
        <v>310.75</v>
      </c>
      <c r="F1566" s="18">
        <v>42059.61</v>
      </c>
      <c r="G1566" s="18">
        <v>74358</v>
      </c>
      <c r="H1566" s="18">
        <f t="shared" si="47"/>
        <v>42058.61</v>
      </c>
    </row>
    <row r="1567" spans="1:8" ht="15.6" x14ac:dyDescent="0.55000000000000004">
      <c r="A1567" s="7">
        <v>24.8129606</v>
      </c>
      <c r="B1567" s="7">
        <v>34.782216400000003</v>
      </c>
      <c r="C1567" s="18">
        <v>680133.19</v>
      </c>
      <c r="D1567" s="18">
        <v>2745413.36</v>
      </c>
      <c r="E1567" s="18">
        <v>310.87</v>
      </c>
      <c r="F1567" s="18">
        <v>42059.040000000001</v>
      </c>
      <c r="G1567" s="18">
        <v>74413</v>
      </c>
      <c r="H1567" s="18">
        <f t="shared" si="47"/>
        <v>42058.04</v>
      </c>
    </row>
    <row r="1568" spans="1:8" ht="15.6" x14ac:dyDescent="0.55000000000000004">
      <c r="A1568" s="7">
        <v>24.813926200000001</v>
      </c>
      <c r="B1568" s="7">
        <v>34.780560399999999</v>
      </c>
      <c r="C1568" s="18">
        <v>679964.38</v>
      </c>
      <c r="D1568" s="18">
        <v>2745518.12</v>
      </c>
      <c r="E1568" s="18">
        <v>312.41000000000003</v>
      </c>
      <c r="F1568" s="18">
        <v>42118.01</v>
      </c>
      <c r="G1568" s="18">
        <v>74558</v>
      </c>
      <c r="H1568" s="18">
        <f t="shared" si="47"/>
        <v>42117.01</v>
      </c>
    </row>
    <row r="1569" spans="1:8" ht="15.6" x14ac:dyDescent="0.55000000000000004">
      <c r="A1569" s="7">
        <v>24.813926200000001</v>
      </c>
      <c r="B1569" s="7">
        <v>34.780560899999998</v>
      </c>
      <c r="C1569" s="18">
        <v>679964.44</v>
      </c>
      <c r="D1569" s="18">
        <v>2745518.12</v>
      </c>
      <c r="E1569" s="18">
        <v>312.41000000000003</v>
      </c>
      <c r="F1569" s="18">
        <v>42115.97</v>
      </c>
      <c r="G1569" s="18">
        <v>74610</v>
      </c>
      <c r="H1569" s="18">
        <f t="shared" si="47"/>
        <v>42114.97</v>
      </c>
    </row>
    <row r="1570" spans="1:8" ht="15.6" x14ac:dyDescent="0.55000000000000004">
      <c r="A1570" s="7">
        <v>24.815120199999999</v>
      </c>
      <c r="B1570" s="7">
        <v>34.779171499999997</v>
      </c>
      <c r="C1570" s="18">
        <v>679822.25</v>
      </c>
      <c r="D1570" s="18">
        <v>2745648.54</v>
      </c>
      <c r="E1570" s="18">
        <v>314.68</v>
      </c>
      <c r="F1570" s="18">
        <v>42153.37</v>
      </c>
      <c r="G1570" s="18">
        <v>74758</v>
      </c>
      <c r="H1570" s="18">
        <f t="shared" si="47"/>
        <v>42152.37</v>
      </c>
    </row>
    <row r="1571" spans="1:8" ht="15.6" x14ac:dyDescent="0.55000000000000004">
      <c r="A1571" s="7">
        <v>24.8151318</v>
      </c>
      <c r="B1571" s="7">
        <v>34.779140400000003</v>
      </c>
      <c r="C1571" s="18">
        <v>679819.09</v>
      </c>
      <c r="D1571" s="18">
        <v>2745649.78</v>
      </c>
      <c r="E1571" s="18">
        <v>314.55</v>
      </c>
      <c r="F1571" s="18">
        <v>42156.639999999999</v>
      </c>
      <c r="G1571" s="18">
        <v>74816</v>
      </c>
      <c r="H1571" s="18">
        <f t="shared" si="47"/>
        <v>42155.64</v>
      </c>
    </row>
    <row r="1572" spans="1:8" ht="15.6" x14ac:dyDescent="0.55000000000000004">
      <c r="A1572" s="7">
        <v>24.816511500000001</v>
      </c>
      <c r="B1572" s="7">
        <v>34.777528699999998</v>
      </c>
      <c r="C1572" s="18">
        <v>679654.17</v>
      </c>
      <c r="D1572" s="18">
        <v>2745800.47</v>
      </c>
      <c r="E1572" s="18">
        <v>317.41000000000003</v>
      </c>
      <c r="F1572" s="18">
        <v>42159.8</v>
      </c>
      <c r="G1572" s="18">
        <v>74958</v>
      </c>
      <c r="H1572" s="18">
        <f t="shared" si="47"/>
        <v>42158.8</v>
      </c>
    </row>
    <row r="1573" spans="1:8" ht="15.6" x14ac:dyDescent="0.55000000000000004">
      <c r="A1573" s="7">
        <v>24.816511500000001</v>
      </c>
      <c r="B1573" s="7">
        <v>34.777528199999999</v>
      </c>
      <c r="C1573" s="18">
        <v>679654.12</v>
      </c>
      <c r="D1573" s="18">
        <v>2745800.47</v>
      </c>
      <c r="E1573" s="18">
        <v>317.57</v>
      </c>
      <c r="F1573" s="18">
        <v>42159.79</v>
      </c>
      <c r="G1573" s="18">
        <v>75013</v>
      </c>
      <c r="H1573" s="18">
        <f t="shared" si="47"/>
        <v>42158.79</v>
      </c>
    </row>
    <row r="1574" spans="1:8" ht="15.6" x14ac:dyDescent="0.55000000000000004">
      <c r="A1574" s="7">
        <v>24.817592600000001</v>
      </c>
      <c r="B1574" s="7">
        <v>34.776724399999999</v>
      </c>
      <c r="C1574" s="18">
        <v>679571.31</v>
      </c>
      <c r="D1574" s="18">
        <v>2745919.16</v>
      </c>
      <c r="E1574" s="18">
        <v>319.27999999999997</v>
      </c>
      <c r="F1574" s="18">
        <v>42162.06</v>
      </c>
      <c r="G1574" s="18">
        <v>75143</v>
      </c>
      <c r="H1574" s="18">
        <f t="shared" si="47"/>
        <v>42161.06</v>
      </c>
    </row>
    <row r="1575" spans="1:8" ht="15.6" x14ac:dyDescent="0.55000000000000004">
      <c r="A1575" s="7">
        <v>24.817594100000001</v>
      </c>
      <c r="B1575" s="7">
        <v>34.776725300000003</v>
      </c>
      <c r="C1575" s="18">
        <v>679571.39</v>
      </c>
      <c r="D1575" s="18">
        <v>2745919.32</v>
      </c>
      <c r="E1575" s="18">
        <v>319.42</v>
      </c>
      <c r="F1575" s="18">
        <v>42163.68</v>
      </c>
      <c r="G1575" s="18">
        <v>75158</v>
      </c>
      <c r="H1575" s="18">
        <f t="shared" si="47"/>
        <v>42162.68</v>
      </c>
    </row>
    <row r="1576" spans="1:8" ht="15.6" x14ac:dyDescent="0.55000000000000004">
      <c r="A1576" s="7">
        <v>24.8190089</v>
      </c>
      <c r="B1576" s="7">
        <v>34.775371800000002</v>
      </c>
      <c r="C1576" s="18">
        <v>679432.53</v>
      </c>
      <c r="D1576" s="18">
        <v>2746074.25</v>
      </c>
      <c r="E1576" s="18">
        <v>321.68</v>
      </c>
      <c r="F1576" s="18">
        <v>42111.13</v>
      </c>
      <c r="G1576" s="18">
        <v>75349</v>
      </c>
      <c r="H1576" s="18">
        <f t="shared" si="47"/>
        <v>42110.13</v>
      </c>
    </row>
    <row r="1577" spans="1:8" ht="15.6" x14ac:dyDescent="0.55000000000000004">
      <c r="A1577" s="7">
        <v>24.819009699999999</v>
      </c>
      <c r="B1577" s="7">
        <v>34.775371499999999</v>
      </c>
      <c r="C1577" s="18">
        <v>679432.49</v>
      </c>
      <c r="D1577" s="18">
        <v>2746074.34</v>
      </c>
      <c r="E1577" s="18">
        <v>321.72000000000003</v>
      </c>
      <c r="F1577" s="18">
        <v>42110.89</v>
      </c>
      <c r="G1577" s="18">
        <v>75358</v>
      </c>
      <c r="H1577" s="18">
        <f t="shared" si="47"/>
        <v>42109.89</v>
      </c>
    </row>
    <row r="1578" spans="1:8" ht="15.6" x14ac:dyDescent="0.55000000000000004">
      <c r="A1578" s="7">
        <v>24.820141400000001</v>
      </c>
      <c r="B1578" s="7">
        <v>34.774026399999997</v>
      </c>
      <c r="C1578" s="18">
        <v>679294.89</v>
      </c>
      <c r="D1578" s="18">
        <v>2746197.91</v>
      </c>
      <c r="E1578" s="18">
        <v>323.02</v>
      </c>
      <c r="F1578" s="18">
        <v>42115.71</v>
      </c>
      <c r="G1578" s="18">
        <v>75546</v>
      </c>
      <c r="H1578" s="18">
        <f t="shared" si="47"/>
        <v>42114.71</v>
      </c>
    </row>
    <row r="1579" spans="1:8" ht="15.6" x14ac:dyDescent="0.55000000000000004">
      <c r="A1579" s="7">
        <v>24.820143900000001</v>
      </c>
      <c r="B1579" s="7">
        <v>34.7740267</v>
      </c>
      <c r="C1579" s="18">
        <v>679294.92</v>
      </c>
      <c r="D1579" s="18">
        <v>2746198.2</v>
      </c>
      <c r="E1579" s="18">
        <v>323.35000000000002</v>
      </c>
      <c r="F1579" s="18">
        <v>42115.92</v>
      </c>
      <c r="G1579" s="18">
        <v>75555</v>
      </c>
      <c r="H1579" s="18">
        <f t="shared" si="47"/>
        <v>42114.92</v>
      </c>
    </row>
    <row r="1580" spans="1:8" ht="15.6" x14ac:dyDescent="0.55000000000000004">
      <c r="A1580" s="7">
        <v>24.8210975</v>
      </c>
      <c r="B1580" s="7">
        <v>34.772612199999998</v>
      </c>
      <c r="C1580" s="18">
        <v>679150.56</v>
      </c>
      <c r="D1580" s="18">
        <v>2746301.96</v>
      </c>
      <c r="E1580" s="18">
        <v>325.36</v>
      </c>
      <c r="F1580" s="18">
        <v>42100.04</v>
      </c>
      <c r="G1580" s="18">
        <v>75749</v>
      </c>
      <c r="H1580" s="18">
        <f t="shared" si="47"/>
        <v>42099.040000000001</v>
      </c>
    </row>
    <row r="1581" spans="1:8" ht="15.6" x14ac:dyDescent="0.55000000000000004">
      <c r="A1581" s="7">
        <v>24.821098899999999</v>
      </c>
      <c r="B1581" s="7">
        <v>34.772614500000003</v>
      </c>
      <c r="C1581" s="18">
        <v>679150.79</v>
      </c>
      <c r="D1581" s="18">
        <v>2746302.12</v>
      </c>
      <c r="E1581" s="18">
        <v>325.39</v>
      </c>
      <c r="F1581" s="18">
        <v>42100.54</v>
      </c>
      <c r="G1581" s="18">
        <v>75758</v>
      </c>
      <c r="H1581" s="18">
        <f t="shared" si="47"/>
        <v>42099.54</v>
      </c>
    </row>
    <row r="1582" spans="1:8" ht="15.6" x14ac:dyDescent="0.55000000000000004">
      <c r="A1582" s="7">
        <v>24.8227431</v>
      </c>
      <c r="B1582" s="7">
        <v>34.771592800000001</v>
      </c>
      <c r="C1582" s="18">
        <v>679045.15</v>
      </c>
      <c r="D1582" s="18">
        <v>2746482.89</v>
      </c>
      <c r="E1582" s="18">
        <v>327.3</v>
      </c>
      <c r="F1582" s="18">
        <v>42075.519999999997</v>
      </c>
      <c r="G1582" s="18">
        <v>75937</v>
      </c>
      <c r="H1582" s="18">
        <f t="shared" si="47"/>
        <v>42074.52</v>
      </c>
    </row>
    <row r="1583" spans="1:8" ht="15.6" x14ac:dyDescent="0.55000000000000004">
      <c r="A1583" s="7">
        <v>24.822743200000001</v>
      </c>
      <c r="B1583" s="7">
        <v>34.771592699999999</v>
      </c>
      <c r="C1583" s="18">
        <v>679045.14</v>
      </c>
      <c r="D1583" s="18">
        <v>2746482.9</v>
      </c>
      <c r="E1583" s="18">
        <v>327.35000000000002</v>
      </c>
      <c r="F1583" s="18">
        <v>42075.18</v>
      </c>
      <c r="G1583" s="18">
        <v>75946</v>
      </c>
      <c r="H1583" s="18">
        <f t="shared" si="47"/>
        <v>42074.18</v>
      </c>
    </row>
    <row r="1584" spans="1:8" ht="15.6" x14ac:dyDescent="0.55000000000000004">
      <c r="A1584" s="7">
        <v>24.823535199999998</v>
      </c>
      <c r="B1584" s="7">
        <v>34.769886800000002</v>
      </c>
      <c r="C1584" s="18">
        <v>678871.55</v>
      </c>
      <c r="D1584" s="18">
        <v>2746568.39</v>
      </c>
      <c r="E1584" s="18">
        <v>329.4</v>
      </c>
      <c r="F1584" s="18">
        <v>42095.62</v>
      </c>
      <c r="G1584" s="18">
        <v>80122</v>
      </c>
      <c r="H1584" s="18">
        <f t="shared" si="47"/>
        <v>42094.62</v>
      </c>
    </row>
    <row r="1585" spans="1:8" ht="15.6" x14ac:dyDescent="0.55000000000000004">
      <c r="A1585" s="7">
        <v>24.823536600000001</v>
      </c>
      <c r="B1585" s="7">
        <v>34.7698866</v>
      </c>
      <c r="C1585" s="18">
        <v>678871.53</v>
      </c>
      <c r="D1585" s="18">
        <v>2746568.53</v>
      </c>
      <c r="E1585" s="18">
        <v>329.4</v>
      </c>
      <c r="F1585" s="18">
        <v>42096</v>
      </c>
      <c r="G1585" s="18">
        <v>80134</v>
      </c>
      <c r="H1585" s="18">
        <f t="shared" si="47"/>
        <v>42095</v>
      </c>
    </row>
    <row r="1586" spans="1:8" ht="15.6" x14ac:dyDescent="0.55000000000000004">
      <c r="A1586" s="7">
        <v>24.8247362</v>
      </c>
      <c r="B1586" s="7">
        <v>34.768111300000001</v>
      </c>
      <c r="C1586" s="18">
        <v>678690.35</v>
      </c>
      <c r="D1586" s="18">
        <v>2746699.08</v>
      </c>
      <c r="E1586" s="18">
        <v>331.91</v>
      </c>
      <c r="F1586" s="18">
        <v>42106.12</v>
      </c>
      <c r="G1586" s="18">
        <v>80310</v>
      </c>
      <c r="H1586" s="18">
        <f t="shared" si="47"/>
        <v>42105.120000000003</v>
      </c>
    </row>
    <row r="1587" spans="1:8" ht="15.6" x14ac:dyDescent="0.55000000000000004">
      <c r="A1587" s="7">
        <v>24.826101600000001</v>
      </c>
      <c r="B1587" s="7">
        <v>34.767507000000002</v>
      </c>
      <c r="C1587" s="18">
        <v>678627.31</v>
      </c>
      <c r="D1587" s="18">
        <v>2746849.52</v>
      </c>
      <c r="E1587" s="18">
        <v>333.99</v>
      </c>
      <c r="F1587" s="18">
        <v>42083.48</v>
      </c>
      <c r="G1587" s="18">
        <v>80437</v>
      </c>
      <c r="H1587" s="18">
        <f t="shared" si="47"/>
        <v>42082.48</v>
      </c>
    </row>
    <row r="1588" spans="1:8" ht="15.6" x14ac:dyDescent="0.55000000000000004">
      <c r="A1588" s="7">
        <v>24.826104399999998</v>
      </c>
      <c r="B1588" s="7">
        <v>34.767504600000002</v>
      </c>
      <c r="C1588" s="18">
        <v>678627.06</v>
      </c>
      <c r="D1588" s="18">
        <v>2746849.82</v>
      </c>
      <c r="E1588" s="18">
        <v>333.99</v>
      </c>
      <c r="F1588" s="18">
        <v>42083.14</v>
      </c>
      <c r="G1588" s="18">
        <v>80449</v>
      </c>
      <c r="H1588" s="18">
        <f t="shared" si="47"/>
        <v>42082.14</v>
      </c>
    </row>
    <row r="1589" spans="1:8" ht="15.6" x14ac:dyDescent="0.55000000000000004">
      <c r="A1589" s="7">
        <v>24.826666500000002</v>
      </c>
      <c r="B1589" s="7">
        <v>34.765678100000002</v>
      </c>
      <c r="C1589" s="18">
        <v>678441.63</v>
      </c>
      <c r="D1589" s="18">
        <v>2746909.69</v>
      </c>
      <c r="E1589" s="18">
        <v>335.74</v>
      </c>
      <c r="F1589" s="18">
        <v>42032.4</v>
      </c>
      <c r="G1589" s="18">
        <v>80622</v>
      </c>
      <c r="H1589" s="18">
        <f t="shared" si="47"/>
        <v>42031.4</v>
      </c>
    </row>
    <row r="1590" spans="1:8" ht="15.6" x14ac:dyDescent="0.55000000000000004">
      <c r="A1590" s="7">
        <v>24.826666500000002</v>
      </c>
      <c r="B1590" s="7">
        <v>34.765677099999998</v>
      </c>
      <c r="C1590" s="18">
        <v>678441.53</v>
      </c>
      <c r="D1590" s="18">
        <v>2746909.7</v>
      </c>
      <c r="E1590" s="18">
        <v>335.78</v>
      </c>
      <c r="F1590" s="18">
        <v>42032.49</v>
      </c>
      <c r="G1590" s="18">
        <v>80631</v>
      </c>
      <c r="H1590" s="18">
        <f t="shared" si="47"/>
        <v>42031.49</v>
      </c>
    </row>
    <row r="1591" spans="1:8" ht="15.6" x14ac:dyDescent="0.55000000000000004">
      <c r="A1591" s="7">
        <v>24.8271868</v>
      </c>
      <c r="B1591" s="7">
        <v>34.763792799999997</v>
      </c>
      <c r="C1591" s="18">
        <v>678250.31</v>
      </c>
      <c r="D1591" s="18">
        <v>2746964.85</v>
      </c>
      <c r="E1591" s="18">
        <v>338.11</v>
      </c>
      <c r="F1591" s="18">
        <v>42042.05</v>
      </c>
      <c r="G1591" s="18">
        <v>80810</v>
      </c>
      <c r="H1591" s="18">
        <f t="shared" si="47"/>
        <v>42041.05</v>
      </c>
    </row>
    <row r="1592" spans="1:8" ht="15.6" x14ac:dyDescent="0.55000000000000004">
      <c r="A1592" s="7">
        <v>24.827187200000001</v>
      </c>
      <c r="B1592" s="7">
        <v>34.763793900000003</v>
      </c>
      <c r="C1592" s="18">
        <v>678250.42</v>
      </c>
      <c r="D1592" s="18">
        <v>2746964.9</v>
      </c>
      <c r="E1592" s="18">
        <v>338.15</v>
      </c>
      <c r="F1592" s="18">
        <v>42042.29</v>
      </c>
      <c r="G1592" s="18">
        <v>80819</v>
      </c>
      <c r="H1592" s="18">
        <f t="shared" si="47"/>
        <v>42041.29</v>
      </c>
    </row>
    <row r="1593" spans="1:8" ht="15.6" x14ac:dyDescent="0.55000000000000004">
      <c r="A1593" s="7">
        <v>24.8281648</v>
      </c>
      <c r="B1593" s="7">
        <v>34.7616929</v>
      </c>
      <c r="C1593" s="18">
        <v>678036.66</v>
      </c>
      <c r="D1593" s="18">
        <v>2747070.44</v>
      </c>
      <c r="E1593" s="18">
        <v>341.4</v>
      </c>
      <c r="F1593" s="18">
        <v>41957.71</v>
      </c>
      <c r="G1593" s="18">
        <v>80958</v>
      </c>
      <c r="H1593" s="18">
        <f t="shared" si="47"/>
        <v>41956.71</v>
      </c>
    </row>
    <row r="1594" spans="1:8" ht="15.6" x14ac:dyDescent="0.55000000000000004">
      <c r="A1594" s="7">
        <v>24.828163700000001</v>
      </c>
      <c r="B1594" s="7">
        <v>34.7616929</v>
      </c>
      <c r="C1594" s="18">
        <v>678036.66</v>
      </c>
      <c r="D1594" s="18">
        <v>2747070.32</v>
      </c>
      <c r="E1594" s="18">
        <v>341.35</v>
      </c>
      <c r="F1594" s="18">
        <v>41957.3</v>
      </c>
      <c r="G1594" s="18">
        <v>81010</v>
      </c>
      <c r="H1594" s="18">
        <f t="shared" si="47"/>
        <v>41956.3</v>
      </c>
    </row>
    <row r="1595" spans="1:8" ht="15.6" x14ac:dyDescent="0.55000000000000004">
      <c r="A1595" s="7">
        <v>24.829637300000002</v>
      </c>
      <c r="B1595" s="7">
        <v>34.759890800000001</v>
      </c>
      <c r="C1595" s="18">
        <v>677852.39</v>
      </c>
      <c r="D1595" s="18">
        <v>2747231.18</v>
      </c>
      <c r="E1595" s="18">
        <v>344.2</v>
      </c>
      <c r="F1595" s="18">
        <v>41935.550000000003</v>
      </c>
      <c r="G1595" s="18">
        <v>81358</v>
      </c>
      <c r="H1595" s="18">
        <f t="shared" si="47"/>
        <v>41934.550000000003</v>
      </c>
    </row>
    <row r="1596" spans="1:8" ht="15.6" x14ac:dyDescent="0.55000000000000004">
      <c r="A1596" s="7">
        <v>24.829637999999999</v>
      </c>
      <c r="B1596" s="7">
        <v>34.759891000000003</v>
      </c>
      <c r="C1596" s="18">
        <v>677852.41</v>
      </c>
      <c r="D1596" s="18">
        <v>2747231.26</v>
      </c>
      <c r="E1596" s="18">
        <v>344.17</v>
      </c>
      <c r="F1596" s="18">
        <v>41934.28</v>
      </c>
      <c r="G1596" s="18">
        <v>81410</v>
      </c>
      <c r="H1596" s="18">
        <f t="shared" si="47"/>
        <v>41933.279999999999</v>
      </c>
    </row>
    <row r="1597" spans="1:8" ht="15.6" x14ac:dyDescent="0.55000000000000004">
      <c r="A1597" s="7">
        <v>24.830327100000002</v>
      </c>
      <c r="B1597" s="7">
        <v>34.759044799999998</v>
      </c>
      <c r="C1597" s="18">
        <v>677765.9</v>
      </c>
      <c r="D1597" s="18">
        <v>2747306.47</v>
      </c>
      <c r="E1597" s="18">
        <v>344.67</v>
      </c>
      <c r="F1597" s="18">
        <v>41986.35</v>
      </c>
      <c r="G1597" s="18">
        <v>81849</v>
      </c>
      <c r="H1597" s="18">
        <f t="shared" si="47"/>
        <v>41985.35</v>
      </c>
    </row>
    <row r="1598" spans="1:8" ht="15.6" x14ac:dyDescent="0.55000000000000004">
      <c r="A1598" s="7">
        <v>24.830325800000001</v>
      </c>
      <c r="B1598" s="7">
        <v>34.759043599999998</v>
      </c>
      <c r="C1598" s="18">
        <v>677765.77</v>
      </c>
      <c r="D1598" s="18">
        <v>2747306.33</v>
      </c>
      <c r="E1598" s="18">
        <v>344.4</v>
      </c>
      <c r="F1598" s="18">
        <v>41986.55</v>
      </c>
      <c r="G1598" s="18">
        <v>81901</v>
      </c>
      <c r="H1598" s="18">
        <f t="shared" si="47"/>
        <v>41985.55</v>
      </c>
    </row>
    <row r="1599" spans="1:8" ht="15.6" x14ac:dyDescent="0.55000000000000004">
      <c r="A1599" s="7">
        <v>24.8316138</v>
      </c>
      <c r="B1599" s="7">
        <v>34.757703300000003</v>
      </c>
      <c r="C1599" s="18">
        <v>677628.46</v>
      </c>
      <c r="D1599" s="18">
        <v>2747447.25</v>
      </c>
      <c r="E1599" s="18">
        <v>348.37</v>
      </c>
      <c r="F1599" s="18">
        <v>42046.45</v>
      </c>
      <c r="G1599" s="18">
        <v>82043</v>
      </c>
      <c r="H1599" s="18">
        <f t="shared" si="47"/>
        <v>42045.45</v>
      </c>
    </row>
    <row r="1600" spans="1:8" ht="15.6" x14ac:dyDescent="0.55000000000000004">
      <c r="A1600" s="7">
        <v>24.8316157</v>
      </c>
      <c r="B1600" s="7">
        <v>34.757704199999999</v>
      </c>
      <c r="C1600" s="18">
        <v>677628.55</v>
      </c>
      <c r="D1600" s="18">
        <v>2747447.46</v>
      </c>
      <c r="E1600" s="18">
        <v>348.56</v>
      </c>
      <c r="F1600" s="18">
        <v>42047.360000000001</v>
      </c>
      <c r="G1600" s="18">
        <v>82058</v>
      </c>
      <c r="H1600" s="18">
        <f t="shared" si="47"/>
        <v>42046.36</v>
      </c>
    </row>
    <row r="1601" spans="1:8" ht="15.6" x14ac:dyDescent="0.55000000000000004">
      <c r="A1601" s="7">
        <v>24.7932594</v>
      </c>
      <c r="B1601" s="7">
        <v>34.8229629</v>
      </c>
      <c r="C1601" s="18">
        <v>684281.58</v>
      </c>
      <c r="D1601" s="18">
        <v>2743285.61</v>
      </c>
      <c r="E1601" s="18">
        <v>250.45</v>
      </c>
      <c r="F1601" s="18">
        <v>41964.95</v>
      </c>
      <c r="G1601" s="18">
        <v>84843</v>
      </c>
      <c r="H1601" s="18">
        <f t="shared" si="47"/>
        <v>41963.95</v>
      </c>
    </row>
    <row r="1602" spans="1:8" ht="15.6" x14ac:dyDescent="0.55000000000000004">
      <c r="A1602" s="7">
        <v>24.793261000000001</v>
      </c>
      <c r="B1602" s="7">
        <v>34.822962199999999</v>
      </c>
      <c r="C1602" s="18">
        <v>684281.5</v>
      </c>
      <c r="D1602" s="18">
        <v>2743285.79</v>
      </c>
      <c r="E1602" s="18">
        <v>250.38</v>
      </c>
      <c r="F1602" s="18">
        <v>41964.99</v>
      </c>
      <c r="G1602" s="18">
        <v>84858</v>
      </c>
      <c r="H1602" s="18">
        <f t="shared" si="47"/>
        <v>41963.99</v>
      </c>
    </row>
    <row r="1603" spans="1:8" ht="15.6" x14ac:dyDescent="0.55000000000000004">
      <c r="A1603" s="7">
        <v>24.792367200000001</v>
      </c>
      <c r="B1603" s="7">
        <v>34.8214361</v>
      </c>
      <c r="C1603" s="18">
        <v>684128.51</v>
      </c>
      <c r="D1603" s="18">
        <v>2743184.73</v>
      </c>
      <c r="E1603" s="18">
        <v>251.98</v>
      </c>
      <c r="F1603" s="18">
        <v>41922.720000000001</v>
      </c>
      <c r="G1603" s="18">
        <v>85116</v>
      </c>
      <c r="H1603" s="18">
        <f>SUM(F1603-3)</f>
        <v>41919.72</v>
      </c>
    </row>
    <row r="1604" spans="1:8" ht="15.6" x14ac:dyDescent="0.55000000000000004">
      <c r="A1604" s="7">
        <v>24.7923677</v>
      </c>
      <c r="B1604" s="7">
        <v>34.821438499999999</v>
      </c>
      <c r="C1604" s="18">
        <v>684128.76</v>
      </c>
      <c r="D1604" s="18">
        <v>2743184.79</v>
      </c>
      <c r="E1604" s="18">
        <v>251.88</v>
      </c>
      <c r="F1604" s="18">
        <v>41923.06</v>
      </c>
      <c r="G1604" s="18">
        <v>85128</v>
      </c>
      <c r="H1604" s="18">
        <f t="shared" ref="H1604:H1612" si="48">SUM(F1604-3)</f>
        <v>41920.06</v>
      </c>
    </row>
    <row r="1605" spans="1:8" ht="15.6" x14ac:dyDescent="0.55000000000000004">
      <c r="A1605" s="7">
        <v>24.791206299999999</v>
      </c>
      <c r="B1605" s="7">
        <v>34.820010799999999</v>
      </c>
      <c r="C1605" s="18">
        <v>683986.11</v>
      </c>
      <c r="D1605" s="18">
        <v>2743054.22</v>
      </c>
      <c r="E1605" s="18">
        <v>256.10000000000002</v>
      </c>
      <c r="F1605" s="18">
        <v>41944.97</v>
      </c>
      <c r="G1605" s="18">
        <v>85304</v>
      </c>
      <c r="H1605" s="18">
        <f t="shared" si="48"/>
        <v>41941.97</v>
      </c>
    </row>
    <row r="1606" spans="1:8" ht="15.6" x14ac:dyDescent="0.55000000000000004">
      <c r="A1606" s="7">
        <v>24.790045899999999</v>
      </c>
      <c r="B1606" s="7">
        <v>34.818525999999999</v>
      </c>
      <c r="C1606" s="18">
        <v>683837.69</v>
      </c>
      <c r="D1606" s="18">
        <v>2742923.7</v>
      </c>
      <c r="E1606" s="18">
        <v>256.79000000000002</v>
      </c>
      <c r="F1606" s="18">
        <v>41962.34</v>
      </c>
      <c r="G1606" s="18">
        <v>85446</v>
      </c>
      <c r="H1606" s="18">
        <f t="shared" si="48"/>
        <v>41959.34</v>
      </c>
    </row>
    <row r="1607" spans="1:8" ht="15.6" x14ac:dyDescent="0.55000000000000004">
      <c r="A1607" s="7">
        <v>24.7900466</v>
      </c>
      <c r="B1607" s="7">
        <v>34.818524500000002</v>
      </c>
      <c r="C1607" s="18">
        <v>683837.54</v>
      </c>
      <c r="D1607" s="18">
        <v>2742923.77</v>
      </c>
      <c r="E1607" s="18">
        <v>256.75</v>
      </c>
      <c r="F1607" s="18">
        <v>41962.52</v>
      </c>
      <c r="G1607" s="18">
        <v>85458</v>
      </c>
      <c r="H1607" s="18">
        <f t="shared" si="48"/>
        <v>41959.519999999997</v>
      </c>
    </row>
    <row r="1608" spans="1:8" ht="15.6" x14ac:dyDescent="0.55000000000000004">
      <c r="A1608" s="7">
        <v>24.788388999999999</v>
      </c>
      <c r="B1608" s="7">
        <v>34.8176633</v>
      </c>
      <c r="C1608" s="18">
        <v>683752.91</v>
      </c>
      <c r="D1608" s="18">
        <v>2742739.01</v>
      </c>
      <c r="E1608" s="18">
        <v>260.45</v>
      </c>
      <c r="F1608" s="18">
        <v>41943.83</v>
      </c>
      <c r="G1608" s="18">
        <v>85646</v>
      </c>
      <c r="H1608" s="18">
        <f t="shared" si="48"/>
        <v>41940.83</v>
      </c>
    </row>
    <row r="1609" spans="1:8" ht="15.6" x14ac:dyDescent="0.55000000000000004">
      <c r="A1609" s="7">
        <v>24.7883906</v>
      </c>
      <c r="B1609" s="7">
        <v>34.817663400000001</v>
      </c>
      <c r="C1609" s="18">
        <v>683752.91</v>
      </c>
      <c r="D1609" s="18">
        <v>2742739.19</v>
      </c>
      <c r="E1609" s="18">
        <v>260.81</v>
      </c>
      <c r="F1609" s="18">
        <v>41944.17</v>
      </c>
      <c r="G1609" s="18">
        <v>85655</v>
      </c>
      <c r="H1609" s="18">
        <f t="shared" si="48"/>
        <v>41941.17</v>
      </c>
    </row>
    <row r="1610" spans="1:8" ht="15.6" x14ac:dyDescent="0.55000000000000004">
      <c r="A1610" s="7">
        <v>24.786949400000001</v>
      </c>
      <c r="B1610" s="7">
        <v>34.816554699999998</v>
      </c>
      <c r="C1610" s="18">
        <v>683642.93</v>
      </c>
      <c r="D1610" s="18">
        <v>2742578.07</v>
      </c>
      <c r="E1610" s="18">
        <v>261.54000000000002</v>
      </c>
      <c r="F1610" s="18">
        <v>41976.56</v>
      </c>
      <c r="G1610" s="18">
        <v>85852</v>
      </c>
      <c r="H1610" s="18">
        <f t="shared" si="48"/>
        <v>41973.56</v>
      </c>
    </row>
    <row r="1611" spans="1:8" ht="15.6" x14ac:dyDescent="0.55000000000000004">
      <c r="A1611" s="7">
        <v>24.786950000000001</v>
      </c>
      <c r="B1611" s="7">
        <v>34.816555299999997</v>
      </c>
      <c r="C1611" s="18">
        <v>683642.99</v>
      </c>
      <c r="D1611" s="18">
        <v>2742578.14</v>
      </c>
      <c r="E1611" s="18">
        <v>261.55</v>
      </c>
      <c r="F1611" s="18">
        <v>41976.41</v>
      </c>
      <c r="G1611" s="18">
        <v>85901</v>
      </c>
      <c r="H1611" s="18">
        <f t="shared" si="48"/>
        <v>41973.41</v>
      </c>
    </row>
    <row r="1612" spans="1:8" ht="15.6" x14ac:dyDescent="0.55000000000000004">
      <c r="A1612" s="7">
        <v>24.786458100000001</v>
      </c>
      <c r="B1612" s="7">
        <v>34.814837799999999</v>
      </c>
      <c r="C1612" s="18">
        <v>683470.04</v>
      </c>
      <c r="D1612" s="18">
        <v>2742521.35</v>
      </c>
      <c r="E1612" s="18">
        <v>265.05</v>
      </c>
      <c r="F1612" s="18">
        <v>41977.45</v>
      </c>
      <c r="G1612" s="18">
        <v>90046</v>
      </c>
      <c r="H1612" s="18">
        <f t="shared" si="48"/>
        <v>41974.45</v>
      </c>
    </row>
    <row r="1613" spans="1:8" ht="15.6" x14ac:dyDescent="0.55000000000000004">
      <c r="A1613" s="7">
        <v>24.7871801</v>
      </c>
      <c r="B1613" s="7">
        <v>34.812967999999998</v>
      </c>
      <c r="C1613" s="18">
        <v>683279.91</v>
      </c>
      <c r="D1613" s="18">
        <v>2742598.8</v>
      </c>
      <c r="E1613" s="18">
        <v>269.61</v>
      </c>
      <c r="F1613" s="18">
        <v>41979.55</v>
      </c>
      <c r="G1613" s="18">
        <v>90228</v>
      </c>
      <c r="H1613" s="18">
        <f>SUM(F1613-4)</f>
        <v>41975.55</v>
      </c>
    </row>
    <row r="1614" spans="1:8" ht="15.6" x14ac:dyDescent="0.55000000000000004">
      <c r="A1614" s="7">
        <v>24.787633599999999</v>
      </c>
      <c r="B1614" s="7">
        <v>34.811231999999997</v>
      </c>
      <c r="C1614" s="18">
        <v>683103.72</v>
      </c>
      <c r="D1614" s="18">
        <v>2742646.7</v>
      </c>
      <c r="E1614" s="18">
        <v>270.47000000000003</v>
      </c>
      <c r="F1614" s="18">
        <v>42024.87</v>
      </c>
      <c r="G1614" s="18">
        <v>90410</v>
      </c>
      <c r="H1614" s="18">
        <f t="shared" ref="H1614:H1629" si="49">SUM(F1614-4)</f>
        <v>42020.87</v>
      </c>
    </row>
    <row r="1615" spans="1:8" ht="15.6" x14ac:dyDescent="0.55000000000000004">
      <c r="A1615" s="7">
        <v>24.787632800000001</v>
      </c>
      <c r="B1615" s="7">
        <v>34.811232699999998</v>
      </c>
      <c r="C1615" s="18">
        <v>683103.78</v>
      </c>
      <c r="D1615" s="18">
        <v>2742646.62</v>
      </c>
      <c r="E1615" s="18">
        <v>270.64</v>
      </c>
      <c r="F1615" s="18">
        <v>42022.55</v>
      </c>
      <c r="G1615" s="18">
        <v>90422</v>
      </c>
      <c r="H1615" s="18">
        <f t="shared" si="49"/>
        <v>42018.55</v>
      </c>
    </row>
    <row r="1616" spans="1:8" ht="15.6" x14ac:dyDescent="0.55000000000000004">
      <c r="A1616" s="7">
        <v>24.787728900000001</v>
      </c>
      <c r="B1616" s="7">
        <v>34.810080399999997</v>
      </c>
      <c r="C1616" s="18">
        <v>682987.12</v>
      </c>
      <c r="D1616" s="18">
        <v>2742655.72</v>
      </c>
      <c r="E1616" s="18">
        <v>272.87</v>
      </c>
      <c r="F1616" s="18">
        <v>42030.84</v>
      </c>
      <c r="G1616" s="18">
        <v>91128</v>
      </c>
      <c r="H1616" s="18">
        <f t="shared" si="49"/>
        <v>42026.84</v>
      </c>
    </row>
    <row r="1617" spans="1:8" ht="15.6" x14ac:dyDescent="0.55000000000000004">
      <c r="A1617" s="7">
        <v>24.787728399999999</v>
      </c>
      <c r="B1617" s="7">
        <v>34.810081699999998</v>
      </c>
      <c r="C1617" s="18">
        <v>682987.26</v>
      </c>
      <c r="D1617" s="18">
        <v>2742655.67</v>
      </c>
      <c r="E1617" s="18">
        <v>272.92</v>
      </c>
      <c r="F1617" s="18">
        <v>42031.1</v>
      </c>
      <c r="G1617" s="18">
        <v>91137</v>
      </c>
      <c r="H1617" s="18">
        <f t="shared" si="49"/>
        <v>42027.1</v>
      </c>
    </row>
    <row r="1618" spans="1:8" ht="15.6" x14ac:dyDescent="0.55000000000000004">
      <c r="A1618" s="7">
        <v>24.786755200000002</v>
      </c>
      <c r="B1618" s="7">
        <v>34.809463600000001</v>
      </c>
      <c r="C1618" s="18">
        <v>682926.18</v>
      </c>
      <c r="D1618" s="18">
        <v>2742547.04</v>
      </c>
      <c r="E1618" s="18">
        <v>273.31</v>
      </c>
      <c r="F1618" s="18">
        <v>41991.88</v>
      </c>
      <c r="G1618" s="18">
        <v>91255</v>
      </c>
      <c r="H1618" s="18">
        <f t="shared" si="49"/>
        <v>41987.88</v>
      </c>
    </row>
    <row r="1619" spans="1:8" ht="15.6" x14ac:dyDescent="0.55000000000000004">
      <c r="A1619" s="7">
        <v>24.7853341</v>
      </c>
      <c r="B1619" s="7">
        <v>34.8093036</v>
      </c>
      <c r="C1619" s="18">
        <v>682912.1</v>
      </c>
      <c r="D1619" s="18">
        <v>2742389.43</v>
      </c>
      <c r="E1619" s="18">
        <v>275.29000000000002</v>
      </c>
      <c r="F1619" s="18">
        <v>41990</v>
      </c>
      <c r="G1619" s="18">
        <v>91425</v>
      </c>
      <c r="H1619" s="18">
        <f t="shared" si="49"/>
        <v>41986</v>
      </c>
    </row>
    <row r="1620" spans="1:8" ht="15.6" x14ac:dyDescent="0.55000000000000004">
      <c r="A1620" s="7">
        <v>24.7838116</v>
      </c>
      <c r="B1620" s="7">
        <v>34.809971900000001</v>
      </c>
      <c r="C1620" s="18">
        <v>682981.9</v>
      </c>
      <c r="D1620" s="18">
        <v>2742221.68</v>
      </c>
      <c r="E1620" s="18">
        <v>277.19</v>
      </c>
      <c r="F1620" s="18">
        <v>41960.800000000003</v>
      </c>
      <c r="G1620" s="18">
        <v>91558</v>
      </c>
      <c r="H1620" s="18">
        <f t="shared" si="49"/>
        <v>41956.800000000003</v>
      </c>
    </row>
    <row r="1621" spans="1:8" ht="15.6" x14ac:dyDescent="0.55000000000000004">
      <c r="A1621" s="7">
        <v>24.7820201</v>
      </c>
      <c r="B1621" s="7">
        <v>34.810299499999999</v>
      </c>
      <c r="C1621" s="18">
        <v>683017.66</v>
      </c>
      <c r="D1621" s="18">
        <v>2742023.7</v>
      </c>
      <c r="E1621" s="18">
        <v>279.99</v>
      </c>
      <c r="F1621" s="18">
        <v>41922.980000000003</v>
      </c>
      <c r="G1621" s="18">
        <v>91743</v>
      </c>
      <c r="H1621" s="18">
        <f t="shared" si="49"/>
        <v>41918.980000000003</v>
      </c>
    </row>
    <row r="1622" spans="1:8" ht="15.6" x14ac:dyDescent="0.55000000000000004">
      <c r="A1622" s="7">
        <v>24.7802802</v>
      </c>
      <c r="B1622" s="7">
        <v>34.809950100000002</v>
      </c>
      <c r="C1622" s="18">
        <v>682984.88</v>
      </c>
      <c r="D1622" s="18">
        <v>2741830.52</v>
      </c>
      <c r="E1622" s="18">
        <v>283.01</v>
      </c>
      <c r="F1622" s="18">
        <v>42064.2</v>
      </c>
      <c r="G1622" s="18">
        <v>91916</v>
      </c>
      <c r="H1622" s="18">
        <f t="shared" si="49"/>
        <v>42060.2</v>
      </c>
    </row>
    <row r="1623" spans="1:8" ht="15.6" x14ac:dyDescent="0.55000000000000004">
      <c r="A1623" s="7">
        <v>24.780364500000001</v>
      </c>
      <c r="B1623" s="7">
        <v>34.809620099999997</v>
      </c>
      <c r="C1623" s="18">
        <v>682951.39</v>
      </c>
      <c r="D1623" s="18">
        <v>2741839.41</v>
      </c>
      <c r="E1623" s="18">
        <v>282.83999999999997</v>
      </c>
      <c r="F1623" s="18">
        <v>42018.53</v>
      </c>
      <c r="G1623" s="18">
        <v>92128</v>
      </c>
      <c r="H1623" s="18">
        <f t="shared" si="49"/>
        <v>42014.53</v>
      </c>
    </row>
    <row r="1624" spans="1:8" ht="15.6" x14ac:dyDescent="0.55000000000000004">
      <c r="A1624" s="7">
        <v>24.778758700000001</v>
      </c>
      <c r="B1624" s="7">
        <v>34.809035000000002</v>
      </c>
      <c r="C1624" s="18">
        <v>682894.57</v>
      </c>
      <c r="D1624" s="18">
        <v>2741660.77</v>
      </c>
      <c r="E1624" s="18">
        <v>283.17</v>
      </c>
      <c r="F1624" s="18">
        <v>41967.12</v>
      </c>
      <c r="G1624" s="18">
        <v>92507</v>
      </c>
      <c r="H1624" s="18">
        <f t="shared" si="49"/>
        <v>41963.12</v>
      </c>
    </row>
    <row r="1625" spans="1:8" ht="15.6" x14ac:dyDescent="0.55000000000000004">
      <c r="A1625" s="7">
        <v>24.777373399999998</v>
      </c>
      <c r="B1625" s="7">
        <v>34.807631200000003</v>
      </c>
      <c r="C1625" s="18">
        <v>682754.65</v>
      </c>
      <c r="D1625" s="18">
        <v>2741505.45</v>
      </c>
      <c r="E1625" s="18">
        <v>284.69</v>
      </c>
      <c r="F1625" s="18">
        <v>41992.67</v>
      </c>
      <c r="G1625" s="18">
        <v>92658</v>
      </c>
      <c r="H1625" s="18">
        <f t="shared" si="49"/>
        <v>41988.67</v>
      </c>
    </row>
    <row r="1626" spans="1:8" ht="15.6" x14ac:dyDescent="0.55000000000000004">
      <c r="A1626" s="7">
        <v>24.777374399999999</v>
      </c>
      <c r="B1626" s="7">
        <v>34.807629300000002</v>
      </c>
      <c r="C1626" s="18">
        <v>682754.46</v>
      </c>
      <c r="D1626" s="18">
        <v>2741505.56</v>
      </c>
      <c r="E1626" s="18">
        <v>284.48</v>
      </c>
      <c r="F1626" s="18">
        <v>41994.82</v>
      </c>
      <c r="G1626" s="18">
        <v>92710</v>
      </c>
      <c r="H1626" s="18">
        <f t="shared" si="49"/>
        <v>41990.82</v>
      </c>
    </row>
    <row r="1627" spans="1:8" ht="15.6" x14ac:dyDescent="0.55000000000000004">
      <c r="A1627" s="7">
        <v>24.776252400000001</v>
      </c>
      <c r="B1627" s="7">
        <v>34.806199999999997</v>
      </c>
      <c r="C1627" s="18">
        <v>682611.56</v>
      </c>
      <c r="D1627" s="18">
        <v>2741379.37</v>
      </c>
      <c r="E1627" s="18">
        <v>287.82</v>
      </c>
      <c r="F1627" s="18">
        <v>41978.79</v>
      </c>
      <c r="G1627" s="18">
        <v>92846</v>
      </c>
      <c r="H1627" s="18">
        <f t="shared" si="49"/>
        <v>41974.79</v>
      </c>
    </row>
    <row r="1628" spans="1:8" ht="15.6" x14ac:dyDescent="0.55000000000000004">
      <c r="A1628" s="7">
        <v>24.774789999999999</v>
      </c>
      <c r="B1628" s="7">
        <v>34.805064999999999</v>
      </c>
      <c r="C1628" s="18">
        <v>682498.92</v>
      </c>
      <c r="D1628" s="18">
        <v>2741215.88</v>
      </c>
      <c r="E1628" s="18">
        <v>289.14</v>
      </c>
      <c r="F1628" s="18">
        <v>41968.59</v>
      </c>
      <c r="G1628" s="18">
        <v>93028</v>
      </c>
      <c r="H1628" s="18">
        <f t="shared" si="49"/>
        <v>41964.59</v>
      </c>
    </row>
    <row r="1629" spans="1:8" ht="15.6" x14ac:dyDescent="0.55000000000000004">
      <c r="A1629" s="7">
        <v>24.774790899999999</v>
      </c>
      <c r="B1629" s="7">
        <v>34.805064899999998</v>
      </c>
      <c r="C1629" s="18">
        <v>682498.92</v>
      </c>
      <c r="D1629" s="18">
        <v>2741215.99</v>
      </c>
      <c r="E1629" s="18">
        <v>289.25</v>
      </c>
      <c r="F1629" s="18">
        <v>41968.62</v>
      </c>
      <c r="G1629" s="18">
        <v>93037</v>
      </c>
      <c r="H1629" s="18">
        <f t="shared" si="49"/>
        <v>41964.62</v>
      </c>
    </row>
    <row r="1630" spans="1:8" ht="15.6" x14ac:dyDescent="0.55000000000000004">
      <c r="A1630" s="7">
        <v>24.773441999999999</v>
      </c>
      <c r="B1630" s="7">
        <v>34.803861499999996</v>
      </c>
      <c r="C1630" s="18">
        <v>682379.19</v>
      </c>
      <c r="D1630" s="18">
        <v>2741064.97</v>
      </c>
      <c r="E1630" s="18">
        <v>291.54000000000002</v>
      </c>
      <c r="F1630" s="18">
        <v>41958.95</v>
      </c>
      <c r="G1630" s="18">
        <v>93225</v>
      </c>
      <c r="H1630" s="18">
        <f>SUM(F1630-5)</f>
        <v>41953.95</v>
      </c>
    </row>
    <row r="1631" spans="1:8" ht="15.6" x14ac:dyDescent="0.55000000000000004">
      <c r="A1631" s="7">
        <v>24.773443400000001</v>
      </c>
      <c r="B1631" s="7">
        <v>34.803861900000001</v>
      </c>
      <c r="C1631" s="18">
        <v>682379.23</v>
      </c>
      <c r="D1631" s="18">
        <v>2741065.13</v>
      </c>
      <c r="E1631" s="18">
        <v>291.27999999999997</v>
      </c>
      <c r="F1631" s="18">
        <v>41960.85</v>
      </c>
      <c r="G1631" s="18">
        <v>93237</v>
      </c>
      <c r="H1631" s="18">
        <f t="shared" ref="H1631:H1638" si="50">SUM(F1631-5)</f>
        <v>41955.85</v>
      </c>
    </row>
    <row r="1632" spans="1:8" ht="15.6" x14ac:dyDescent="0.55000000000000004">
      <c r="A1632" s="7">
        <v>24.7719402</v>
      </c>
      <c r="B1632" s="7">
        <v>34.802879900000001</v>
      </c>
      <c r="C1632" s="18">
        <v>682282.12</v>
      </c>
      <c r="D1632" s="18">
        <v>2740897.32</v>
      </c>
      <c r="E1632" s="18">
        <v>293.62</v>
      </c>
      <c r="F1632" s="18">
        <v>41957.15</v>
      </c>
      <c r="G1632" s="18">
        <v>93425</v>
      </c>
      <c r="H1632" s="18">
        <f t="shared" si="50"/>
        <v>41952.15</v>
      </c>
    </row>
    <row r="1633" spans="1:8" ht="15.6" x14ac:dyDescent="0.55000000000000004">
      <c r="A1633" s="7">
        <v>24.7719393</v>
      </c>
      <c r="B1633" s="7">
        <v>34.802880399999999</v>
      </c>
      <c r="C1633" s="18">
        <v>682282.17</v>
      </c>
      <c r="D1633" s="18">
        <v>2740897.22</v>
      </c>
      <c r="E1633" s="18">
        <v>293.49</v>
      </c>
      <c r="F1633" s="18">
        <v>41956.83</v>
      </c>
      <c r="G1633" s="18">
        <v>93437</v>
      </c>
      <c r="H1633" s="18">
        <f t="shared" si="50"/>
        <v>41951.83</v>
      </c>
    </row>
    <row r="1634" spans="1:8" ht="15.6" x14ac:dyDescent="0.55000000000000004">
      <c r="A1634" s="7">
        <v>24.770433799999999</v>
      </c>
      <c r="B1634" s="7">
        <v>34.801853999999999</v>
      </c>
      <c r="C1634" s="18">
        <v>682180.58</v>
      </c>
      <c r="D1634" s="18">
        <v>2740729.1</v>
      </c>
      <c r="E1634" s="18">
        <v>296.48</v>
      </c>
      <c r="F1634" s="18">
        <v>41958.62</v>
      </c>
      <c r="G1634" s="18">
        <v>93613</v>
      </c>
      <c r="H1634" s="18">
        <f t="shared" si="50"/>
        <v>41953.62</v>
      </c>
    </row>
    <row r="1635" spans="1:8" ht="15.6" x14ac:dyDescent="0.55000000000000004">
      <c r="A1635" s="7">
        <v>24.767728699999999</v>
      </c>
      <c r="B1635" s="7">
        <v>34.801710800000002</v>
      </c>
      <c r="C1635" s="18">
        <v>682170.04</v>
      </c>
      <c r="D1635" s="18">
        <v>2740429.29</v>
      </c>
      <c r="E1635" s="18">
        <v>300.98</v>
      </c>
      <c r="F1635" s="18">
        <v>41943.57</v>
      </c>
      <c r="G1635" s="18">
        <v>93822</v>
      </c>
      <c r="H1635" s="18">
        <f t="shared" si="50"/>
        <v>41938.57</v>
      </c>
    </row>
    <row r="1636" spans="1:8" ht="15.6" x14ac:dyDescent="0.55000000000000004">
      <c r="A1636" s="7">
        <v>24.7677294</v>
      </c>
      <c r="B1636" s="7">
        <v>34.801710100000001</v>
      </c>
      <c r="C1636" s="18">
        <v>682169.97</v>
      </c>
      <c r="D1636" s="18">
        <v>2740429.36</v>
      </c>
      <c r="E1636" s="18">
        <v>301.26</v>
      </c>
      <c r="F1636" s="18">
        <v>41943.23</v>
      </c>
      <c r="G1636" s="18">
        <v>93831</v>
      </c>
      <c r="H1636" s="18">
        <f t="shared" si="50"/>
        <v>41938.230000000003</v>
      </c>
    </row>
    <row r="1637" spans="1:8" ht="15.6" x14ac:dyDescent="0.55000000000000004">
      <c r="A1637" s="7">
        <v>24.7660977</v>
      </c>
      <c r="B1637" s="7">
        <v>34.801555999999998</v>
      </c>
      <c r="C1637" s="18">
        <v>682156.76</v>
      </c>
      <c r="D1637" s="18">
        <v>2740248.43</v>
      </c>
      <c r="E1637" s="18">
        <v>303.63</v>
      </c>
      <c r="F1637" s="18">
        <v>41957.09</v>
      </c>
      <c r="G1637" s="18">
        <v>94001</v>
      </c>
      <c r="H1637" s="18">
        <f t="shared" si="50"/>
        <v>41952.09</v>
      </c>
    </row>
    <row r="1638" spans="1:8" ht="15.6" x14ac:dyDescent="0.55000000000000004">
      <c r="A1638" s="7">
        <v>24.766098100000001</v>
      </c>
      <c r="B1638" s="7">
        <v>34.801556300000001</v>
      </c>
      <c r="C1638" s="18">
        <v>682156.79</v>
      </c>
      <c r="D1638" s="18">
        <v>2740248.47</v>
      </c>
      <c r="E1638" s="18">
        <v>303.58</v>
      </c>
      <c r="F1638" s="18">
        <v>41957.85</v>
      </c>
      <c r="G1638" s="18">
        <v>94010</v>
      </c>
      <c r="H1638" s="18">
        <f t="shared" si="50"/>
        <v>41952.85</v>
      </c>
    </row>
    <row r="1639" spans="1:8" ht="15.6" x14ac:dyDescent="0.55000000000000004">
      <c r="A1639" s="7">
        <v>24.7646488</v>
      </c>
      <c r="B1639" s="7">
        <v>34.8005706</v>
      </c>
      <c r="C1639" s="18">
        <v>682059.22</v>
      </c>
      <c r="D1639" s="18">
        <v>2740086.63</v>
      </c>
      <c r="E1639" s="18">
        <v>305.95</v>
      </c>
      <c r="F1639" s="18">
        <v>41978.78</v>
      </c>
      <c r="G1639" s="18">
        <v>94158</v>
      </c>
      <c r="H1639" s="18">
        <f>SUM(F1639-6)</f>
        <v>41972.78</v>
      </c>
    </row>
    <row r="1640" spans="1:8" ht="15.6" x14ac:dyDescent="0.55000000000000004">
      <c r="A1640" s="7">
        <v>24.7646525</v>
      </c>
      <c r="B1640" s="7">
        <v>34.800569500000002</v>
      </c>
      <c r="C1640" s="18">
        <v>682059.11</v>
      </c>
      <c r="D1640" s="18">
        <v>2740087.05</v>
      </c>
      <c r="E1640" s="18">
        <v>306.04000000000002</v>
      </c>
      <c r="F1640" s="18">
        <v>41977.63</v>
      </c>
      <c r="G1640" s="18">
        <v>94210</v>
      </c>
      <c r="H1640" s="18">
        <f t="shared" ref="H1640:H1642" si="51">SUM(F1640-6)</f>
        <v>41971.63</v>
      </c>
    </row>
    <row r="1641" spans="1:8" ht="15.6" x14ac:dyDescent="0.55000000000000004">
      <c r="A1641" s="7">
        <v>24.763152399999999</v>
      </c>
      <c r="B1641" s="7">
        <v>34.799461999999998</v>
      </c>
      <c r="C1641" s="18">
        <v>681949.29</v>
      </c>
      <c r="D1641" s="18">
        <v>2739919.42</v>
      </c>
      <c r="E1641" s="18">
        <v>308.98</v>
      </c>
      <c r="F1641" s="18">
        <v>41801.949999999997</v>
      </c>
      <c r="G1641" s="18">
        <v>94352</v>
      </c>
      <c r="H1641" s="18">
        <f t="shared" si="51"/>
        <v>41795.949999999997</v>
      </c>
    </row>
    <row r="1642" spans="1:8" ht="15.6" x14ac:dyDescent="0.55000000000000004">
      <c r="A1642" s="7">
        <v>24.763152900000001</v>
      </c>
      <c r="B1642" s="7">
        <v>34.799462200000001</v>
      </c>
      <c r="C1642" s="18">
        <v>681949.31</v>
      </c>
      <c r="D1642" s="18">
        <v>2739919.47</v>
      </c>
      <c r="E1642" s="18">
        <v>309</v>
      </c>
      <c r="F1642" s="18">
        <v>41802.559999999998</v>
      </c>
      <c r="G1642" s="18">
        <v>94404</v>
      </c>
      <c r="H1642" s="18">
        <f t="shared" si="51"/>
        <v>41796.559999999998</v>
      </c>
    </row>
    <row r="1643" spans="1:8" ht="15.6" x14ac:dyDescent="0.55000000000000004">
      <c r="A1643" s="7">
        <v>24.761320699999999</v>
      </c>
      <c r="B1643" s="7">
        <v>34.797575700000003</v>
      </c>
      <c r="C1643" s="18">
        <v>681761.19</v>
      </c>
      <c r="D1643" s="18">
        <v>2739714.03</v>
      </c>
      <c r="E1643" s="18">
        <v>312</v>
      </c>
      <c r="F1643" s="18">
        <v>41906.26</v>
      </c>
      <c r="G1643" s="18">
        <v>94604</v>
      </c>
      <c r="H1643" s="18">
        <f>SUM(F1643-8)</f>
        <v>41898.26</v>
      </c>
    </row>
    <row r="1644" spans="1:8" ht="15.6" x14ac:dyDescent="0.55000000000000004">
      <c r="A1644" s="7">
        <v>24.761321200000001</v>
      </c>
      <c r="B1644" s="7">
        <v>34.797575600000002</v>
      </c>
      <c r="C1644" s="18">
        <v>681761.17</v>
      </c>
      <c r="D1644" s="18">
        <v>2739714.09</v>
      </c>
      <c r="E1644" s="18">
        <v>311.95</v>
      </c>
      <c r="F1644" s="18">
        <v>41909.08</v>
      </c>
      <c r="G1644" s="18">
        <v>94619</v>
      </c>
      <c r="H1644" s="18">
        <f t="shared" ref="H1644:H1653" si="52">SUM(F1644-8)</f>
        <v>41901.08</v>
      </c>
    </row>
    <row r="1645" spans="1:8" ht="15.6" x14ac:dyDescent="0.55000000000000004">
      <c r="A1645" s="7">
        <v>24.759751999999999</v>
      </c>
      <c r="B1645" s="7">
        <v>34.796447000000001</v>
      </c>
      <c r="C1645" s="18">
        <v>681649.31</v>
      </c>
      <c r="D1645" s="18">
        <v>2739538.78</v>
      </c>
      <c r="E1645" s="18">
        <v>316.81</v>
      </c>
      <c r="F1645" s="18">
        <v>41898.49</v>
      </c>
      <c r="G1645" s="18">
        <v>94816</v>
      </c>
      <c r="H1645" s="18">
        <f t="shared" si="52"/>
        <v>41890.49</v>
      </c>
    </row>
    <row r="1646" spans="1:8" ht="15.6" x14ac:dyDescent="0.55000000000000004">
      <c r="A1646" s="7">
        <v>24.759752299999999</v>
      </c>
      <c r="B1646" s="7">
        <v>34.796447299999997</v>
      </c>
      <c r="C1646" s="18">
        <v>681649.34</v>
      </c>
      <c r="D1646" s="18">
        <v>2739538.81</v>
      </c>
      <c r="E1646" s="18">
        <v>316.93</v>
      </c>
      <c r="F1646" s="18">
        <v>41898.99</v>
      </c>
      <c r="G1646" s="18">
        <v>94825</v>
      </c>
      <c r="H1646" s="18">
        <f t="shared" si="52"/>
        <v>41890.99</v>
      </c>
    </row>
    <row r="1647" spans="1:8" ht="15.6" x14ac:dyDescent="0.55000000000000004">
      <c r="A1647" s="7">
        <v>24.758751199999999</v>
      </c>
      <c r="B1647" s="7">
        <v>34.794744399999999</v>
      </c>
      <c r="C1647" s="18">
        <v>681478.57</v>
      </c>
      <c r="D1647" s="18">
        <v>2739425.68</v>
      </c>
      <c r="E1647" s="18">
        <v>319.14999999999998</v>
      </c>
      <c r="F1647" s="18">
        <v>41925.71</v>
      </c>
      <c r="G1647" s="18">
        <v>95013</v>
      </c>
      <c r="H1647" s="18">
        <f t="shared" si="52"/>
        <v>41917.71</v>
      </c>
    </row>
    <row r="1648" spans="1:8" ht="15.6" x14ac:dyDescent="0.55000000000000004">
      <c r="A1648" s="7">
        <v>24.756872000000001</v>
      </c>
      <c r="B1648" s="7">
        <v>34.792360100000003</v>
      </c>
      <c r="C1648" s="18">
        <v>681240.15</v>
      </c>
      <c r="D1648" s="18">
        <v>2739214.37</v>
      </c>
      <c r="E1648" s="18">
        <v>322.91000000000003</v>
      </c>
      <c r="F1648" s="18">
        <v>41890.67</v>
      </c>
      <c r="G1648" s="18">
        <v>95225</v>
      </c>
      <c r="H1648" s="18">
        <f t="shared" si="52"/>
        <v>41882.67</v>
      </c>
    </row>
    <row r="1649" spans="1:8" ht="15.6" x14ac:dyDescent="0.55000000000000004">
      <c r="A1649" s="7">
        <v>24.7555312</v>
      </c>
      <c r="B1649" s="7">
        <v>34.791789299999998</v>
      </c>
      <c r="C1649" s="18">
        <v>681184.37</v>
      </c>
      <c r="D1649" s="18">
        <v>2739065.1</v>
      </c>
      <c r="E1649" s="18">
        <v>325.07</v>
      </c>
      <c r="F1649" s="18">
        <v>41866.92</v>
      </c>
      <c r="G1649" s="18">
        <v>95401</v>
      </c>
      <c r="H1649" s="18">
        <f t="shared" si="52"/>
        <v>41858.92</v>
      </c>
    </row>
    <row r="1650" spans="1:8" ht="15.6" x14ac:dyDescent="0.55000000000000004">
      <c r="A1650" s="7">
        <v>24.755531699999999</v>
      </c>
      <c r="B1650" s="7">
        <v>34.791788599999997</v>
      </c>
      <c r="C1650" s="18">
        <v>681184.29</v>
      </c>
      <c r="D1650" s="18">
        <v>2739065.16</v>
      </c>
      <c r="E1650" s="18">
        <v>324.94</v>
      </c>
      <c r="F1650" s="18">
        <v>41869.160000000003</v>
      </c>
      <c r="G1650" s="18">
        <v>95410</v>
      </c>
      <c r="H1650" s="18">
        <f t="shared" si="52"/>
        <v>41861.160000000003</v>
      </c>
    </row>
    <row r="1651" spans="1:8" ht="15.6" x14ac:dyDescent="0.55000000000000004">
      <c r="A1651" s="7">
        <v>24.753377499999999</v>
      </c>
      <c r="B1651" s="7">
        <v>34.7935199</v>
      </c>
      <c r="C1651" s="18">
        <v>681362.53</v>
      </c>
      <c r="D1651" s="18">
        <v>2738828.86</v>
      </c>
      <c r="E1651" s="18">
        <v>329.91</v>
      </c>
      <c r="F1651" s="18">
        <v>41839.629999999997</v>
      </c>
      <c r="G1651" s="18">
        <v>95740</v>
      </c>
      <c r="H1651" s="18">
        <f t="shared" si="52"/>
        <v>41831.629999999997</v>
      </c>
    </row>
    <row r="1652" spans="1:8" ht="15.6" x14ac:dyDescent="0.55000000000000004">
      <c r="A1652" s="7">
        <v>24.753383299999999</v>
      </c>
      <c r="B1652" s="7">
        <v>34.793519699999997</v>
      </c>
      <c r="C1652" s="18">
        <v>681362.5</v>
      </c>
      <c r="D1652" s="18">
        <v>2738829.5</v>
      </c>
      <c r="E1652" s="18">
        <v>330.42</v>
      </c>
      <c r="F1652" s="18">
        <v>41839.980000000003</v>
      </c>
      <c r="G1652" s="18">
        <v>95749</v>
      </c>
      <c r="H1652" s="18">
        <f t="shared" si="52"/>
        <v>41831.980000000003</v>
      </c>
    </row>
    <row r="1653" spans="1:8" ht="15.6" x14ac:dyDescent="0.55000000000000004">
      <c r="A1653" s="7">
        <v>24.752878500000001</v>
      </c>
      <c r="B1653" s="7">
        <v>34.7924255</v>
      </c>
      <c r="C1653" s="18">
        <v>681252.56</v>
      </c>
      <c r="D1653" s="18">
        <v>2738772.13</v>
      </c>
      <c r="E1653" s="18">
        <v>334.55</v>
      </c>
      <c r="F1653" s="18">
        <v>41917.65</v>
      </c>
      <c r="G1653" s="18">
        <v>100422</v>
      </c>
      <c r="H1653" s="18">
        <f t="shared" si="52"/>
        <v>41909.65</v>
      </c>
    </row>
    <row r="1654" spans="1:8" ht="15.6" x14ac:dyDescent="0.55000000000000004">
      <c r="A1654" s="7">
        <v>24.752880099999999</v>
      </c>
      <c r="B1654" s="7">
        <v>34.792424799999999</v>
      </c>
      <c r="C1654" s="18">
        <v>681252.49</v>
      </c>
      <c r="D1654" s="18">
        <v>2738772.31</v>
      </c>
      <c r="E1654" s="18">
        <v>334.6</v>
      </c>
      <c r="F1654" s="18">
        <v>41917.839999999997</v>
      </c>
      <c r="G1654" s="18">
        <v>100434</v>
      </c>
      <c r="H1654" s="18">
        <f>SUM(F1654-7)</f>
        <v>41910.839999999997</v>
      </c>
    </row>
    <row r="1655" spans="1:8" ht="15.6" x14ac:dyDescent="0.55000000000000004">
      <c r="A1655" s="7">
        <v>24.7539324</v>
      </c>
      <c r="B1655" s="7">
        <v>34.790900600000001</v>
      </c>
      <c r="C1655" s="18">
        <v>681096.8</v>
      </c>
      <c r="D1655" s="18">
        <v>2738886.84</v>
      </c>
      <c r="E1655" s="18">
        <v>336.95</v>
      </c>
      <c r="F1655" s="18">
        <v>41850.629999999997</v>
      </c>
      <c r="G1655" s="18">
        <v>100622</v>
      </c>
      <c r="H1655" s="18">
        <f t="shared" ref="H1655:H1660" si="53">SUM(F1655-7)</f>
        <v>41843.629999999997</v>
      </c>
    </row>
    <row r="1656" spans="1:8" ht="15.6" x14ac:dyDescent="0.55000000000000004">
      <c r="A1656" s="7">
        <v>24.7539315</v>
      </c>
      <c r="B1656" s="7">
        <v>34.790899400000001</v>
      </c>
      <c r="C1656" s="18">
        <v>681096.68</v>
      </c>
      <c r="D1656" s="18">
        <v>2738886.74</v>
      </c>
      <c r="E1656" s="18">
        <v>336.98</v>
      </c>
      <c r="F1656" s="18">
        <v>41851.53</v>
      </c>
      <c r="G1656" s="18">
        <v>100634</v>
      </c>
      <c r="H1656" s="18">
        <f t="shared" si="53"/>
        <v>41844.53</v>
      </c>
    </row>
    <row r="1657" spans="1:8" ht="15.6" x14ac:dyDescent="0.55000000000000004">
      <c r="A1657" s="7">
        <v>24.7548821</v>
      </c>
      <c r="B1657" s="7">
        <v>34.789328599999997</v>
      </c>
      <c r="C1657" s="18">
        <v>680936.43</v>
      </c>
      <c r="D1657" s="18">
        <v>2738989.95</v>
      </c>
      <c r="E1657" s="18">
        <v>340.37</v>
      </c>
      <c r="F1657" s="18">
        <v>41874.11</v>
      </c>
      <c r="G1657" s="18">
        <v>100819</v>
      </c>
      <c r="H1657" s="18">
        <f t="shared" si="53"/>
        <v>41867.11</v>
      </c>
    </row>
    <row r="1658" spans="1:8" ht="15.6" x14ac:dyDescent="0.55000000000000004">
      <c r="A1658" s="7">
        <v>24.7548818</v>
      </c>
      <c r="B1658" s="7">
        <v>34.789329199999997</v>
      </c>
      <c r="C1658" s="18">
        <v>680936.49</v>
      </c>
      <c r="D1658" s="18">
        <v>2738989.91</v>
      </c>
      <c r="E1658" s="18">
        <v>340.34</v>
      </c>
      <c r="F1658" s="18">
        <v>41874.31</v>
      </c>
      <c r="G1658" s="18">
        <v>100834</v>
      </c>
      <c r="H1658" s="18">
        <f t="shared" si="53"/>
        <v>41867.31</v>
      </c>
    </row>
    <row r="1659" spans="1:8" ht="15.6" x14ac:dyDescent="0.55000000000000004">
      <c r="A1659" s="7">
        <v>24.754989800000001</v>
      </c>
      <c r="B1659" s="7">
        <v>34.787191300000003</v>
      </c>
      <c r="C1659" s="18">
        <v>680720.11</v>
      </c>
      <c r="D1659" s="18">
        <v>2738999.05</v>
      </c>
      <c r="E1659" s="18">
        <v>344.1</v>
      </c>
      <c r="F1659" s="18">
        <v>41934.61</v>
      </c>
      <c r="G1659" s="18">
        <v>101249</v>
      </c>
      <c r="H1659" s="18">
        <f t="shared" si="53"/>
        <v>41927.61</v>
      </c>
    </row>
    <row r="1660" spans="1:8" ht="15.6" x14ac:dyDescent="0.55000000000000004">
      <c r="A1660" s="7">
        <v>24.754991400000002</v>
      </c>
      <c r="B1660" s="7">
        <v>34.787191900000003</v>
      </c>
      <c r="C1660" s="18">
        <v>680720.17</v>
      </c>
      <c r="D1660" s="18">
        <v>2738999.23</v>
      </c>
      <c r="E1660" s="18">
        <v>344.43</v>
      </c>
      <c r="F1660" s="18">
        <v>41931.79</v>
      </c>
      <c r="G1660" s="18">
        <v>101307</v>
      </c>
      <c r="H1660" s="18">
        <f t="shared" si="53"/>
        <v>41924.79</v>
      </c>
    </row>
    <row r="1661" spans="1:8" ht="15.6" x14ac:dyDescent="0.55000000000000004">
      <c r="A1661" s="7">
        <v>24.755673999999999</v>
      </c>
      <c r="B1661" s="7">
        <v>34.785492900000001</v>
      </c>
      <c r="C1661" s="18">
        <v>680547.34</v>
      </c>
      <c r="D1661" s="18">
        <v>2739072.59</v>
      </c>
      <c r="E1661" s="18">
        <v>348.36</v>
      </c>
      <c r="F1661" s="18">
        <v>41898.97</v>
      </c>
      <c r="G1661" s="18">
        <v>101601</v>
      </c>
      <c r="H1661" s="18">
        <f>SUM(F1661-6)</f>
        <v>41892.97</v>
      </c>
    </row>
    <row r="1662" spans="1:8" ht="15.6" x14ac:dyDescent="0.55000000000000004">
      <c r="A1662" s="7">
        <v>24.755674599999999</v>
      </c>
      <c r="B1662" s="7">
        <v>34.785490899999999</v>
      </c>
      <c r="C1662" s="18">
        <v>680547.14</v>
      </c>
      <c r="D1662" s="18">
        <v>2739072.65</v>
      </c>
      <c r="E1662" s="18">
        <v>348.46</v>
      </c>
      <c r="F1662" s="18">
        <v>41895.839999999997</v>
      </c>
      <c r="G1662" s="18">
        <v>101613</v>
      </c>
      <c r="H1662" s="18">
        <f t="shared" ref="H1662:H1672" si="54">SUM(F1662-6)</f>
        <v>41889.839999999997</v>
      </c>
    </row>
    <row r="1663" spans="1:8" ht="15.6" x14ac:dyDescent="0.55000000000000004">
      <c r="A1663" s="7">
        <v>24.757263500000001</v>
      </c>
      <c r="B1663" s="7">
        <v>34.784641000000001</v>
      </c>
      <c r="C1663" s="18">
        <v>680458.88</v>
      </c>
      <c r="D1663" s="18">
        <v>2739247.52</v>
      </c>
      <c r="E1663" s="18">
        <v>349.73</v>
      </c>
      <c r="F1663" s="18">
        <v>41904.29</v>
      </c>
      <c r="G1663" s="18">
        <v>101931</v>
      </c>
      <c r="H1663" s="18">
        <f t="shared" si="54"/>
        <v>41898.29</v>
      </c>
    </row>
    <row r="1664" spans="1:8" ht="15.6" x14ac:dyDescent="0.55000000000000004">
      <c r="A1664" s="7">
        <v>24.757264800000002</v>
      </c>
      <c r="B1664" s="7">
        <v>34.784639599999998</v>
      </c>
      <c r="C1664" s="18">
        <v>680458.74</v>
      </c>
      <c r="D1664" s="18">
        <v>2739247.66</v>
      </c>
      <c r="E1664" s="18">
        <v>349.68</v>
      </c>
      <c r="F1664" s="18">
        <v>41904.230000000003</v>
      </c>
      <c r="G1664" s="18">
        <v>101949</v>
      </c>
      <c r="H1664" s="18">
        <f t="shared" si="54"/>
        <v>41898.230000000003</v>
      </c>
    </row>
    <row r="1665" spans="1:8" ht="15.6" x14ac:dyDescent="0.55000000000000004">
      <c r="A1665" s="7">
        <v>24.7591459</v>
      </c>
      <c r="B1665" s="7">
        <v>34.786240999999997</v>
      </c>
      <c r="C1665" s="18">
        <v>680617.98</v>
      </c>
      <c r="D1665" s="18">
        <v>2739458.13</v>
      </c>
      <c r="E1665" s="18">
        <v>343.83</v>
      </c>
      <c r="F1665" s="18">
        <v>41921.699999999997</v>
      </c>
      <c r="G1665" s="18">
        <v>102334</v>
      </c>
      <c r="H1665" s="18">
        <f t="shared" si="54"/>
        <v>41915.699999999997</v>
      </c>
    </row>
    <row r="1666" spans="1:8" ht="15.6" x14ac:dyDescent="0.55000000000000004">
      <c r="A1666" s="7">
        <v>24.759145</v>
      </c>
      <c r="B1666" s="7">
        <v>34.786238099999998</v>
      </c>
      <c r="C1666" s="18">
        <v>680617.69</v>
      </c>
      <c r="D1666" s="18">
        <v>2739458.02</v>
      </c>
      <c r="E1666" s="18">
        <v>344.18</v>
      </c>
      <c r="F1666" s="18">
        <v>41921.25</v>
      </c>
      <c r="G1666" s="18">
        <v>102352</v>
      </c>
      <c r="H1666" s="18">
        <f t="shared" si="54"/>
        <v>41915.25</v>
      </c>
    </row>
    <row r="1667" spans="1:8" ht="15.6" x14ac:dyDescent="0.55000000000000004">
      <c r="A1667" s="7">
        <v>24.759431299999999</v>
      </c>
      <c r="B1667" s="7">
        <v>34.786506699999997</v>
      </c>
      <c r="C1667" s="18">
        <v>680644.44</v>
      </c>
      <c r="D1667" s="18">
        <v>2739490.09</v>
      </c>
      <c r="E1667" s="18">
        <v>345.26</v>
      </c>
      <c r="F1667" s="18">
        <v>41933.4</v>
      </c>
      <c r="G1667" s="18">
        <v>102507</v>
      </c>
      <c r="H1667" s="18">
        <f t="shared" si="54"/>
        <v>41927.4</v>
      </c>
    </row>
    <row r="1668" spans="1:8" ht="15.6" x14ac:dyDescent="0.55000000000000004">
      <c r="A1668" s="7">
        <v>24.760020399999998</v>
      </c>
      <c r="B1668" s="7">
        <v>34.786754799999997</v>
      </c>
      <c r="C1668" s="18">
        <v>680668.68</v>
      </c>
      <c r="D1668" s="18">
        <v>2739555.66</v>
      </c>
      <c r="E1668" s="18">
        <v>349.82</v>
      </c>
      <c r="F1668" s="18">
        <v>41920.800000000003</v>
      </c>
      <c r="G1668" s="18">
        <v>102622</v>
      </c>
      <c r="H1668" s="18">
        <f t="shared" si="54"/>
        <v>41914.800000000003</v>
      </c>
    </row>
    <row r="1669" spans="1:8" ht="15.6" x14ac:dyDescent="0.55000000000000004">
      <c r="A1669" s="7">
        <v>24.7605629</v>
      </c>
      <c r="B1669" s="7">
        <v>34.786674599999998</v>
      </c>
      <c r="C1669" s="18">
        <v>680659.78</v>
      </c>
      <c r="D1669" s="18">
        <v>2739615.65</v>
      </c>
      <c r="E1669" s="18">
        <v>360.83</v>
      </c>
      <c r="F1669" s="18">
        <v>41899.53</v>
      </c>
      <c r="G1669" s="18">
        <v>102737</v>
      </c>
      <c r="H1669" s="18">
        <f t="shared" si="54"/>
        <v>41893.53</v>
      </c>
    </row>
    <row r="1670" spans="1:8" ht="15.6" x14ac:dyDescent="0.55000000000000004">
      <c r="A1670" s="7">
        <v>24.760837200000001</v>
      </c>
      <c r="B1670" s="7">
        <v>34.786847799999997</v>
      </c>
      <c r="C1670" s="18">
        <v>680676.9</v>
      </c>
      <c r="D1670" s="18">
        <v>2739646.26</v>
      </c>
      <c r="E1670" s="18">
        <v>353.02</v>
      </c>
      <c r="F1670" s="18">
        <v>41897.279999999999</v>
      </c>
      <c r="G1670" s="18">
        <v>102837</v>
      </c>
      <c r="H1670" s="18">
        <f t="shared" si="54"/>
        <v>41891.279999999999</v>
      </c>
    </row>
    <row r="1671" spans="1:8" ht="15.6" x14ac:dyDescent="0.55000000000000004">
      <c r="A1671" s="7">
        <v>24.761327300000001</v>
      </c>
      <c r="B1671" s="7">
        <v>34.787255000000002</v>
      </c>
      <c r="C1671" s="18">
        <v>680717.38</v>
      </c>
      <c r="D1671" s="18">
        <v>2739701.08</v>
      </c>
      <c r="E1671" s="18">
        <v>348.3</v>
      </c>
      <c r="F1671" s="18">
        <v>41897.449999999997</v>
      </c>
      <c r="G1671" s="18">
        <v>102943</v>
      </c>
      <c r="H1671" s="18">
        <f t="shared" si="54"/>
        <v>41891.449999999997</v>
      </c>
    </row>
    <row r="1672" spans="1:8" ht="15.6" x14ac:dyDescent="0.55000000000000004">
      <c r="A1672" s="7">
        <v>24.761586900000001</v>
      </c>
      <c r="B1672" s="7">
        <v>34.7875552</v>
      </c>
      <c r="C1672" s="18">
        <v>680747.37</v>
      </c>
      <c r="D1672" s="18">
        <v>2739730.23</v>
      </c>
      <c r="E1672" s="18">
        <v>346.97</v>
      </c>
      <c r="F1672" s="18">
        <v>41901.199999999997</v>
      </c>
      <c r="G1672" s="18">
        <v>103025</v>
      </c>
      <c r="H1672" s="18">
        <f t="shared" si="54"/>
        <v>41895.199999999997</v>
      </c>
    </row>
    <row r="1673" spans="1:8" ht="15.6" x14ac:dyDescent="0.55000000000000004">
      <c r="A1673" s="7">
        <v>24.761719100000001</v>
      </c>
      <c r="B1673" s="7">
        <v>34.788148900000003</v>
      </c>
      <c r="C1673" s="18">
        <v>680807.21</v>
      </c>
      <c r="D1673" s="18">
        <v>2739745.66</v>
      </c>
      <c r="E1673" s="18">
        <v>342.17</v>
      </c>
      <c r="F1673" s="18">
        <v>41908.51</v>
      </c>
      <c r="G1673" s="18">
        <v>103119</v>
      </c>
      <c r="H1673" s="18">
        <f>SUM(F1673-4)</f>
        <v>41904.51</v>
      </c>
    </row>
    <row r="1674" spans="1:8" ht="15.6" x14ac:dyDescent="0.55000000000000004">
      <c r="A1674" s="7">
        <v>24.761874200000001</v>
      </c>
      <c r="B1674" s="7">
        <v>34.788609200000003</v>
      </c>
      <c r="C1674" s="18">
        <v>680853.54</v>
      </c>
      <c r="D1674" s="18">
        <v>2739763.45</v>
      </c>
      <c r="E1674" s="18">
        <v>340.55</v>
      </c>
      <c r="F1674" s="18">
        <v>41917.64</v>
      </c>
      <c r="G1674" s="18">
        <v>103207</v>
      </c>
      <c r="H1674" s="18">
        <f>SUM(F1674-4)</f>
        <v>41913.64</v>
      </c>
    </row>
    <row r="1675" spans="1:8" ht="15.6" x14ac:dyDescent="0.55000000000000004">
      <c r="A1675" s="7">
        <v>24.787828600000001</v>
      </c>
      <c r="B1675" s="7">
        <v>34.808962800000003</v>
      </c>
      <c r="C1675" s="18">
        <v>682873.98</v>
      </c>
      <c r="D1675" s="18">
        <v>2742665.26</v>
      </c>
      <c r="E1675" s="18">
        <v>278.25</v>
      </c>
      <c r="F1675" s="18">
        <v>41982.46</v>
      </c>
      <c r="G1675" s="18">
        <v>112334</v>
      </c>
      <c r="H1675" s="18">
        <f>SUM(F1675-14)</f>
        <v>41968.46</v>
      </c>
    </row>
    <row r="1676" spans="1:8" ht="15.6" x14ac:dyDescent="0.55000000000000004">
      <c r="A1676" s="7">
        <v>24.787829200000001</v>
      </c>
      <c r="B1676" s="7">
        <v>34.808967500000001</v>
      </c>
      <c r="C1676" s="18">
        <v>682874.45</v>
      </c>
      <c r="D1676" s="18">
        <v>2742665.34</v>
      </c>
      <c r="E1676" s="18">
        <v>278.24</v>
      </c>
      <c r="F1676" s="18">
        <v>41980.89</v>
      </c>
      <c r="G1676" s="18">
        <v>112346</v>
      </c>
      <c r="H1676" s="18">
        <f t="shared" ref="H1676:H1692" si="55">SUM(F1676-14)</f>
        <v>41966.89</v>
      </c>
    </row>
    <row r="1677" spans="1:8" ht="15.6" x14ac:dyDescent="0.55000000000000004">
      <c r="A1677" s="7">
        <v>24.787691800000001</v>
      </c>
      <c r="B1677" s="7">
        <v>34.8078164</v>
      </c>
      <c r="C1677" s="18">
        <v>682758.26</v>
      </c>
      <c r="D1677" s="18">
        <v>2742648.58</v>
      </c>
      <c r="E1677" s="18">
        <v>278.62</v>
      </c>
      <c r="F1677" s="18">
        <v>41996.79</v>
      </c>
      <c r="G1677" s="18">
        <v>112540</v>
      </c>
      <c r="H1677" s="18">
        <f t="shared" si="55"/>
        <v>41982.79</v>
      </c>
    </row>
    <row r="1678" spans="1:8" ht="15.6" x14ac:dyDescent="0.55000000000000004">
      <c r="A1678" s="7">
        <v>24.787691200000001</v>
      </c>
      <c r="B1678" s="7">
        <v>34.8078158</v>
      </c>
      <c r="C1678" s="18">
        <v>682758.2</v>
      </c>
      <c r="D1678" s="18">
        <v>2742648.51</v>
      </c>
      <c r="E1678" s="18">
        <v>278.43</v>
      </c>
      <c r="F1678" s="18">
        <v>41997.38</v>
      </c>
      <c r="G1678" s="18">
        <v>112552</v>
      </c>
      <c r="H1678" s="18">
        <f t="shared" si="55"/>
        <v>41983.38</v>
      </c>
    </row>
    <row r="1679" spans="1:8" ht="15.6" x14ac:dyDescent="0.55000000000000004">
      <c r="A1679" s="7">
        <v>24.787778400000001</v>
      </c>
      <c r="B1679" s="7">
        <v>34.805929499999998</v>
      </c>
      <c r="C1679" s="18">
        <v>682567.34</v>
      </c>
      <c r="D1679" s="18">
        <v>2742655.65</v>
      </c>
      <c r="E1679" s="18">
        <v>281.76</v>
      </c>
      <c r="F1679" s="18">
        <v>41968.4</v>
      </c>
      <c r="G1679" s="18">
        <v>112731</v>
      </c>
      <c r="H1679" s="18">
        <f t="shared" si="55"/>
        <v>41954.400000000001</v>
      </c>
    </row>
    <row r="1680" spans="1:8" ht="15.6" x14ac:dyDescent="0.55000000000000004">
      <c r="A1680" s="7">
        <v>24.7877802</v>
      </c>
      <c r="B1680" s="7">
        <v>34.805929999999996</v>
      </c>
      <c r="C1680" s="18">
        <v>682567.38</v>
      </c>
      <c r="D1680" s="18">
        <v>2742655.84</v>
      </c>
      <c r="E1680" s="18">
        <v>281.44</v>
      </c>
      <c r="F1680" s="18">
        <v>41968.57</v>
      </c>
      <c r="G1680" s="18">
        <v>112743</v>
      </c>
      <c r="H1680" s="18">
        <f t="shared" si="55"/>
        <v>41954.57</v>
      </c>
    </row>
    <row r="1681" spans="1:8" ht="15.6" x14ac:dyDescent="0.55000000000000004">
      <c r="A1681" s="7">
        <v>24.7891689</v>
      </c>
      <c r="B1681" s="7">
        <v>34.804678099999997</v>
      </c>
      <c r="C1681" s="18">
        <v>682438.76</v>
      </c>
      <c r="D1681" s="18">
        <v>2742807.99</v>
      </c>
      <c r="E1681" s="18">
        <v>285.14999999999998</v>
      </c>
      <c r="F1681" s="18">
        <v>41969.79</v>
      </c>
      <c r="G1681" s="18">
        <v>113007</v>
      </c>
      <c r="H1681" s="18">
        <f t="shared" si="55"/>
        <v>41955.79</v>
      </c>
    </row>
    <row r="1682" spans="1:8" ht="15.6" x14ac:dyDescent="0.55000000000000004">
      <c r="A1682" s="7">
        <v>24.7892495</v>
      </c>
      <c r="B1682" s="7">
        <v>34.802353500000002</v>
      </c>
      <c r="C1682" s="18">
        <v>682203.6</v>
      </c>
      <c r="D1682" s="18">
        <v>2742813.81</v>
      </c>
      <c r="E1682" s="18">
        <v>297.07</v>
      </c>
      <c r="F1682" s="18">
        <v>41962.48</v>
      </c>
      <c r="G1682" s="18">
        <v>113210</v>
      </c>
      <c r="H1682" s="18">
        <f t="shared" si="55"/>
        <v>41948.480000000003</v>
      </c>
    </row>
    <row r="1683" spans="1:8" ht="15.6" x14ac:dyDescent="0.55000000000000004">
      <c r="A1683" s="7">
        <v>24.789250200000001</v>
      </c>
      <c r="B1683" s="7">
        <v>34.802352999999997</v>
      </c>
      <c r="C1683" s="18">
        <v>682203.55</v>
      </c>
      <c r="D1683" s="18">
        <v>2742813.89</v>
      </c>
      <c r="E1683" s="18">
        <v>297</v>
      </c>
      <c r="F1683" s="18">
        <v>41962.75</v>
      </c>
      <c r="G1683" s="18">
        <v>113219</v>
      </c>
      <c r="H1683" s="18">
        <f t="shared" si="55"/>
        <v>41948.75</v>
      </c>
    </row>
    <row r="1684" spans="1:8" ht="15.6" x14ac:dyDescent="0.55000000000000004">
      <c r="A1684" s="7">
        <v>24.7887448</v>
      </c>
      <c r="B1684" s="7">
        <v>34.801014299999999</v>
      </c>
      <c r="C1684" s="18">
        <v>682068.92</v>
      </c>
      <c r="D1684" s="18">
        <v>2742756.13</v>
      </c>
      <c r="E1684" s="18">
        <v>298.14</v>
      </c>
      <c r="F1684" s="18">
        <v>41955.17</v>
      </c>
      <c r="G1684" s="18">
        <v>113416</v>
      </c>
      <c r="H1684" s="18">
        <f t="shared" si="55"/>
        <v>41941.17</v>
      </c>
    </row>
    <row r="1685" spans="1:8" ht="15.6" x14ac:dyDescent="0.55000000000000004">
      <c r="A1685" s="7">
        <v>24.7887451</v>
      </c>
      <c r="B1685" s="7">
        <v>34.801017700000003</v>
      </c>
      <c r="C1685" s="18">
        <v>682069.27</v>
      </c>
      <c r="D1685" s="18">
        <v>2742756.17</v>
      </c>
      <c r="E1685" s="18">
        <v>297.51</v>
      </c>
      <c r="F1685" s="18">
        <v>41954.96</v>
      </c>
      <c r="G1685" s="18">
        <v>113428</v>
      </c>
      <c r="H1685" s="18">
        <f t="shared" si="55"/>
        <v>41940.959999999999</v>
      </c>
    </row>
    <row r="1686" spans="1:8" ht="15.6" x14ac:dyDescent="0.55000000000000004">
      <c r="A1686" s="7">
        <v>24.789436500000001</v>
      </c>
      <c r="B1686" s="7">
        <v>34.799179899999999</v>
      </c>
      <c r="C1686" s="18">
        <v>681882.43</v>
      </c>
      <c r="D1686" s="18">
        <v>2742830.29</v>
      </c>
      <c r="E1686" s="18">
        <v>310.73</v>
      </c>
      <c r="F1686" s="18">
        <v>41939.57</v>
      </c>
      <c r="G1686" s="18">
        <v>113640</v>
      </c>
      <c r="H1686" s="18">
        <f t="shared" si="55"/>
        <v>41925.57</v>
      </c>
    </row>
    <row r="1687" spans="1:8" ht="15.6" x14ac:dyDescent="0.55000000000000004">
      <c r="A1687" s="7">
        <v>24.790844</v>
      </c>
      <c r="B1687" s="7">
        <v>34.798449699999999</v>
      </c>
      <c r="C1687" s="18">
        <v>681806.55</v>
      </c>
      <c r="D1687" s="18">
        <v>2742985.22</v>
      </c>
      <c r="E1687" s="18">
        <v>303.74</v>
      </c>
      <c r="F1687" s="18">
        <v>41964.13</v>
      </c>
      <c r="G1687" s="18">
        <v>113843</v>
      </c>
      <c r="H1687" s="18">
        <f t="shared" si="55"/>
        <v>41950.13</v>
      </c>
    </row>
    <row r="1688" spans="1:8" ht="15.6" x14ac:dyDescent="0.55000000000000004">
      <c r="A1688" s="7">
        <v>24.790846500000001</v>
      </c>
      <c r="B1688" s="7">
        <v>34.798446499999997</v>
      </c>
      <c r="C1688" s="18">
        <v>681806.22</v>
      </c>
      <c r="D1688" s="18">
        <v>2742985.49</v>
      </c>
      <c r="E1688" s="18">
        <v>304.25</v>
      </c>
      <c r="F1688" s="18">
        <v>41964.14</v>
      </c>
      <c r="G1688" s="18">
        <v>113852</v>
      </c>
      <c r="H1688" s="18">
        <f t="shared" si="55"/>
        <v>41950.14</v>
      </c>
    </row>
    <row r="1689" spans="1:8" ht="15.6" x14ac:dyDescent="0.55000000000000004">
      <c r="A1689" s="7">
        <v>24.792249600000002</v>
      </c>
      <c r="B1689" s="7">
        <v>34.796902099999997</v>
      </c>
      <c r="C1689" s="18">
        <v>681648.02</v>
      </c>
      <c r="D1689" s="18">
        <v>2743138.85</v>
      </c>
      <c r="E1689" s="18">
        <v>300.33</v>
      </c>
      <c r="F1689" s="18">
        <v>41987.31</v>
      </c>
      <c r="G1689" s="18">
        <v>114046</v>
      </c>
      <c r="H1689" s="18">
        <f t="shared" si="55"/>
        <v>41973.31</v>
      </c>
    </row>
    <row r="1690" spans="1:8" ht="15.6" x14ac:dyDescent="0.55000000000000004">
      <c r="A1690" s="7">
        <v>24.793577299999999</v>
      </c>
      <c r="B1690" s="7">
        <v>34.796031399999997</v>
      </c>
      <c r="C1690" s="18">
        <v>681558.04</v>
      </c>
      <c r="D1690" s="18">
        <v>2743284.75</v>
      </c>
      <c r="E1690" s="18">
        <v>298.63</v>
      </c>
      <c r="F1690" s="18">
        <v>41994.34</v>
      </c>
      <c r="G1690" s="18">
        <v>114237</v>
      </c>
      <c r="H1690" s="18">
        <f t="shared" si="55"/>
        <v>41980.34</v>
      </c>
    </row>
    <row r="1691" spans="1:8" ht="15.6" x14ac:dyDescent="0.55000000000000004">
      <c r="A1691" s="7">
        <v>24.795326899999999</v>
      </c>
      <c r="B1691" s="7">
        <v>34.795415400000003</v>
      </c>
      <c r="C1691" s="18">
        <v>681493.21</v>
      </c>
      <c r="D1691" s="18">
        <v>2743477.71</v>
      </c>
      <c r="E1691" s="18">
        <v>283.02</v>
      </c>
      <c r="F1691" s="18">
        <v>42007.34</v>
      </c>
      <c r="G1691" s="18">
        <v>114625</v>
      </c>
      <c r="H1691" s="18">
        <f t="shared" si="55"/>
        <v>41993.34</v>
      </c>
    </row>
    <row r="1692" spans="1:8" ht="15.6" x14ac:dyDescent="0.55000000000000004">
      <c r="A1692" s="7">
        <v>24.7953261</v>
      </c>
      <c r="B1692" s="7">
        <v>34.7954151</v>
      </c>
      <c r="C1692" s="18">
        <v>681493.19</v>
      </c>
      <c r="D1692" s="18">
        <v>2743477.63</v>
      </c>
      <c r="E1692" s="18">
        <v>283</v>
      </c>
      <c r="F1692" s="18">
        <v>42010.06</v>
      </c>
      <c r="G1692" s="18">
        <v>114637</v>
      </c>
      <c r="H1692" s="18">
        <f t="shared" si="55"/>
        <v>41996.06</v>
      </c>
    </row>
    <row r="1693" spans="1:8" ht="15.6" x14ac:dyDescent="0.55000000000000004">
      <c r="A1693" s="7">
        <v>24.796780999999999</v>
      </c>
      <c r="B1693" s="7">
        <v>34.796504499999998</v>
      </c>
      <c r="C1693" s="18">
        <v>681601.21</v>
      </c>
      <c r="D1693" s="18">
        <v>2743640.22</v>
      </c>
      <c r="E1693" s="18">
        <v>282.97000000000003</v>
      </c>
      <c r="F1693" s="18">
        <v>41991.17</v>
      </c>
      <c r="G1693" s="18">
        <v>115031</v>
      </c>
      <c r="H1693" s="18">
        <f>SUM(F1693-16)</f>
        <v>41975.17</v>
      </c>
    </row>
    <row r="1694" spans="1:8" ht="15.6" x14ac:dyDescent="0.55000000000000004">
      <c r="A1694" s="7">
        <v>24.796867899999999</v>
      </c>
      <c r="B1694" s="7">
        <v>34.795169000000001</v>
      </c>
      <c r="C1694" s="18">
        <v>681466.06</v>
      </c>
      <c r="D1694" s="18">
        <v>2743648.08</v>
      </c>
      <c r="E1694" s="18">
        <v>287.99</v>
      </c>
      <c r="F1694" s="18">
        <v>42009.97</v>
      </c>
      <c r="G1694" s="18">
        <v>120004</v>
      </c>
      <c r="H1694" s="18">
        <f t="shared" ref="H1694:H1696" si="56">SUM(F1694-16)</f>
        <v>41993.97</v>
      </c>
    </row>
    <row r="1695" spans="1:8" ht="15.6" x14ac:dyDescent="0.55000000000000004">
      <c r="A1695" s="7">
        <v>24.796872499999999</v>
      </c>
      <c r="B1695" s="7">
        <v>34.794066700000002</v>
      </c>
      <c r="C1695" s="18">
        <v>681354.6</v>
      </c>
      <c r="D1695" s="18">
        <v>2743647.11</v>
      </c>
      <c r="E1695" s="18">
        <v>284.83</v>
      </c>
      <c r="F1695" s="18">
        <v>42009.17</v>
      </c>
      <c r="G1695" s="18">
        <v>120140</v>
      </c>
      <c r="H1695" s="18">
        <f t="shared" si="56"/>
        <v>41993.17</v>
      </c>
    </row>
    <row r="1696" spans="1:8" ht="15.6" x14ac:dyDescent="0.55000000000000004">
      <c r="A1696" s="7">
        <v>24.7968741</v>
      </c>
      <c r="B1696" s="7">
        <v>34.794045799999999</v>
      </c>
      <c r="C1696" s="18">
        <v>681352.48</v>
      </c>
      <c r="D1696" s="18">
        <v>2743647.26</v>
      </c>
      <c r="E1696" s="18">
        <v>285.67</v>
      </c>
      <c r="F1696" s="18">
        <v>42007.86</v>
      </c>
      <c r="G1696" s="18">
        <v>120149</v>
      </c>
      <c r="H1696" s="18">
        <f t="shared" si="56"/>
        <v>41991.86</v>
      </c>
    </row>
    <row r="1697" spans="1:8" ht="15.6" x14ac:dyDescent="0.55000000000000004">
      <c r="A1697" s="7">
        <v>24.7970115</v>
      </c>
      <c r="B1697" s="7">
        <v>34.793038699999997</v>
      </c>
      <c r="C1697" s="18">
        <v>681250.46</v>
      </c>
      <c r="D1697" s="18">
        <v>2743661.14</v>
      </c>
      <c r="E1697" s="18">
        <v>290.02</v>
      </c>
      <c r="F1697" s="18">
        <v>42002.91</v>
      </c>
      <c r="G1697" s="18">
        <v>120325</v>
      </c>
      <c r="H1697" s="18">
        <f>SUM(F1697-17)</f>
        <v>41985.91</v>
      </c>
    </row>
    <row r="1698" spans="1:8" ht="15.6" x14ac:dyDescent="0.55000000000000004">
      <c r="A1698" s="7">
        <v>24.7935561</v>
      </c>
      <c r="B1698" s="7">
        <v>34.795123599999997</v>
      </c>
      <c r="C1698" s="18">
        <v>681466.29</v>
      </c>
      <c r="D1698" s="18">
        <v>2743281.19</v>
      </c>
      <c r="E1698" s="18">
        <v>290.11</v>
      </c>
      <c r="F1698" s="18">
        <v>41983.41</v>
      </c>
      <c r="G1698" s="18">
        <v>121207</v>
      </c>
      <c r="H1698" s="18">
        <f t="shared" ref="H1698:H1701" si="57">SUM(F1698-17)</f>
        <v>41966.41</v>
      </c>
    </row>
    <row r="1699" spans="1:8" ht="15.6" x14ac:dyDescent="0.55000000000000004">
      <c r="A1699" s="7">
        <v>24.792359300000001</v>
      </c>
      <c r="B1699" s="7">
        <v>34.793809400000001</v>
      </c>
      <c r="C1699" s="18">
        <v>681335.15</v>
      </c>
      <c r="D1699" s="18">
        <v>2743146.89</v>
      </c>
      <c r="E1699" s="18">
        <v>291.95999999999998</v>
      </c>
      <c r="F1699" s="18">
        <v>41980.43</v>
      </c>
      <c r="G1699" s="18">
        <v>121349</v>
      </c>
      <c r="H1699" s="18">
        <f t="shared" si="57"/>
        <v>41963.43</v>
      </c>
    </row>
    <row r="1700" spans="1:8" ht="15.6" x14ac:dyDescent="0.55000000000000004">
      <c r="A1700" s="7">
        <v>24.7923589</v>
      </c>
      <c r="B1700" s="7">
        <v>34.793807899999997</v>
      </c>
      <c r="C1700" s="18">
        <v>681335</v>
      </c>
      <c r="D1700" s="18">
        <v>2743146.85</v>
      </c>
      <c r="E1700" s="18">
        <v>291.83999999999997</v>
      </c>
      <c r="F1700" s="18">
        <v>41980.65</v>
      </c>
      <c r="G1700" s="18">
        <v>121358</v>
      </c>
      <c r="H1700" s="18">
        <f t="shared" si="57"/>
        <v>41963.65</v>
      </c>
    </row>
    <row r="1701" spans="1:8" ht="15.6" x14ac:dyDescent="0.55000000000000004">
      <c r="A1701" s="7">
        <v>24.791350099999999</v>
      </c>
      <c r="B1701" s="7">
        <v>34.791942499999998</v>
      </c>
      <c r="C1701" s="18">
        <v>681147.85</v>
      </c>
      <c r="D1701" s="18">
        <v>2743032.63</v>
      </c>
      <c r="E1701" s="18">
        <v>298.26</v>
      </c>
      <c r="F1701" s="18">
        <v>41974.62</v>
      </c>
      <c r="G1701" s="18">
        <v>121549</v>
      </c>
      <c r="H1701" s="18">
        <f t="shared" si="57"/>
        <v>41957.62</v>
      </c>
    </row>
    <row r="1702" spans="1:8" ht="15.6" x14ac:dyDescent="0.55000000000000004">
      <c r="A1702" s="7">
        <v>24.789887799999999</v>
      </c>
      <c r="B1702" s="7">
        <v>34.791125999999998</v>
      </c>
      <c r="C1702" s="18">
        <v>681067.42</v>
      </c>
      <c r="D1702" s="18">
        <v>2742869.58</v>
      </c>
      <c r="E1702" s="18">
        <v>300.92</v>
      </c>
      <c r="F1702" s="18">
        <v>41951.79</v>
      </c>
      <c r="G1702" s="18">
        <v>121737</v>
      </c>
      <c r="H1702" s="18">
        <f>SUM(F1702-20)</f>
        <v>41931.79</v>
      </c>
    </row>
    <row r="1703" spans="1:8" ht="15.6" x14ac:dyDescent="0.55000000000000004">
      <c r="A1703" s="7">
        <v>24.7898888</v>
      </c>
      <c r="B1703" s="7">
        <v>34.7911261</v>
      </c>
      <c r="C1703" s="18">
        <v>681067.43</v>
      </c>
      <c r="D1703" s="18">
        <v>2742869.7</v>
      </c>
      <c r="E1703" s="18">
        <v>300.95</v>
      </c>
      <c r="F1703" s="18">
        <v>41951.16</v>
      </c>
      <c r="G1703" s="18">
        <v>121755</v>
      </c>
      <c r="H1703" s="18">
        <f t="shared" ref="H1703:H1712" si="58">SUM(F1703-20)</f>
        <v>41931.160000000003</v>
      </c>
    </row>
    <row r="1704" spans="1:8" ht="15.6" x14ac:dyDescent="0.55000000000000004">
      <c r="A1704" s="7">
        <v>24.7881526</v>
      </c>
      <c r="B1704" s="7">
        <v>34.791040899999999</v>
      </c>
      <c r="C1704" s="18">
        <v>681061.34</v>
      </c>
      <c r="D1704" s="18">
        <v>2742677.27</v>
      </c>
      <c r="E1704" s="18">
        <v>312.70999999999998</v>
      </c>
      <c r="F1704" s="18">
        <v>41941.800000000003</v>
      </c>
      <c r="G1704" s="18">
        <v>121922</v>
      </c>
      <c r="H1704" s="18">
        <f t="shared" si="58"/>
        <v>41921.800000000003</v>
      </c>
    </row>
    <row r="1705" spans="1:8" ht="15.6" x14ac:dyDescent="0.55000000000000004">
      <c r="A1705" s="7">
        <v>24.788152700000001</v>
      </c>
      <c r="B1705" s="7">
        <v>34.7910398</v>
      </c>
      <c r="C1705" s="18">
        <v>681061.23</v>
      </c>
      <c r="D1705" s="18">
        <v>2742677.29</v>
      </c>
      <c r="E1705" s="18">
        <v>313.05</v>
      </c>
      <c r="F1705" s="18">
        <v>41941.760000000002</v>
      </c>
      <c r="G1705" s="18">
        <v>121931</v>
      </c>
      <c r="H1705" s="18">
        <f t="shared" si="58"/>
        <v>41921.760000000002</v>
      </c>
    </row>
    <row r="1706" spans="1:8" ht="15.6" x14ac:dyDescent="0.55000000000000004">
      <c r="A1706" s="7">
        <v>24.786142099999999</v>
      </c>
      <c r="B1706" s="7">
        <v>34.791385599999998</v>
      </c>
      <c r="C1706" s="18">
        <v>681099.11</v>
      </c>
      <c r="D1706" s="18">
        <v>2742455.05</v>
      </c>
      <c r="E1706" s="18">
        <v>315.91000000000003</v>
      </c>
      <c r="F1706" s="18">
        <v>41946.35</v>
      </c>
      <c r="G1706" s="18">
        <v>122113</v>
      </c>
      <c r="H1706" s="18">
        <f t="shared" si="58"/>
        <v>41926.35</v>
      </c>
    </row>
    <row r="1707" spans="1:8" ht="15.6" x14ac:dyDescent="0.55000000000000004">
      <c r="A1707" s="7">
        <v>24.786142399999999</v>
      </c>
      <c r="B1707" s="7">
        <v>34.791386199999998</v>
      </c>
      <c r="C1707" s="18">
        <v>681099.17</v>
      </c>
      <c r="D1707" s="18">
        <v>2742455.08</v>
      </c>
      <c r="E1707" s="18">
        <v>315.93</v>
      </c>
      <c r="F1707" s="18">
        <v>41946.44</v>
      </c>
      <c r="G1707" s="18">
        <v>122122</v>
      </c>
      <c r="H1707" s="18">
        <f t="shared" si="58"/>
        <v>41926.44</v>
      </c>
    </row>
    <row r="1708" spans="1:8" ht="15.6" x14ac:dyDescent="0.55000000000000004">
      <c r="A1708" s="7">
        <v>24.784747200000002</v>
      </c>
      <c r="B1708" s="7">
        <v>34.791122299999998</v>
      </c>
      <c r="C1708" s="18">
        <v>681074.51</v>
      </c>
      <c r="D1708" s="18">
        <v>2742300.2</v>
      </c>
      <c r="E1708" s="18">
        <v>320.93</v>
      </c>
      <c r="F1708" s="18">
        <v>41948.36</v>
      </c>
      <c r="G1708" s="18">
        <v>122431</v>
      </c>
      <c r="H1708" s="18">
        <f t="shared" si="58"/>
        <v>41928.36</v>
      </c>
    </row>
    <row r="1709" spans="1:8" ht="15.6" x14ac:dyDescent="0.55000000000000004">
      <c r="A1709" s="7">
        <v>24.783392200000002</v>
      </c>
      <c r="B1709" s="7">
        <v>34.790292399999998</v>
      </c>
      <c r="C1709" s="18">
        <v>680992.55</v>
      </c>
      <c r="D1709" s="18">
        <v>2742149.02</v>
      </c>
      <c r="E1709" s="18">
        <v>325.33</v>
      </c>
      <c r="F1709" s="18">
        <v>41933.480000000003</v>
      </c>
      <c r="G1709" s="18">
        <v>122652</v>
      </c>
      <c r="H1709" s="18">
        <f t="shared" si="58"/>
        <v>41913.480000000003</v>
      </c>
    </row>
    <row r="1710" spans="1:8" ht="15.6" x14ac:dyDescent="0.55000000000000004">
      <c r="A1710" s="7">
        <v>24.7833881</v>
      </c>
      <c r="B1710" s="7">
        <v>34.790296599999998</v>
      </c>
      <c r="C1710" s="18">
        <v>680992.99</v>
      </c>
      <c r="D1710" s="18">
        <v>2742148.57</v>
      </c>
      <c r="E1710" s="18">
        <v>325.23</v>
      </c>
      <c r="F1710" s="18">
        <v>41934.81</v>
      </c>
      <c r="G1710" s="18">
        <v>122710</v>
      </c>
      <c r="H1710" s="18">
        <f t="shared" si="58"/>
        <v>41914.81</v>
      </c>
    </row>
    <row r="1711" spans="1:8" ht="15.6" x14ac:dyDescent="0.55000000000000004">
      <c r="A1711" s="7">
        <v>24.783166300000001</v>
      </c>
      <c r="B1711" s="7">
        <v>34.789469599999997</v>
      </c>
      <c r="C1711" s="18">
        <v>680909.68</v>
      </c>
      <c r="D1711" s="18">
        <v>2742122.91</v>
      </c>
      <c r="E1711" s="18">
        <v>327.39999999999998</v>
      </c>
      <c r="F1711" s="18">
        <v>41922.35</v>
      </c>
      <c r="G1711" s="18">
        <v>122846</v>
      </c>
      <c r="H1711" s="18">
        <f t="shared" si="58"/>
        <v>41902.35</v>
      </c>
    </row>
    <row r="1712" spans="1:8" ht="15.6" x14ac:dyDescent="0.55000000000000004">
      <c r="A1712" s="7">
        <v>24.782341800000001</v>
      </c>
      <c r="B1712" s="7">
        <v>34.789255300000001</v>
      </c>
      <c r="C1712" s="18">
        <v>680889.21</v>
      </c>
      <c r="D1712" s="18">
        <v>2742031.3</v>
      </c>
      <c r="E1712" s="18">
        <v>327.91</v>
      </c>
      <c r="F1712" s="18">
        <v>41924</v>
      </c>
      <c r="G1712" s="18">
        <v>123010</v>
      </c>
      <c r="H1712" s="18">
        <f t="shared" si="58"/>
        <v>41904</v>
      </c>
    </row>
    <row r="1713" spans="1:8" ht="15.6" x14ac:dyDescent="0.55000000000000004">
      <c r="A1713" s="7">
        <v>24.781710100000002</v>
      </c>
      <c r="B1713" s="7">
        <v>34.789269699999998</v>
      </c>
      <c r="C1713" s="18">
        <v>680891.59</v>
      </c>
      <c r="D1713" s="18">
        <v>2741961.36</v>
      </c>
      <c r="E1713" s="18">
        <v>328.65</v>
      </c>
      <c r="F1713" s="18">
        <v>41928.449999999997</v>
      </c>
      <c r="G1713" s="18">
        <v>123128</v>
      </c>
      <c r="H1713" s="18">
        <f>SUM(F1713-24)</f>
        <v>41904.449999999997</v>
      </c>
    </row>
    <row r="1714" spans="1:8" ht="15.6" x14ac:dyDescent="0.55000000000000004">
      <c r="A1714" s="7">
        <v>24.781709899999999</v>
      </c>
      <c r="B1714" s="7">
        <v>34.789268800000002</v>
      </c>
      <c r="C1714" s="18">
        <v>680891.5</v>
      </c>
      <c r="D1714" s="18">
        <v>2741961.33</v>
      </c>
      <c r="E1714" s="18">
        <v>328.49</v>
      </c>
      <c r="F1714" s="18">
        <v>41926.44</v>
      </c>
      <c r="G1714" s="18">
        <v>123140</v>
      </c>
      <c r="H1714" s="18">
        <f t="shared" ref="H1714:H1725" si="59">SUM(F1714-24)</f>
        <v>41902.44</v>
      </c>
    </row>
    <row r="1715" spans="1:8" ht="15.6" x14ac:dyDescent="0.55000000000000004">
      <c r="A1715" s="7">
        <v>24.780567600000001</v>
      </c>
      <c r="B1715" s="7">
        <v>34.789040900000003</v>
      </c>
      <c r="C1715" s="18">
        <v>680870.11</v>
      </c>
      <c r="D1715" s="18">
        <v>2741834.51</v>
      </c>
      <c r="E1715" s="18">
        <v>336.81</v>
      </c>
      <c r="F1715" s="18">
        <v>41923.51</v>
      </c>
      <c r="G1715" s="18">
        <v>123325</v>
      </c>
      <c r="H1715" s="18">
        <f t="shared" si="59"/>
        <v>41899.51</v>
      </c>
    </row>
    <row r="1716" spans="1:8" ht="15.6" x14ac:dyDescent="0.55000000000000004">
      <c r="A1716" s="7">
        <v>24.779807300000002</v>
      </c>
      <c r="B1716" s="7">
        <v>34.788556999999997</v>
      </c>
      <c r="C1716" s="18">
        <v>680822.27</v>
      </c>
      <c r="D1716" s="18">
        <v>2741749.65</v>
      </c>
      <c r="E1716" s="18">
        <v>335.56</v>
      </c>
      <c r="F1716" s="18">
        <v>41879.94</v>
      </c>
      <c r="G1716" s="18">
        <v>123455</v>
      </c>
      <c r="H1716" s="18">
        <f t="shared" si="59"/>
        <v>41855.94</v>
      </c>
    </row>
    <row r="1717" spans="1:8" ht="15.6" x14ac:dyDescent="0.55000000000000004">
      <c r="A1717" s="7">
        <v>24.778815900000001</v>
      </c>
      <c r="B1717" s="7">
        <v>34.788242599999997</v>
      </c>
      <c r="C1717" s="18">
        <v>680791.92</v>
      </c>
      <c r="D1717" s="18">
        <v>2741639.43</v>
      </c>
      <c r="E1717" s="18">
        <v>336.33</v>
      </c>
      <c r="F1717" s="18">
        <v>41910.11</v>
      </c>
      <c r="G1717" s="18">
        <v>123649</v>
      </c>
      <c r="H1717" s="18">
        <f t="shared" si="59"/>
        <v>41886.11</v>
      </c>
    </row>
    <row r="1718" spans="1:8" ht="15.6" x14ac:dyDescent="0.55000000000000004">
      <c r="A1718" s="7">
        <v>24.778404800000001</v>
      </c>
      <c r="B1718" s="7">
        <v>34.788599699999999</v>
      </c>
      <c r="C1718" s="18">
        <v>680828.63</v>
      </c>
      <c r="D1718" s="18">
        <v>2741594.37</v>
      </c>
      <c r="E1718" s="18">
        <v>337.17</v>
      </c>
      <c r="F1718" s="18">
        <v>42011.57</v>
      </c>
      <c r="G1718" s="18">
        <v>123807</v>
      </c>
      <c r="H1718" s="18">
        <f t="shared" si="59"/>
        <v>41987.57</v>
      </c>
    </row>
    <row r="1719" spans="1:8" ht="15.6" x14ac:dyDescent="0.55000000000000004">
      <c r="A1719" s="7">
        <v>24.777852200000002</v>
      </c>
      <c r="B1719" s="7">
        <v>34.788801499999998</v>
      </c>
      <c r="C1719" s="18">
        <v>680849.83</v>
      </c>
      <c r="D1719" s="18">
        <v>2741533.44</v>
      </c>
      <c r="E1719" s="18">
        <v>337.08</v>
      </c>
      <c r="F1719" s="18">
        <v>42033.51</v>
      </c>
      <c r="G1719" s="18">
        <v>123904</v>
      </c>
      <c r="H1719" s="18">
        <f t="shared" si="59"/>
        <v>42009.51</v>
      </c>
    </row>
    <row r="1720" spans="1:8" ht="15.6" x14ac:dyDescent="0.55000000000000004">
      <c r="A1720" s="7">
        <v>24.777423299999999</v>
      </c>
      <c r="B1720" s="7">
        <v>34.789021099999999</v>
      </c>
      <c r="C1720" s="18">
        <v>680872.66</v>
      </c>
      <c r="D1720" s="18">
        <v>2741486.21</v>
      </c>
      <c r="E1720" s="18">
        <v>337.26</v>
      </c>
      <c r="F1720" s="18">
        <v>42005.09</v>
      </c>
      <c r="G1720" s="18">
        <v>123952</v>
      </c>
      <c r="H1720" s="18">
        <f t="shared" si="59"/>
        <v>41981.09</v>
      </c>
    </row>
    <row r="1721" spans="1:8" ht="15.6" x14ac:dyDescent="0.55000000000000004">
      <c r="A1721" s="7">
        <v>24.776865699999998</v>
      </c>
      <c r="B1721" s="7">
        <v>34.7896097</v>
      </c>
      <c r="C1721" s="18">
        <v>680932.99</v>
      </c>
      <c r="D1721" s="18">
        <v>2741425.23</v>
      </c>
      <c r="E1721" s="18">
        <v>339.67</v>
      </c>
      <c r="F1721" s="18">
        <v>41962.41</v>
      </c>
      <c r="G1721" s="18">
        <v>124104</v>
      </c>
      <c r="H1721" s="18">
        <f t="shared" si="59"/>
        <v>41938.410000000003</v>
      </c>
    </row>
    <row r="1722" spans="1:8" ht="15.6" x14ac:dyDescent="0.55000000000000004">
      <c r="A1722" s="7">
        <v>24.776248500000001</v>
      </c>
      <c r="B1722" s="7">
        <v>34.789941900000002</v>
      </c>
      <c r="C1722" s="18">
        <v>680967.48</v>
      </c>
      <c r="D1722" s="18">
        <v>2741357.32</v>
      </c>
      <c r="E1722" s="18">
        <v>343.97</v>
      </c>
      <c r="F1722" s="18">
        <v>41952.49</v>
      </c>
      <c r="G1722" s="18">
        <v>124210</v>
      </c>
      <c r="H1722" s="18">
        <f t="shared" si="59"/>
        <v>41928.49</v>
      </c>
    </row>
    <row r="1723" spans="1:8" ht="15.6" x14ac:dyDescent="0.55000000000000004">
      <c r="A1723" s="7">
        <v>24.775555900000001</v>
      </c>
      <c r="B1723" s="7">
        <v>34.790265900000001</v>
      </c>
      <c r="C1723" s="18">
        <v>681001.25</v>
      </c>
      <c r="D1723" s="18">
        <v>2741281.03</v>
      </c>
      <c r="E1723" s="18">
        <v>346.99</v>
      </c>
      <c r="F1723" s="18">
        <v>41946.98</v>
      </c>
      <c r="G1723" s="18">
        <v>124325</v>
      </c>
      <c r="H1723" s="18">
        <f t="shared" si="59"/>
        <v>41922.980000000003</v>
      </c>
    </row>
    <row r="1724" spans="1:8" ht="15.6" x14ac:dyDescent="0.55000000000000004">
      <c r="A1724" s="7">
        <v>24.774864699999998</v>
      </c>
      <c r="B1724" s="7">
        <v>34.790553000000003</v>
      </c>
      <c r="C1724" s="18">
        <v>681031.28</v>
      </c>
      <c r="D1724" s="18">
        <v>2741204.85</v>
      </c>
      <c r="E1724" s="18">
        <v>349</v>
      </c>
      <c r="F1724" s="18">
        <v>41931.14</v>
      </c>
      <c r="G1724" s="18">
        <v>124434</v>
      </c>
      <c r="H1724" s="18">
        <f t="shared" si="59"/>
        <v>41907.14</v>
      </c>
    </row>
    <row r="1725" spans="1:8" ht="15.6" x14ac:dyDescent="0.55000000000000004">
      <c r="A1725" s="7">
        <v>24.7742556</v>
      </c>
      <c r="B1725" s="7">
        <v>34.7906835</v>
      </c>
      <c r="C1725" s="18">
        <v>681045.36</v>
      </c>
      <c r="D1725" s="18">
        <v>2741137.56</v>
      </c>
      <c r="E1725" s="18">
        <v>352.17</v>
      </c>
      <c r="F1725" s="18">
        <v>41928.300000000003</v>
      </c>
      <c r="G1725" s="18">
        <v>124534</v>
      </c>
      <c r="H1725" s="18">
        <f t="shared" si="59"/>
        <v>41904.300000000003</v>
      </c>
    </row>
    <row r="1726" spans="1:8" ht="15.6" x14ac:dyDescent="0.55000000000000004">
      <c r="A1726" s="7">
        <v>24.7737777</v>
      </c>
      <c r="B1726" s="7">
        <v>34.790873599999998</v>
      </c>
      <c r="C1726" s="18">
        <v>681065.28</v>
      </c>
      <c r="D1726" s="18">
        <v>2741084.88</v>
      </c>
      <c r="E1726" s="18">
        <v>356.89</v>
      </c>
      <c r="F1726" s="18">
        <v>41939.870000000003</v>
      </c>
      <c r="G1726" s="18">
        <v>124628</v>
      </c>
      <c r="H1726" s="18">
        <f>SUM(F1726-26)</f>
        <v>41913.870000000003</v>
      </c>
    </row>
    <row r="1727" spans="1:8" ht="15.6" x14ac:dyDescent="0.55000000000000004">
      <c r="A1727" s="7">
        <v>24.773156</v>
      </c>
      <c r="B1727" s="7">
        <v>34.791325299999997</v>
      </c>
      <c r="C1727" s="18">
        <v>681111.86</v>
      </c>
      <c r="D1727" s="18">
        <v>2741016.62</v>
      </c>
      <c r="E1727" s="18">
        <v>353.04</v>
      </c>
      <c r="F1727" s="18">
        <v>41939.11</v>
      </c>
      <c r="G1727" s="18">
        <v>124740</v>
      </c>
      <c r="H1727" s="18">
        <f t="shared" ref="H1727:H1739" si="60">SUM(F1727-26)</f>
        <v>41913.11</v>
      </c>
    </row>
    <row r="1728" spans="1:8" ht="15.6" x14ac:dyDescent="0.55000000000000004">
      <c r="A1728" s="7">
        <v>24.772565199999999</v>
      </c>
      <c r="B1728" s="7">
        <v>34.791250300000002</v>
      </c>
      <c r="C1728" s="18">
        <v>681105.14</v>
      </c>
      <c r="D1728" s="18">
        <v>2740951.09</v>
      </c>
      <c r="E1728" s="18">
        <v>351.14</v>
      </c>
      <c r="F1728" s="18">
        <v>41928.68</v>
      </c>
      <c r="G1728" s="18">
        <v>124837</v>
      </c>
      <c r="H1728" s="18">
        <f t="shared" si="60"/>
        <v>41902.68</v>
      </c>
    </row>
    <row r="1729" spans="1:9" ht="15.6" x14ac:dyDescent="0.55000000000000004">
      <c r="A1729" s="7">
        <v>24.771925800000002</v>
      </c>
      <c r="B1729" s="7">
        <v>34.7909115</v>
      </c>
      <c r="C1729" s="18">
        <v>681071.8</v>
      </c>
      <c r="D1729" s="18">
        <v>2740879.82</v>
      </c>
      <c r="E1729" s="18">
        <v>348.53</v>
      </c>
      <c r="F1729" s="18">
        <v>41921.230000000003</v>
      </c>
      <c r="G1729" s="18">
        <v>124946</v>
      </c>
      <c r="H1729" s="18">
        <f t="shared" si="60"/>
        <v>41895.230000000003</v>
      </c>
    </row>
    <row r="1730" spans="1:9" ht="15.6" x14ac:dyDescent="0.55000000000000004">
      <c r="A1730" s="7">
        <v>24.771834599999998</v>
      </c>
      <c r="B1730" s="7">
        <v>34.7903369</v>
      </c>
      <c r="C1730" s="18">
        <v>681013.83</v>
      </c>
      <c r="D1730" s="18">
        <v>2740868.95</v>
      </c>
      <c r="E1730" s="18">
        <v>346.59</v>
      </c>
      <c r="F1730" s="18">
        <v>41926.199999999997</v>
      </c>
      <c r="G1730" s="18">
        <v>125037</v>
      </c>
      <c r="H1730" s="18">
        <f t="shared" si="60"/>
        <v>41900.199999999997</v>
      </c>
    </row>
    <row r="1731" spans="1:9" ht="15.6" x14ac:dyDescent="0.55000000000000004">
      <c r="A1731" s="7">
        <v>24.771414199999999</v>
      </c>
      <c r="B1731" s="7">
        <v>34.789949900000003</v>
      </c>
      <c r="C1731" s="18">
        <v>680975.3</v>
      </c>
      <c r="D1731" s="18">
        <v>2740821.87</v>
      </c>
      <c r="E1731" s="18">
        <v>345.14</v>
      </c>
      <c r="F1731" s="18">
        <v>41929.589999999997</v>
      </c>
      <c r="G1731" s="18">
        <v>125234</v>
      </c>
      <c r="H1731" s="18">
        <f t="shared" si="60"/>
        <v>41903.589999999997</v>
      </c>
    </row>
    <row r="1732" spans="1:9" ht="15.6" x14ac:dyDescent="0.55000000000000004">
      <c r="A1732" s="7">
        <v>24.769905999999999</v>
      </c>
      <c r="B1732" s="7">
        <v>34.788921700000003</v>
      </c>
      <c r="C1732" s="18">
        <v>680873.51</v>
      </c>
      <c r="D1732" s="18">
        <v>2740653.47</v>
      </c>
      <c r="E1732" s="18">
        <v>341.45</v>
      </c>
      <c r="F1732" s="18">
        <v>41917.47</v>
      </c>
      <c r="G1732" s="18">
        <v>125452</v>
      </c>
      <c r="H1732" s="18">
        <f t="shared" si="60"/>
        <v>41891.47</v>
      </c>
    </row>
    <row r="1733" spans="1:9" ht="15.6" x14ac:dyDescent="0.55000000000000004">
      <c r="A1733" s="7">
        <v>24.767839200000001</v>
      </c>
      <c r="B1733" s="7">
        <v>34.789207599999997</v>
      </c>
      <c r="C1733" s="18">
        <v>680905.42</v>
      </c>
      <c r="D1733" s="18">
        <v>2740424.92</v>
      </c>
      <c r="E1733" s="18">
        <v>336.29</v>
      </c>
      <c r="F1733" s="18">
        <v>41910.769999999997</v>
      </c>
      <c r="G1733" s="18">
        <v>125634</v>
      </c>
      <c r="H1733" s="18">
        <f t="shared" si="60"/>
        <v>41884.769999999997</v>
      </c>
    </row>
    <row r="1734" spans="1:9" ht="15.6" x14ac:dyDescent="0.55000000000000004">
      <c r="A1734" s="7">
        <v>24.766414999999999</v>
      </c>
      <c r="B1734" s="7">
        <v>34.788937900000001</v>
      </c>
      <c r="C1734" s="18">
        <v>680880.21</v>
      </c>
      <c r="D1734" s="18">
        <v>2740266.83</v>
      </c>
      <c r="E1734" s="18">
        <v>333.61</v>
      </c>
      <c r="F1734" s="18">
        <v>41919.96</v>
      </c>
      <c r="G1734" s="18">
        <v>125813</v>
      </c>
      <c r="H1734" s="18">
        <f t="shared" si="60"/>
        <v>41893.96</v>
      </c>
    </row>
    <row r="1735" spans="1:9" ht="15.6" x14ac:dyDescent="0.55000000000000004">
      <c r="A1735" s="7">
        <v>24.765171800000001</v>
      </c>
      <c r="B1735" s="7">
        <v>34.790170400000001</v>
      </c>
      <c r="C1735" s="18">
        <v>681006.65</v>
      </c>
      <c r="D1735" s="18">
        <v>2740130.76</v>
      </c>
      <c r="E1735" s="18">
        <v>330.3</v>
      </c>
      <c r="F1735" s="18">
        <v>41886.85</v>
      </c>
      <c r="G1735" s="18">
        <v>125934</v>
      </c>
      <c r="H1735" s="18">
        <f t="shared" si="60"/>
        <v>41860.85</v>
      </c>
    </row>
    <row r="1736" spans="1:9" ht="15.6" x14ac:dyDescent="0.55000000000000004">
      <c r="A1736" s="7">
        <v>24.763625000000001</v>
      </c>
      <c r="B1736" s="7">
        <v>34.7916253</v>
      </c>
      <c r="C1736" s="18">
        <v>681156.04</v>
      </c>
      <c r="D1736" s="18">
        <v>2739961.35</v>
      </c>
      <c r="E1736" s="18">
        <v>326.45999999999998</v>
      </c>
      <c r="F1736" s="18">
        <v>41913.5</v>
      </c>
      <c r="G1736" s="18">
        <v>130207</v>
      </c>
      <c r="H1736" s="18">
        <f t="shared" si="60"/>
        <v>41887.5</v>
      </c>
    </row>
    <row r="1737" spans="1:9" ht="15.6" x14ac:dyDescent="0.55000000000000004">
      <c r="A1737" s="7">
        <v>24.762563100000001</v>
      </c>
      <c r="B1737" s="7">
        <v>34.793386699999999</v>
      </c>
      <c r="C1737" s="18">
        <v>681335.72</v>
      </c>
      <c r="D1737" s="18">
        <v>2739846.08</v>
      </c>
      <c r="E1737" s="18">
        <v>324.42</v>
      </c>
      <c r="F1737" s="18">
        <v>41909.61</v>
      </c>
      <c r="G1737" s="18">
        <v>130328</v>
      </c>
      <c r="H1737" s="18">
        <f t="shared" si="60"/>
        <v>41883.61</v>
      </c>
    </row>
    <row r="1738" spans="1:9" ht="15.6" x14ac:dyDescent="0.55000000000000004">
      <c r="A1738" s="7">
        <v>24.762557999999999</v>
      </c>
      <c r="B1738" s="7">
        <v>34.794912699999998</v>
      </c>
      <c r="C1738" s="18">
        <v>681490.05</v>
      </c>
      <c r="D1738" s="18">
        <v>2739847.54</v>
      </c>
      <c r="E1738" s="18">
        <v>320.68</v>
      </c>
      <c r="F1738" s="18">
        <v>41926.26</v>
      </c>
      <c r="G1738" s="18">
        <v>130458</v>
      </c>
      <c r="H1738" s="18">
        <f t="shared" si="60"/>
        <v>41900.26</v>
      </c>
    </row>
    <row r="1739" spans="1:9" ht="18.75" customHeight="1" x14ac:dyDescent="0.55000000000000004">
      <c r="A1739" s="7">
        <v>24.7620535</v>
      </c>
      <c r="B1739" s="7">
        <v>34.796416499999999</v>
      </c>
      <c r="C1739" s="18">
        <v>681642.88</v>
      </c>
      <c r="D1739" s="18">
        <v>2739793.66</v>
      </c>
      <c r="E1739" s="18">
        <v>318.88</v>
      </c>
      <c r="F1739" s="18">
        <v>41885.129999999997</v>
      </c>
      <c r="G1739" s="18">
        <v>130722</v>
      </c>
      <c r="H1739" s="18">
        <f t="shared" si="60"/>
        <v>41859.129999999997</v>
      </c>
    </row>
    <row r="1740" spans="1:9" s="2" customFormat="1" ht="21.75" customHeight="1" x14ac:dyDescent="0.55000000000000004">
      <c r="A1740" s="18">
        <v>24.772194899999999</v>
      </c>
      <c r="B1740" s="18">
        <v>34.801411799999997</v>
      </c>
      <c r="C1740" s="18">
        <v>682133.28</v>
      </c>
      <c r="D1740" s="18">
        <v>2740923.57</v>
      </c>
      <c r="E1740" s="18">
        <v>303.20999999999998</v>
      </c>
      <c r="F1740" s="18">
        <v>41913.07</v>
      </c>
      <c r="G1740" s="18">
        <v>132538</v>
      </c>
      <c r="H1740" s="18">
        <f>SUM(F1740-36)</f>
        <v>41877.07</v>
      </c>
      <c r="I1740" s="12"/>
    </row>
    <row r="1741" spans="1:9" s="2" customFormat="1" ht="21.75" customHeight="1" x14ac:dyDescent="0.55000000000000004">
      <c r="A1741" s="18">
        <v>24.772207600000002</v>
      </c>
      <c r="B1741" s="18">
        <v>34.8013865</v>
      </c>
      <c r="C1741" s="18">
        <v>682130.71</v>
      </c>
      <c r="D1741" s="18">
        <v>2740924.95</v>
      </c>
      <c r="E1741" s="18">
        <v>303.22000000000003</v>
      </c>
      <c r="F1741" s="18">
        <v>41916.199999999997</v>
      </c>
      <c r="G1741" s="18">
        <v>132540</v>
      </c>
      <c r="H1741" s="18">
        <f t="shared" ref="H1741:H1804" si="61">SUM(F1741-36)</f>
        <v>41880.199999999997</v>
      </c>
      <c r="I1741" s="12"/>
    </row>
    <row r="1742" spans="1:9" s="2" customFormat="1" ht="21.75" customHeight="1" x14ac:dyDescent="0.55000000000000004">
      <c r="A1742" s="18">
        <v>24.772228200000001</v>
      </c>
      <c r="B1742" s="18">
        <v>34.801368600000004</v>
      </c>
      <c r="C1742" s="18">
        <v>682128.87</v>
      </c>
      <c r="D1742" s="18">
        <v>2740927.2</v>
      </c>
      <c r="E1742" s="18">
        <v>303.33999999999997</v>
      </c>
      <c r="F1742" s="18">
        <v>41916.36</v>
      </c>
      <c r="G1742" s="18">
        <v>132542</v>
      </c>
      <c r="H1742" s="18">
        <f t="shared" si="61"/>
        <v>41880.36</v>
      </c>
      <c r="I1742" s="12"/>
    </row>
    <row r="1743" spans="1:9" s="2" customFormat="1" ht="21.75" customHeight="1" x14ac:dyDescent="0.55000000000000004">
      <c r="A1743" s="18">
        <v>24.7722476</v>
      </c>
      <c r="B1743" s="18">
        <v>34.801349700000003</v>
      </c>
      <c r="C1743" s="18">
        <v>682126.92</v>
      </c>
      <c r="D1743" s="18">
        <v>2740929.33</v>
      </c>
      <c r="E1743" s="18">
        <v>303.44</v>
      </c>
      <c r="F1743" s="18">
        <v>41918.78</v>
      </c>
      <c r="G1743" s="18">
        <v>132544</v>
      </c>
      <c r="H1743" s="18">
        <f t="shared" si="61"/>
        <v>41882.78</v>
      </c>
      <c r="I1743" s="12"/>
    </row>
    <row r="1744" spans="1:9" s="2" customFormat="1" ht="21.75" customHeight="1" x14ac:dyDescent="0.55000000000000004">
      <c r="A1744" s="18">
        <v>24.772269099999999</v>
      </c>
      <c r="B1744" s="18">
        <v>34.801342200000001</v>
      </c>
      <c r="C1744" s="18">
        <v>682126.13</v>
      </c>
      <c r="D1744" s="18">
        <v>2740931.69</v>
      </c>
      <c r="E1744" s="18">
        <v>303.42</v>
      </c>
      <c r="F1744" s="18">
        <v>41919.43</v>
      </c>
      <c r="G1744" s="18">
        <v>132546</v>
      </c>
      <c r="H1744" s="18">
        <f t="shared" si="61"/>
        <v>41883.43</v>
      </c>
      <c r="I1744" s="12"/>
    </row>
    <row r="1745" spans="1:9" s="2" customFormat="1" ht="21.75" customHeight="1" x14ac:dyDescent="0.55000000000000004">
      <c r="A1745" s="18">
        <v>24.772294500000001</v>
      </c>
      <c r="B1745" s="18">
        <v>34.8013409</v>
      </c>
      <c r="C1745" s="18">
        <v>682125.96</v>
      </c>
      <c r="D1745" s="18">
        <v>2740934.51</v>
      </c>
      <c r="E1745" s="18">
        <v>303.43</v>
      </c>
      <c r="F1745" s="18">
        <v>41918.28</v>
      </c>
      <c r="G1745" s="18">
        <v>132548</v>
      </c>
      <c r="H1745" s="18">
        <f t="shared" si="61"/>
        <v>41882.28</v>
      </c>
      <c r="I1745" s="12"/>
    </row>
    <row r="1746" spans="1:9" s="2" customFormat="1" ht="21.75" customHeight="1" x14ac:dyDescent="0.55000000000000004">
      <c r="A1746" s="18">
        <v>24.7723172</v>
      </c>
      <c r="B1746" s="18">
        <v>34.801336800000001</v>
      </c>
      <c r="C1746" s="18">
        <v>682125.52</v>
      </c>
      <c r="D1746" s="18">
        <v>2740937.01</v>
      </c>
      <c r="E1746" s="18">
        <v>303.52</v>
      </c>
      <c r="F1746" s="18">
        <v>41918.620000000003</v>
      </c>
      <c r="G1746" s="18">
        <v>132550</v>
      </c>
      <c r="H1746" s="18">
        <f t="shared" si="61"/>
        <v>41882.620000000003</v>
      </c>
      <c r="I1746" s="12"/>
    </row>
    <row r="1747" spans="1:9" s="2" customFormat="1" ht="21.75" customHeight="1" x14ac:dyDescent="0.55000000000000004">
      <c r="A1747" s="18">
        <v>24.7723394</v>
      </c>
      <c r="B1747" s="18">
        <v>34.801333200000002</v>
      </c>
      <c r="C1747" s="18">
        <v>682125.12</v>
      </c>
      <c r="D1747" s="18">
        <v>2740939.47</v>
      </c>
      <c r="E1747" s="18">
        <v>303.60000000000002</v>
      </c>
      <c r="F1747" s="18">
        <v>41919.199999999997</v>
      </c>
      <c r="G1747" s="18">
        <v>132552</v>
      </c>
      <c r="H1747" s="18">
        <f t="shared" si="61"/>
        <v>41883.199999999997</v>
      </c>
      <c r="I1747" s="12"/>
    </row>
    <row r="1748" spans="1:9" s="2" customFormat="1" ht="21.75" customHeight="1" x14ac:dyDescent="0.55000000000000004">
      <c r="A1748" s="18">
        <v>24.7723613</v>
      </c>
      <c r="B1748" s="18">
        <v>34.801323099999998</v>
      </c>
      <c r="C1748" s="18">
        <v>682124.07</v>
      </c>
      <c r="D1748" s="18">
        <v>2740941.88</v>
      </c>
      <c r="E1748" s="18">
        <v>303.82</v>
      </c>
      <c r="F1748" s="18">
        <v>41918.94</v>
      </c>
      <c r="G1748" s="18">
        <v>132554</v>
      </c>
      <c r="H1748" s="18">
        <f t="shared" si="61"/>
        <v>41882.94</v>
      </c>
      <c r="I1748" s="12"/>
    </row>
    <row r="1749" spans="1:9" s="2" customFormat="1" ht="21.75" customHeight="1" x14ac:dyDescent="0.55000000000000004">
      <c r="A1749" s="18">
        <v>24.772385199999999</v>
      </c>
      <c r="B1749" s="18">
        <v>34.801310600000001</v>
      </c>
      <c r="C1749" s="18">
        <v>682122.77</v>
      </c>
      <c r="D1749" s="18">
        <v>2740944.52</v>
      </c>
      <c r="E1749" s="18">
        <v>303.99</v>
      </c>
      <c r="F1749" s="18">
        <v>41919.22</v>
      </c>
      <c r="G1749" s="18">
        <v>132556</v>
      </c>
      <c r="H1749" s="18">
        <f t="shared" si="61"/>
        <v>41883.22</v>
      </c>
      <c r="I1749" s="12"/>
    </row>
    <row r="1750" spans="1:9" s="2" customFormat="1" ht="21.75" customHeight="1" x14ac:dyDescent="0.55000000000000004">
      <c r="A1750" s="18">
        <v>24.772408599999999</v>
      </c>
      <c r="B1750" s="18">
        <v>34.801299999999998</v>
      </c>
      <c r="C1750" s="18">
        <v>682121.66</v>
      </c>
      <c r="D1750" s="18">
        <v>2740947.1</v>
      </c>
      <c r="E1750" s="18">
        <v>304.08</v>
      </c>
      <c r="F1750" s="18">
        <v>41918.339999999997</v>
      </c>
      <c r="G1750" s="18">
        <v>132558</v>
      </c>
      <c r="H1750" s="18">
        <f t="shared" si="61"/>
        <v>41882.339999999997</v>
      </c>
      <c r="I1750" s="12"/>
    </row>
    <row r="1751" spans="1:9" s="2" customFormat="1" ht="21.75" customHeight="1" x14ac:dyDescent="0.55000000000000004">
      <c r="A1751" s="18">
        <v>24.772430799999999</v>
      </c>
      <c r="B1751" s="18">
        <v>34.801283900000001</v>
      </c>
      <c r="C1751" s="18">
        <v>682120</v>
      </c>
      <c r="D1751" s="18">
        <v>2740949.53</v>
      </c>
      <c r="E1751" s="18">
        <v>304.08</v>
      </c>
      <c r="F1751" s="18">
        <v>41919.699999999997</v>
      </c>
      <c r="G1751" s="18">
        <v>132600</v>
      </c>
      <c r="H1751" s="18">
        <f t="shared" si="61"/>
        <v>41883.699999999997</v>
      </c>
      <c r="I1751" s="12"/>
    </row>
    <row r="1752" spans="1:9" s="2" customFormat="1" ht="21.75" customHeight="1" x14ac:dyDescent="0.55000000000000004">
      <c r="A1752" s="18">
        <v>24.772456300000002</v>
      </c>
      <c r="B1752" s="18">
        <v>34.8012765</v>
      </c>
      <c r="C1752" s="18">
        <v>682119.22</v>
      </c>
      <c r="D1752" s="18">
        <v>2740952.35</v>
      </c>
      <c r="E1752" s="18">
        <v>304.11</v>
      </c>
      <c r="F1752" s="18">
        <v>41919.56</v>
      </c>
      <c r="G1752" s="18">
        <v>132602</v>
      </c>
      <c r="H1752" s="18">
        <f t="shared" si="61"/>
        <v>41883.56</v>
      </c>
      <c r="I1752" s="12"/>
    </row>
    <row r="1753" spans="1:9" s="2" customFormat="1" ht="21.75" customHeight="1" x14ac:dyDescent="0.55000000000000004">
      <c r="A1753" s="18">
        <v>24.772483000000001</v>
      </c>
      <c r="B1753" s="18">
        <v>34.8012692</v>
      </c>
      <c r="C1753" s="18">
        <v>682118.45</v>
      </c>
      <c r="D1753" s="18">
        <v>2740955.29</v>
      </c>
      <c r="E1753" s="18">
        <v>304.05</v>
      </c>
      <c r="F1753" s="18">
        <v>41920.089999999997</v>
      </c>
      <c r="G1753" s="18">
        <v>132604</v>
      </c>
      <c r="H1753" s="18">
        <f t="shared" si="61"/>
        <v>41884.089999999997</v>
      </c>
      <c r="I1753" s="12"/>
    </row>
    <row r="1754" spans="1:9" s="2" customFormat="1" ht="21.75" customHeight="1" x14ac:dyDescent="0.55000000000000004">
      <c r="A1754" s="18">
        <v>24.772509199999998</v>
      </c>
      <c r="B1754" s="18">
        <v>34.8012625</v>
      </c>
      <c r="C1754" s="18">
        <v>682117.72</v>
      </c>
      <c r="D1754" s="18">
        <v>2740958.18</v>
      </c>
      <c r="E1754" s="18">
        <v>304.08</v>
      </c>
      <c r="F1754" s="18">
        <v>41919.67</v>
      </c>
      <c r="G1754" s="18">
        <v>132606</v>
      </c>
      <c r="H1754" s="18">
        <f t="shared" si="61"/>
        <v>41883.67</v>
      </c>
      <c r="I1754" s="12"/>
    </row>
    <row r="1755" spans="1:9" s="2" customFormat="1" ht="21.75" customHeight="1" x14ac:dyDescent="0.55000000000000004">
      <c r="A1755" s="18">
        <v>24.772534199999999</v>
      </c>
      <c r="B1755" s="18">
        <v>34.8012546</v>
      </c>
      <c r="C1755" s="18">
        <v>682116.89</v>
      </c>
      <c r="D1755" s="18">
        <v>2740960.94</v>
      </c>
      <c r="E1755" s="18">
        <v>304.18</v>
      </c>
      <c r="F1755" s="18">
        <v>41919.85</v>
      </c>
      <c r="G1755" s="18">
        <v>132608</v>
      </c>
      <c r="H1755" s="18">
        <f t="shared" si="61"/>
        <v>41883.85</v>
      </c>
      <c r="I1755" s="12"/>
    </row>
    <row r="1756" spans="1:9" s="2" customFormat="1" ht="21.75" customHeight="1" x14ac:dyDescent="0.55000000000000004">
      <c r="A1756" s="18">
        <v>24.7725586</v>
      </c>
      <c r="B1756" s="18">
        <v>34.801248000000001</v>
      </c>
      <c r="C1756" s="18">
        <v>682116.19</v>
      </c>
      <c r="D1756" s="18">
        <v>2740963.64</v>
      </c>
      <c r="E1756" s="18">
        <v>304.19</v>
      </c>
      <c r="F1756" s="18">
        <v>41919.96</v>
      </c>
      <c r="G1756" s="18">
        <v>132610</v>
      </c>
      <c r="H1756" s="18">
        <f t="shared" si="61"/>
        <v>41883.96</v>
      </c>
      <c r="I1756" s="12"/>
    </row>
    <row r="1757" spans="1:9" s="2" customFormat="1" ht="21.75" customHeight="1" x14ac:dyDescent="0.55000000000000004">
      <c r="A1757" s="18">
        <v>24.7725823</v>
      </c>
      <c r="B1757" s="18">
        <v>34.8012406</v>
      </c>
      <c r="C1757" s="18">
        <v>682115.4</v>
      </c>
      <c r="D1757" s="18">
        <v>2740966.25</v>
      </c>
      <c r="E1757" s="18">
        <v>304.27999999999997</v>
      </c>
      <c r="F1757" s="18">
        <v>41919.78</v>
      </c>
      <c r="G1757" s="18">
        <v>132612</v>
      </c>
      <c r="H1757" s="18">
        <f t="shared" si="61"/>
        <v>41883.78</v>
      </c>
      <c r="I1757" s="12"/>
    </row>
    <row r="1758" spans="1:9" s="2" customFormat="1" ht="21.75" customHeight="1" x14ac:dyDescent="0.55000000000000004">
      <c r="A1758" s="18">
        <v>24.772606499999998</v>
      </c>
      <c r="B1758" s="18">
        <v>34.801232400000004</v>
      </c>
      <c r="C1758" s="18">
        <v>682114.54</v>
      </c>
      <c r="D1758" s="18">
        <v>2740968.92</v>
      </c>
      <c r="E1758" s="18">
        <v>304.37</v>
      </c>
      <c r="F1758" s="18">
        <v>41919.519999999997</v>
      </c>
      <c r="G1758" s="18">
        <v>132614</v>
      </c>
      <c r="H1758" s="18">
        <f t="shared" si="61"/>
        <v>41883.519999999997</v>
      </c>
      <c r="I1758" s="12"/>
    </row>
    <row r="1759" spans="1:9" s="2" customFormat="1" ht="21.75" customHeight="1" x14ac:dyDescent="0.55000000000000004">
      <c r="A1759" s="18">
        <v>24.772630599999999</v>
      </c>
      <c r="B1759" s="18">
        <v>34.8012248</v>
      </c>
      <c r="C1759" s="18">
        <v>682113.74</v>
      </c>
      <c r="D1759" s="18">
        <v>2740971.58</v>
      </c>
      <c r="E1759" s="18">
        <v>304.55</v>
      </c>
      <c r="F1759" s="18">
        <v>41919.879999999997</v>
      </c>
      <c r="G1759" s="18">
        <v>132616</v>
      </c>
      <c r="H1759" s="18">
        <f t="shared" si="61"/>
        <v>41883.879999999997</v>
      </c>
      <c r="I1759" s="12"/>
    </row>
    <row r="1760" spans="1:9" s="2" customFormat="1" ht="21.75" customHeight="1" x14ac:dyDescent="0.55000000000000004">
      <c r="A1760" s="18">
        <v>24.772655</v>
      </c>
      <c r="B1760" s="18">
        <v>34.801215900000003</v>
      </c>
      <c r="C1760" s="18">
        <v>682112.8</v>
      </c>
      <c r="D1760" s="18">
        <v>2740974.28</v>
      </c>
      <c r="E1760" s="18">
        <v>304.64</v>
      </c>
      <c r="F1760" s="18">
        <v>41919.660000000003</v>
      </c>
      <c r="G1760" s="18">
        <v>132618</v>
      </c>
      <c r="H1760" s="18">
        <f t="shared" si="61"/>
        <v>41883.660000000003</v>
      </c>
      <c r="I1760" s="12"/>
    </row>
    <row r="1761" spans="1:9" s="2" customFormat="1" ht="21.75" customHeight="1" x14ac:dyDescent="0.55000000000000004">
      <c r="A1761" s="18">
        <v>24.772679700000001</v>
      </c>
      <c r="B1761" s="18">
        <v>34.801210300000001</v>
      </c>
      <c r="C1761" s="18">
        <v>682112.2</v>
      </c>
      <c r="D1761" s="18">
        <v>2740977</v>
      </c>
      <c r="E1761" s="18">
        <v>304.64999999999998</v>
      </c>
      <c r="F1761" s="18">
        <v>41919.089999999997</v>
      </c>
      <c r="G1761" s="18">
        <v>132620</v>
      </c>
      <c r="H1761" s="18">
        <f t="shared" si="61"/>
        <v>41883.089999999997</v>
      </c>
      <c r="I1761" s="12"/>
    </row>
    <row r="1762" spans="1:9" s="2" customFormat="1" ht="21.75" customHeight="1" x14ac:dyDescent="0.55000000000000004">
      <c r="A1762" s="18">
        <v>24.772704300000001</v>
      </c>
      <c r="B1762" s="18">
        <v>34.801205099999997</v>
      </c>
      <c r="C1762" s="18">
        <v>682111.64</v>
      </c>
      <c r="D1762" s="18">
        <v>2740979.71</v>
      </c>
      <c r="E1762" s="18">
        <v>304.67</v>
      </c>
      <c r="F1762" s="18">
        <v>41920.089999999997</v>
      </c>
      <c r="G1762" s="18">
        <v>132622</v>
      </c>
      <c r="H1762" s="18">
        <f t="shared" si="61"/>
        <v>41884.089999999997</v>
      </c>
      <c r="I1762" s="12"/>
    </row>
    <row r="1763" spans="1:9" s="2" customFormat="1" ht="21.75" customHeight="1" x14ac:dyDescent="0.55000000000000004">
      <c r="A1763" s="18">
        <v>24.772727400000001</v>
      </c>
      <c r="B1763" s="18">
        <v>34.801194000000002</v>
      </c>
      <c r="C1763" s="18">
        <v>682110.48</v>
      </c>
      <c r="D1763" s="18">
        <v>2740982.27</v>
      </c>
      <c r="E1763" s="18">
        <v>304.70999999999998</v>
      </c>
      <c r="F1763" s="18">
        <v>41921.01</v>
      </c>
      <c r="G1763" s="18">
        <v>132624</v>
      </c>
      <c r="H1763" s="18">
        <f t="shared" si="61"/>
        <v>41885.01</v>
      </c>
      <c r="I1763" s="12"/>
    </row>
    <row r="1764" spans="1:9" s="2" customFormat="1" ht="21.75" customHeight="1" x14ac:dyDescent="0.55000000000000004">
      <c r="A1764" s="18">
        <v>24.772748499999999</v>
      </c>
      <c r="B1764" s="18">
        <v>34.8011798</v>
      </c>
      <c r="C1764" s="18">
        <v>682109.01</v>
      </c>
      <c r="D1764" s="18">
        <v>2740984.58</v>
      </c>
      <c r="E1764" s="18">
        <v>304.7</v>
      </c>
      <c r="F1764" s="18">
        <v>41921.33</v>
      </c>
      <c r="G1764" s="18">
        <v>132626</v>
      </c>
      <c r="H1764" s="18">
        <f t="shared" si="61"/>
        <v>41885.33</v>
      </c>
      <c r="I1764" s="12"/>
    </row>
    <row r="1765" spans="1:9" s="2" customFormat="1" ht="21.75" customHeight="1" x14ac:dyDescent="0.55000000000000004">
      <c r="A1765" s="18">
        <v>24.7727647</v>
      </c>
      <c r="B1765" s="18">
        <v>34.8011616</v>
      </c>
      <c r="C1765" s="18">
        <v>682107.15</v>
      </c>
      <c r="D1765" s="18">
        <v>2740986.35</v>
      </c>
      <c r="E1765" s="18">
        <v>304.75</v>
      </c>
      <c r="F1765" s="18">
        <v>41920.620000000003</v>
      </c>
      <c r="G1765" s="18">
        <v>132628</v>
      </c>
      <c r="H1765" s="18">
        <f t="shared" si="61"/>
        <v>41884.620000000003</v>
      </c>
      <c r="I1765" s="12"/>
    </row>
    <row r="1766" spans="1:9" s="2" customFormat="1" ht="21.75" customHeight="1" x14ac:dyDescent="0.55000000000000004">
      <c r="A1766" s="18">
        <v>24.7727772</v>
      </c>
      <c r="B1766" s="18">
        <v>34.8011391</v>
      </c>
      <c r="C1766" s="18">
        <v>682104.86</v>
      </c>
      <c r="D1766" s="18">
        <v>2740987.71</v>
      </c>
      <c r="E1766" s="18">
        <v>304.89</v>
      </c>
      <c r="F1766" s="18">
        <v>41921.279999999999</v>
      </c>
      <c r="G1766" s="18">
        <v>132630</v>
      </c>
      <c r="H1766" s="18">
        <f t="shared" si="61"/>
        <v>41885.279999999999</v>
      </c>
      <c r="I1766" s="12"/>
    </row>
    <row r="1767" spans="1:9" s="2" customFormat="1" ht="21.75" customHeight="1" x14ac:dyDescent="0.55000000000000004">
      <c r="A1767" s="18">
        <v>24.7727915</v>
      </c>
      <c r="B1767" s="18">
        <v>34.801117400000003</v>
      </c>
      <c r="C1767" s="18">
        <v>682102.64</v>
      </c>
      <c r="D1767" s="18">
        <v>2740989.26</v>
      </c>
      <c r="E1767" s="18">
        <v>304.83</v>
      </c>
      <c r="F1767" s="18">
        <v>41921</v>
      </c>
      <c r="G1767" s="18">
        <v>132632</v>
      </c>
      <c r="H1767" s="18">
        <f t="shared" si="61"/>
        <v>41885</v>
      </c>
      <c r="I1767" s="12"/>
    </row>
    <row r="1768" spans="1:9" s="2" customFormat="1" ht="21.75" customHeight="1" x14ac:dyDescent="0.55000000000000004">
      <c r="A1768" s="18">
        <v>24.772803400000001</v>
      </c>
      <c r="B1768" s="18">
        <v>34.801094599999999</v>
      </c>
      <c r="C1768" s="18">
        <v>682100.31</v>
      </c>
      <c r="D1768" s="18">
        <v>2740990.55</v>
      </c>
      <c r="E1768" s="18">
        <v>304.82</v>
      </c>
      <c r="F1768" s="18">
        <v>41921</v>
      </c>
      <c r="G1768" s="18">
        <v>132634</v>
      </c>
      <c r="H1768" s="18">
        <f t="shared" si="61"/>
        <v>41885</v>
      </c>
      <c r="I1768" s="12"/>
    </row>
    <row r="1769" spans="1:9" s="2" customFormat="1" ht="21.75" customHeight="1" x14ac:dyDescent="0.55000000000000004">
      <c r="A1769" s="18">
        <v>24.772808999999999</v>
      </c>
      <c r="B1769" s="18">
        <v>34.801070000000003</v>
      </c>
      <c r="C1769" s="18">
        <v>682097.82</v>
      </c>
      <c r="D1769" s="18">
        <v>2740991.13</v>
      </c>
      <c r="E1769" s="18">
        <v>305.16000000000003</v>
      </c>
      <c r="F1769" s="18">
        <v>41924.69</v>
      </c>
      <c r="G1769" s="18">
        <v>132636</v>
      </c>
      <c r="H1769" s="18">
        <f t="shared" si="61"/>
        <v>41888.69</v>
      </c>
      <c r="I1769" s="12"/>
    </row>
    <row r="1770" spans="1:9" s="2" customFormat="1" ht="21.75" customHeight="1" x14ac:dyDescent="0.55000000000000004">
      <c r="A1770" s="18">
        <v>24.772812600000002</v>
      </c>
      <c r="B1770" s="18">
        <v>34.801042199999998</v>
      </c>
      <c r="C1770" s="18">
        <v>682095.01</v>
      </c>
      <c r="D1770" s="18">
        <v>2740991.49</v>
      </c>
      <c r="E1770" s="18">
        <v>305.25</v>
      </c>
      <c r="F1770" s="18">
        <v>41921.699999999997</v>
      </c>
      <c r="G1770" s="18">
        <v>132638</v>
      </c>
      <c r="H1770" s="18">
        <f t="shared" si="61"/>
        <v>41885.699999999997</v>
      </c>
      <c r="I1770" s="12"/>
    </row>
    <row r="1771" spans="1:9" s="2" customFormat="1" ht="21.75" customHeight="1" x14ac:dyDescent="0.55000000000000004">
      <c r="A1771" s="18">
        <v>24.7728134</v>
      </c>
      <c r="B1771" s="18">
        <v>34.801014199999997</v>
      </c>
      <c r="C1771" s="18">
        <v>682092.17</v>
      </c>
      <c r="D1771" s="18">
        <v>2740991.55</v>
      </c>
      <c r="E1771" s="18">
        <v>305.43</v>
      </c>
      <c r="F1771" s="18">
        <v>41924.15</v>
      </c>
      <c r="G1771" s="18">
        <v>132640</v>
      </c>
      <c r="H1771" s="18">
        <f t="shared" si="61"/>
        <v>41888.15</v>
      </c>
      <c r="I1771" s="12"/>
    </row>
    <row r="1772" spans="1:9" s="2" customFormat="1" ht="21.75" customHeight="1" x14ac:dyDescent="0.55000000000000004">
      <c r="A1772" s="18">
        <v>24.772820500000002</v>
      </c>
      <c r="B1772" s="18">
        <v>34.800986000000002</v>
      </c>
      <c r="C1772" s="18">
        <v>682089.31</v>
      </c>
      <c r="D1772" s="18">
        <v>2740992.29</v>
      </c>
      <c r="E1772" s="18">
        <v>305.7</v>
      </c>
      <c r="F1772" s="18">
        <v>41921.99</v>
      </c>
      <c r="G1772" s="18">
        <v>132642</v>
      </c>
      <c r="H1772" s="18">
        <f t="shared" si="61"/>
        <v>41885.99</v>
      </c>
      <c r="I1772" s="12"/>
    </row>
    <row r="1773" spans="1:9" s="2" customFormat="1" ht="21.75" customHeight="1" x14ac:dyDescent="0.55000000000000004">
      <c r="A1773" s="18">
        <v>24.7728313</v>
      </c>
      <c r="B1773" s="18">
        <v>34.800962400000003</v>
      </c>
      <c r="C1773" s="18">
        <v>682086.9</v>
      </c>
      <c r="D1773" s="18">
        <v>2740993.46</v>
      </c>
      <c r="E1773" s="18">
        <v>305.83999999999997</v>
      </c>
      <c r="F1773" s="18">
        <v>41919.97</v>
      </c>
      <c r="G1773" s="18">
        <v>132644</v>
      </c>
      <c r="H1773" s="18">
        <f t="shared" si="61"/>
        <v>41883.97</v>
      </c>
      <c r="I1773" s="12"/>
    </row>
    <row r="1774" spans="1:9" s="2" customFormat="1" ht="21.75" customHeight="1" x14ac:dyDescent="0.55000000000000004">
      <c r="A1774" s="18">
        <v>24.772834799999998</v>
      </c>
      <c r="B1774" s="18">
        <v>34.800936</v>
      </c>
      <c r="C1774" s="18">
        <v>682084.23</v>
      </c>
      <c r="D1774" s="18">
        <v>2740993.82</v>
      </c>
      <c r="E1774" s="18">
        <v>305.81</v>
      </c>
      <c r="F1774" s="18">
        <v>41918.35</v>
      </c>
      <c r="G1774" s="18">
        <v>132646</v>
      </c>
      <c r="H1774" s="18">
        <f t="shared" si="61"/>
        <v>41882.35</v>
      </c>
      <c r="I1774" s="12"/>
    </row>
    <row r="1775" spans="1:9" s="2" customFormat="1" ht="21.75" customHeight="1" x14ac:dyDescent="0.55000000000000004">
      <c r="A1775" s="18">
        <v>24.772836300000002</v>
      </c>
      <c r="B1775" s="18">
        <v>34.800909699999998</v>
      </c>
      <c r="C1775" s="18">
        <v>682081.57</v>
      </c>
      <c r="D1775" s="18">
        <v>2740993.95</v>
      </c>
      <c r="E1775" s="18">
        <v>305.98</v>
      </c>
      <c r="F1775" s="18">
        <v>41915.14</v>
      </c>
      <c r="G1775" s="18">
        <v>132648</v>
      </c>
      <c r="H1775" s="18">
        <f t="shared" si="61"/>
        <v>41879.14</v>
      </c>
      <c r="I1775" s="12"/>
    </row>
    <row r="1776" spans="1:9" s="2" customFormat="1" ht="21.75" customHeight="1" x14ac:dyDescent="0.55000000000000004">
      <c r="A1776" s="18">
        <v>24.772832099999999</v>
      </c>
      <c r="B1776" s="18">
        <v>34.800881699999998</v>
      </c>
      <c r="C1776" s="18">
        <v>682078.74</v>
      </c>
      <c r="D1776" s="18">
        <v>2740993.45</v>
      </c>
      <c r="E1776" s="18">
        <v>306.07</v>
      </c>
      <c r="F1776" s="18">
        <v>41921.040000000001</v>
      </c>
      <c r="G1776" s="18">
        <v>132650</v>
      </c>
      <c r="H1776" s="18">
        <f t="shared" si="61"/>
        <v>41885.040000000001</v>
      </c>
      <c r="I1776" s="12"/>
    </row>
    <row r="1777" spans="1:9" s="2" customFormat="1" ht="21.75" customHeight="1" x14ac:dyDescent="0.55000000000000004">
      <c r="A1777" s="18">
        <v>24.7728292</v>
      </c>
      <c r="B1777" s="18">
        <v>34.800854000000001</v>
      </c>
      <c r="C1777" s="18">
        <v>682075.95</v>
      </c>
      <c r="D1777" s="18">
        <v>2740993.09</v>
      </c>
      <c r="E1777" s="18">
        <v>306.11</v>
      </c>
      <c r="F1777" s="18">
        <v>41922.18</v>
      </c>
      <c r="G1777" s="18">
        <v>132652</v>
      </c>
      <c r="H1777" s="18">
        <f t="shared" si="61"/>
        <v>41886.18</v>
      </c>
      <c r="I1777" s="12"/>
    </row>
    <row r="1778" spans="1:9" s="2" customFormat="1" ht="21.75" customHeight="1" x14ac:dyDescent="0.55000000000000004">
      <c r="A1778" s="18">
        <v>24.7728252</v>
      </c>
      <c r="B1778" s="18">
        <v>34.800825799999998</v>
      </c>
      <c r="C1778" s="18">
        <v>682073.11</v>
      </c>
      <c r="D1778" s="18">
        <v>2740992.6</v>
      </c>
      <c r="E1778" s="18">
        <v>306.16000000000003</v>
      </c>
      <c r="F1778" s="18">
        <v>41924.089999999997</v>
      </c>
      <c r="G1778" s="18">
        <v>132654</v>
      </c>
      <c r="H1778" s="18">
        <f t="shared" si="61"/>
        <v>41888.089999999997</v>
      </c>
      <c r="I1778" s="12"/>
    </row>
    <row r="1779" spans="1:9" s="2" customFormat="1" ht="21.75" customHeight="1" x14ac:dyDescent="0.55000000000000004">
      <c r="A1779" s="18">
        <v>24.772822399999999</v>
      </c>
      <c r="B1779" s="18">
        <v>34.800797899999999</v>
      </c>
      <c r="C1779" s="18">
        <v>682070.29</v>
      </c>
      <c r="D1779" s="18">
        <v>2740992.25</v>
      </c>
      <c r="E1779" s="18">
        <v>306.16000000000003</v>
      </c>
      <c r="F1779" s="18">
        <v>41923.69</v>
      </c>
      <c r="G1779" s="18">
        <v>132656</v>
      </c>
      <c r="H1779" s="18">
        <f t="shared" si="61"/>
        <v>41887.69</v>
      </c>
      <c r="I1779" s="12"/>
    </row>
    <row r="1780" spans="1:9" s="2" customFormat="1" ht="21.75" customHeight="1" x14ac:dyDescent="0.55000000000000004">
      <c r="A1780" s="18">
        <v>24.772822099999999</v>
      </c>
      <c r="B1780" s="18">
        <v>34.800773999999997</v>
      </c>
      <c r="C1780" s="18">
        <v>682067.87</v>
      </c>
      <c r="D1780" s="18">
        <v>2740992.19</v>
      </c>
      <c r="E1780" s="18">
        <v>306.14</v>
      </c>
      <c r="F1780" s="18">
        <v>41921.21</v>
      </c>
      <c r="G1780" s="18">
        <v>132658</v>
      </c>
      <c r="H1780" s="18">
        <f t="shared" si="61"/>
        <v>41885.21</v>
      </c>
      <c r="I1780" s="12"/>
    </row>
    <row r="1781" spans="1:9" s="2" customFormat="1" ht="21.75" customHeight="1" x14ac:dyDescent="0.55000000000000004">
      <c r="A1781" s="18">
        <v>24.772821700000001</v>
      </c>
      <c r="B1781" s="18">
        <v>34.800748499999997</v>
      </c>
      <c r="C1781" s="18">
        <v>682065.29</v>
      </c>
      <c r="D1781" s="18">
        <v>2740992.11</v>
      </c>
      <c r="E1781" s="18">
        <v>306.04000000000002</v>
      </c>
      <c r="F1781" s="18">
        <v>41919.15</v>
      </c>
      <c r="G1781" s="18">
        <v>132700</v>
      </c>
      <c r="H1781" s="18">
        <f t="shared" si="61"/>
        <v>41883.15</v>
      </c>
      <c r="I1781" s="12"/>
    </row>
    <row r="1782" spans="1:9" s="2" customFormat="1" ht="21.75" customHeight="1" x14ac:dyDescent="0.55000000000000004">
      <c r="A1782" s="18">
        <v>24.772831799999999</v>
      </c>
      <c r="B1782" s="18">
        <v>34.800723099999999</v>
      </c>
      <c r="C1782" s="18">
        <v>682062.71</v>
      </c>
      <c r="D1782" s="18">
        <v>2740993.19</v>
      </c>
      <c r="E1782" s="18">
        <v>306.04000000000002</v>
      </c>
      <c r="F1782" s="18">
        <v>41919.769999999997</v>
      </c>
      <c r="G1782" s="18">
        <v>132702</v>
      </c>
      <c r="H1782" s="18">
        <f t="shared" si="61"/>
        <v>41883.769999999997</v>
      </c>
      <c r="I1782" s="12"/>
    </row>
    <row r="1783" spans="1:9" s="2" customFormat="1" ht="21.75" customHeight="1" x14ac:dyDescent="0.55000000000000004">
      <c r="A1783" s="18">
        <v>24.7728523</v>
      </c>
      <c r="B1783" s="18">
        <v>34.800713899999998</v>
      </c>
      <c r="C1783" s="18">
        <v>682061.75</v>
      </c>
      <c r="D1783" s="18">
        <v>2740995.46</v>
      </c>
      <c r="E1783" s="18">
        <v>306.35000000000002</v>
      </c>
      <c r="F1783" s="18">
        <v>41918.410000000003</v>
      </c>
      <c r="G1783" s="18">
        <v>132704</v>
      </c>
      <c r="H1783" s="18">
        <f t="shared" si="61"/>
        <v>41882.410000000003</v>
      </c>
      <c r="I1783" s="12"/>
    </row>
    <row r="1784" spans="1:9" s="2" customFormat="1" ht="21.75" customHeight="1" x14ac:dyDescent="0.55000000000000004">
      <c r="A1784" s="18">
        <v>24.772868899999999</v>
      </c>
      <c r="B1784" s="18">
        <v>34.800697999999997</v>
      </c>
      <c r="C1784" s="18">
        <v>682060.11</v>
      </c>
      <c r="D1784" s="18">
        <v>2740997.28</v>
      </c>
      <c r="E1784" s="18">
        <v>306.58999999999997</v>
      </c>
      <c r="F1784" s="18">
        <v>41921.9</v>
      </c>
      <c r="G1784" s="18">
        <v>132706</v>
      </c>
      <c r="H1784" s="18">
        <f t="shared" si="61"/>
        <v>41885.9</v>
      </c>
      <c r="I1784" s="12"/>
    </row>
    <row r="1785" spans="1:9" s="2" customFormat="1" ht="21.75" customHeight="1" x14ac:dyDescent="0.55000000000000004">
      <c r="A1785" s="18">
        <v>24.772881600000002</v>
      </c>
      <c r="B1785" s="18">
        <v>34.800678599999998</v>
      </c>
      <c r="C1785" s="18">
        <v>682058.13</v>
      </c>
      <c r="D1785" s="18">
        <v>2740998.66</v>
      </c>
      <c r="E1785" s="18">
        <v>306.87</v>
      </c>
      <c r="F1785" s="18">
        <v>41924.65</v>
      </c>
      <c r="G1785" s="18">
        <v>132708</v>
      </c>
      <c r="H1785" s="18">
        <f t="shared" si="61"/>
        <v>41888.65</v>
      </c>
      <c r="I1785" s="12"/>
    </row>
    <row r="1786" spans="1:9" s="2" customFormat="1" ht="21.75" customHeight="1" x14ac:dyDescent="0.55000000000000004">
      <c r="A1786" s="18">
        <v>24.7728936</v>
      </c>
      <c r="B1786" s="18">
        <v>34.8006575</v>
      </c>
      <c r="C1786" s="18">
        <v>682055.98</v>
      </c>
      <c r="D1786" s="18">
        <v>2740999.95</v>
      </c>
      <c r="E1786" s="18">
        <v>307.08</v>
      </c>
      <c r="F1786" s="18">
        <v>41924.6</v>
      </c>
      <c r="G1786" s="18">
        <v>132710</v>
      </c>
      <c r="H1786" s="18">
        <f t="shared" si="61"/>
        <v>41888.6</v>
      </c>
      <c r="I1786" s="12"/>
    </row>
    <row r="1787" spans="1:9" s="2" customFormat="1" ht="21.75" customHeight="1" x14ac:dyDescent="0.55000000000000004">
      <c r="A1787" s="18">
        <v>24.772908000000001</v>
      </c>
      <c r="B1787" s="18">
        <v>34.800638399999997</v>
      </c>
      <c r="C1787" s="18">
        <v>682054.03</v>
      </c>
      <c r="D1787" s="18">
        <v>2741001.52</v>
      </c>
      <c r="E1787" s="18">
        <v>307.25</v>
      </c>
      <c r="F1787" s="18">
        <v>41925.019999999997</v>
      </c>
      <c r="G1787" s="18">
        <v>132712</v>
      </c>
      <c r="H1787" s="18">
        <f t="shared" si="61"/>
        <v>41889.019999999997</v>
      </c>
      <c r="I1787" s="12"/>
    </row>
    <row r="1788" spans="1:9" s="2" customFormat="1" ht="21.75" customHeight="1" x14ac:dyDescent="0.55000000000000004">
      <c r="A1788" s="18">
        <v>24.772923500000001</v>
      </c>
      <c r="B1788" s="18">
        <v>34.800617299999999</v>
      </c>
      <c r="C1788" s="18">
        <v>682051.87</v>
      </c>
      <c r="D1788" s="18">
        <v>2741003.22</v>
      </c>
      <c r="E1788" s="18">
        <v>307.39</v>
      </c>
      <c r="F1788" s="18">
        <v>41922.720000000001</v>
      </c>
      <c r="G1788" s="18">
        <v>132714</v>
      </c>
      <c r="H1788" s="18">
        <f t="shared" si="61"/>
        <v>41886.720000000001</v>
      </c>
      <c r="I1788" s="12"/>
    </row>
    <row r="1789" spans="1:9" s="2" customFormat="1" ht="21.75" customHeight="1" x14ac:dyDescent="0.55000000000000004">
      <c r="A1789" s="18">
        <v>24.772935499999999</v>
      </c>
      <c r="B1789" s="18">
        <v>34.800600000000003</v>
      </c>
      <c r="C1789" s="18">
        <v>682050.1</v>
      </c>
      <c r="D1789" s="18">
        <v>2741004.52</v>
      </c>
      <c r="E1789" s="18">
        <v>307.56</v>
      </c>
      <c r="F1789" s="18">
        <v>41921.35</v>
      </c>
      <c r="G1789" s="18">
        <v>132716</v>
      </c>
      <c r="H1789" s="18">
        <f t="shared" si="61"/>
        <v>41885.35</v>
      </c>
      <c r="I1789" s="12"/>
    </row>
    <row r="1790" spans="1:9" s="2" customFormat="1" ht="21.75" customHeight="1" x14ac:dyDescent="0.55000000000000004">
      <c r="A1790" s="18">
        <v>24.7729459</v>
      </c>
      <c r="B1790" s="18">
        <v>34.800580699999998</v>
      </c>
      <c r="C1790" s="18">
        <v>682048.14</v>
      </c>
      <c r="D1790" s="18">
        <v>2741005.64</v>
      </c>
      <c r="E1790" s="18">
        <v>307.49</v>
      </c>
      <c r="F1790" s="18">
        <v>41923.51</v>
      </c>
      <c r="G1790" s="18">
        <v>132718</v>
      </c>
      <c r="H1790" s="18">
        <f t="shared" si="61"/>
        <v>41887.51</v>
      </c>
      <c r="I1790" s="12"/>
    </row>
    <row r="1791" spans="1:9" s="2" customFormat="1" ht="21.75" customHeight="1" x14ac:dyDescent="0.55000000000000004">
      <c r="A1791" s="18">
        <v>24.772964300000002</v>
      </c>
      <c r="B1791" s="18">
        <v>34.800553499999999</v>
      </c>
      <c r="C1791" s="18">
        <v>682045.36</v>
      </c>
      <c r="D1791" s="18">
        <v>2741007.65</v>
      </c>
      <c r="E1791" s="18">
        <v>306.98</v>
      </c>
      <c r="F1791" s="18">
        <v>41922.86</v>
      </c>
      <c r="G1791" s="18">
        <v>132720</v>
      </c>
      <c r="H1791" s="18">
        <f t="shared" si="61"/>
        <v>41886.86</v>
      </c>
      <c r="I1791" s="12"/>
    </row>
    <row r="1792" spans="1:9" s="2" customFormat="1" ht="21.75" customHeight="1" x14ac:dyDescent="0.55000000000000004">
      <c r="A1792" s="18">
        <v>24.7729797</v>
      </c>
      <c r="B1792" s="18">
        <v>34.800532500000003</v>
      </c>
      <c r="C1792" s="18">
        <v>682043.21</v>
      </c>
      <c r="D1792" s="18">
        <v>2741009.33</v>
      </c>
      <c r="E1792" s="18">
        <v>307.19</v>
      </c>
      <c r="F1792" s="18">
        <v>41923.050000000003</v>
      </c>
      <c r="G1792" s="18">
        <v>132722</v>
      </c>
      <c r="H1792" s="18">
        <f t="shared" si="61"/>
        <v>41887.050000000003</v>
      </c>
      <c r="I1792" s="12"/>
    </row>
    <row r="1793" spans="1:9" s="2" customFormat="1" ht="21.75" customHeight="1" x14ac:dyDescent="0.55000000000000004">
      <c r="A1793" s="18">
        <v>24.772996899999999</v>
      </c>
      <c r="B1793" s="18">
        <v>34.800511999999998</v>
      </c>
      <c r="C1793" s="18">
        <v>682041.11</v>
      </c>
      <c r="D1793" s="18">
        <v>2741011.2</v>
      </c>
      <c r="E1793" s="18">
        <v>307.58999999999997</v>
      </c>
      <c r="F1793" s="18">
        <v>41923.199999999997</v>
      </c>
      <c r="G1793" s="18">
        <v>132724</v>
      </c>
      <c r="H1793" s="18">
        <f t="shared" si="61"/>
        <v>41887.199999999997</v>
      </c>
      <c r="I1793" s="12"/>
    </row>
    <row r="1794" spans="1:9" s="2" customFormat="1" ht="21.75" customHeight="1" x14ac:dyDescent="0.55000000000000004">
      <c r="A1794" s="18">
        <v>24.773008699999998</v>
      </c>
      <c r="B1794" s="18">
        <v>34.800491899999997</v>
      </c>
      <c r="C1794" s="18">
        <v>682039.07</v>
      </c>
      <c r="D1794" s="18">
        <v>2741012.49</v>
      </c>
      <c r="E1794" s="18">
        <v>308.13</v>
      </c>
      <c r="F1794" s="18">
        <v>41927.040000000001</v>
      </c>
      <c r="G1794" s="18">
        <v>132726</v>
      </c>
      <c r="H1794" s="18">
        <f t="shared" si="61"/>
        <v>41891.040000000001</v>
      </c>
      <c r="I1794" s="12"/>
    </row>
    <row r="1795" spans="1:9" s="2" customFormat="1" ht="21.75" customHeight="1" x14ac:dyDescent="0.55000000000000004">
      <c r="A1795" s="18">
        <v>24.773014799999999</v>
      </c>
      <c r="B1795" s="18">
        <v>34.800476000000003</v>
      </c>
      <c r="C1795" s="18">
        <v>682037.45</v>
      </c>
      <c r="D1795" s="18">
        <v>2741013.13</v>
      </c>
      <c r="E1795" s="18">
        <v>308.81</v>
      </c>
      <c r="F1795" s="18">
        <v>41927.82</v>
      </c>
      <c r="G1795" s="18">
        <v>132728</v>
      </c>
      <c r="H1795" s="18">
        <f t="shared" si="61"/>
        <v>41891.82</v>
      </c>
      <c r="I1795" s="12"/>
    </row>
    <row r="1796" spans="1:9" s="2" customFormat="1" ht="21.75" customHeight="1" x14ac:dyDescent="0.55000000000000004">
      <c r="A1796" s="18">
        <v>24.7730237</v>
      </c>
      <c r="B1796" s="18">
        <v>34.8004581</v>
      </c>
      <c r="C1796" s="18">
        <v>682035.63</v>
      </c>
      <c r="D1796" s="18">
        <v>2741014.1</v>
      </c>
      <c r="E1796" s="18">
        <v>309.48</v>
      </c>
      <c r="F1796" s="18">
        <v>41927.24</v>
      </c>
      <c r="G1796" s="18">
        <v>132730</v>
      </c>
      <c r="H1796" s="18">
        <f t="shared" si="61"/>
        <v>41891.24</v>
      </c>
      <c r="I1796" s="12"/>
    </row>
    <row r="1797" spans="1:9" s="2" customFormat="1" ht="21.75" customHeight="1" x14ac:dyDescent="0.55000000000000004">
      <c r="A1797" s="18">
        <v>24.773035799999999</v>
      </c>
      <c r="B1797" s="18">
        <v>34.800448799999998</v>
      </c>
      <c r="C1797" s="18">
        <v>682034.66</v>
      </c>
      <c r="D1797" s="18">
        <v>2741015.43</v>
      </c>
      <c r="E1797" s="18">
        <v>309.89</v>
      </c>
      <c r="F1797" s="18">
        <v>41926.17</v>
      </c>
      <c r="G1797" s="18">
        <v>132732</v>
      </c>
      <c r="H1797" s="18">
        <f t="shared" si="61"/>
        <v>41890.17</v>
      </c>
      <c r="I1797" s="12"/>
    </row>
    <row r="1798" spans="1:9" s="2" customFormat="1" ht="21.75" customHeight="1" x14ac:dyDescent="0.55000000000000004">
      <c r="A1798" s="18">
        <v>24.7730432</v>
      </c>
      <c r="B1798" s="18">
        <v>34.800434299999999</v>
      </c>
      <c r="C1798" s="18">
        <v>682033.19</v>
      </c>
      <c r="D1798" s="18">
        <v>2741016.23</v>
      </c>
      <c r="E1798" s="18">
        <v>310.37</v>
      </c>
      <c r="F1798" s="18">
        <v>41924.36</v>
      </c>
      <c r="G1798" s="18">
        <v>132734</v>
      </c>
      <c r="H1798" s="18">
        <f t="shared" si="61"/>
        <v>41888.36</v>
      </c>
      <c r="I1798" s="12"/>
    </row>
    <row r="1799" spans="1:9" s="2" customFormat="1" ht="21.75" customHeight="1" x14ac:dyDescent="0.55000000000000004">
      <c r="A1799" s="18">
        <v>24.7730557</v>
      </c>
      <c r="B1799" s="18">
        <v>34.800425199999999</v>
      </c>
      <c r="C1799" s="18">
        <v>682032.26</v>
      </c>
      <c r="D1799" s="18">
        <v>2741017.6</v>
      </c>
      <c r="E1799" s="18">
        <v>310.77999999999997</v>
      </c>
      <c r="F1799" s="18">
        <v>41925.800000000003</v>
      </c>
      <c r="G1799" s="18">
        <v>132736</v>
      </c>
      <c r="H1799" s="18">
        <f t="shared" si="61"/>
        <v>41889.800000000003</v>
      </c>
      <c r="I1799" s="12"/>
    </row>
    <row r="1800" spans="1:9" s="2" customFormat="1" ht="21.75" customHeight="1" x14ac:dyDescent="0.55000000000000004">
      <c r="A1800" s="18">
        <v>24.773067900000001</v>
      </c>
      <c r="B1800" s="18">
        <v>34.800410800000002</v>
      </c>
      <c r="C1800" s="18">
        <v>682030.78</v>
      </c>
      <c r="D1800" s="18">
        <v>2741018.93</v>
      </c>
      <c r="E1800" s="18">
        <v>311.27999999999997</v>
      </c>
      <c r="F1800" s="18">
        <v>41924.71</v>
      </c>
      <c r="G1800" s="18">
        <v>132738</v>
      </c>
      <c r="H1800" s="18">
        <f t="shared" si="61"/>
        <v>41888.71</v>
      </c>
      <c r="I1800" s="12"/>
    </row>
    <row r="1801" spans="1:9" s="2" customFormat="1" ht="21.75" customHeight="1" x14ac:dyDescent="0.55000000000000004">
      <c r="A1801" s="18">
        <v>24.773078999999999</v>
      </c>
      <c r="B1801" s="18">
        <v>34.800398800000004</v>
      </c>
      <c r="C1801" s="18">
        <v>682029.55</v>
      </c>
      <c r="D1801" s="18">
        <v>2741020.15</v>
      </c>
      <c r="E1801" s="18">
        <v>311.87</v>
      </c>
      <c r="F1801" s="18">
        <v>41924.46</v>
      </c>
      <c r="G1801" s="18">
        <v>132740</v>
      </c>
      <c r="H1801" s="18">
        <f t="shared" si="61"/>
        <v>41888.46</v>
      </c>
      <c r="I1801" s="12"/>
    </row>
    <row r="1802" spans="1:9" s="2" customFormat="1" ht="21.75" customHeight="1" x14ac:dyDescent="0.55000000000000004">
      <c r="A1802" s="18">
        <v>24.773093100000001</v>
      </c>
      <c r="B1802" s="18">
        <v>34.800392899999999</v>
      </c>
      <c r="C1802" s="18">
        <v>682028.93</v>
      </c>
      <c r="D1802" s="18">
        <v>2741021.7</v>
      </c>
      <c r="E1802" s="18">
        <v>312.29000000000002</v>
      </c>
      <c r="F1802" s="18">
        <v>41924.86</v>
      </c>
      <c r="G1802" s="18">
        <v>132742</v>
      </c>
      <c r="H1802" s="18">
        <f t="shared" si="61"/>
        <v>41888.86</v>
      </c>
      <c r="I1802" s="12"/>
    </row>
    <row r="1803" spans="1:9" s="2" customFormat="1" ht="21.75" customHeight="1" x14ac:dyDescent="0.55000000000000004">
      <c r="A1803" s="18">
        <v>24.773107199999998</v>
      </c>
      <c r="B1803" s="18">
        <v>34.800388599999998</v>
      </c>
      <c r="C1803" s="18">
        <v>682028.47</v>
      </c>
      <c r="D1803" s="18">
        <v>2741023.26</v>
      </c>
      <c r="E1803" s="18">
        <v>311.95999999999998</v>
      </c>
      <c r="F1803" s="18">
        <v>41921.89</v>
      </c>
      <c r="G1803" s="18">
        <v>132744</v>
      </c>
      <c r="H1803" s="18">
        <f t="shared" si="61"/>
        <v>41885.89</v>
      </c>
      <c r="I1803" s="12"/>
    </row>
    <row r="1804" spans="1:9" s="2" customFormat="1" ht="21.75" customHeight="1" x14ac:dyDescent="0.55000000000000004">
      <c r="A1804" s="18">
        <v>24.773122799999999</v>
      </c>
      <c r="B1804" s="18">
        <v>34.8003833</v>
      </c>
      <c r="C1804" s="18">
        <v>682027.92</v>
      </c>
      <c r="D1804" s="18">
        <v>2741024.97</v>
      </c>
      <c r="E1804" s="18">
        <v>311.22000000000003</v>
      </c>
      <c r="F1804" s="18">
        <v>41921.14</v>
      </c>
      <c r="G1804" s="18">
        <v>132746</v>
      </c>
      <c r="H1804" s="18">
        <f t="shared" si="61"/>
        <v>41885.14</v>
      </c>
      <c r="I1804" s="12"/>
    </row>
    <row r="1805" spans="1:9" s="2" customFormat="1" ht="21.75" customHeight="1" x14ac:dyDescent="0.55000000000000004">
      <c r="A1805" s="18">
        <v>24.7731335</v>
      </c>
      <c r="B1805" s="18">
        <v>34.8003748</v>
      </c>
      <c r="C1805" s="18">
        <v>682027.04</v>
      </c>
      <c r="D1805" s="18">
        <v>2741026.16</v>
      </c>
      <c r="E1805" s="18">
        <v>310.8</v>
      </c>
      <c r="F1805" s="18">
        <v>41923.33</v>
      </c>
      <c r="G1805" s="18">
        <v>132748</v>
      </c>
      <c r="H1805" s="18">
        <f t="shared" ref="H1805:H1868" si="62">SUM(F1805-36)</f>
        <v>41887.33</v>
      </c>
      <c r="I1805" s="12"/>
    </row>
    <row r="1806" spans="1:9" s="2" customFormat="1" ht="21.75" customHeight="1" x14ac:dyDescent="0.55000000000000004">
      <c r="A1806" s="18">
        <v>24.773145499999998</v>
      </c>
      <c r="B1806" s="18">
        <v>34.800355400000001</v>
      </c>
      <c r="C1806" s="18">
        <v>682025.06</v>
      </c>
      <c r="D1806" s="18">
        <v>2741027.46</v>
      </c>
      <c r="E1806" s="18">
        <v>310.45999999999998</v>
      </c>
      <c r="F1806" s="18">
        <v>41921.919999999998</v>
      </c>
      <c r="G1806" s="18">
        <v>132750</v>
      </c>
      <c r="H1806" s="18">
        <f t="shared" si="62"/>
        <v>41885.919999999998</v>
      </c>
      <c r="I1806" s="12"/>
    </row>
    <row r="1807" spans="1:9" s="2" customFormat="1" ht="21.75" customHeight="1" x14ac:dyDescent="0.55000000000000004">
      <c r="A1807" s="18">
        <v>24.773145299999999</v>
      </c>
      <c r="B1807" s="18">
        <v>34.800336299999998</v>
      </c>
      <c r="C1807" s="18">
        <v>682023.13</v>
      </c>
      <c r="D1807" s="18">
        <v>2741027.41</v>
      </c>
      <c r="E1807" s="18">
        <v>310.62</v>
      </c>
      <c r="F1807" s="18">
        <v>41922.639999999999</v>
      </c>
      <c r="G1807" s="18">
        <v>132752</v>
      </c>
      <c r="H1807" s="18">
        <f t="shared" si="62"/>
        <v>41886.639999999999</v>
      </c>
      <c r="I1807" s="12"/>
    </row>
    <row r="1808" spans="1:9" s="2" customFormat="1" ht="21.75" customHeight="1" x14ac:dyDescent="0.55000000000000004">
      <c r="A1808" s="18">
        <v>24.773147600000001</v>
      </c>
      <c r="B1808" s="18">
        <v>34.800316700000003</v>
      </c>
      <c r="C1808" s="18">
        <v>682021.15</v>
      </c>
      <c r="D1808" s="18">
        <v>2741027.64</v>
      </c>
      <c r="E1808" s="18">
        <v>310.73</v>
      </c>
      <c r="F1808" s="18">
        <v>41928.99</v>
      </c>
      <c r="G1808" s="18">
        <v>132754</v>
      </c>
      <c r="H1808" s="18">
        <f t="shared" si="62"/>
        <v>41892.99</v>
      </c>
      <c r="I1808" s="12"/>
    </row>
    <row r="1809" spans="1:9" s="2" customFormat="1" ht="21.75" customHeight="1" x14ac:dyDescent="0.55000000000000004">
      <c r="A1809" s="18">
        <v>24.773158299999999</v>
      </c>
      <c r="B1809" s="18">
        <v>34.800298599999998</v>
      </c>
      <c r="C1809" s="18">
        <v>682019.3</v>
      </c>
      <c r="D1809" s="18">
        <v>2741028.8</v>
      </c>
      <c r="E1809" s="18">
        <v>310.81</v>
      </c>
      <c r="F1809" s="18">
        <v>41924.269999999997</v>
      </c>
      <c r="G1809" s="18">
        <v>132756</v>
      </c>
      <c r="H1809" s="18">
        <f t="shared" si="62"/>
        <v>41888.269999999997</v>
      </c>
      <c r="I1809" s="12"/>
    </row>
    <row r="1810" spans="1:9" s="2" customFormat="1" ht="21.75" customHeight="1" x14ac:dyDescent="0.55000000000000004">
      <c r="A1810" s="18">
        <v>24.7731736</v>
      </c>
      <c r="B1810" s="18">
        <v>34.800284499999997</v>
      </c>
      <c r="C1810" s="18">
        <v>682017.86</v>
      </c>
      <c r="D1810" s="18">
        <v>2741030.47</v>
      </c>
      <c r="E1810" s="18">
        <v>310.69</v>
      </c>
      <c r="F1810" s="18">
        <v>41922.699999999997</v>
      </c>
      <c r="G1810" s="18">
        <v>132758</v>
      </c>
      <c r="H1810" s="18">
        <f t="shared" si="62"/>
        <v>41886.699999999997</v>
      </c>
      <c r="I1810" s="12"/>
    </row>
    <row r="1811" spans="1:9" s="2" customFormat="1" ht="21.75" customHeight="1" x14ac:dyDescent="0.55000000000000004">
      <c r="A1811" s="18">
        <v>24.773189299999999</v>
      </c>
      <c r="B1811" s="18">
        <v>34.800262699999998</v>
      </c>
      <c r="C1811" s="18">
        <v>682015.63</v>
      </c>
      <c r="D1811" s="18">
        <v>2741032.18</v>
      </c>
      <c r="E1811" s="18">
        <v>310.67</v>
      </c>
      <c r="F1811" s="18">
        <v>41924.230000000003</v>
      </c>
      <c r="G1811" s="18">
        <v>132800</v>
      </c>
      <c r="H1811" s="18">
        <f t="shared" si="62"/>
        <v>41888.230000000003</v>
      </c>
      <c r="I1811" s="12"/>
    </row>
    <row r="1812" spans="1:9" s="2" customFormat="1" ht="21.75" customHeight="1" x14ac:dyDescent="0.55000000000000004">
      <c r="A1812" s="18">
        <v>24.7732022</v>
      </c>
      <c r="B1812" s="18">
        <v>34.800244300000003</v>
      </c>
      <c r="C1812" s="18">
        <v>682013.75</v>
      </c>
      <c r="D1812" s="18">
        <v>2741033.59</v>
      </c>
      <c r="E1812" s="18">
        <v>310.86</v>
      </c>
      <c r="F1812" s="18">
        <v>41922.83</v>
      </c>
      <c r="G1812" s="18">
        <v>132802</v>
      </c>
      <c r="H1812" s="18">
        <f t="shared" si="62"/>
        <v>41886.83</v>
      </c>
      <c r="I1812" s="12"/>
    </row>
    <row r="1813" spans="1:9" s="2" customFormat="1" ht="21.75" customHeight="1" x14ac:dyDescent="0.55000000000000004">
      <c r="A1813" s="18">
        <v>24.773216000000001</v>
      </c>
      <c r="B1813" s="18">
        <v>34.800227900000003</v>
      </c>
      <c r="C1813" s="18">
        <v>682012.07</v>
      </c>
      <c r="D1813" s="18">
        <v>2741035.09</v>
      </c>
      <c r="E1813" s="18">
        <v>310.89</v>
      </c>
      <c r="F1813" s="18">
        <v>41923.08</v>
      </c>
      <c r="G1813" s="18">
        <v>132804</v>
      </c>
      <c r="H1813" s="18">
        <f t="shared" si="62"/>
        <v>41887.08</v>
      </c>
      <c r="I1813" s="12"/>
    </row>
    <row r="1814" spans="1:9" s="2" customFormat="1" ht="21.75" customHeight="1" x14ac:dyDescent="0.55000000000000004">
      <c r="A1814" s="18">
        <v>24.773230099999999</v>
      </c>
      <c r="B1814" s="18">
        <v>34.800208599999998</v>
      </c>
      <c r="C1814" s="18">
        <v>682010.09</v>
      </c>
      <c r="D1814" s="18">
        <v>2741036.63</v>
      </c>
      <c r="E1814" s="18">
        <v>311.02</v>
      </c>
      <c r="F1814" s="18">
        <v>41922.589999999997</v>
      </c>
      <c r="G1814" s="18">
        <v>132806</v>
      </c>
      <c r="H1814" s="18">
        <f t="shared" si="62"/>
        <v>41886.589999999997</v>
      </c>
      <c r="I1814" s="12"/>
    </row>
    <row r="1815" spans="1:9" s="2" customFormat="1" ht="21.75" customHeight="1" x14ac:dyDescent="0.55000000000000004">
      <c r="A1815" s="18">
        <v>24.773241500000001</v>
      </c>
      <c r="B1815" s="18">
        <v>34.800185300000003</v>
      </c>
      <c r="C1815" s="18">
        <v>682007.73</v>
      </c>
      <c r="D1815" s="18">
        <v>2741037.86</v>
      </c>
      <c r="E1815" s="18">
        <v>311.19</v>
      </c>
      <c r="F1815" s="18">
        <v>41924.33</v>
      </c>
      <c r="G1815" s="18">
        <v>132808</v>
      </c>
      <c r="H1815" s="18">
        <f t="shared" si="62"/>
        <v>41888.33</v>
      </c>
      <c r="I1815" s="12"/>
    </row>
    <row r="1816" spans="1:9" s="2" customFormat="1" ht="21.75" customHeight="1" x14ac:dyDescent="0.55000000000000004">
      <c r="A1816" s="18">
        <v>24.773252899999999</v>
      </c>
      <c r="B1816" s="18">
        <v>34.800162899999997</v>
      </c>
      <c r="C1816" s="18">
        <v>682005.44</v>
      </c>
      <c r="D1816" s="18">
        <v>2741039.1</v>
      </c>
      <c r="E1816" s="18">
        <v>311.32</v>
      </c>
      <c r="F1816" s="18">
        <v>41923.4</v>
      </c>
      <c r="G1816" s="18">
        <v>132810</v>
      </c>
      <c r="H1816" s="18">
        <f t="shared" si="62"/>
        <v>41887.4</v>
      </c>
      <c r="I1816" s="12"/>
    </row>
    <row r="1817" spans="1:9" s="2" customFormat="1" ht="21.75" customHeight="1" x14ac:dyDescent="0.55000000000000004">
      <c r="A1817" s="18">
        <v>24.7732648</v>
      </c>
      <c r="B1817" s="18">
        <v>34.800141099999998</v>
      </c>
      <c r="C1817" s="18">
        <v>682003.22</v>
      </c>
      <c r="D1817" s="18">
        <v>2741040.38</v>
      </c>
      <c r="E1817" s="18">
        <v>311.43</v>
      </c>
      <c r="F1817" s="18">
        <v>41923.93</v>
      </c>
      <c r="G1817" s="18">
        <v>132812</v>
      </c>
      <c r="H1817" s="18">
        <f t="shared" si="62"/>
        <v>41887.93</v>
      </c>
      <c r="I1817" s="12"/>
    </row>
    <row r="1818" spans="1:9" s="2" customFormat="1" ht="21.75" customHeight="1" x14ac:dyDescent="0.55000000000000004">
      <c r="A1818" s="18">
        <v>24.7732794</v>
      </c>
      <c r="B1818" s="18">
        <v>34.800119899999999</v>
      </c>
      <c r="C1818" s="18">
        <v>682001.05</v>
      </c>
      <c r="D1818" s="18">
        <v>2741041.97</v>
      </c>
      <c r="E1818" s="18">
        <v>311.43</v>
      </c>
      <c r="F1818" s="18">
        <v>41922.559999999998</v>
      </c>
      <c r="G1818" s="18">
        <v>132814</v>
      </c>
      <c r="H1818" s="18">
        <f t="shared" si="62"/>
        <v>41886.559999999998</v>
      </c>
      <c r="I1818" s="12"/>
    </row>
    <row r="1819" spans="1:9" s="2" customFormat="1" ht="21.75" customHeight="1" x14ac:dyDescent="0.55000000000000004">
      <c r="A1819" s="18">
        <v>24.773292300000001</v>
      </c>
      <c r="B1819" s="18">
        <v>34.8001042</v>
      </c>
      <c r="C1819" s="18">
        <v>681999.45</v>
      </c>
      <c r="D1819" s="18">
        <v>2741043.38</v>
      </c>
      <c r="E1819" s="18">
        <v>311.56</v>
      </c>
      <c r="F1819" s="18">
        <v>41925.760000000002</v>
      </c>
      <c r="G1819" s="18">
        <v>132816</v>
      </c>
      <c r="H1819" s="18">
        <f t="shared" si="62"/>
        <v>41889.760000000002</v>
      </c>
      <c r="I1819" s="12"/>
    </row>
    <row r="1820" spans="1:9" s="2" customFormat="1" ht="21.75" customHeight="1" x14ac:dyDescent="0.55000000000000004">
      <c r="A1820" s="18">
        <v>24.7733077</v>
      </c>
      <c r="B1820" s="18">
        <v>34.800085899999999</v>
      </c>
      <c r="C1820" s="18">
        <v>681997.58</v>
      </c>
      <c r="D1820" s="18">
        <v>2741045.07</v>
      </c>
      <c r="E1820" s="18">
        <v>311.54000000000002</v>
      </c>
      <c r="F1820" s="18">
        <v>41924.959999999999</v>
      </c>
      <c r="G1820" s="18">
        <v>132818</v>
      </c>
      <c r="H1820" s="18">
        <f t="shared" si="62"/>
        <v>41888.959999999999</v>
      </c>
      <c r="I1820" s="12"/>
    </row>
    <row r="1821" spans="1:9" s="2" customFormat="1" ht="21.75" customHeight="1" x14ac:dyDescent="0.55000000000000004">
      <c r="A1821" s="18">
        <v>24.773324599999999</v>
      </c>
      <c r="B1821" s="18">
        <v>34.800071899999999</v>
      </c>
      <c r="C1821" s="18">
        <v>681996.14</v>
      </c>
      <c r="D1821" s="18">
        <v>2741046.92</v>
      </c>
      <c r="E1821" s="18">
        <v>311.52</v>
      </c>
      <c r="F1821" s="18">
        <v>41926.35</v>
      </c>
      <c r="G1821" s="18">
        <v>132820</v>
      </c>
      <c r="H1821" s="18">
        <f t="shared" si="62"/>
        <v>41890.35</v>
      </c>
      <c r="I1821" s="12"/>
    </row>
    <row r="1822" spans="1:9" s="2" customFormat="1" ht="21.75" customHeight="1" x14ac:dyDescent="0.55000000000000004">
      <c r="A1822" s="18">
        <v>24.773342299999999</v>
      </c>
      <c r="B1822" s="18">
        <v>34.800063899999998</v>
      </c>
      <c r="C1822" s="18">
        <v>681995.3</v>
      </c>
      <c r="D1822" s="18">
        <v>2741048.86</v>
      </c>
      <c r="E1822" s="18">
        <v>311.39999999999998</v>
      </c>
      <c r="F1822" s="18">
        <v>41924.559999999998</v>
      </c>
      <c r="G1822" s="18">
        <v>132822</v>
      </c>
      <c r="H1822" s="18">
        <f t="shared" si="62"/>
        <v>41888.559999999998</v>
      </c>
      <c r="I1822" s="12"/>
    </row>
    <row r="1823" spans="1:9" s="2" customFormat="1" ht="21.75" customHeight="1" x14ac:dyDescent="0.55000000000000004">
      <c r="A1823" s="18">
        <v>24.7733569</v>
      </c>
      <c r="B1823" s="18">
        <v>34.800045699999998</v>
      </c>
      <c r="C1823" s="18">
        <v>681993.44</v>
      </c>
      <c r="D1823" s="18">
        <v>2741050.46</v>
      </c>
      <c r="E1823" s="18">
        <v>311.39</v>
      </c>
      <c r="F1823" s="18">
        <v>41927.1</v>
      </c>
      <c r="G1823" s="18">
        <v>132824</v>
      </c>
      <c r="H1823" s="18">
        <f t="shared" si="62"/>
        <v>41891.1</v>
      </c>
      <c r="I1823" s="12"/>
    </row>
    <row r="1824" spans="1:9" s="2" customFormat="1" ht="21.75" customHeight="1" x14ac:dyDescent="0.55000000000000004">
      <c r="A1824" s="18">
        <v>24.773361099999999</v>
      </c>
      <c r="B1824" s="18">
        <v>34.800023899999999</v>
      </c>
      <c r="C1824" s="18">
        <v>681991.22</v>
      </c>
      <c r="D1824" s="18">
        <v>2741050.89</v>
      </c>
      <c r="E1824" s="18">
        <v>311.5</v>
      </c>
      <c r="F1824" s="18">
        <v>41929.300000000003</v>
      </c>
      <c r="G1824" s="18">
        <v>132826</v>
      </c>
      <c r="H1824" s="18">
        <f t="shared" si="62"/>
        <v>41893.300000000003</v>
      </c>
      <c r="I1824" s="12"/>
    </row>
    <row r="1825" spans="1:9" s="2" customFormat="1" ht="21.75" customHeight="1" x14ac:dyDescent="0.55000000000000004">
      <c r="A1825" s="18">
        <v>24.773365699999999</v>
      </c>
      <c r="B1825" s="18">
        <v>34.800001299999998</v>
      </c>
      <c r="C1825" s="18">
        <v>681988.93</v>
      </c>
      <c r="D1825" s="18">
        <v>2741051.37</v>
      </c>
      <c r="E1825" s="18">
        <v>311.63</v>
      </c>
      <c r="F1825" s="18">
        <v>41924.6</v>
      </c>
      <c r="G1825" s="18">
        <v>132828</v>
      </c>
      <c r="H1825" s="18">
        <f t="shared" si="62"/>
        <v>41888.6</v>
      </c>
      <c r="I1825" s="12"/>
    </row>
    <row r="1826" spans="1:9" s="2" customFormat="1" ht="21.75" customHeight="1" x14ac:dyDescent="0.55000000000000004">
      <c r="A1826" s="18">
        <v>24.773360700000001</v>
      </c>
      <c r="B1826" s="18">
        <v>34.799976999999998</v>
      </c>
      <c r="C1826" s="18">
        <v>681986.48</v>
      </c>
      <c r="D1826" s="18">
        <v>2741050.79</v>
      </c>
      <c r="E1826" s="18">
        <v>311.85000000000002</v>
      </c>
      <c r="F1826" s="18">
        <v>41929.43</v>
      </c>
      <c r="G1826" s="18">
        <v>132830</v>
      </c>
      <c r="H1826" s="18">
        <f t="shared" si="62"/>
        <v>41893.43</v>
      </c>
      <c r="I1826" s="12"/>
    </row>
    <row r="1827" spans="1:9" s="2" customFormat="1" ht="21.75" customHeight="1" x14ac:dyDescent="0.55000000000000004">
      <c r="A1827" s="18">
        <v>24.773361000000001</v>
      </c>
      <c r="B1827" s="18">
        <v>34.799956700000003</v>
      </c>
      <c r="C1827" s="18">
        <v>681984.43</v>
      </c>
      <c r="D1827" s="18">
        <v>2741050.79</v>
      </c>
      <c r="E1827" s="18">
        <v>312.10000000000002</v>
      </c>
      <c r="F1827" s="18">
        <v>41929.18</v>
      </c>
      <c r="G1827" s="18">
        <v>132832</v>
      </c>
      <c r="H1827" s="18">
        <f t="shared" si="62"/>
        <v>41893.18</v>
      </c>
      <c r="I1827" s="12"/>
    </row>
    <row r="1828" spans="1:9" s="2" customFormat="1" ht="21.75" customHeight="1" x14ac:dyDescent="0.55000000000000004">
      <c r="A1828" s="18">
        <v>24.773364399999998</v>
      </c>
      <c r="B1828" s="18">
        <v>34.7999352</v>
      </c>
      <c r="C1828" s="18">
        <v>681982.25</v>
      </c>
      <c r="D1828" s="18">
        <v>2741051.15</v>
      </c>
      <c r="E1828" s="18">
        <v>312.13</v>
      </c>
      <c r="F1828" s="18">
        <v>41927.65</v>
      </c>
      <c r="G1828" s="18">
        <v>132834</v>
      </c>
      <c r="H1828" s="18">
        <f t="shared" si="62"/>
        <v>41891.65</v>
      </c>
      <c r="I1828" s="12"/>
    </row>
    <row r="1829" spans="1:9" s="2" customFormat="1" ht="21.75" customHeight="1" x14ac:dyDescent="0.55000000000000004">
      <c r="A1829" s="18">
        <v>24.773365399999999</v>
      </c>
      <c r="B1829" s="18">
        <v>34.799909599999999</v>
      </c>
      <c r="C1829" s="18">
        <v>681979.66</v>
      </c>
      <c r="D1829" s="18">
        <v>2741051.22</v>
      </c>
      <c r="E1829" s="18">
        <v>312.11</v>
      </c>
      <c r="F1829" s="18">
        <v>41926.620000000003</v>
      </c>
      <c r="G1829" s="18">
        <v>132836</v>
      </c>
      <c r="H1829" s="18">
        <f t="shared" si="62"/>
        <v>41890.620000000003</v>
      </c>
      <c r="I1829" s="12"/>
    </row>
    <row r="1830" spans="1:9" s="2" customFormat="1" ht="21.75" customHeight="1" x14ac:dyDescent="0.55000000000000004">
      <c r="A1830" s="18">
        <v>24.773360799999999</v>
      </c>
      <c r="B1830" s="18">
        <v>34.799889100000001</v>
      </c>
      <c r="C1830" s="18">
        <v>681977.59</v>
      </c>
      <c r="D1830" s="18">
        <v>2741050.68</v>
      </c>
      <c r="E1830" s="18">
        <v>312.27</v>
      </c>
      <c r="F1830" s="18">
        <v>41932.32</v>
      </c>
      <c r="G1830" s="18">
        <v>132838</v>
      </c>
      <c r="H1830" s="18">
        <f t="shared" si="62"/>
        <v>41896.32</v>
      </c>
      <c r="I1830" s="12"/>
    </row>
    <row r="1831" spans="1:9" s="2" customFormat="1" ht="21.75" customHeight="1" x14ac:dyDescent="0.55000000000000004">
      <c r="A1831" s="18">
        <v>24.773361300000001</v>
      </c>
      <c r="B1831" s="18">
        <v>34.799865599999997</v>
      </c>
      <c r="C1831" s="18">
        <v>681975.22</v>
      </c>
      <c r="D1831" s="18">
        <v>2741050.7</v>
      </c>
      <c r="E1831" s="18">
        <v>312.47000000000003</v>
      </c>
      <c r="F1831" s="18">
        <v>41928.33</v>
      </c>
      <c r="G1831" s="18">
        <v>132840</v>
      </c>
      <c r="H1831" s="18">
        <f t="shared" si="62"/>
        <v>41892.33</v>
      </c>
      <c r="I1831" s="12"/>
    </row>
    <row r="1832" spans="1:9" s="2" customFormat="1" ht="21.75" customHeight="1" x14ac:dyDescent="0.55000000000000004">
      <c r="A1832" s="18">
        <v>24.7733557</v>
      </c>
      <c r="B1832" s="18">
        <v>34.799850300000003</v>
      </c>
      <c r="C1832" s="18">
        <v>681973.68</v>
      </c>
      <c r="D1832" s="18">
        <v>2741050.07</v>
      </c>
      <c r="E1832" s="18">
        <v>312.69</v>
      </c>
      <c r="F1832" s="18">
        <v>41930.379999999997</v>
      </c>
      <c r="G1832" s="18">
        <v>132842</v>
      </c>
      <c r="H1832" s="18">
        <f t="shared" si="62"/>
        <v>41894.379999999997</v>
      </c>
      <c r="I1832" s="12"/>
    </row>
    <row r="1833" spans="1:9" s="2" customFormat="1" ht="21.75" customHeight="1" x14ac:dyDescent="0.55000000000000004">
      <c r="A1833" s="18">
        <v>24.773349899999999</v>
      </c>
      <c r="B1833" s="18">
        <v>34.799826000000003</v>
      </c>
      <c r="C1833" s="18">
        <v>681971.23</v>
      </c>
      <c r="D1833" s="18">
        <v>2741049.39</v>
      </c>
      <c r="E1833" s="18">
        <v>312.72000000000003</v>
      </c>
      <c r="F1833" s="18">
        <v>41926.9</v>
      </c>
      <c r="G1833" s="18">
        <v>132844</v>
      </c>
      <c r="H1833" s="18">
        <f t="shared" si="62"/>
        <v>41890.9</v>
      </c>
      <c r="I1833" s="12"/>
    </row>
    <row r="1834" spans="1:9" s="2" customFormat="1" ht="21.75" customHeight="1" x14ac:dyDescent="0.55000000000000004">
      <c r="A1834" s="18">
        <v>24.773342899999999</v>
      </c>
      <c r="B1834" s="18">
        <v>34.799807000000001</v>
      </c>
      <c r="C1834" s="18">
        <v>681969.32</v>
      </c>
      <c r="D1834" s="18">
        <v>2741048.59</v>
      </c>
      <c r="E1834" s="18">
        <v>312.92</v>
      </c>
      <c r="F1834" s="18">
        <v>41929.86</v>
      </c>
      <c r="G1834" s="18">
        <v>132846</v>
      </c>
      <c r="H1834" s="18">
        <f t="shared" si="62"/>
        <v>41893.86</v>
      </c>
      <c r="I1834" s="12"/>
    </row>
    <row r="1835" spans="1:9" s="2" customFormat="1" ht="21.75" customHeight="1" x14ac:dyDescent="0.55000000000000004">
      <c r="A1835" s="18">
        <v>24.773335100000001</v>
      </c>
      <c r="B1835" s="18">
        <v>34.799798199999998</v>
      </c>
      <c r="C1835" s="18">
        <v>681968.44</v>
      </c>
      <c r="D1835" s="18">
        <v>2741047.72</v>
      </c>
      <c r="E1835" s="18">
        <v>313</v>
      </c>
      <c r="F1835" s="18">
        <v>41929.71</v>
      </c>
      <c r="G1835" s="18">
        <v>132848</v>
      </c>
      <c r="H1835" s="18">
        <f t="shared" si="62"/>
        <v>41893.71</v>
      </c>
      <c r="I1835" s="12"/>
    </row>
    <row r="1836" spans="1:9" s="2" customFormat="1" ht="21.75" customHeight="1" x14ac:dyDescent="0.55000000000000004">
      <c r="A1836" s="18">
        <v>24.7733296</v>
      </c>
      <c r="B1836" s="18">
        <v>34.799787700000003</v>
      </c>
      <c r="C1836" s="18">
        <v>681967.39</v>
      </c>
      <c r="D1836" s="18">
        <v>2741047.09</v>
      </c>
      <c r="E1836" s="18">
        <v>313.18</v>
      </c>
      <c r="F1836" s="18">
        <v>41932</v>
      </c>
      <c r="G1836" s="18">
        <v>132850</v>
      </c>
      <c r="H1836" s="18">
        <f t="shared" si="62"/>
        <v>41896</v>
      </c>
      <c r="I1836" s="12"/>
    </row>
    <row r="1837" spans="1:9" s="2" customFormat="1" ht="21.75" customHeight="1" x14ac:dyDescent="0.55000000000000004">
      <c r="A1837" s="18">
        <v>24.7733302</v>
      </c>
      <c r="B1837" s="18">
        <v>34.799766699999999</v>
      </c>
      <c r="C1837" s="18">
        <v>681965.26</v>
      </c>
      <c r="D1837" s="18">
        <v>2741047.13</v>
      </c>
      <c r="E1837" s="18">
        <v>313.24</v>
      </c>
      <c r="F1837" s="18">
        <v>41929.949999999997</v>
      </c>
      <c r="G1837" s="18">
        <v>132852</v>
      </c>
      <c r="H1837" s="18">
        <f t="shared" si="62"/>
        <v>41893.949999999997</v>
      </c>
      <c r="I1837" s="12"/>
    </row>
    <row r="1838" spans="1:9" s="2" customFormat="1" ht="21.75" customHeight="1" x14ac:dyDescent="0.55000000000000004">
      <c r="A1838" s="18">
        <v>24.7733323</v>
      </c>
      <c r="B1838" s="18">
        <v>34.799744199999999</v>
      </c>
      <c r="C1838" s="18">
        <v>681962.98</v>
      </c>
      <c r="D1838" s="18">
        <v>2741047.33</v>
      </c>
      <c r="E1838" s="18">
        <v>313.25</v>
      </c>
      <c r="F1838" s="18">
        <v>41929.68</v>
      </c>
      <c r="G1838" s="18">
        <v>132854</v>
      </c>
      <c r="H1838" s="18">
        <f t="shared" si="62"/>
        <v>41893.68</v>
      </c>
      <c r="I1838" s="12"/>
    </row>
    <row r="1839" spans="1:9" s="2" customFormat="1" ht="21.75" customHeight="1" x14ac:dyDescent="0.55000000000000004">
      <c r="A1839" s="18">
        <v>24.7733363</v>
      </c>
      <c r="B1839" s="18">
        <v>34.799720399999998</v>
      </c>
      <c r="C1839" s="18">
        <v>681960.57</v>
      </c>
      <c r="D1839" s="18">
        <v>2741047.74</v>
      </c>
      <c r="E1839" s="18">
        <v>313.39999999999998</v>
      </c>
      <c r="F1839" s="18">
        <v>41930.71</v>
      </c>
      <c r="G1839" s="18">
        <v>132856</v>
      </c>
      <c r="H1839" s="18">
        <f t="shared" si="62"/>
        <v>41894.71</v>
      </c>
      <c r="I1839" s="12"/>
    </row>
    <row r="1840" spans="1:9" s="2" customFormat="1" ht="21.75" customHeight="1" x14ac:dyDescent="0.55000000000000004">
      <c r="A1840" s="18">
        <v>24.773330900000001</v>
      </c>
      <c r="B1840" s="18">
        <v>34.799706</v>
      </c>
      <c r="C1840" s="18">
        <v>681959.12</v>
      </c>
      <c r="D1840" s="18">
        <v>2741047.12</v>
      </c>
      <c r="E1840" s="18">
        <v>313.70999999999998</v>
      </c>
      <c r="F1840" s="18">
        <v>41932.43</v>
      </c>
      <c r="G1840" s="18">
        <v>132858</v>
      </c>
      <c r="H1840" s="18">
        <f t="shared" si="62"/>
        <v>41896.43</v>
      </c>
      <c r="I1840" s="12"/>
    </row>
    <row r="1841" spans="1:9" s="2" customFormat="1" ht="21.75" customHeight="1" x14ac:dyDescent="0.55000000000000004">
      <c r="A1841" s="18">
        <v>24.773338500000001</v>
      </c>
      <c r="B1841" s="18">
        <v>34.799686399999999</v>
      </c>
      <c r="C1841" s="18">
        <v>681957.13</v>
      </c>
      <c r="D1841" s="18">
        <v>2741047.94</v>
      </c>
      <c r="E1841" s="18">
        <v>313.60000000000002</v>
      </c>
      <c r="F1841" s="18">
        <v>41925.67</v>
      </c>
      <c r="G1841" s="18">
        <v>132900</v>
      </c>
      <c r="H1841" s="18">
        <f t="shared" si="62"/>
        <v>41889.67</v>
      </c>
      <c r="I1841" s="12"/>
    </row>
    <row r="1842" spans="1:9" s="2" customFormat="1" ht="21.75" customHeight="1" x14ac:dyDescent="0.55000000000000004">
      <c r="A1842" s="18">
        <v>24.773342</v>
      </c>
      <c r="B1842" s="18">
        <v>34.799667300000003</v>
      </c>
      <c r="C1842" s="18">
        <v>681955.19</v>
      </c>
      <c r="D1842" s="18">
        <v>2741048.3</v>
      </c>
      <c r="E1842" s="18">
        <v>313.77</v>
      </c>
      <c r="F1842" s="18">
        <v>41929.339999999997</v>
      </c>
      <c r="G1842" s="18">
        <v>132902</v>
      </c>
      <c r="H1842" s="18">
        <f t="shared" si="62"/>
        <v>41893.339999999997</v>
      </c>
      <c r="I1842" s="12"/>
    </row>
    <row r="1843" spans="1:9" s="2" customFormat="1" ht="21.75" customHeight="1" x14ac:dyDescent="0.55000000000000004">
      <c r="A1843" s="18">
        <v>24.773347900000001</v>
      </c>
      <c r="B1843" s="18">
        <v>34.7996482</v>
      </c>
      <c r="C1843" s="18">
        <v>681953.25</v>
      </c>
      <c r="D1843" s="18">
        <v>2741048.93</v>
      </c>
      <c r="E1843" s="18">
        <v>314.05</v>
      </c>
      <c r="F1843" s="18">
        <v>41925.18</v>
      </c>
      <c r="G1843" s="18">
        <v>132904</v>
      </c>
      <c r="H1843" s="18">
        <f t="shared" si="62"/>
        <v>41889.18</v>
      </c>
      <c r="I1843" s="12"/>
    </row>
    <row r="1844" spans="1:9" s="2" customFormat="1" ht="21.75" customHeight="1" x14ac:dyDescent="0.55000000000000004">
      <c r="A1844" s="18">
        <v>24.773348200000001</v>
      </c>
      <c r="B1844" s="18">
        <v>34.799629600000003</v>
      </c>
      <c r="C1844" s="18">
        <v>681951.37</v>
      </c>
      <c r="D1844" s="18">
        <v>2741048.94</v>
      </c>
      <c r="E1844" s="18">
        <v>313.93</v>
      </c>
      <c r="F1844" s="18">
        <v>41925.18</v>
      </c>
      <c r="G1844" s="18">
        <v>132906</v>
      </c>
      <c r="H1844" s="18">
        <f t="shared" si="62"/>
        <v>41889.18</v>
      </c>
      <c r="I1844" s="12"/>
    </row>
    <row r="1845" spans="1:9" s="2" customFormat="1" ht="21.75" customHeight="1" x14ac:dyDescent="0.55000000000000004">
      <c r="A1845" s="18">
        <v>24.773340000000001</v>
      </c>
      <c r="B1845" s="18">
        <v>34.799606699999998</v>
      </c>
      <c r="C1845" s="18">
        <v>681949.06</v>
      </c>
      <c r="D1845" s="18">
        <v>2741048</v>
      </c>
      <c r="E1845" s="18">
        <v>314.45999999999998</v>
      </c>
      <c r="F1845" s="18">
        <v>41928.78</v>
      </c>
      <c r="G1845" s="18">
        <v>132908</v>
      </c>
      <c r="H1845" s="18">
        <f t="shared" si="62"/>
        <v>41892.78</v>
      </c>
      <c r="I1845" s="12"/>
    </row>
    <row r="1846" spans="1:9" s="2" customFormat="1" ht="21.75" customHeight="1" x14ac:dyDescent="0.55000000000000004">
      <c r="A1846" s="18">
        <v>24.773335199999998</v>
      </c>
      <c r="B1846" s="18">
        <v>34.799588499999999</v>
      </c>
      <c r="C1846" s="18">
        <v>681947.23</v>
      </c>
      <c r="D1846" s="18">
        <v>2741047.45</v>
      </c>
      <c r="E1846" s="18">
        <v>314.56</v>
      </c>
      <c r="F1846" s="18">
        <v>41927.730000000003</v>
      </c>
      <c r="G1846" s="18">
        <v>132910</v>
      </c>
      <c r="H1846" s="18">
        <f t="shared" si="62"/>
        <v>41891.730000000003</v>
      </c>
      <c r="I1846" s="12"/>
    </row>
    <row r="1847" spans="1:9" s="2" customFormat="1" ht="21.75" customHeight="1" x14ac:dyDescent="0.55000000000000004">
      <c r="A1847" s="18">
        <v>24.7733296</v>
      </c>
      <c r="B1847" s="18">
        <v>34.799565899999997</v>
      </c>
      <c r="C1847" s="18">
        <v>681944.96</v>
      </c>
      <c r="D1847" s="18">
        <v>2741046.79</v>
      </c>
      <c r="E1847" s="18">
        <v>314.75</v>
      </c>
      <c r="F1847" s="18">
        <v>41927.11</v>
      </c>
      <c r="G1847" s="18">
        <v>132912</v>
      </c>
      <c r="H1847" s="18">
        <f t="shared" si="62"/>
        <v>41891.11</v>
      </c>
      <c r="I1847" s="12"/>
    </row>
    <row r="1848" spans="1:9" s="2" customFormat="1" ht="21.75" customHeight="1" x14ac:dyDescent="0.55000000000000004">
      <c r="A1848" s="18">
        <v>24.7733323</v>
      </c>
      <c r="B1848" s="18">
        <v>34.799552599999998</v>
      </c>
      <c r="C1848" s="18">
        <v>681943.6</v>
      </c>
      <c r="D1848" s="18">
        <v>2741047.07</v>
      </c>
      <c r="E1848" s="18">
        <v>314.7</v>
      </c>
      <c r="F1848" s="18">
        <v>41929.269999999997</v>
      </c>
      <c r="G1848" s="18">
        <v>132914</v>
      </c>
      <c r="H1848" s="18">
        <f t="shared" si="62"/>
        <v>41893.269999999997</v>
      </c>
      <c r="I1848" s="12"/>
    </row>
    <row r="1849" spans="1:9" s="2" customFormat="1" ht="21.75" customHeight="1" x14ac:dyDescent="0.55000000000000004">
      <c r="A1849" s="18">
        <v>24.773332499999999</v>
      </c>
      <c r="B1849" s="18">
        <v>34.799534399999999</v>
      </c>
      <c r="C1849" s="18">
        <v>681941.77</v>
      </c>
      <c r="D1849" s="18">
        <v>2741047.07</v>
      </c>
      <c r="E1849" s="18">
        <v>314.63</v>
      </c>
      <c r="F1849" s="18">
        <v>41926.980000000003</v>
      </c>
      <c r="G1849" s="18">
        <v>132916</v>
      </c>
      <c r="H1849" s="18">
        <f t="shared" si="62"/>
        <v>41890.980000000003</v>
      </c>
      <c r="I1849" s="12"/>
    </row>
    <row r="1850" spans="1:9" s="2" customFormat="1" ht="21.75" customHeight="1" x14ac:dyDescent="0.55000000000000004">
      <c r="A1850" s="18">
        <v>24.773327399999999</v>
      </c>
      <c r="B1850" s="18">
        <v>34.799516400000002</v>
      </c>
      <c r="C1850" s="18">
        <v>681939.95</v>
      </c>
      <c r="D1850" s="18">
        <v>2741046.48</v>
      </c>
      <c r="E1850" s="18">
        <v>314.33</v>
      </c>
      <c r="F1850" s="18">
        <v>41932.93</v>
      </c>
      <c r="G1850" s="18">
        <v>132918</v>
      </c>
      <c r="H1850" s="18">
        <f t="shared" si="62"/>
        <v>41896.93</v>
      </c>
      <c r="I1850" s="12"/>
    </row>
    <row r="1851" spans="1:9" s="2" customFormat="1" ht="21.75" customHeight="1" x14ac:dyDescent="0.55000000000000004">
      <c r="A1851" s="18">
        <v>24.773327500000001</v>
      </c>
      <c r="B1851" s="18">
        <v>34.799506200000003</v>
      </c>
      <c r="C1851" s="18">
        <v>681938.92</v>
      </c>
      <c r="D1851" s="18">
        <v>2741046.48</v>
      </c>
      <c r="E1851" s="18">
        <v>314.57</v>
      </c>
      <c r="F1851" s="18">
        <v>41928.379999999997</v>
      </c>
      <c r="G1851" s="18">
        <v>132920</v>
      </c>
      <c r="H1851" s="18">
        <f t="shared" si="62"/>
        <v>41892.379999999997</v>
      </c>
      <c r="I1851" s="12"/>
    </row>
    <row r="1852" spans="1:9" s="2" customFormat="1" ht="21.75" customHeight="1" x14ac:dyDescent="0.55000000000000004">
      <c r="A1852" s="18">
        <v>24.7733153</v>
      </c>
      <c r="B1852" s="18">
        <v>34.799500399999999</v>
      </c>
      <c r="C1852" s="18">
        <v>681938.35</v>
      </c>
      <c r="D1852" s="18">
        <v>2741045.12</v>
      </c>
      <c r="E1852" s="18">
        <v>315.36</v>
      </c>
      <c r="F1852" s="18">
        <v>41928.31</v>
      </c>
      <c r="G1852" s="18">
        <v>132922</v>
      </c>
      <c r="H1852" s="18">
        <f t="shared" si="62"/>
        <v>41892.31</v>
      </c>
      <c r="I1852" s="12"/>
    </row>
    <row r="1853" spans="1:9" s="2" customFormat="1" ht="21.75" customHeight="1" x14ac:dyDescent="0.55000000000000004">
      <c r="A1853" s="18">
        <v>24.7733107</v>
      </c>
      <c r="B1853" s="18">
        <v>34.799486199999997</v>
      </c>
      <c r="C1853" s="18">
        <v>681936.92</v>
      </c>
      <c r="D1853" s="18">
        <v>2741044.6</v>
      </c>
      <c r="E1853" s="18">
        <v>315.58</v>
      </c>
      <c r="F1853" s="18">
        <v>41927.68</v>
      </c>
      <c r="G1853" s="18">
        <v>132924</v>
      </c>
      <c r="H1853" s="18">
        <f t="shared" si="62"/>
        <v>41891.68</v>
      </c>
      <c r="I1853" s="12"/>
    </row>
    <row r="1854" spans="1:9" s="2" customFormat="1" ht="21.75" customHeight="1" x14ac:dyDescent="0.55000000000000004">
      <c r="A1854" s="18">
        <v>24.773302099999999</v>
      </c>
      <c r="B1854" s="18">
        <v>34.799467999999997</v>
      </c>
      <c r="C1854" s="18">
        <v>681935.1</v>
      </c>
      <c r="D1854" s="18">
        <v>2741043.61</v>
      </c>
      <c r="E1854" s="18">
        <v>315.48</v>
      </c>
      <c r="F1854" s="18">
        <v>41931.96</v>
      </c>
      <c r="G1854" s="18">
        <v>132926</v>
      </c>
      <c r="H1854" s="18">
        <f t="shared" si="62"/>
        <v>41895.96</v>
      </c>
      <c r="I1854" s="12"/>
    </row>
    <row r="1855" spans="1:9" s="2" customFormat="1" ht="21.75" customHeight="1" x14ac:dyDescent="0.55000000000000004">
      <c r="A1855" s="18">
        <v>24.773296200000001</v>
      </c>
      <c r="B1855" s="18">
        <v>34.7994512</v>
      </c>
      <c r="C1855" s="18">
        <v>681933.4</v>
      </c>
      <c r="D1855" s="18">
        <v>2741042.94</v>
      </c>
      <c r="E1855" s="18">
        <v>315.63</v>
      </c>
      <c r="F1855" s="18">
        <v>41928.28</v>
      </c>
      <c r="G1855" s="18">
        <v>132928</v>
      </c>
      <c r="H1855" s="18">
        <f t="shared" si="62"/>
        <v>41892.28</v>
      </c>
      <c r="I1855" s="12"/>
    </row>
    <row r="1856" spans="1:9" s="2" customFormat="1" ht="21.75" customHeight="1" x14ac:dyDescent="0.55000000000000004">
      <c r="A1856" s="18">
        <v>24.773291400000002</v>
      </c>
      <c r="B1856" s="18">
        <v>34.799442800000001</v>
      </c>
      <c r="C1856" s="18">
        <v>681932.57</v>
      </c>
      <c r="D1856" s="18">
        <v>2741042.39</v>
      </c>
      <c r="E1856" s="18">
        <v>316</v>
      </c>
      <c r="F1856" s="18">
        <v>41931.660000000003</v>
      </c>
      <c r="G1856" s="18">
        <v>132930</v>
      </c>
      <c r="H1856" s="18">
        <f t="shared" si="62"/>
        <v>41895.660000000003</v>
      </c>
      <c r="I1856" s="12"/>
    </row>
    <row r="1857" spans="1:9" s="2" customFormat="1" ht="21.75" customHeight="1" x14ac:dyDescent="0.55000000000000004">
      <c r="A1857" s="18">
        <v>24.773288600000001</v>
      </c>
      <c r="B1857" s="18">
        <v>34.799435899999999</v>
      </c>
      <c r="C1857" s="18">
        <v>681931.87</v>
      </c>
      <c r="D1857" s="18">
        <v>2741042.08</v>
      </c>
      <c r="E1857" s="18">
        <v>315.94</v>
      </c>
      <c r="F1857" s="18">
        <v>41936.85</v>
      </c>
      <c r="G1857" s="18">
        <v>132932</v>
      </c>
      <c r="H1857" s="18">
        <f t="shared" si="62"/>
        <v>41900.85</v>
      </c>
      <c r="I1857" s="12"/>
    </row>
    <row r="1858" spans="1:9" s="2" customFormat="1" ht="21.75" customHeight="1" x14ac:dyDescent="0.55000000000000004">
      <c r="A1858" s="18">
        <v>24.773289200000001</v>
      </c>
      <c r="B1858" s="18">
        <v>34.799434499999997</v>
      </c>
      <c r="C1858" s="18">
        <v>681931.72</v>
      </c>
      <c r="D1858" s="18">
        <v>2741042.15</v>
      </c>
      <c r="E1858" s="18">
        <v>315.89</v>
      </c>
      <c r="F1858" s="18">
        <v>41925.25</v>
      </c>
      <c r="G1858" s="18">
        <v>132934</v>
      </c>
      <c r="H1858" s="18">
        <f t="shared" si="62"/>
        <v>41889.25</v>
      </c>
      <c r="I1858" s="12"/>
    </row>
    <row r="1859" spans="1:9" s="2" customFormat="1" ht="21.75" customHeight="1" x14ac:dyDescent="0.55000000000000004">
      <c r="A1859" s="18">
        <v>24.773288399999998</v>
      </c>
      <c r="B1859" s="18">
        <v>34.799422300000003</v>
      </c>
      <c r="C1859" s="18">
        <v>681930.49</v>
      </c>
      <c r="D1859" s="18">
        <v>2741042.03</v>
      </c>
      <c r="E1859" s="18">
        <v>315.89999999999998</v>
      </c>
      <c r="F1859" s="18">
        <v>41930.26</v>
      </c>
      <c r="G1859" s="18">
        <v>132936</v>
      </c>
      <c r="H1859" s="18">
        <f t="shared" si="62"/>
        <v>41894.26</v>
      </c>
      <c r="I1859" s="12"/>
    </row>
    <row r="1860" spans="1:9" s="2" customFormat="1" ht="21.75" customHeight="1" x14ac:dyDescent="0.55000000000000004">
      <c r="A1860" s="18">
        <v>24.7732797</v>
      </c>
      <c r="B1860" s="18">
        <v>34.799409500000003</v>
      </c>
      <c r="C1860" s="18">
        <v>681929.22</v>
      </c>
      <c r="D1860" s="18">
        <v>2741041.06</v>
      </c>
      <c r="E1860" s="18">
        <v>315.86</v>
      </c>
      <c r="F1860" s="18">
        <v>41930.78</v>
      </c>
      <c r="G1860" s="18">
        <v>132938</v>
      </c>
      <c r="H1860" s="18">
        <f t="shared" si="62"/>
        <v>41894.78</v>
      </c>
      <c r="I1860" s="12"/>
    </row>
    <row r="1861" spans="1:9" s="2" customFormat="1" ht="21.75" customHeight="1" x14ac:dyDescent="0.55000000000000004">
      <c r="A1861" s="18">
        <v>24.773276899999999</v>
      </c>
      <c r="B1861" s="18">
        <v>34.799404600000003</v>
      </c>
      <c r="C1861" s="18">
        <v>681928.72</v>
      </c>
      <c r="D1861" s="18">
        <v>2741040.74</v>
      </c>
      <c r="E1861" s="18">
        <v>315.94</v>
      </c>
      <c r="F1861" s="18">
        <v>41929.620000000003</v>
      </c>
      <c r="G1861" s="18">
        <v>132940</v>
      </c>
      <c r="H1861" s="18">
        <f t="shared" si="62"/>
        <v>41893.620000000003</v>
      </c>
      <c r="I1861" s="12"/>
    </row>
    <row r="1862" spans="1:9" s="2" customFormat="1" ht="21.75" customHeight="1" x14ac:dyDescent="0.55000000000000004">
      <c r="A1862" s="18">
        <v>24.773284799999999</v>
      </c>
      <c r="B1862" s="18">
        <v>34.799393700000003</v>
      </c>
      <c r="C1862" s="18">
        <v>681927.61</v>
      </c>
      <c r="D1862" s="18">
        <v>2741041.6</v>
      </c>
      <c r="E1862" s="18">
        <v>316.26</v>
      </c>
      <c r="F1862" s="18">
        <v>41931.31</v>
      </c>
      <c r="G1862" s="18">
        <v>132942</v>
      </c>
      <c r="H1862" s="18">
        <f t="shared" si="62"/>
        <v>41895.31</v>
      </c>
      <c r="I1862" s="12"/>
    </row>
    <row r="1863" spans="1:9" s="2" customFormat="1" ht="21.75" customHeight="1" x14ac:dyDescent="0.55000000000000004">
      <c r="A1863" s="18">
        <v>24.773292099999999</v>
      </c>
      <c r="B1863" s="18">
        <v>34.7993843</v>
      </c>
      <c r="C1863" s="18">
        <v>681926.65</v>
      </c>
      <c r="D1863" s="18">
        <v>2741042.4</v>
      </c>
      <c r="E1863" s="18">
        <v>316.35000000000002</v>
      </c>
      <c r="F1863" s="18">
        <v>41927.56</v>
      </c>
      <c r="G1863" s="18">
        <v>132944</v>
      </c>
      <c r="H1863" s="18">
        <f t="shared" si="62"/>
        <v>41891.56</v>
      </c>
      <c r="I1863" s="12"/>
    </row>
    <row r="1864" spans="1:9" s="2" customFormat="1" ht="21.75" customHeight="1" x14ac:dyDescent="0.55000000000000004">
      <c r="A1864" s="18">
        <v>24.773294400000001</v>
      </c>
      <c r="B1864" s="18">
        <v>34.7993776</v>
      </c>
      <c r="C1864" s="18">
        <v>681925.96</v>
      </c>
      <c r="D1864" s="18">
        <v>2741042.64</v>
      </c>
      <c r="E1864" s="18">
        <v>316.44</v>
      </c>
      <c r="F1864" s="18">
        <v>41928.879999999997</v>
      </c>
      <c r="G1864" s="18">
        <v>132946</v>
      </c>
      <c r="H1864" s="18">
        <f t="shared" si="62"/>
        <v>41892.879999999997</v>
      </c>
      <c r="I1864" s="12"/>
    </row>
    <row r="1865" spans="1:9" s="2" customFormat="1" ht="21.75" customHeight="1" x14ac:dyDescent="0.55000000000000004">
      <c r="A1865" s="18">
        <v>24.773299900000001</v>
      </c>
      <c r="B1865" s="18">
        <v>34.799354999999998</v>
      </c>
      <c r="C1865" s="18">
        <v>681923.67</v>
      </c>
      <c r="D1865" s="18">
        <v>2741043.23</v>
      </c>
      <c r="E1865" s="18">
        <v>315.98</v>
      </c>
      <c r="F1865" s="18">
        <v>41928.559999999998</v>
      </c>
      <c r="G1865" s="18">
        <v>132948</v>
      </c>
      <c r="H1865" s="18">
        <f t="shared" si="62"/>
        <v>41892.559999999998</v>
      </c>
      <c r="I1865" s="12"/>
    </row>
    <row r="1866" spans="1:9" s="2" customFormat="1" ht="21.75" customHeight="1" x14ac:dyDescent="0.55000000000000004">
      <c r="A1866" s="18">
        <v>24.773306300000002</v>
      </c>
      <c r="B1866" s="18">
        <v>34.7993424</v>
      </c>
      <c r="C1866" s="18">
        <v>681922.38</v>
      </c>
      <c r="D1866" s="18">
        <v>2741043.91</v>
      </c>
      <c r="E1866" s="18">
        <v>316.75</v>
      </c>
      <c r="F1866" s="18">
        <v>41931.879999999997</v>
      </c>
      <c r="G1866" s="18">
        <v>132950</v>
      </c>
      <c r="H1866" s="18">
        <f t="shared" si="62"/>
        <v>41895.879999999997</v>
      </c>
      <c r="I1866" s="12"/>
    </row>
    <row r="1867" spans="1:9" s="2" customFormat="1" ht="21.75" customHeight="1" x14ac:dyDescent="0.55000000000000004">
      <c r="A1867" s="18">
        <v>24.773310200000001</v>
      </c>
      <c r="B1867" s="18">
        <v>34.7993284</v>
      </c>
      <c r="C1867" s="18">
        <v>681920.97</v>
      </c>
      <c r="D1867" s="18">
        <v>2741044.32</v>
      </c>
      <c r="E1867" s="18">
        <v>317.10000000000002</v>
      </c>
      <c r="F1867" s="18">
        <v>41929.74</v>
      </c>
      <c r="G1867" s="18">
        <v>132952</v>
      </c>
      <c r="H1867" s="18">
        <f t="shared" si="62"/>
        <v>41893.74</v>
      </c>
      <c r="I1867" s="12"/>
    </row>
    <row r="1868" spans="1:9" s="2" customFormat="1" ht="21.75" customHeight="1" x14ac:dyDescent="0.55000000000000004">
      <c r="A1868" s="18">
        <v>24.7733089</v>
      </c>
      <c r="B1868" s="18">
        <v>34.799311000000003</v>
      </c>
      <c r="C1868" s="18">
        <v>681919.2</v>
      </c>
      <c r="D1868" s="18">
        <v>2741044.17</v>
      </c>
      <c r="E1868" s="18">
        <v>317.27</v>
      </c>
      <c r="F1868" s="18">
        <v>41928.199999999997</v>
      </c>
      <c r="G1868" s="18">
        <v>132954</v>
      </c>
      <c r="H1868" s="18">
        <f t="shared" si="62"/>
        <v>41892.199999999997</v>
      </c>
      <c r="I1868" s="12"/>
    </row>
    <row r="1869" spans="1:9" s="2" customFormat="1" ht="21.75" customHeight="1" x14ac:dyDescent="0.55000000000000004">
      <c r="A1869" s="18">
        <v>24.773301700000001</v>
      </c>
      <c r="B1869" s="18">
        <v>34.799291400000001</v>
      </c>
      <c r="C1869" s="18">
        <v>681917.24</v>
      </c>
      <c r="D1869" s="18">
        <v>2741043.34</v>
      </c>
      <c r="E1869" s="18">
        <v>317.35000000000002</v>
      </c>
      <c r="F1869" s="18">
        <v>41929.24</v>
      </c>
      <c r="G1869" s="18">
        <v>132956</v>
      </c>
      <c r="H1869" s="18">
        <f t="shared" ref="H1869:H1932" si="63">SUM(F1869-36)</f>
        <v>41893.24</v>
      </c>
      <c r="I1869" s="12"/>
    </row>
    <row r="1870" spans="1:9" s="2" customFormat="1" ht="21.75" customHeight="1" x14ac:dyDescent="0.55000000000000004">
      <c r="A1870" s="18">
        <v>24.773289200000001</v>
      </c>
      <c r="B1870" s="18">
        <v>34.799277199999999</v>
      </c>
      <c r="C1870" s="18">
        <v>681915.82</v>
      </c>
      <c r="D1870" s="18">
        <v>2741041.94</v>
      </c>
      <c r="E1870" s="18">
        <v>317.33999999999997</v>
      </c>
      <c r="F1870" s="18">
        <v>41929.4</v>
      </c>
      <c r="G1870" s="18">
        <v>132958</v>
      </c>
      <c r="H1870" s="18">
        <f t="shared" si="63"/>
        <v>41893.4</v>
      </c>
      <c r="I1870" s="12"/>
    </row>
    <row r="1871" spans="1:9" s="2" customFormat="1" ht="21.75" customHeight="1" x14ac:dyDescent="0.55000000000000004">
      <c r="A1871" s="18">
        <v>24.7732785</v>
      </c>
      <c r="B1871" s="18">
        <v>34.799267299999997</v>
      </c>
      <c r="C1871" s="18">
        <v>681914.83</v>
      </c>
      <c r="D1871" s="18">
        <v>2741040.74</v>
      </c>
      <c r="E1871" s="18">
        <v>317.60000000000002</v>
      </c>
      <c r="F1871" s="18">
        <v>41930.33</v>
      </c>
      <c r="G1871" s="18">
        <v>133000</v>
      </c>
      <c r="H1871" s="18">
        <f t="shared" si="63"/>
        <v>41894.33</v>
      </c>
      <c r="I1871" s="12"/>
    </row>
    <row r="1872" spans="1:9" s="2" customFormat="1" ht="21.75" customHeight="1" x14ac:dyDescent="0.55000000000000004">
      <c r="A1872" s="18">
        <v>24.7732736</v>
      </c>
      <c r="B1872" s="18">
        <v>34.799250000000001</v>
      </c>
      <c r="C1872" s="18">
        <v>681913.1</v>
      </c>
      <c r="D1872" s="18">
        <v>2741040.17</v>
      </c>
      <c r="E1872" s="18">
        <v>317.86</v>
      </c>
      <c r="F1872" s="18">
        <v>41927.449999999997</v>
      </c>
      <c r="G1872" s="18">
        <v>133002</v>
      </c>
      <c r="H1872" s="18">
        <f t="shared" si="63"/>
        <v>41891.449999999997</v>
      </c>
      <c r="I1872" s="12"/>
    </row>
    <row r="1873" spans="1:9" s="2" customFormat="1" ht="21.75" customHeight="1" x14ac:dyDescent="0.55000000000000004">
      <c r="A1873" s="18">
        <v>24.773266400000001</v>
      </c>
      <c r="B1873" s="18">
        <v>34.799233600000001</v>
      </c>
      <c r="C1873" s="18">
        <v>681911.44</v>
      </c>
      <c r="D1873" s="18">
        <v>2741039.35</v>
      </c>
      <c r="E1873" s="18">
        <v>317.86</v>
      </c>
      <c r="F1873" s="18">
        <v>41929.14</v>
      </c>
      <c r="G1873" s="18">
        <v>133004</v>
      </c>
      <c r="H1873" s="18">
        <f t="shared" si="63"/>
        <v>41893.14</v>
      </c>
      <c r="I1873" s="12"/>
    </row>
    <row r="1874" spans="1:9" s="2" customFormat="1" ht="21.75" customHeight="1" x14ac:dyDescent="0.55000000000000004">
      <c r="A1874" s="18">
        <v>24.773258999999999</v>
      </c>
      <c r="B1874" s="18">
        <v>34.7992153</v>
      </c>
      <c r="C1874" s="18">
        <v>681909.61</v>
      </c>
      <c r="D1874" s="18">
        <v>2741038.51</v>
      </c>
      <c r="E1874" s="18">
        <v>317.93</v>
      </c>
      <c r="F1874" s="18">
        <v>41931.699999999997</v>
      </c>
      <c r="G1874" s="18">
        <v>133006</v>
      </c>
      <c r="H1874" s="18">
        <f t="shared" si="63"/>
        <v>41895.699999999997</v>
      </c>
      <c r="I1874" s="12"/>
    </row>
    <row r="1875" spans="1:9" s="2" customFormat="1" ht="21.75" customHeight="1" x14ac:dyDescent="0.55000000000000004">
      <c r="A1875" s="18">
        <v>24.773254000000001</v>
      </c>
      <c r="B1875" s="18">
        <v>34.799196999999999</v>
      </c>
      <c r="C1875" s="18">
        <v>681907.76</v>
      </c>
      <c r="D1875" s="18">
        <v>2741037.93</v>
      </c>
      <c r="E1875" s="18">
        <v>317.95999999999998</v>
      </c>
      <c r="F1875" s="18">
        <v>41928.85</v>
      </c>
      <c r="G1875" s="18">
        <v>133008</v>
      </c>
      <c r="H1875" s="18">
        <f t="shared" si="63"/>
        <v>41892.85</v>
      </c>
      <c r="I1875" s="12"/>
    </row>
    <row r="1876" spans="1:9" s="2" customFormat="1" ht="21.75" customHeight="1" x14ac:dyDescent="0.55000000000000004">
      <c r="A1876" s="18">
        <v>24.773252400000001</v>
      </c>
      <c r="B1876" s="18">
        <v>34.7991764</v>
      </c>
      <c r="C1876" s="18">
        <v>681905.67</v>
      </c>
      <c r="D1876" s="18">
        <v>2741037.73</v>
      </c>
      <c r="E1876" s="18">
        <v>318.07</v>
      </c>
      <c r="F1876" s="18">
        <v>41930.400000000001</v>
      </c>
      <c r="G1876" s="18">
        <v>133010</v>
      </c>
      <c r="H1876" s="18">
        <f t="shared" si="63"/>
        <v>41894.400000000001</v>
      </c>
      <c r="I1876" s="12"/>
    </row>
    <row r="1877" spans="1:9" s="2" customFormat="1" ht="21.75" customHeight="1" x14ac:dyDescent="0.55000000000000004">
      <c r="A1877" s="18">
        <v>24.773251500000001</v>
      </c>
      <c r="B1877" s="18">
        <v>34.799158900000002</v>
      </c>
      <c r="C1877" s="18">
        <v>681903.91</v>
      </c>
      <c r="D1877" s="18">
        <v>2741037.6</v>
      </c>
      <c r="E1877" s="18">
        <v>318.12</v>
      </c>
      <c r="F1877" s="18">
        <v>41930.57</v>
      </c>
      <c r="G1877" s="18">
        <v>133012</v>
      </c>
      <c r="H1877" s="18">
        <f t="shared" si="63"/>
        <v>41894.57</v>
      </c>
      <c r="I1877" s="12"/>
    </row>
    <row r="1878" spans="1:9" s="2" customFormat="1" ht="21.75" customHeight="1" x14ac:dyDescent="0.55000000000000004">
      <c r="A1878" s="18">
        <v>24.773259100000001</v>
      </c>
      <c r="B1878" s="18">
        <v>34.799143399999998</v>
      </c>
      <c r="C1878" s="18">
        <v>681902.33</v>
      </c>
      <c r="D1878" s="18">
        <v>2741038.42</v>
      </c>
      <c r="E1878" s="18">
        <v>318.12</v>
      </c>
      <c r="F1878" s="18">
        <v>41930.879999999997</v>
      </c>
      <c r="G1878" s="18">
        <v>133014</v>
      </c>
      <c r="H1878" s="18">
        <f t="shared" si="63"/>
        <v>41894.879999999997</v>
      </c>
      <c r="I1878" s="12"/>
    </row>
    <row r="1879" spans="1:9" s="2" customFormat="1" ht="21.75" customHeight="1" x14ac:dyDescent="0.55000000000000004">
      <c r="A1879" s="18">
        <v>24.773261399999999</v>
      </c>
      <c r="B1879" s="18">
        <v>34.799124999999997</v>
      </c>
      <c r="C1879" s="18">
        <v>681900.47</v>
      </c>
      <c r="D1879" s="18">
        <v>2741038.65</v>
      </c>
      <c r="E1879" s="18">
        <v>318.33</v>
      </c>
      <c r="F1879" s="18">
        <v>41929.32</v>
      </c>
      <c r="G1879" s="18">
        <v>133016</v>
      </c>
      <c r="H1879" s="18">
        <f t="shared" si="63"/>
        <v>41893.32</v>
      </c>
      <c r="I1879" s="12"/>
    </row>
    <row r="1880" spans="1:9" s="2" customFormat="1" ht="21.75" customHeight="1" x14ac:dyDescent="0.55000000000000004">
      <c r="A1880" s="18">
        <v>24.773270799999999</v>
      </c>
      <c r="B1880" s="18">
        <v>34.799110800000001</v>
      </c>
      <c r="C1880" s="18">
        <v>681899.02</v>
      </c>
      <c r="D1880" s="18">
        <v>2741039.67</v>
      </c>
      <c r="E1880" s="18">
        <v>318.45</v>
      </c>
      <c r="F1880" s="18">
        <v>41928.68</v>
      </c>
      <c r="G1880" s="18">
        <v>133018</v>
      </c>
      <c r="H1880" s="18">
        <f t="shared" si="63"/>
        <v>41892.68</v>
      </c>
      <c r="I1880" s="12"/>
    </row>
    <row r="1881" spans="1:9" s="2" customFormat="1" ht="21.75" customHeight="1" x14ac:dyDescent="0.55000000000000004">
      <c r="A1881" s="18">
        <v>24.7732803</v>
      </c>
      <c r="B1881" s="18">
        <v>34.7991004</v>
      </c>
      <c r="C1881" s="18">
        <v>681897.95</v>
      </c>
      <c r="D1881" s="18">
        <v>2741040.71</v>
      </c>
      <c r="E1881" s="18">
        <v>318.64999999999998</v>
      </c>
      <c r="F1881" s="18">
        <v>41932.769999999997</v>
      </c>
      <c r="G1881" s="18">
        <v>133020</v>
      </c>
      <c r="H1881" s="18">
        <f t="shared" si="63"/>
        <v>41896.769999999997</v>
      </c>
      <c r="I1881" s="12"/>
    </row>
    <row r="1882" spans="1:9" s="2" customFormat="1" ht="21.75" customHeight="1" x14ac:dyDescent="0.55000000000000004">
      <c r="A1882" s="18">
        <v>24.7732885</v>
      </c>
      <c r="B1882" s="18">
        <v>34.799083500000002</v>
      </c>
      <c r="C1882" s="18">
        <v>681896.23</v>
      </c>
      <c r="D1882" s="18">
        <v>2741041.6</v>
      </c>
      <c r="E1882" s="18">
        <v>318.70999999999998</v>
      </c>
      <c r="F1882" s="18">
        <v>41927.94</v>
      </c>
      <c r="G1882" s="18">
        <v>133022</v>
      </c>
      <c r="H1882" s="18">
        <f t="shared" si="63"/>
        <v>41891.94</v>
      </c>
      <c r="I1882" s="12"/>
    </row>
    <row r="1883" spans="1:9" s="2" customFormat="1" ht="21.75" customHeight="1" x14ac:dyDescent="0.55000000000000004">
      <c r="A1883" s="18">
        <v>24.7732946</v>
      </c>
      <c r="B1883" s="18">
        <v>34.799076399999997</v>
      </c>
      <c r="C1883" s="18">
        <v>681895.5</v>
      </c>
      <c r="D1883" s="18">
        <v>2741042.26</v>
      </c>
      <c r="E1883" s="18">
        <v>318.62</v>
      </c>
      <c r="F1883" s="18">
        <v>41929.47</v>
      </c>
      <c r="G1883" s="18">
        <v>133024</v>
      </c>
      <c r="H1883" s="18">
        <f t="shared" si="63"/>
        <v>41893.47</v>
      </c>
      <c r="I1883" s="12"/>
    </row>
    <row r="1884" spans="1:9" s="2" customFormat="1" ht="21.75" customHeight="1" x14ac:dyDescent="0.55000000000000004">
      <c r="A1884" s="18">
        <v>24.7733104</v>
      </c>
      <c r="B1884" s="18">
        <v>34.7990602</v>
      </c>
      <c r="C1884" s="18">
        <v>681893.85</v>
      </c>
      <c r="D1884" s="18">
        <v>2741043.99</v>
      </c>
      <c r="E1884" s="18">
        <v>318.38</v>
      </c>
      <c r="F1884" s="18">
        <v>41929.42</v>
      </c>
      <c r="G1884" s="18">
        <v>133026</v>
      </c>
      <c r="H1884" s="18">
        <f t="shared" si="63"/>
        <v>41893.42</v>
      </c>
      <c r="I1884" s="12"/>
    </row>
    <row r="1885" spans="1:9" s="2" customFormat="1" ht="21.75" customHeight="1" x14ac:dyDescent="0.55000000000000004">
      <c r="A1885" s="18">
        <v>24.7733147</v>
      </c>
      <c r="B1885" s="18">
        <v>34.799059800000002</v>
      </c>
      <c r="C1885" s="18">
        <v>681893.79</v>
      </c>
      <c r="D1885" s="18">
        <v>2741044.47</v>
      </c>
      <c r="E1885" s="18">
        <v>319.07</v>
      </c>
      <c r="F1885" s="18">
        <v>41927.870000000003</v>
      </c>
      <c r="G1885" s="18">
        <v>133028</v>
      </c>
      <c r="H1885" s="18">
        <f t="shared" si="63"/>
        <v>41891.870000000003</v>
      </c>
      <c r="I1885" s="12"/>
    </row>
    <row r="1886" spans="1:9" s="2" customFormat="1" ht="21.75" customHeight="1" x14ac:dyDescent="0.55000000000000004">
      <c r="A1886" s="18">
        <v>24.773326000000001</v>
      </c>
      <c r="B1886" s="18">
        <v>34.799053700000002</v>
      </c>
      <c r="C1886" s="18">
        <v>681893.16</v>
      </c>
      <c r="D1886" s="18">
        <v>2741045.71</v>
      </c>
      <c r="E1886" s="18">
        <v>319.08</v>
      </c>
      <c r="F1886" s="18">
        <v>41925.379999999997</v>
      </c>
      <c r="G1886" s="18">
        <v>133030</v>
      </c>
      <c r="H1886" s="18">
        <f t="shared" si="63"/>
        <v>41889.379999999997</v>
      </c>
      <c r="I1886" s="12"/>
    </row>
    <row r="1887" spans="1:9" s="2" customFormat="1" ht="21.75" customHeight="1" x14ac:dyDescent="0.55000000000000004">
      <c r="A1887" s="18">
        <v>24.773342199999998</v>
      </c>
      <c r="B1887" s="18">
        <v>34.799048800000001</v>
      </c>
      <c r="C1887" s="18">
        <v>681892.64</v>
      </c>
      <c r="D1887" s="18">
        <v>2741047.5</v>
      </c>
      <c r="E1887" s="18">
        <v>319.19</v>
      </c>
      <c r="F1887" s="18">
        <v>41925.42</v>
      </c>
      <c r="G1887" s="18">
        <v>133032</v>
      </c>
      <c r="H1887" s="18">
        <f t="shared" si="63"/>
        <v>41889.42</v>
      </c>
      <c r="I1887" s="12"/>
    </row>
    <row r="1888" spans="1:9" s="2" customFormat="1" ht="21.75" customHeight="1" x14ac:dyDescent="0.55000000000000004">
      <c r="A1888" s="18">
        <v>24.7733554</v>
      </c>
      <c r="B1888" s="18">
        <v>34.799042700000001</v>
      </c>
      <c r="C1888" s="18">
        <v>681892.01</v>
      </c>
      <c r="D1888" s="18">
        <v>2741048.96</v>
      </c>
      <c r="E1888" s="18">
        <v>319.10000000000002</v>
      </c>
      <c r="F1888" s="18">
        <v>41927.67</v>
      </c>
      <c r="G1888" s="18">
        <v>133034</v>
      </c>
      <c r="H1888" s="18">
        <f t="shared" si="63"/>
        <v>41891.67</v>
      </c>
      <c r="I1888" s="12"/>
    </row>
    <row r="1889" spans="1:9" s="2" customFormat="1" ht="21.75" customHeight="1" x14ac:dyDescent="0.55000000000000004">
      <c r="A1889" s="18">
        <v>24.773365099999999</v>
      </c>
      <c r="B1889" s="18">
        <v>34.799048300000003</v>
      </c>
      <c r="C1889" s="18">
        <v>681892.56</v>
      </c>
      <c r="D1889" s="18">
        <v>2741050.04</v>
      </c>
      <c r="E1889" s="18">
        <v>319.35000000000002</v>
      </c>
      <c r="F1889" s="18">
        <v>41926.080000000002</v>
      </c>
      <c r="G1889" s="18">
        <v>133036</v>
      </c>
      <c r="H1889" s="18">
        <f t="shared" si="63"/>
        <v>41890.080000000002</v>
      </c>
      <c r="I1889" s="12"/>
    </row>
    <row r="1890" spans="1:9" s="2" customFormat="1" ht="21.75" customHeight="1" x14ac:dyDescent="0.55000000000000004">
      <c r="A1890" s="18">
        <v>24.773374499999999</v>
      </c>
      <c r="B1890" s="18">
        <v>34.799050100000002</v>
      </c>
      <c r="C1890" s="18">
        <v>681892.73</v>
      </c>
      <c r="D1890" s="18">
        <v>2741051.08</v>
      </c>
      <c r="E1890" s="18">
        <v>319.75</v>
      </c>
      <c r="F1890" s="18">
        <v>41924.81</v>
      </c>
      <c r="G1890" s="18">
        <v>133038</v>
      </c>
      <c r="H1890" s="18">
        <f t="shared" si="63"/>
        <v>41888.81</v>
      </c>
      <c r="I1890" s="12"/>
    </row>
    <row r="1891" spans="1:9" s="2" customFormat="1" ht="21.75" customHeight="1" x14ac:dyDescent="0.55000000000000004">
      <c r="A1891" s="18">
        <v>24.7733895</v>
      </c>
      <c r="B1891" s="18">
        <v>34.799053600000001</v>
      </c>
      <c r="C1891" s="18">
        <v>681893.06</v>
      </c>
      <c r="D1891" s="18">
        <v>2741052.75</v>
      </c>
      <c r="E1891" s="18">
        <v>319.93</v>
      </c>
      <c r="F1891" s="18">
        <v>41925.14</v>
      </c>
      <c r="G1891" s="18">
        <v>133040</v>
      </c>
      <c r="H1891" s="18">
        <f t="shared" si="63"/>
        <v>41889.14</v>
      </c>
      <c r="I1891" s="12"/>
    </row>
    <row r="1892" spans="1:9" s="2" customFormat="1" ht="21.75" customHeight="1" x14ac:dyDescent="0.55000000000000004">
      <c r="A1892" s="18">
        <v>24.773402099999998</v>
      </c>
      <c r="B1892" s="18">
        <v>34.799049799999999</v>
      </c>
      <c r="C1892" s="18">
        <v>681892.66</v>
      </c>
      <c r="D1892" s="18">
        <v>2741054.13</v>
      </c>
      <c r="E1892" s="18">
        <v>320.18</v>
      </c>
      <c r="F1892" s="18">
        <v>41924.69</v>
      </c>
      <c r="G1892" s="18">
        <v>133042</v>
      </c>
      <c r="H1892" s="18">
        <f t="shared" si="63"/>
        <v>41888.69</v>
      </c>
      <c r="I1892" s="12"/>
    </row>
    <row r="1893" spans="1:9" s="2" customFormat="1" ht="21.75" customHeight="1" x14ac:dyDescent="0.55000000000000004">
      <c r="A1893" s="18">
        <v>24.773413099999999</v>
      </c>
      <c r="B1893" s="18">
        <v>34.799046799999999</v>
      </c>
      <c r="C1893" s="18">
        <v>681892.34</v>
      </c>
      <c r="D1893" s="18">
        <v>2741055.36</v>
      </c>
      <c r="E1893" s="18">
        <v>320.25</v>
      </c>
      <c r="F1893" s="18">
        <v>41925.279999999999</v>
      </c>
      <c r="G1893" s="18">
        <v>133044</v>
      </c>
      <c r="H1893" s="18">
        <f t="shared" si="63"/>
        <v>41889.279999999999</v>
      </c>
      <c r="I1893" s="12"/>
    </row>
    <row r="1894" spans="1:9" s="2" customFormat="1" ht="21.75" customHeight="1" x14ac:dyDescent="0.55000000000000004">
      <c r="A1894" s="18">
        <v>24.773430699999999</v>
      </c>
      <c r="B1894" s="18">
        <v>34.799039999999998</v>
      </c>
      <c r="C1894" s="18">
        <v>681891.62</v>
      </c>
      <c r="D1894" s="18">
        <v>2741057.29</v>
      </c>
      <c r="E1894" s="18">
        <v>320.39</v>
      </c>
      <c r="F1894" s="18">
        <v>41924.76</v>
      </c>
      <c r="G1894" s="18">
        <v>133046</v>
      </c>
      <c r="H1894" s="18">
        <f t="shared" si="63"/>
        <v>41888.76</v>
      </c>
      <c r="I1894" s="12"/>
    </row>
    <row r="1895" spans="1:9" s="2" customFormat="1" ht="21.75" customHeight="1" x14ac:dyDescent="0.55000000000000004">
      <c r="A1895" s="18">
        <v>24.773440600000001</v>
      </c>
      <c r="B1895" s="18">
        <v>34.799031100000001</v>
      </c>
      <c r="C1895" s="18">
        <v>681890.71</v>
      </c>
      <c r="D1895" s="18">
        <v>2741058.37</v>
      </c>
      <c r="E1895" s="18">
        <v>320.60000000000002</v>
      </c>
      <c r="F1895" s="18">
        <v>41924.36</v>
      </c>
      <c r="G1895" s="18">
        <v>133048</v>
      </c>
      <c r="H1895" s="18">
        <f t="shared" si="63"/>
        <v>41888.36</v>
      </c>
      <c r="I1895" s="12"/>
    </row>
    <row r="1896" spans="1:9" s="2" customFormat="1" ht="21.75" customHeight="1" x14ac:dyDescent="0.55000000000000004">
      <c r="A1896" s="18">
        <v>24.773446199999999</v>
      </c>
      <c r="B1896" s="18">
        <v>34.799017800000001</v>
      </c>
      <c r="C1896" s="18">
        <v>681889.36</v>
      </c>
      <c r="D1896" s="18">
        <v>2741058.98</v>
      </c>
      <c r="E1896" s="18">
        <v>320.76</v>
      </c>
      <c r="F1896" s="18">
        <v>41927.620000000003</v>
      </c>
      <c r="G1896" s="18">
        <v>133050</v>
      </c>
      <c r="H1896" s="18">
        <f t="shared" si="63"/>
        <v>41891.620000000003</v>
      </c>
      <c r="I1896" s="12"/>
    </row>
    <row r="1897" spans="1:9" s="2" customFormat="1" ht="21.75" customHeight="1" x14ac:dyDescent="0.55000000000000004">
      <c r="A1897" s="18">
        <v>24.773450799999999</v>
      </c>
      <c r="B1897" s="18">
        <v>34.799007799999998</v>
      </c>
      <c r="C1897" s="18">
        <v>681888.34</v>
      </c>
      <c r="D1897" s="18">
        <v>2741059.48</v>
      </c>
      <c r="E1897" s="18">
        <v>321.10000000000002</v>
      </c>
      <c r="F1897" s="18">
        <v>41926.720000000001</v>
      </c>
      <c r="G1897" s="18">
        <v>133052</v>
      </c>
      <c r="H1897" s="18">
        <f t="shared" si="63"/>
        <v>41890.720000000001</v>
      </c>
      <c r="I1897" s="12"/>
    </row>
    <row r="1898" spans="1:9" s="2" customFormat="1" ht="21.75" customHeight="1" x14ac:dyDescent="0.55000000000000004">
      <c r="A1898" s="18">
        <v>24.773458099999999</v>
      </c>
      <c r="B1898" s="18">
        <v>34.798992800000001</v>
      </c>
      <c r="C1898" s="18">
        <v>681886.81</v>
      </c>
      <c r="D1898" s="18">
        <v>2741060.27</v>
      </c>
      <c r="E1898" s="18">
        <v>321.20999999999998</v>
      </c>
      <c r="F1898" s="18">
        <v>41926.730000000003</v>
      </c>
      <c r="G1898" s="18">
        <v>133054</v>
      </c>
      <c r="H1898" s="18">
        <f t="shared" si="63"/>
        <v>41890.730000000003</v>
      </c>
      <c r="I1898" s="12"/>
    </row>
    <row r="1899" spans="1:9" s="2" customFormat="1" ht="21.75" customHeight="1" x14ac:dyDescent="0.55000000000000004">
      <c r="A1899" s="18">
        <v>24.7734576</v>
      </c>
      <c r="B1899" s="18">
        <v>34.798980499999999</v>
      </c>
      <c r="C1899" s="18">
        <v>681885.57</v>
      </c>
      <c r="D1899" s="18">
        <v>2741060.19</v>
      </c>
      <c r="E1899" s="18">
        <v>321.72000000000003</v>
      </c>
      <c r="F1899" s="18">
        <v>41927.089999999997</v>
      </c>
      <c r="G1899" s="18">
        <v>133056</v>
      </c>
      <c r="H1899" s="18">
        <f t="shared" si="63"/>
        <v>41891.089999999997</v>
      </c>
      <c r="I1899" s="12"/>
    </row>
    <row r="1900" spans="1:9" s="2" customFormat="1" ht="21.75" customHeight="1" x14ac:dyDescent="0.55000000000000004">
      <c r="A1900" s="18">
        <v>24.773458300000001</v>
      </c>
      <c r="B1900" s="18">
        <v>34.798981099999999</v>
      </c>
      <c r="C1900" s="18">
        <v>681885.63</v>
      </c>
      <c r="D1900" s="18">
        <v>2741060.27</v>
      </c>
      <c r="E1900" s="18">
        <v>321.75</v>
      </c>
      <c r="F1900" s="18">
        <v>41930.449999999997</v>
      </c>
      <c r="G1900" s="18">
        <v>133058</v>
      </c>
      <c r="H1900" s="18">
        <f t="shared" si="63"/>
        <v>41894.449999999997</v>
      </c>
      <c r="I1900" s="12"/>
    </row>
    <row r="1901" spans="1:9" s="2" customFormat="1" ht="21.75" customHeight="1" x14ac:dyDescent="0.55000000000000004">
      <c r="A1901" s="18">
        <v>24.7734585</v>
      </c>
      <c r="B1901" s="18">
        <v>34.798980299999997</v>
      </c>
      <c r="C1901" s="18">
        <v>681885.55</v>
      </c>
      <c r="D1901" s="18">
        <v>2741060.29</v>
      </c>
      <c r="E1901" s="18">
        <v>321.8</v>
      </c>
      <c r="F1901" s="18">
        <v>41927.65</v>
      </c>
      <c r="G1901" s="18">
        <v>133100</v>
      </c>
      <c r="H1901" s="18">
        <f t="shared" si="63"/>
        <v>41891.65</v>
      </c>
      <c r="I1901" s="12"/>
    </row>
    <row r="1902" spans="1:9" s="2" customFormat="1" ht="21.75" customHeight="1" x14ac:dyDescent="0.55000000000000004">
      <c r="A1902" s="18">
        <v>24.7734545</v>
      </c>
      <c r="B1902" s="18">
        <v>34.798970599999997</v>
      </c>
      <c r="C1902" s="18">
        <v>681884.58</v>
      </c>
      <c r="D1902" s="18">
        <v>2741059.84</v>
      </c>
      <c r="E1902" s="18">
        <v>322.02999999999997</v>
      </c>
      <c r="F1902" s="18">
        <v>41924.35</v>
      </c>
      <c r="G1902" s="18">
        <v>133102</v>
      </c>
      <c r="H1902" s="18">
        <f t="shared" si="63"/>
        <v>41888.35</v>
      </c>
      <c r="I1902" s="12"/>
    </row>
    <row r="1903" spans="1:9" s="2" customFormat="1" ht="21.75" customHeight="1" x14ac:dyDescent="0.55000000000000004">
      <c r="A1903" s="18">
        <v>24.7734475</v>
      </c>
      <c r="B1903" s="18">
        <v>34.798955499999998</v>
      </c>
      <c r="C1903" s="18">
        <v>681883.05</v>
      </c>
      <c r="D1903" s="18">
        <v>2741059.04</v>
      </c>
      <c r="E1903" s="18">
        <v>322.17</v>
      </c>
      <c r="F1903" s="18">
        <v>41930.870000000003</v>
      </c>
      <c r="G1903" s="18">
        <v>133104</v>
      </c>
      <c r="H1903" s="18">
        <f t="shared" si="63"/>
        <v>41894.870000000003</v>
      </c>
      <c r="I1903" s="12"/>
    </row>
    <row r="1904" spans="1:9" s="2" customFormat="1" ht="21.75" customHeight="1" x14ac:dyDescent="0.55000000000000004">
      <c r="A1904" s="18">
        <v>24.7734442</v>
      </c>
      <c r="B1904" s="18">
        <v>34.798946399999998</v>
      </c>
      <c r="C1904" s="18">
        <v>681882.14</v>
      </c>
      <c r="D1904" s="18">
        <v>2741058.66</v>
      </c>
      <c r="E1904" s="18">
        <v>322.75</v>
      </c>
      <c r="F1904" s="18">
        <v>41929.300000000003</v>
      </c>
      <c r="G1904" s="18">
        <v>133106</v>
      </c>
      <c r="H1904" s="18">
        <f t="shared" si="63"/>
        <v>41893.300000000003</v>
      </c>
      <c r="I1904" s="12"/>
    </row>
    <row r="1905" spans="1:9" s="2" customFormat="1" ht="21.75" customHeight="1" x14ac:dyDescent="0.55000000000000004">
      <c r="A1905" s="18">
        <v>24.773442299999999</v>
      </c>
      <c r="B1905" s="18">
        <v>34.798938200000002</v>
      </c>
      <c r="C1905" s="18">
        <v>681881.31</v>
      </c>
      <c r="D1905" s="18">
        <v>2741058.44</v>
      </c>
      <c r="E1905" s="18">
        <v>323</v>
      </c>
      <c r="F1905" s="18">
        <v>41934.53</v>
      </c>
      <c r="G1905" s="18">
        <v>133108</v>
      </c>
      <c r="H1905" s="18">
        <f t="shared" si="63"/>
        <v>41898.53</v>
      </c>
      <c r="I1905" s="12"/>
    </row>
    <row r="1906" spans="1:9" s="2" customFormat="1" ht="21.75" customHeight="1" x14ac:dyDescent="0.55000000000000004">
      <c r="A1906" s="18">
        <v>24.773448900000002</v>
      </c>
      <c r="B1906" s="18">
        <v>34.798924300000003</v>
      </c>
      <c r="C1906" s="18">
        <v>681879.9</v>
      </c>
      <c r="D1906" s="18">
        <v>2741059.15</v>
      </c>
      <c r="E1906" s="18">
        <v>323.16000000000003</v>
      </c>
      <c r="F1906" s="18">
        <v>41928.19</v>
      </c>
      <c r="G1906" s="18">
        <v>133110</v>
      </c>
      <c r="H1906" s="18">
        <f t="shared" si="63"/>
        <v>41892.19</v>
      </c>
      <c r="I1906" s="12"/>
    </row>
    <row r="1907" spans="1:9" s="2" customFormat="1" ht="21.75" customHeight="1" x14ac:dyDescent="0.55000000000000004">
      <c r="A1907" s="18">
        <v>24.773450199999999</v>
      </c>
      <c r="B1907" s="18">
        <v>34.798917500000002</v>
      </c>
      <c r="C1907" s="18">
        <v>681879.21</v>
      </c>
      <c r="D1907" s="18">
        <v>2741059.29</v>
      </c>
      <c r="E1907" s="18">
        <v>323.64999999999998</v>
      </c>
      <c r="F1907" s="18">
        <v>41930.74</v>
      </c>
      <c r="G1907" s="18">
        <v>133112</v>
      </c>
      <c r="H1907" s="18">
        <f t="shared" si="63"/>
        <v>41894.74</v>
      </c>
      <c r="I1907" s="12"/>
    </row>
    <row r="1908" spans="1:9" s="2" customFormat="1" ht="21.75" customHeight="1" x14ac:dyDescent="0.55000000000000004">
      <c r="A1908" s="18">
        <v>24.7734475</v>
      </c>
      <c r="B1908" s="18">
        <v>34.798908300000001</v>
      </c>
      <c r="C1908" s="18">
        <v>681878.28</v>
      </c>
      <c r="D1908" s="18">
        <v>2741058.98</v>
      </c>
      <c r="E1908" s="18">
        <v>323.70999999999998</v>
      </c>
      <c r="F1908" s="18">
        <v>41930.29</v>
      </c>
      <c r="G1908" s="18">
        <v>133114</v>
      </c>
      <c r="H1908" s="18">
        <f t="shared" si="63"/>
        <v>41894.29</v>
      </c>
      <c r="I1908" s="12"/>
    </row>
    <row r="1909" spans="1:9" s="2" customFormat="1" ht="21.75" customHeight="1" x14ac:dyDescent="0.55000000000000004">
      <c r="A1909" s="18">
        <v>24.773443100000001</v>
      </c>
      <c r="B1909" s="18">
        <v>34.798890700000001</v>
      </c>
      <c r="C1909" s="18">
        <v>681876.51</v>
      </c>
      <c r="D1909" s="18">
        <v>2741058.47</v>
      </c>
      <c r="E1909" s="18">
        <v>324.23</v>
      </c>
      <c r="F1909" s="18">
        <v>41934.6</v>
      </c>
      <c r="G1909" s="18">
        <v>133116</v>
      </c>
      <c r="H1909" s="18">
        <f t="shared" si="63"/>
        <v>41898.6</v>
      </c>
      <c r="I1909" s="12"/>
    </row>
    <row r="1910" spans="1:9" s="2" customFormat="1" ht="21.75" customHeight="1" x14ac:dyDescent="0.55000000000000004">
      <c r="A1910" s="18">
        <v>24.773443400000001</v>
      </c>
      <c r="B1910" s="18">
        <v>34.798884999999999</v>
      </c>
      <c r="C1910" s="18">
        <v>681875.94</v>
      </c>
      <c r="D1910" s="18">
        <v>2741058.49</v>
      </c>
      <c r="E1910" s="18">
        <v>325.75</v>
      </c>
      <c r="F1910" s="18">
        <v>41936.269999999997</v>
      </c>
      <c r="G1910" s="18">
        <v>133118</v>
      </c>
      <c r="H1910" s="18">
        <f t="shared" si="63"/>
        <v>41900.269999999997</v>
      </c>
      <c r="I1910" s="12"/>
    </row>
    <row r="1911" spans="1:9" s="2" customFormat="1" ht="21.75" customHeight="1" x14ac:dyDescent="0.55000000000000004">
      <c r="A1911" s="18">
        <v>24.7734481</v>
      </c>
      <c r="B1911" s="18">
        <v>34.798878199999997</v>
      </c>
      <c r="C1911" s="18">
        <v>681875.24</v>
      </c>
      <c r="D1911" s="18">
        <v>2741059</v>
      </c>
      <c r="E1911" s="18">
        <v>325.07</v>
      </c>
      <c r="F1911" s="18">
        <v>41930.36</v>
      </c>
      <c r="G1911" s="18">
        <v>133120</v>
      </c>
      <c r="H1911" s="18">
        <f t="shared" si="63"/>
        <v>41894.36</v>
      </c>
      <c r="I1911" s="12"/>
    </row>
    <row r="1912" spans="1:9" s="2" customFormat="1" ht="21.75" customHeight="1" x14ac:dyDescent="0.55000000000000004">
      <c r="A1912" s="18">
        <v>24.7734387</v>
      </c>
      <c r="B1912" s="18">
        <v>34.798864799999997</v>
      </c>
      <c r="C1912" s="18">
        <v>681873.89</v>
      </c>
      <c r="D1912" s="18">
        <v>2741057.94</v>
      </c>
      <c r="E1912" s="18">
        <v>326.31</v>
      </c>
      <c r="F1912" s="18">
        <v>41931.339999999997</v>
      </c>
      <c r="G1912" s="18">
        <v>133122</v>
      </c>
      <c r="H1912" s="18">
        <f t="shared" si="63"/>
        <v>41895.339999999997</v>
      </c>
      <c r="I1912" s="12"/>
    </row>
    <row r="1913" spans="1:9" s="2" customFormat="1" ht="21.75" customHeight="1" x14ac:dyDescent="0.55000000000000004">
      <c r="A1913" s="18">
        <v>24.773435800000001</v>
      </c>
      <c r="B1913" s="18">
        <v>34.798861000000002</v>
      </c>
      <c r="C1913" s="18">
        <v>681873.51</v>
      </c>
      <c r="D1913" s="18">
        <v>2741057.61</v>
      </c>
      <c r="E1913" s="18">
        <v>326</v>
      </c>
      <c r="F1913" s="18">
        <v>41928.46</v>
      </c>
      <c r="G1913" s="18">
        <v>133124</v>
      </c>
      <c r="H1913" s="18">
        <f t="shared" si="63"/>
        <v>41892.46</v>
      </c>
      <c r="I1913" s="12"/>
    </row>
    <row r="1914" spans="1:9" s="2" customFormat="1" ht="21.75" customHeight="1" x14ac:dyDescent="0.55000000000000004">
      <c r="A1914" s="18">
        <v>24.773433300000001</v>
      </c>
      <c r="B1914" s="18">
        <v>34.798854900000002</v>
      </c>
      <c r="C1914" s="18">
        <v>681872.9</v>
      </c>
      <c r="D1914" s="18">
        <v>2741057.34</v>
      </c>
      <c r="E1914" s="18">
        <v>326.36</v>
      </c>
      <c r="F1914" s="18">
        <v>41930.019999999997</v>
      </c>
      <c r="G1914" s="18">
        <v>133126</v>
      </c>
      <c r="H1914" s="18">
        <f t="shared" si="63"/>
        <v>41894.019999999997</v>
      </c>
      <c r="I1914" s="12"/>
    </row>
    <row r="1915" spans="1:9" s="2" customFormat="1" ht="21.75" customHeight="1" x14ac:dyDescent="0.55000000000000004">
      <c r="A1915" s="18">
        <v>24.773434300000002</v>
      </c>
      <c r="B1915" s="18">
        <v>34.798851900000003</v>
      </c>
      <c r="C1915" s="18">
        <v>681872.6</v>
      </c>
      <c r="D1915" s="18">
        <v>2741057.44</v>
      </c>
      <c r="E1915" s="18">
        <v>326.69</v>
      </c>
      <c r="F1915" s="18">
        <v>41931.99</v>
      </c>
      <c r="G1915" s="18">
        <v>133128</v>
      </c>
      <c r="H1915" s="18">
        <f t="shared" si="63"/>
        <v>41895.99</v>
      </c>
      <c r="I1915" s="12"/>
    </row>
    <row r="1916" spans="1:9" s="2" customFormat="1" ht="21.75" customHeight="1" x14ac:dyDescent="0.55000000000000004">
      <c r="A1916" s="18">
        <v>24.7734345</v>
      </c>
      <c r="B1916" s="18">
        <v>34.798850799999997</v>
      </c>
      <c r="C1916" s="18">
        <v>681872.49</v>
      </c>
      <c r="D1916" s="18">
        <v>2741057.46</v>
      </c>
      <c r="E1916" s="18">
        <v>326.99</v>
      </c>
      <c r="F1916" s="18">
        <v>41932.089999999997</v>
      </c>
      <c r="G1916" s="18">
        <v>133130</v>
      </c>
      <c r="H1916" s="18">
        <f t="shared" si="63"/>
        <v>41896.089999999997</v>
      </c>
      <c r="I1916" s="12"/>
    </row>
    <row r="1917" spans="1:9" s="2" customFormat="1" ht="21.75" customHeight="1" x14ac:dyDescent="0.55000000000000004">
      <c r="A1917" s="18">
        <v>24.773431599999999</v>
      </c>
      <c r="B1917" s="18">
        <v>34.798849500000003</v>
      </c>
      <c r="C1917" s="18">
        <v>681872.36</v>
      </c>
      <c r="D1917" s="18">
        <v>2741057.14</v>
      </c>
      <c r="E1917" s="18">
        <v>326.97000000000003</v>
      </c>
      <c r="F1917" s="18">
        <v>41933.440000000002</v>
      </c>
      <c r="G1917" s="18">
        <v>133132</v>
      </c>
      <c r="H1917" s="18">
        <f t="shared" si="63"/>
        <v>41897.440000000002</v>
      </c>
      <c r="I1917" s="12"/>
    </row>
    <row r="1918" spans="1:9" s="2" customFormat="1" ht="21.75" customHeight="1" x14ac:dyDescent="0.55000000000000004">
      <c r="A1918" s="18">
        <v>24.773424200000001</v>
      </c>
      <c r="B1918" s="18">
        <v>34.798834399999997</v>
      </c>
      <c r="C1918" s="18">
        <v>681870.84</v>
      </c>
      <c r="D1918" s="18">
        <v>2741056.29</v>
      </c>
      <c r="E1918" s="18">
        <v>327.24</v>
      </c>
      <c r="F1918" s="18">
        <v>41931.08</v>
      </c>
      <c r="G1918" s="18">
        <v>133134</v>
      </c>
      <c r="H1918" s="18">
        <f t="shared" si="63"/>
        <v>41895.08</v>
      </c>
      <c r="I1918" s="12"/>
    </row>
    <row r="1919" spans="1:9" s="2" customFormat="1" ht="21.75" customHeight="1" x14ac:dyDescent="0.55000000000000004">
      <c r="A1919" s="18">
        <v>24.773418700000001</v>
      </c>
      <c r="B1919" s="18">
        <v>34.7988237</v>
      </c>
      <c r="C1919" s="18">
        <v>681869.77</v>
      </c>
      <c r="D1919" s="18">
        <v>2741055.67</v>
      </c>
      <c r="E1919" s="18">
        <v>327.72</v>
      </c>
      <c r="F1919" s="18">
        <v>41932.080000000002</v>
      </c>
      <c r="G1919" s="18">
        <v>133136</v>
      </c>
      <c r="H1919" s="18">
        <f t="shared" si="63"/>
        <v>41896.080000000002</v>
      </c>
      <c r="I1919" s="12"/>
    </row>
    <row r="1920" spans="1:9" s="2" customFormat="1" ht="21.75" customHeight="1" x14ac:dyDescent="0.55000000000000004">
      <c r="A1920" s="18">
        <v>24.773407599999999</v>
      </c>
      <c r="B1920" s="18">
        <v>34.798810400000001</v>
      </c>
      <c r="C1920" s="18">
        <v>681868.44</v>
      </c>
      <c r="D1920" s="18">
        <v>2741054.43</v>
      </c>
      <c r="E1920" s="18">
        <v>328.08</v>
      </c>
      <c r="F1920" s="18">
        <v>41931.980000000003</v>
      </c>
      <c r="G1920" s="18">
        <v>133138</v>
      </c>
      <c r="H1920" s="18">
        <f t="shared" si="63"/>
        <v>41895.980000000003</v>
      </c>
      <c r="I1920" s="12"/>
    </row>
    <row r="1921" spans="1:9" s="2" customFormat="1" ht="21.75" customHeight="1" x14ac:dyDescent="0.55000000000000004">
      <c r="A1921" s="18">
        <v>24.773408</v>
      </c>
      <c r="B1921" s="18">
        <v>34.798808399999999</v>
      </c>
      <c r="C1921" s="18">
        <v>681868.24</v>
      </c>
      <c r="D1921" s="18">
        <v>2741054.47</v>
      </c>
      <c r="E1921" s="18">
        <v>328.32</v>
      </c>
      <c r="F1921" s="18">
        <v>41931.120000000003</v>
      </c>
      <c r="G1921" s="18">
        <v>133140</v>
      </c>
      <c r="H1921" s="18">
        <f t="shared" si="63"/>
        <v>41895.120000000003</v>
      </c>
      <c r="I1921" s="12"/>
    </row>
    <row r="1922" spans="1:9" s="2" customFormat="1" ht="21.75" customHeight="1" x14ac:dyDescent="0.55000000000000004">
      <c r="A1922" s="18">
        <v>24.7734083</v>
      </c>
      <c r="B1922" s="18">
        <v>34.798808899999997</v>
      </c>
      <c r="C1922" s="18">
        <v>681868.29</v>
      </c>
      <c r="D1922" s="18">
        <v>2741054.5</v>
      </c>
      <c r="E1922" s="18">
        <v>328.34</v>
      </c>
      <c r="F1922" s="18">
        <v>41931.9</v>
      </c>
      <c r="G1922" s="18">
        <v>133142</v>
      </c>
      <c r="H1922" s="18">
        <f t="shared" si="63"/>
        <v>41895.9</v>
      </c>
      <c r="I1922" s="12"/>
    </row>
    <row r="1923" spans="1:9" s="2" customFormat="1" ht="21.75" customHeight="1" x14ac:dyDescent="0.55000000000000004">
      <c r="A1923" s="18">
        <v>24.7734086</v>
      </c>
      <c r="B1923" s="18">
        <v>34.798808899999997</v>
      </c>
      <c r="C1923" s="18">
        <v>681868.29</v>
      </c>
      <c r="D1923" s="18">
        <v>2741054.53</v>
      </c>
      <c r="E1923" s="18">
        <v>328.35</v>
      </c>
      <c r="F1923" s="18">
        <v>41931.730000000003</v>
      </c>
      <c r="G1923" s="18">
        <v>133144</v>
      </c>
      <c r="H1923" s="18">
        <f t="shared" si="63"/>
        <v>41895.730000000003</v>
      </c>
      <c r="I1923" s="12"/>
    </row>
    <row r="1924" spans="1:9" s="2" customFormat="1" ht="21.75" customHeight="1" x14ac:dyDescent="0.55000000000000004">
      <c r="A1924" s="18">
        <v>24.773408499999999</v>
      </c>
      <c r="B1924" s="18">
        <v>34.798809599999998</v>
      </c>
      <c r="C1924" s="18">
        <v>681868.36</v>
      </c>
      <c r="D1924" s="18">
        <v>2741054.53</v>
      </c>
      <c r="E1924" s="18">
        <v>328.35</v>
      </c>
      <c r="F1924" s="18">
        <v>41934.589999999997</v>
      </c>
      <c r="G1924" s="18">
        <v>133146</v>
      </c>
      <c r="H1924" s="18">
        <f t="shared" si="63"/>
        <v>41898.589999999997</v>
      </c>
      <c r="I1924" s="12"/>
    </row>
    <row r="1925" spans="1:9" s="2" customFormat="1" ht="21.75" customHeight="1" x14ac:dyDescent="0.55000000000000004">
      <c r="A1925" s="18">
        <v>24.773403099999999</v>
      </c>
      <c r="B1925" s="18">
        <v>34.798799000000002</v>
      </c>
      <c r="C1925" s="18">
        <v>681867.3</v>
      </c>
      <c r="D1925" s="18">
        <v>2741053.91</v>
      </c>
      <c r="E1925" s="18">
        <v>328.38</v>
      </c>
      <c r="F1925" s="18">
        <v>41932.5</v>
      </c>
      <c r="G1925" s="18">
        <v>133148</v>
      </c>
      <c r="H1925" s="18">
        <f t="shared" si="63"/>
        <v>41896.5</v>
      </c>
      <c r="I1925" s="12"/>
    </row>
    <row r="1926" spans="1:9" s="2" customFormat="1" ht="21.75" customHeight="1" x14ac:dyDescent="0.55000000000000004">
      <c r="A1926" s="18">
        <v>24.773398400000001</v>
      </c>
      <c r="B1926" s="18">
        <v>34.798795900000002</v>
      </c>
      <c r="C1926" s="18">
        <v>681866.98</v>
      </c>
      <c r="D1926" s="18">
        <v>2741053.38</v>
      </c>
      <c r="E1926" s="18">
        <v>328.52</v>
      </c>
      <c r="F1926" s="18">
        <v>41928.400000000001</v>
      </c>
      <c r="G1926" s="18">
        <v>133150</v>
      </c>
      <c r="H1926" s="18">
        <f t="shared" si="63"/>
        <v>41892.400000000001</v>
      </c>
      <c r="I1926" s="12"/>
    </row>
    <row r="1927" spans="1:9" s="2" customFormat="1" ht="21.75" customHeight="1" x14ac:dyDescent="0.55000000000000004">
      <c r="A1927" s="18">
        <v>24.773399600000001</v>
      </c>
      <c r="B1927" s="18">
        <v>34.798796000000003</v>
      </c>
      <c r="C1927" s="18">
        <v>681867</v>
      </c>
      <c r="D1927" s="18">
        <v>2741053.52</v>
      </c>
      <c r="E1927" s="18">
        <v>328.58</v>
      </c>
      <c r="F1927" s="18">
        <v>41931.82</v>
      </c>
      <c r="G1927" s="18">
        <v>133152</v>
      </c>
      <c r="H1927" s="18">
        <f t="shared" si="63"/>
        <v>41895.82</v>
      </c>
      <c r="I1927" s="12"/>
    </row>
    <row r="1928" spans="1:9" s="2" customFormat="1" ht="21.75" customHeight="1" x14ac:dyDescent="0.55000000000000004">
      <c r="A1928" s="18">
        <v>24.773399699999999</v>
      </c>
      <c r="B1928" s="18">
        <v>34.798795900000002</v>
      </c>
      <c r="C1928" s="18">
        <v>681866.99</v>
      </c>
      <c r="D1928" s="18">
        <v>2741053.53</v>
      </c>
      <c r="E1928" s="18">
        <v>328.59</v>
      </c>
      <c r="F1928" s="18">
        <v>41931.25</v>
      </c>
      <c r="G1928" s="18">
        <v>133154</v>
      </c>
      <c r="H1928" s="18">
        <f t="shared" si="63"/>
        <v>41895.25</v>
      </c>
      <c r="I1928" s="12"/>
    </row>
    <row r="1929" spans="1:9" s="2" customFormat="1" ht="21.75" customHeight="1" x14ac:dyDescent="0.55000000000000004">
      <c r="A1929" s="18">
        <v>24.773400299999999</v>
      </c>
      <c r="B1929" s="18">
        <v>34.798796199999998</v>
      </c>
      <c r="C1929" s="18">
        <v>681867.01</v>
      </c>
      <c r="D1929" s="18">
        <v>2741053.6</v>
      </c>
      <c r="E1929" s="18">
        <v>328.61</v>
      </c>
      <c r="F1929" s="18">
        <v>41931.67</v>
      </c>
      <c r="G1929" s="18">
        <v>133156</v>
      </c>
      <c r="H1929" s="18">
        <f t="shared" si="63"/>
        <v>41895.67</v>
      </c>
      <c r="I1929" s="12"/>
    </row>
    <row r="1930" spans="1:9" s="2" customFormat="1" ht="21.75" customHeight="1" x14ac:dyDescent="0.55000000000000004">
      <c r="A1930" s="18">
        <v>24.7734001</v>
      </c>
      <c r="B1930" s="18">
        <v>34.798796299999999</v>
      </c>
      <c r="C1930" s="18">
        <v>681867.02</v>
      </c>
      <c r="D1930" s="18">
        <v>2741053.58</v>
      </c>
      <c r="E1930" s="18">
        <v>328.63</v>
      </c>
      <c r="F1930" s="18">
        <v>41931.199999999997</v>
      </c>
      <c r="G1930" s="18">
        <v>133158</v>
      </c>
      <c r="H1930" s="18">
        <f t="shared" si="63"/>
        <v>41895.199999999997</v>
      </c>
      <c r="I1930" s="12"/>
    </row>
    <row r="1931" spans="1:9" s="2" customFormat="1" ht="21.75" customHeight="1" x14ac:dyDescent="0.55000000000000004">
      <c r="A1931" s="18">
        <v>24.773399999999999</v>
      </c>
      <c r="B1931" s="18">
        <v>34.798796500000002</v>
      </c>
      <c r="C1931" s="18">
        <v>681867.04</v>
      </c>
      <c r="D1931" s="18">
        <v>2741053.57</v>
      </c>
      <c r="E1931" s="18">
        <v>328.65</v>
      </c>
      <c r="F1931" s="18">
        <v>41931.03</v>
      </c>
      <c r="G1931" s="18">
        <v>133200</v>
      </c>
      <c r="H1931" s="18">
        <f t="shared" si="63"/>
        <v>41895.03</v>
      </c>
      <c r="I1931" s="12"/>
    </row>
    <row r="1932" spans="1:9" s="2" customFormat="1" ht="21.75" customHeight="1" x14ac:dyDescent="0.55000000000000004">
      <c r="A1932" s="18">
        <v>24.7733895</v>
      </c>
      <c r="B1932" s="18">
        <v>34.7987909</v>
      </c>
      <c r="C1932" s="18">
        <v>681866.5</v>
      </c>
      <c r="D1932" s="18">
        <v>2741052.4</v>
      </c>
      <c r="E1932" s="18">
        <v>328.67</v>
      </c>
      <c r="F1932" s="18">
        <v>41931.96</v>
      </c>
      <c r="G1932" s="18">
        <v>133202</v>
      </c>
      <c r="H1932" s="18">
        <f t="shared" si="63"/>
        <v>41895.96</v>
      </c>
      <c r="I1932" s="12"/>
    </row>
    <row r="1933" spans="1:9" s="2" customFormat="1" ht="21.75" customHeight="1" x14ac:dyDescent="0.55000000000000004">
      <c r="A1933" s="18">
        <v>24.773378399999999</v>
      </c>
      <c r="B1933" s="18">
        <v>34.798785000000002</v>
      </c>
      <c r="C1933" s="18">
        <v>681865.92</v>
      </c>
      <c r="D1933" s="18">
        <v>2741051.16</v>
      </c>
      <c r="E1933" s="18">
        <v>328.99</v>
      </c>
      <c r="F1933" s="18">
        <v>41931.57</v>
      </c>
      <c r="G1933" s="18">
        <v>133204</v>
      </c>
      <c r="H1933" s="18">
        <f t="shared" ref="H1933:H1996" si="64">SUM(F1933-36)</f>
        <v>41895.57</v>
      </c>
      <c r="I1933" s="12"/>
    </row>
    <row r="1934" spans="1:9" s="2" customFormat="1" ht="21.75" customHeight="1" x14ac:dyDescent="0.55000000000000004">
      <c r="A1934" s="18">
        <v>24.7733685</v>
      </c>
      <c r="B1934" s="18">
        <v>34.798769900000003</v>
      </c>
      <c r="C1934" s="18">
        <v>681864.41</v>
      </c>
      <c r="D1934" s="18">
        <v>2741050.05</v>
      </c>
      <c r="E1934" s="18">
        <v>329</v>
      </c>
      <c r="F1934" s="18">
        <v>41929.589999999997</v>
      </c>
      <c r="G1934" s="18">
        <v>133206</v>
      </c>
      <c r="H1934" s="18">
        <f t="shared" si="64"/>
        <v>41893.589999999997</v>
      </c>
      <c r="I1934" s="12"/>
    </row>
    <row r="1935" spans="1:9" s="2" customFormat="1" ht="21.75" customHeight="1" x14ac:dyDescent="0.55000000000000004">
      <c r="A1935" s="18">
        <v>24.773363199999999</v>
      </c>
      <c r="B1935" s="18">
        <v>34.798755499999999</v>
      </c>
      <c r="C1935" s="18">
        <v>681862.95</v>
      </c>
      <c r="D1935" s="18">
        <v>2741049.43</v>
      </c>
      <c r="E1935" s="18">
        <v>329.27</v>
      </c>
      <c r="F1935" s="18">
        <v>41932.74</v>
      </c>
      <c r="G1935" s="18">
        <v>133208</v>
      </c>
      <c r="H1935" s="18">
        <f t="shared" si="64"/>
        <v>41896.74</v>
      </c>
      <c r="I1935" s="12"/>
    </row>
    <row r="1936" spans="1:9" s="2" customFormat="1" ht="21.75" customHeight="1" x14ac:dyDescent="0.55000000000000004">
      <c r="A1936" s="18">
        <v>24.773360499999999</v>
      </c>
      <c r="B1936" s="18">
        <v>34.798737000000003</v>
      </c>
      <c r="C1936" s="18">
        <v>681861.09</v>
      </c>
      <c r="D1936" s="18">
        <v>2741049.12</v>
      </c>
      <c r="E1936" s="18">
        <v>329.59</v>
      </c>
      <c r="F1936" s="18">
        <v>41930.74</v>
      </c>
      <c r="G1936" s="18">
        <v>133210</v>
      </c>
      <c r="H1936" s="18">
        <f t="shared" si="64"/>
        <v>41894.74</v>
      </c>
      <c r="I1936" s="12"/>
    </row>
    <row r="1937" spans="1:9" s="2" customFormat="1" ht="21.75" customHeight="1" x14ac:dyDescent="0.55000000000000004">
      <c r="A1937" s="18">
        <v>24.7733606</v>
      </c>
      <c r="B1937" s="18">
        <v>34.798715700000002</v>
      </c>
      <c r="C1937" s="18">
        <v>681858.93</v>
      </c>
      <c r="D1937" s="18">
        <v>2741049.09</v>
      </c>
      <c r="E1937" s="18">
        <v>329.75</v>
      </c>
      <c r="F1937" s="18">
        <v>41931.629999999997</v>
      </c>
      <c r="G1937" s="18">
        <v>133212</v>
      </c>
      <c r="H1937" s="18">
        <f t="shared" si="64"/>
        <v>41895.629999999997</v>
      </c>
      <c r="I1937" s="12"/>
    </row>
    <row r="1938" spans="1:9" s="2" customFormat="1" ht="21.75" customHeight="1" x14ac:dyDescent="0.55000000000000004">
      <c r="A1938" s="18">
        <v>24.773358399999999</v>
      </c>
      <c r="B1938" s="18">
        <v>34.798697900000001</v>
      </c>
      <c r="C1938" s="18">
        <v>681857.13</v>
      </c>
      <c r="D1938" s="18">
        <v>2741048.83</v>
      </c>
      <c r="E1938" s="18">
        <v>330.03</v>
      </c>
      <c r="F1938" s="18">
        <v>41934.35</v>
      </c>
      <c r="G1938" s="18">
        <v>133214</v>
      </c>
      <c r="H1938" s="18">
        <f t="shared" si="64"/>
        <v>41898.35</v>
      </c>
      <c r="I1938" s="12"/>
    </row>
    <row r="1939" spans="1:9" s="2" customFormat="1" ht="21.75" customHeight="1" x14ac:dyDescent="0.55000000000000004">
      <c r="A1939" s="18">
        <v>24.773360100000001</v>
      </c>
      <c r="B1939" s="18">
        <v>34.798674499999997</v>
      </c>
      <c r="C1939" s="18">
        <v>681854.77</v>
      </c>
      <c r="D1939" s="18">
        <v>2741048.99</v>
      </c>
      <c r="E1939" s="18">
        <v>330.15</v>
      </c>
      <c r="F1939" s="18">
        <v>41929.980000000003</v>
      </c>
      <c r="G1939" s="18">
        <v>133216</v>
      </c>
      <c r="H1939" s="18">
        <f t="shared" si="64"/>
        <v>41893.980000000003</v>
      </c>
      <c r="I1939" s="12"/>
    </row>
    <row r="1940" spans="1:9" s="2" customFormat="1" ht="21.75" customHeight="1" x14ac:dyDescent="0.55000000000000004">
      <c r="A1940" s="18">
        <v>24.773361699999999</v>
      </c>
      <c r="B1940" s="18">
        <v>34.798653600000002</v>
      </c>
      <c r="C1940" s="18">
        <v>681852.65</v>
      </c>
      <c r="D1940" s="18">
        <v>2741049.13</v>
      </c>
      <c r="E1940" s="18">
        <v>330.48</v>
      </c>
      <c r="F1940" s="18">
        <v>41930.300000000003</v>
      </c>
      <c r="G1940" s="18">
        <v>133218</v>
      </c>
      <c r="H1940" s="18">
        <f t="shared" si="64"/>
        <v>41894.300000000003</v>
      </c>
      <c r="I1940" s="12"/>
    </row>
    <row r="1941" spans="1:9" s="2" customFormat="1" ht="21.75" customHeight="1" x14ac:dyDescent="0.55000000000000004">
      <c r="A1941" s="18">
        <v>24.773362500000001</v>
      </c>
      <c r="B1941" s="18">
        <v>34.798630299999999</v>
      </c>
      <c r="C1941" s="18">
        <v>681850.29</v>
      </c>
      <c r="D1941" s="18">
        <v>2741049.19</v>
      </c>
      <c r="E1941" s="18">
        <v>330.76</v>
      </c>
      <c r="F1941" s="18">
        <v>41928.19</v>
      </c>
      <c r="G1941" s="18">
        <v>133220</v>
      </c>
      <c r="H1941" s="18">
        <f t="shared" si="64"/>
        <v>41892.19</v>
      </c>
      <c r="I1941" s="12"/>
    </row>
    <row r="1942" spans="1:9" s="2" customFormat="1" ht="21.75" customHeight="1" x14ac:dyDescent="0.55000000000000004">
      <c r="A1942" s="18">
        <v>24.773363400000001</v>
      </c>
      <c r="B1942" s="18">
        <v>34.798611100000002</v>
      </c>
      <c r="C1942" s="18">
        <v>681848.36</v>
      </c>
      <c r="D1942" s="18">
        <v>2741049.26</v>
      </c>
      <c r="E1942" s="18">
        <v>330.93</v>
      </c>
      <c r="F1942" s="18">
        <v>41928.67</v>
      </c>
      <c r="G1942" s="18">
        <v>133222</v>
      </c>
      <c r="H1942" s="18">
        <f t="shared" si="64"/>
        <v>41892.67</v>
      </c>
      <c r="I1942" s="12"/>
    </row>
    <row r="1943" spans="1:9" s="2" customFormat="1" ht="21.75" customHeight="1" x14ac:dyDescent="0.55000000000000004">
      <c r="A1943" s="18">
        <v>24.7733685</v>
      </c>
      <c r="B1943" s="18">
        <v>34.798591799999997</v>
      </c>
      <c r="C1943" s="18">
        <v>681846.4</v>
      </c>
      <c r="D1943" s="18">
        <v>2741049.81</v>
      </c>
      <c r="E1943" s="18">
        <v>330.82</v>
      </c>
      <c r="F1943" s="18">
        <v>41931.14</v>
      </c>
      <c r="G1943" s="18">
        <v>133224</v>
      </c>
      <c r="H1943" s="18">
        <f t="shared" si="64"/>
        <v>41895.14</v>
      </c>
      <c r="I1943" s="12"/>
    </row>
    <row r="1944" spans="1:9" s="2" customFormat="1" ht="21.75" customHeight="1" x14ac:dyDescent="0.55000000000000004">
      <c r="A1944" s="18">
        <v>24.773371399999998</v>
      </c>
      <c r="B1944" s="18">
        <v>34.798571099999997</v>
      </c>
      <c r="C1944" s="18">
        <v>681844.3</v>
      </c>
      <c r="D1944" s="18">
        <v>2741050.1</v>
      </c>
      <c r="E1944" s="18">
        <v>331.1</v>
      </c>
      <c r="F1944" s="18">
        <v>41927.129999999997</v>
      </c>
      <c r="G1944" s="18">
        <v>133226</v>
      </c>
      <c r="H1944" s="18">
        <f t="shared" si="64"/>
        <v>41891.129999999997</v>
      </c>
      <c r="I1944" s="12"/>
    </row>
    <row r="1945" spans="1:9" s="2" customFormat="1" ht="21.75" customHeight="1" x14ac:dyDescent="0.55000000000000004">
      <c r="A1945" s="18">
        <v>24.7733782</v>
      </c>
      <c r="B1945" s="18">
        <v>34.798554099999997</v>
      </c>
      <c r="C1945" s="18">
        <v>681842.57</v>
      </c>
      <c r="D1945" s="18">
        <v>2741050.83</v>
      </c>
      <c r="E1945" s="18">
        <v>331.42</v>
      </c>
      <c r="F1945" s="18">
        <v>41930.19</v>
      </c>
      <c r="G1945" s="18">
        <v>133228</v>
      </c>
      <c r="H1945" s="18">
        <f t="shared" si="64"/>
        <v>41894.19</v>
      </c>
      <c r="I1945" s="12"/>
    </row>
    <row r="1946" spans="1:9" s="2" customFormat="1" ht="21.75" customHeight="1" x14ac:dyDescent="0.55000000000000004">
      <c r="A1946" s="18">
        <v>24.773377700000001</v>
      </c>
      <c r="B1946" s="18">
        <v>34.7985355</v>
      </c>
      <c r="C1946" s="18">
        <v>681840.69</v>
      </c>
      <c r="D1946" s="18">
        <v>2741050.75</v>
      </c>
      <c r="E1946" s="18">
        <v>331.75</v>
      </c>
      <c r="F1946" s="18">
        <v>41927.629999999997</v>
      </c>
      <c r="G1946" s="18">
        <v>133230</v>
      </c>
      <c r="H1946" s="18">
        <f t="shared" si="64"/>
        <v>41891.629999999997</v>
      </c>
      <c r="I1946" s="12"/>
    </row>
    <row r="1947" spans="1:9" s="2" customFormat="1" ht="21.75" customHeight="1" x14ac:dyDescent="0.55000000000000004">
      <c r="A1947" s="18">
        <v>24.773369500000001</v>
      </c>
      <c r="B1947" s="18">
        <v>34.798514599999997</v>
      </c>
      <c r="C1947" s="18">
        <v>681838.58</v>
      </c>
      <c r="D1947" s="18">
        <v>2741049.81</v>
      </c>
      <c r="E1947" s="18">
        <v>331.83</v>
      </c>
      <c r="F1947" s="18">
        <v>41927.31</v>
      </c>
      <c r="G1947" s="18">
        <v>133232</v>
      </c>
      <c r="H1947" s="18">
        <f t="shared" si="64"/>
        <v>41891.31</v>
      </c>
      <c r="I1947" s="12"/>
    </row>
    <row r="1948" spans="1:9" s="2" customFormat="1" ht="21.75" customHeight="1" x14ac:dyDescent="0.55000000000000004">
      <c r="A1948" s="18">
        <v>24.7733569</v>
      </c>
      <c r="B1948" s="18">
        <v>34.798501799999997</v>
      </c>
      <c r="C1948" s="18">
        <v>681837.3</v>
      </c>
      <c r="D1948" s="18">
        <v>2741048.4</v>
      </c>
      <c r="E1948" s="18">
        <v>332.17</v>
      </c>
      <c r="F1948" s="18">
        <v>41930.160000000003</v>
      </c>
      <c r="G1948" s="18">
        <v>133234</v>
      </c>
      <c r="H1948" s="18">
        <f t="shared" si="64"/>
        <v>41894.160000000003</v>
      </c>
      <c r="I1948" s="12"/>
    </row>
    <row r="1949" spans="1:9" s="2" customFormat="1" ht="21.75" customHeight="1" x14ac:dyDescent="0.55000000000000004">
      <c r="A1949" s="18">
        <v>24.773350400000002</v>
      </c>
      <c r="B1949" s="18">
        <v>34.798484799999997</v>
      </c>
      <c r="C1949" s="18">
        <v>681835.6</v>
      </c>
      <c r="D1949" s="18">
        <v>2741047.66</v>
      </c>
      <c r="E1949" s="18">
        <v>332.32</v>
      </c>
      <c r="F1949" s="18">
        <v>41929.14</v>
      </c>
      <c r="G1949" s="18">
        <v>133236</v>
      </c>
      <c r="H1949" s="18">
        <f t="shared" si="64"/>
        <v>41893.14</v>
      </c>
      <c r="I1949" s="12"/>
    </row>
    <row r="1950" spans="1:9" s="2" customFormat="1" ht="21.75" customHeight="1" x14ac:dyDescent="0.55000000000000004">
      <c r="A1950" s="18">
        <v>24.773344300000002</v>
      </c>
      <c r="B1950" s="18">
        <v>34.798468100000001</v>
      </c>
      <c r="C1950" s="18">
        <v>681833.92</v>
      </c>
      <c r="D1950" s="18">
        <v>2741046.96</v>
      </c>
      <c r="E1950" s="18">
        <v>332.6</v>
      </c>
      <c r="F1950" s="18">
        <v>41928.03</v>
      </c>
      <c r="G1950" s="18">
        <v>133238</v>
      </c>
      <c r="H1950" s="18">
        <f t="shared" si="64"/>
        <v>41892.03</v>
      </c>
      <c r="I1950" s="12"/>
    </row>
    <row r="1951" spans="1:9" s="2" customFormat="1" ht="21.75" customHeight="1" x14ac:dyDescent="0.55000000000000004">
      <c r="A1951" s="18">
        <v>24.773334599999998</v>
      </c>
      <c r="B1951" s="18">
        <v>34.798452099999999</v>
      </c>
      <c r="C1951" s="18">
        <v>681832.32</v>
      </c>
      <c r="D1951" s="18">
        <v>2741045.87</v>
      </c>
      <c r="E1951" s="18">
        <v>332.86</v>
      </c>
      <c r="F1951" s="18">
        <v>41927.300000000003</v>
      </c>
      <c r="G1951" s="18">
        <v>133240</v>
      </c>
      <c r="H1951" s="18">
        <f t="shared" si="64"/>
        <v>41891.300000000003</v>
      </c>
      <c r="I1951" s="12"/>
    </row>
    <row r="1952" spans="1:9" s="2" customFormat="1" ht="21.75" customHeight="1" x14ac:dyDescent="0.55000000000000004">
      <c r="A1952" s="18">
        <v>24.773326399999998</v>
      </c>
      <c r="B1952" s="18">
        <v>34.7984455</v>
      </c>
      <c r="C1952" s="18">
        <v>681831.66</v>
      </c>
      <c r="D1952" s="18">
        <v>2741044.95</v>
      </c>
      <c r="E1952" s="18">
        <v>333.08</v>
      </c>
      <c r="F1952" s="18">
        <v>41929.760000000002</v>
      </c>
      <c r="G1952" s="18">
        <v>133242</v>
      </c>
      <c r="H1952" s="18">
        <f t="shared" si="64"/>
        <v>41893.760000000002</v>
      </c>
      <c r="I1952" s="12"/>
    </row>
    <row r="1953" spans="1:9" s="2" customFormat="1" ht="21.75" customHeight="1" x14ac:dyDescent="0.55000000000000004">
      <c r="A1953" s="18">
        <v>24.773320699999999</v>
      </c>
      <c r="B1953" s="18">
        <v>34.798433099999997</v>
      </c>
      <c r="C1953" s="18">
        <v>681830.41</v>
      </c>
      <c r="D1953" s="18">
        <v>2741044.3</v>
      </c>
      <c r="E1953" s="18">
        <v>333.26</v>
      </c>
      <c r="F1953" s="18">
        <v>41930.76</v>
      </c>
      <c r="G1953" s="18">
        <v>133244</v>
      </c>
      <c r="H1953" s="18">
        <f t="shared" si="64"/>
        <v>41894.76</v>
      </c>
      <c r="I1953" s="12"/>
    </row>
    <row r="1954" spans="1:9" s="2" customFormat="1" ht="21.75" customHeight="1" x14ac:dyDescent="0.55000000000000004">
      <c r="A1954" s="18">
        <v>24.7733092</v>
      </c>
      <c r="B1954" s="18">
        <v>34.798419000000003</v>
      </c>
      <c r="C1954" s="18">
        <v>681829</v>
      </c>
      <c r="D1954" s="18">
        <v>2741043.01</v>
      </c>
      <c r="E1954" s="18">
        <v>333.37</v>
      </c>
      <c r="F1954" s="18">
        <v>41929.589999999997</v>
      </c>
      <c r="G1954" s="18">
        <v>133246</v>
      </c>
      <c r="H1954" s="18">
        <f t="shared" si="64"/>
        <v>41893.589999999997</v>
      </c>
      <c r="I1954" s="12"/>
    </row>
    <row r="1955" spans="1:9" s="2" customFormat="1" ht="21.75" customHeight="1" x14ac:dyDescent="0.55000000000000004">
      <c r="A1955" s="18">
        <v>24.773296800000001</v>
      </c>
      <c r="B1955" s="18">
        <v>34.798400899999997</v>
      </c>
      <c r="C1955" s="18">
        <v>681827.19</v>
      </c>
      <c r="D1955" s="18">
        <v>2741041.61</v>
      </c>
      <c r="E1955" s="18">
        <v>333.8</v>
      </c>
      <c r="F1955" s="18">
        <v>41927.910000000003</v>
      </c>
      <c r="G1955" s="18">
        <v>133248</v>
      </c>
      <c r="H1955" s="18">
        <f t="shared" si="64"/>
        <v>41891.910000000003</v>
      </c>
      <c r="I1955" s="12"/>
    </row>
    <row r="1956" spans="1:9" s="2" customFormat="1" ht="21.75" customHeight="1" x14ac:dyDescent="0.55000000000000004">
      <c r="A1956" s="18">
        <v>24.773293599999999</v>
      </c>
      <c r="B1956" s="18">
        <v>34.798386800000003</v>
      </c>
      <c r="C1956" s="18">
        <v>681825.77</v>
      </c>
      <c r="D1956" s="18">
        <v>2741041.24</v>
      </c>
      <c r="E1956" s="18">
        <v>333.95</v>
      </c>
      <c r="F1956" s="18">
        <v>41931.410000000003</v>
      </c>
      <c r="G1956" s="18">
        <v>133250</v>
      </c>
      <c r="H1956" s="18">
        <f t="shared" si="64"/>
        <v>41895.410000000003</v>
      </c>
      <c r="I1956" s="12"/>
    </row>
    <row r="1957" spans="1:9" s="2" customFormat="1" ht="21.75" customHeight="1" x14ac:dyDescent="0.55000000000000004">
      <c r="A1957" s="18">
        <v>24.773293800000001</v>
      </c>
      <c r="B1957" s="18">
        <v>34.798375900000003</v>
      </c>
      <c r="C1957" s="18">
        <v>681824.67</v>
      </c>
      <c r="D1957" s="18">
        <v>2741041.25</v>
      </c>
      <c r="E1957" s="18">
        <v>333.85</v>
      </c>
      <c r="F1957" s="18">
        <v>41931.56</v>
      </c>
      <c r="G1957" s="18">
        <v>133252</v>
      </c>
      <c r="H1957" s="18">
        <f t="shared" si="64"/>
        <v>41895.56</v>
      </c>
      <c r="I1957" s="12"/>
    </row>
    <row r="1958" spans="1:9" s="2" customFormat="1" ht="21.75" customHeight="1" x14ac:dyDescent="0.55000000000000004">
      <c r="A1958" s="18">
        <v>24.773292099999999</v>
      </c>
      <c r="B1958" s="18">
        <v>34.798354500000002</v>
      </c>
      <c r="C1958" s="18">
        <v>681822.5</v>
      </c>
      <c r="D1958" s="18">
        <v>2741041.03</v>
      </c>
      <c r="E1958" s="18">
        <v>333.92</v>
      </c>
      <c r="F1958" s="18">
        <v>41931</v>
      </c>
      <c r="G1958" s="18">
        <v>133254</v>
      </c>
      <c r="H1958" s="18">
        <f t="shared" si="64"/>
        <v>41895</v>
      </c>
      <c r="I1958" s="12"/>
    </row>
    <row r="1959" spans="1:9" s="2" customFormat="1" ht="21.75" customHeight="1" x14ac:dyDescent="0.55000000000000004">
      <c r="A1959" s="18">
        <v>24.773292099999999</v>
      </c>
      <c r="B1959" s="18">
        <v>34.798342300000002</v>
      </c>
      <c r="C1959" s="18">
        <v>681821.27</v>
      </c>
      <c r="D1959" s="18">
        <v>2741041.01</v>
      </c>
      <c r="E1959" s="18">
        <v>333.89</v>
      </c>
      <c r="F1959" s="18">
        <v>41929.519999999997</v>
      </c>
      <c r="G1959" s="18">
        <v>133256</v>
      </c>
      <c r="H1959" s="18">
        <f t="shared" si="64"/>
        <v>41893.519999999997</v>
      </c>
      <c r="I1959" s="12"/>
    </row>
    <row r="1960" spans="1:9" s="2" customFormat="1" ht="21.75" customHeight="1" x14ac:dyDescent="0.55000000000000004">
      <c r="A1960" s="18">
        <v>24.773284799999999</v>
      </c>
      <c r="B1960" s="18">
        <v>34.7983221</v>
      </c>
      <c r="C1960" s="18">
        <v>681819.24</v>
      </c>
      <c r="D1960" s="18">
        <v>2741040.18</v>
      </c>
      <c r="E1960" s="18">
        <v>334.19</v>
      </c>
      <c r="F1960" s="18">
        <v>41931.4</v>
      </c>
      <c r="G1960" s="18">
        <v>133258</v>
      </c>
      <c r="H1960" s="18">
        <f t="shared" si="64"/>
        <v>41895.4</v>
      </c>
      <c r="I1960" s="12"/>
    </row>
    <row r="1961" spans="1:9" s="2" customFormat="1" ht="21.75" customHeight="1" x14ac:dyDescent="0.55000000000000004">
      <c r="A1961" s="18">
        <v>24.773283599999999</v>
      </c>
      <c r="B1961" s="18">
        <v>34.7983057</v>
      </c>
      <c r="C1961" s="18">
        <v>681817.58</v>
      </c>
      <c r="D1961" s="18">
        <v>2741040.02</v>
      </c>
      <c r="E1961" s="18">
        <v>334.37</v>
      </c>
      <c r="F1961" s="18">
        <v>41936.06</v>
      </c>
      <c r="G1961" s="18">
        <v>133300</v>
      </c>
      <c r="H1961" s="18">
        <f t="shared" si="64"/>
        <v>41900.06</v>
      </c>
      <c r="I1961" s="12"/>
    </row>
    <row r="1962" spans="1:9" s="2" customFormat="1" ht="21.75" customHeight="1" x14ac:dyDescent="0.55000000000000004">
      <c r="A1962" s="18">
        <v>24.773284</v>
      </c>
      <c r="B1962" s="18">
        <v>34.798285900000003</v>
      </c>
      <c r="C1962" s="18">
        <v>681815.58</v>
      </c>
      <c r="D1962" s="18">
        <v>2741040.04</v>
      </c>
      <c r="E1962" s="18">
        <v>334.8</v>
      </c>
      <c r="F1962" s="18">
        <v>41930.46</v>
      </c>
      <c r="G1962" s="18">
        <v>133302</v>
      </c>
      <c r="H1962" s="18">
        <f t="shared" si="64"/>
        <v>41894.46</v>
      </c>
      <c r="I1962" s="12"/>
    </row>
    <row r="1963" spans="1:9" s="2" customFormat="1" ht="21.75" customHeight="1" x14ac:dyDescent="0.55000000000000004">
      <c r="A1963" s="18">
        <v>24.773279299999999</v>
      </c>
      <c r="B1963" s="18">
        <v>34.798276399999999</v>
      </c>
      <c r="C1963" s="18">
        <v>681814.62</v>
      </c>
      <c r="D1963" s="18">
        <v>2741039.5</v>
      </c>
      <c r="E1963" s="18">
        <v>335.21</v>
      </c>
      <c r="F1963" s="18">
        <v>41930.75</v>
      </c>
      <c r="G1963" s="18">
        <v>133304</v>
      </c>
      <c r="H1963" s="18">
        <f t="shared" si="64"/>
        <v>41894.75</v>
      </c>
      <c r="I1963" s="12"/>
    </row>
    <row r="1964" spans="1:9" s="2" customFormat="1" ht="21.75" customHeight="1" x14ac:dyDescent="0.55000000000000004">
      <c r="A1964" s="18">
        <v>24.773278600000001</v>
      </c>
      <c r="B1964" s="18">
        <v>34.798262999999999</v>
      </c>
      <c r="C1964" s="18">
        <v>681813.27</v>
      </c>
      <c r="D1964" s="18">
        <v>2741039.41</v>
      </c>
      <c r="E1964" s="18">
        <v>335.51</v>
      </c>
      <c r="F1964" s="18">
        <v>41932</v>
      </c>
      <c r="G1964" s="18">
        <v>133306</v>
      </c>
      <c r="H1964" s="18">
        <f t="shared" si="64"/>
        <v>41896</v>
      </c>
      <c r="I1964" s="12"/>
    </row>
    <row r="1965" spans="1:9" s="2" customFormat="1" ht="21.75" customHeight="1" x14ac:dyDescent="0.55000000000000004">
      <c r="A1965" s="18">
        <v>24.773271699999999</v>
      </c>
      <c r="B1965" s="18">
        <v>34.7982516</v>
      </c>
      <c r="C1965" s="18">
        <v>681812.13</v>
      </c>
      <c r="D1965" s="18">
        <v>2741038.63</v>
      </c>
      <c r="E1965" s="18">
        <v>335.9</v>
      </c>
      <c r="F1965" s="18">
        <v>41929.85</v>
      </c>
      <c r="G1965" s="18">
        <v>133308</v>
      </c>
      <c r="H1965" s="18">
        <f t="shared" si="64"/>
        <v>41893.85</v>
      </c>
      <c r="I1965" s="12"/>
    </row>
    <row r="1966" spans="1:9" s="2" customFormat="1" ht="21.75" customHeight="1" x14ac:dyDescent="0.55000000000000004">
      <c r="A1966" s="18">
        <v>24.773268900000001</v>
      </c>
      <c r="B1966" s="18">
        <v>34.798234399999998</v>
      </c>
      <c r="C1966" s="18">
        <v>681810.39</v>
      </c>
      <c r="D1966" s="18">
        <v>2741038.3</v>
      </c>
      <c r="E1966" s="18">
        <v>336.39</v>
      </c>
      <c r="F1966" s="18">
        <v>41932.730000000003</v>
      </c>
      <c r="G1966" s="18">
        <v>133310</v>
      </c>
      <c r="H1966" s="18">
        <f t="shared" si="64"/>
        <v>41896.730000000003</v>
      </c>
      <c r="I1966" s="12"/>
    </row>
    <row r="1967" spans="1:9" s="2" customFormat="1" ht="21.75" customHeight="1" x14ac:dyDescent="0.55000000000000004">
      <c r="A1967" s="18">
        <v>24.773265800000001</v>
      </c>
      <c r="B1967" s="18">
        <v>34.7982266</v>
      </c>
      <c r="C1967" s="18">
        <v>681809.61</v>
      </c>
      <c r="D1967" s="18">
        <v>2741037.95</v>
      </c>
      <c r="E1967" s="18">
        <v>336.97</v>
      </c>
      <c r="F1967" s="18">
        <v>41930.14</v>
      </c>
      <c r="G1967" s="18">
        <v>133312</v>
      </c>
      <c r="H1967" s="18">
        <f t="shared" si="64"/>
        <v>41894.14</v>
      </c>
      <c r="I1967" s="12"/>
    </row>
    <row r="1968" spans="1:9" s="2" customFormat="1" ht="21.75" customHeight="1" x14ac:dyDescent="0.55000000000000004">
      <c r="A1968" s="18">
        <v>24.773258899999998</v>
      </c>
      <c r="B1968" s="18">
        <v>34.798216400000001</v>
      </c>
      <c r="C1968" s="18">
        <v>681808.59</v>
      </c>
      <c r="D1968" s="18">
        <v>2741037.17</v>
      </c>
      <c r="E1968" s="18">
        <v>337.51</v>
      </c>
      <c r="F1968" s="18">
        <v>41929.83</v>
      </c>
      <c r="G1968" s="18">
        <v>133314</v>
      </c>
      <c r="H1968" s="18">
        <f t="shared" si="64"/>
        <v>41893.83</v>
      </c>
      <c r="I1968" s="12"/>
    </row>
    <row r="1969" spans="1:9" s="2" customFormat="1" ht="21.75" customHeight="1" x14ac:dyDescent="0.55000000000000004">
      <c r="A1969" s="18">
        <v>24.773249499999999</v>
      </c>
      <c r="B1969" s="18">
        <v>34.798206299999997</v>
      </c>
      <c r="C1969" s="18">
        <v>681807.58</v>
      </c>
      <c r="D1969" s="18">
        <v>2741036.11</v>
      </c>
      <c r="E1969" s="18">
        <v>337.85</v>
      </c>
      <c r="F1969" s="18">
        <v>41927.82</v>
      </c>
      <c r="G1969" s="18">
        <v>133316</v>
      </c>
      <c r="H1969" s="18">
        <f t="shared" si="64"/>
        <v>41891.82</v>
      </c>
      <c r="I1969" s="12"/>
    </row>
    <row r="1970" spans="1:9" s="2" customFormat="1" ht="21.75" customHeight="1" x14ac:dyDescent="0.55000000000000004">
      <c r="A1970" s="18">
        <v>24.773242199999999</v>
      </c>
      <c r="B1970" s="18">
        <v>34.798206399999998</v>
      </c>
      <c r="C1970" s="18">
        <v>681807.6</v>
      </c>
      <c r="D1970" s="18">
        <v>2741035.3</v>
      </c>
      <c r="E1970" s="18">
        <v>338.54</v>
      </c>
      <c r="F1970" s="18">
        <v>41931.660000000003</v>
      </c>
      <c r="G1970" s="18">
        <v>133318</v>
      </c>
      <c r="H1970" s="18">
        <f t="shared" si="64"/>
        <v>41895.660000000003</v>
      </c>
      <c r="I1970" s="12"/>
    </row>
    <row r="1971" spans="1:9" s="2" customFormat="1" ht="21.75" customHeight="1" x14ac:dyDescent="0.55000000000000004">
      <c r="A1971" s="18">
        <v>24.773241899999999</v>
      </c>
      <c r="B1971" s="18">
        <v>34.798204800000001</v>
      </c>
      <c r="C1971" s="18">
        <v>681807.44</v>
      </c>
      <c r="D1971" s="18">
        <v>2741035.27</v>
      </c>
      <c r="E1971" s="18">
        <v>338.6</v>
      </c>
      <c r="F1971" s="18">
        <v>41929.11</v>
      </c>
      <c r="G1971" s="18">
        <v>133320</v>
      </c>
      <c r="H1971" s="18">
        <f t="shared" si="64"/>
        <v>41893.11</v>
      </c>
      <c r="I1971" s="12"/>
    </row>
    <row r="1972" spans="1:9" s="2" customFormat="1" ht="21.75" customHeight="1" x14ac:dyDescent="0.55000000000000004">
      <c r="A1972" s="18">
        <v>24.773242799999998</v>
      </c>
      <c r="B1972" s="18">
        <v>34.798203100000002</v>
      </c>
      <c r="C1972" s="18">
        <v>681807.27</v>
      </c>
      <c r="D1972" s="18">
        <v>2741035.37</v>
      </c>
      <c r="E1972" s="18">
        <v>338.69</v>
      </c>
      <c r="F1972" s="18">
        <v>41929.089999999997</v>
      </c>
      <c r="G1972" s="18">
        <v>133322</v>
      </c>
      <c r="H1972" s="18">
        <f t="shared" si="64"/>
        <v>41893.089999999997</v>
      </c>
      <c r="I1972" s="12"/>
    </row>
    <row r="1973" spans="1:9" s="2" customFormat="1" ht="21.75" customHeight="1" x14ac:dyDescent="0.55000000000000004">
      <c r="A1973" s="18">
        <v>24.773243399999998</v>
      </c>
      <c r="B1973" s="18">
        <v>34.798205400000001</v>
      </c>
      <c r="C1973" s="18">
        <v>681807.5</v>
      </c>
      <c r="D1973" s="18">
        <v>2741035.44</v>
      </c>
      <c r="E1973" s="18">
        <v>338.8</v>
      </c>
      <c r="F1973" s="18">
        <v>41925.160000000003</v>
      </c>
      <c r="G1973" s="18">
        <v>133324</v>
      </c>
      <c r="H1973" s="18">
        <f t="shared" si="64"/>
        <v>41889.160000000003</v>
      </c>
      <c r="I1973" s="12"/>
    </row>
    <row r="1974" spans="1:9" s="2" customFormat="1" ht="21.75" customHeight="1" x14ac:dyDescent="0.55000000000000004">
      <c r="A1974" s="18">
        <v>24.773241500000001</v>
      </c>
      <c r="B1974" s="18">
        <v>34.798197100000003</v>
      </c>
      <c r="C1974" s="18">
        <v>681806.66</v>
      </c>
      <c r="D1974" s="18">
        <v>2741035.22</v>
      </c>
      <c r="E1974" s="18">
        <v>338.91</v>
      </c>
      <c r="F1974" s="18">
        <v>41929.93</v>
      </c>
      <c r="G1974" s="18">
        <v>133326</v>
      </c>
      <c r="H1974" s="18">
        <f t="shared" si="64"/>
        <v>41893.93</v>
      </c>
      <c r="I1974" s="12"/>
    </row>
    <row r="1975" spans="1:9" s="2" customFormat="1" ht="21.75" customHeight="1" x14ac:dyDescent="0.55000000000000004">
      <c r="A1975" s="18">
        <v>24.773241299999999</v>
      </c>
      <c r="B1975" s="18">
        <v>34.7981859</v>
      </c>
      <c r="C1975" s="18">
        <v>681805.53</v>
      </c>
      <c r="D1975" s="18">
        <v>2741035.18</v>
      </c>
      <c r="E1975" s="18">
        <v>339.29</v>
      </c>
      <c r="F1975" s="18">
        <v>41929.699999999997</v>
      </c>
      <c r="G1975" s="18">
        <v>133328</v>
      </c>
      <c r="H1975" s="18">
        <f t="shared" si="64"/>
        <v>41893.699999999997</v>
      </c>
      <c r="I1975" s="12"/>
    </row>
    <row r="1976" spans="1:9" s="2" customFormat="1" ht="21.75" customHeight="1" x14ac:dyDescent="0.55000000000000004">
      <c r="A1976" s="18">
        <v>24.773245200000002</v>
      </c>
      <c r="B1976" s="18">
        <v>34.798176300000002</v>
      </c>
      <c r="C1976" s="18">
        <v>681804.56</v>
      </c>
      <c r="D1976" s="18">
        <v>2741035.59</v>
      </c>
      <c r="E1976" s="18">
        <v>339.82</v>
      </c>
      <c r="F1976" s="18">
        <v>41931.769999999997</v>
      </c>
      <c r="G1976" s="18">
        <v>133330</v>
      </c>
      <c r="H1976" s="18">
        <f t="shared" si="64"/>
        <v>41895.769999999997</v>
      </c>
      <c r="I1976" s="12"/>
    </row>
    <row r="1977" spans="1:9" s="2" customFormat="1" ht="21.75" customHeight="1" x14ac:dyDescent="0.55000000000000004">
      <c r="A1977" s="18">
        <v>24.773243699999998</v>
      </c>
      <c r="B1977" s="18">
        <v>34.798179099999999</v>
      </c>
      <c r="C1977" s="18">
        <v>681804.84</v>
      </c>
      <c r="D1977" s="18">
        <v>2741035.44</v>
      </c>
      <c r="E1977" s="18">
        <v>339.73</v>
      </c>
      <c r="F1977" s="18">
        <v>41928.25</v>
      </c>
      <c r="G1977" s="18">
        <v>133332</v>
      </c>
      <c r="H1977" s="18">
        <f t="shared" si="64"/>
        <v>41892.25</v>
      </c>
      <c r="I1977" s="12"/>
    </row>
    <row r="1978" spans="1:9" s="2" customFormat="1" ht="21.75" customHeight="1" x14ac:dyDescent="0.55000000000000004">
      <c r="A1978" s="18">
        <v>24.773243999999998</v>
      </c>
      <c r="B1978" s="18">
        <v>34.798177099999997</v>
      </c>
      <c r="C1978" s="18">
        <v>681804.63</v>
      </c>
      <c r="D1978" s="18">
        <v>2741035.46</v>
      </c>
      <c r="E1978" s="18">
        <v>339.73</v>
      </c>
      <c r="F1978" s="18">
        <v>41926.120000000003</v>
      </c>
      <c r="G1978" s="18">
        <v>133334</v>
      </c>
      <c r="H1978" s="18">
        <f t="shared" si="64"/>
        <v>41890.120000000003</v>
      </c>
      <c r="I1978" s="12"/>
    </row>
    <row r="1979" spans="1:9" s="2" customFormat="1" ht="21.75" customHeight="1" x14ac:dyDescent="0.55000000000000004">
      <c r="A1979" s="18">
        <v>24.773242700000001</v>
      </c>
      <c r="B1979" s="18">
        <v>34.7981622</v>
      </c>
      <c r="C1979" s="18">
        <v>681803.13</v>
      </c>
      <c r="D1979" s="18">
        <v>2741035.3</v>
      </c>
      <c r="E1979" s="18">
        <v>339.91</v>
      </c>
      <c r="F1979" s="18">
        <v>41926.01</v>
      </c>
      <c r="G1979" s="18">
        <v>133336</v>
      </c>
      <c r="H1979" s="18">
        <f t="shared" si="64"/>
        <v>41890.01</v>
      </c>
      <c r="I1979" s="12"/>
    </row>
    <row r="1980" spans="1:9" s="2" customFormat="1" ht="21.75" customHeight="1" x14ac:dyDescent="0.55000000000000004">
      <c r="A1980" s="18">
        <v>24.773248200000001</v>
      </c>
      <c r="B1980" s="18">
        <v>34.798151599999997</v>
      </c>
      <c r="C1980" s="18">
        <v>681802.05</v>
      </c>
      <c r="D1980" s="18">
        <v>2741035.9</v>
      </c>
      <c r="E1980" s="18">
        <v>340.38</v>
      </c>
      <c r="F1980" s="18">
        <v>41931.1</v>
      </c>
      <c r="G1980" s="18">
        <v>133338</v>
      </c>
      <c r="H1980" s="18">
        <f t="shared" si="64"/>
        <v>41895.1</v>
      </c>
      <c r="I1980" s="12"/>
    </row>
    <row r="1981" spans="1:9" s="2" customFormat="1" ht="21.75" customHeight="1" x14ac:dyDescent="0.55000000000000004">
      <c r="A1981" s="18">
        <v>24.7732606</v>
      </c>
      <c r="B1981" s="18">
        <v>34.798141999999999</v>
      </c>
      <c r="C1981" s="18">
        <v>681801.06</v>
      </c>
      <c r="D1981" s="18">
        <v>2741037.26</v>
      </c>
      <c r="E1981" s="18">
        <v>340.68</v>
      </c>
      <c r="F1981" s="18">
        <v>41927.69</v>
      </c>
      <c r="G1981" s="18">
        <v>133340</v>
      </c>
      <c r="H1981" s="18">
        <f t="shared" si="64"/>
        <v>41891.69</v>
      </c>
      <c r="I1981" s="12"/>
    </row>
    <row r="1982" spans="1:9" s="2" customFormat="1" ht="21.75" customHeight="1" x14ac:dyDescent="0.55000000000000004">
      <c r="A1982" s="18">
        <v>24.773268300000002</v>
      </c>
      <c r="B1982" s="18">
        <v>34.79813</v>
      </c>
      <c r="C1982" s="18">
        <v>681799.84</v>
      </c>
      <c r="D1982" s="18">
        <v>2741038.1</v>
      </c>
      <c r="E1982" s="18">
        <v>341.21</v>
      </c>
      <c r="F1982" s="18">
        <v>41928.21</v>
      </c>
      <c r="G1982" s="18">
        <v>133342</v>
      </c>
      <c r="H1982" s="18">
        <f t="shared" si="64"/>
        <v>41892.21</v>
      </c>
      <c r="I1982" s="12"/>
    </row>
    <row r="1983" spans="1:9" s="2" customFormat="1" ht="21.75" customHeight="1" x14ac:dyDescent="0.55000000000000004">
      <c r="A1983" s="18">
        <v>24.773284</v>
      </c>
      <c r="B1983" s="18">
        <v>34.798118600000002</v>
      </c>
      <c r="C1983" s="18">
        <v>681798.66</v>
      </c>
      <c r="D1983" s="18">
        <v>2741039.82</v>
      </c>
      <c r="E1983" s="18">
        <v>341.68</v>
      </c>
      <c r="F1983" s="18">
        <v>41928.550000000003</v>
      </c>
      <c r="G1983" s="18">
        <v>133344</v>
      </c>
      <c r="H1983" s="18">
        <f t="shared" si="64"/>
        <v>41892.550000000003</v>
      </c>
      <c r="I1983" s="12"/>
    </row>
    <row r="1984" spans="1:9" s="2" customFormat="1" ht="21.75" customHeight="1" x14ac:dyDescent="0.55000000000000004">
      <c r="A1984" s="18">
        <v>24.773289599999998</v>
      </c>
      <c r="B1984" s="18">
        <v>34.798109500000002</v>
      </c>
      <c r="C1984" s="18">
        <v>681797.73</v>
      </c>
      <c r="D1984" s="18">
        <v>2741040.42</v>
      </c>
      <c r="E1984" s="18">
        <v>342.11</v>
      </c>
      <c r="F1984" s="18">
        <v>41928.910000000003</v>
      </c>
      <c r="G1984" s="18">
        <v>133346</v>
      </c>
      <c r="H1984" s="18">
        <f t="shared" si="64"/>
        <v>41892.910000000003</v>
      </c>
      <c r="I1984" s="12"/>
    </row>
    <row r="1985" spans="1:9" s="2" customFormat="1" ht="21.75" customHeight="1" x14ac:dyDescent="0.55000000000000004">
      <c r="A1985" s="18">
        <v>24.7732983</v>
      </c>
      <c r="B1985" s="18">
        <v>34.798102700000001</v>
      </c>
      <c r="C1985" s="18">
        <v>681797.04</v>
      </c>
      <c r="D1985" s="18">
        <v>2741041.38</v>
      </c>
      <c r="E1985" s="18">
        <v>342.52</v>
      </c>
      <c r="F1985" s="18">
        <v>41929.120000000003</v>
      </c>
      <c r="G1985" s="18">
        <v>133348</v>
      </c>
      <c r="H1985" s="18">
        <f t="shared" si="64"/>
        <v>41893.120000000003</v>
      </c>
      <c r="I1985" s="12"/>
    </row>
    <row r="1986" spans="1:9" s="2" customFormat="1" ht="21.75" customHeight="1" x14ac:dyDescent="0.55000000000000004">
      <c r="A1986" s="18">
        <v>24.773297299999999</v>
      </c>
      <c r="B1986" s="18">
        <v>34.798102</v>
      </c>
      <c r="C1986" s="18">
        <v>681796.96</v>
      </c>
      <c r="D1986" s="18">
        <v>2741041.26</v>
      </c>
      <c r="E1986" s="18">
        <v>342.63</v>
      </c>
      <c r="F1986" s="18">
        <v>41929.82</v>
      </c>
      <c r="G1986" s="18">
        <v>133350</v>
      </c>
      <c r="H1986" s="18">
        <f t="shared" si="64"/>
        <v>41893.82</v>
      </c>
      <c r="I1986" s="12"/>
    </row>
    <row r="1987" spans="1:9" s="2" customFormat="1" ht="21.75" customHeight="1" x14ac:dyDescent="0.55000000000000004">
      <c r="A1987" s="18">
        <v>24.773297500000002</v>
      </c>
      <c r="B1987" s="18">
        <v>34.798102200000002</v>
      </c>
      <c r="C1987" s="18">
        <v>681796.98</v>
      </c>
      <c r="D1987" s="18">
        <v>2741041.3</v>
      </c>
      <c r="E1987" s="18">
        <v>342.72</v>
      </c>
      <c r="F1987" s="18">
        <v>41928.519999999997</v>
      </c>
      <c r="G1987" s="18">
        <v>133352</v>
      </c>
      <c r="H1987" s="18">
        <f t="shared" si="64"/>
        <v>41892.519999999997</v>
      </c>
      <c r="I1987" s="12"/>
    </row>
    <row r="1988" spans="1:9" s="2" customFormat="1" ht="21.75" customHeight="1" x14ac:dyDescent="0.55000000000000004">
      <c r="A1988" s="18">
        <v>24.7733074</v>
      </c>
      <c r="B1988" s="18">
        <v>34.798094200000001</v>
      </c>
      <c r="C1988" s="18">
        <v>681796.16</v>
      </c>
      <c r="D1988" s="18">
        <v>2741042.38</v>
      </c>
      <c r="E1988" s="18">
        <v>342.94</v>
      </c>
      <c r="F1988" s="18">
        <v>41928.03</v>
      </c>
      <c r="G1988" s="18">
        <v>133354</v>
      </c>
      <c r="H1988" s="18">
        <f t="shared" si="64"/>
        <v>41892.03</v>
      </c>
      <c r="I1988" s="12"/>
    </row>
    <row r="1989" spans="1:9" s="2" customFormat="1" ht="21.75" customHeight="1" x14ac:dyDescent="0.55000000000000004">
      <c r="A1989" s="18">
        <v>24.773319499999999</v>
      </c>
      <c r="B1989" s="18">
        <v>34.798088900000003</v>
      </c>
      <c r="C1989" s="18">
        <v>681795.61</v>
      </c>
      <c r="D1989" s="18">
        <v>2741043.71</v>
      </c>
      <c r="E1989" s="18">
        <v>343.53</v>
      </c>
      <c r="F1989" s="18">
        <v>41931.14</v>
      </c>
      <c r="G1989" s="18">
        <v>133356</v>
      </c>
      <c r="H1989" s="18">
        <f t="shared" si="64"/>
        <v>41895.14</v>
      </c>
      <c r="I1989" s="12"/>
    </row>
    <row r="1990" spans="1:9" s="2" customFormat="1" ht="21.75" customHeight="1" x14ac:dyDescent="0.55000000000000004">
      <c r="A1990" s="18">
        <v>24.773330600000001</v>
      </c>
      <c r="B1990" s="18">
        <v>34.798081099999997</v>
      </c>
      <c r="C1990" s="18">
        <v>681794.8</v>
      </c>
      <c r="D1990" s="18">
        <v>2741044.92</v>
      </c>
      <c r="E1990" s="18">
        <v>343.88</v>
      </c>
      <c r="F1990" s="18">
        <v>41929.08</v>
      </c>
      <c r="G1990" s="18">
        <v>133358</v>
      </c>
      <c r="H1990" s="18">
        <f t="shared" si="64"/>
        <v>41893.08</v>
      </c>
      <c r="I1990" s="12"/>
    </row>
    <row r="1991" spans="1:9" s="2" customFormat="1" ht="21.75" customHeight="1" x14ac:dyDescent="0.55000000000000004">
      <c r="A1991" s="18">
        <v>24.773343199999999</v>
      </c>
      <c r="B1991" s="18">
        <v>34.798077900000003</v>
      </c>
      <c r="C1991" s="18">
        <v>681794.46</v>
      </c>
      <c r="D1991" s="18">
        <v>2741046.32</v>
      </c>
      <c r="E1991" s="18">
        <v>344.39</v>
      </c>
      <c r="F1991" s="18">
        <v>41929.69</v>
      </c>
      <c r="G1991" s="18">
        <v>133400</v>
      </c>
      <c r="H1991" s="18">
        <f t="shared" si="64"/>
        <v>41893.69</v>
      </c>
      <c r="I1991" s="12"/>
    </row>
    <row r="1992" spans="1:9" s="2" customFormat="1" ht="21.75" customHeight="1" x14ac:dyDescent="0.55000000000000004">
      <c r="A1992" s="18">
        <v>24.773360700000001</v>
      </c>
      <c r="B1992" s="18">
        <v>34.798078400000001</v>
      </c>
      <c r="C1992" s="18">
        <v>681794.49</v>
      </c>
      <c r="D1992" s="18">
        <v>2741048.25</v>
      </c>
      <c r="E1992" s="18">
        <v>344.94</v>
      </c>
      <c r="F1992" s="18">
        <v>41929.22</v>
      </c>
      <c r="G1992" s="18">
        <v>133402</v>
      </c>
      <c r="H1992" s="18">
        <f t="shared" si="64"/>
        <v>41893.22</v>
      </c>
      <c r="I1992" s="12"/>
    </row>
    <row r="1993" spans="1:9" s="2" customFormat="1" ht="21.75" customHeight="1" x14ac:dyDescent="0.55000000000000004">
      <c r="A1993" s="18">
        <v>24.773373800000002</v>
      </c>
      <c r="B1993" s="18">
        <v>34.7980777</v>
      </c>
      <c r="C1993" s="18">
        <v>681794.39</v>
      </c>
      <c r="D1993" s="18">
        <v>2741049.71</v>
      </c>
      <c r="E1993" s="18">
        <v>345.51</v>
      </c>
      <c r="F1993" s="18">
        <v>41929.339999999997</v>
      </c>
      <c r="G1993" s="18">
        <v>133404</v>
      </c>
      <c r="H1993" s="18">
        <f t="shared" si="64"/>
        <v>41893.339999999997</v>
      </c>
      <c r="I1993" s="12"/>
    </row>
    <row r="1994" spans="1:9" s="2" customFormat="1" ht="21.75" customHeight="1" x14ac:dyDescent="0.55000000000000004">
      <c r="A1994" s="18">
        <v>24.773384700000001</v>
      </c>
      <c r="B1994" s="18">
        <v>34.798065899999997</v>
      </c>
      <c r="C1994" s="18">
        <v>681793.18</v>
      </c>
      <c r="D1994" s="18">
        <v>2741050.9</v>
      </c>
      <c r="E1994" s="18">
        <v>345.86</v>
      </c>
      <c r="F1994" s="18">
        <v>41929.31</v>
      </c>
      <c r="G1994" s="18">
        <v>133406</v>
      </c>
      <c r="H1994" s="18">
        <f t="shared" si="64"/>
        <v>41893.31</v>
      </c>
      <c r="I1994" s="12"/>
    </row>
    <row r="1995" spans="1:9" s="2" customFormat="1" ht="21.75" customHeight="1" x14ac:dyDescent="0.55000000000000004">
      <c r="A1995" s="18">
        <v>24.773390599999999</v>
      </c>
      <c r="B1995" s="18">
        <v>34.798053299999999</v>
      </c>
      <c r="C1995" s="18">
        <v>681791.9</v>
      </c>
      <c r="D1995" s="18">
        <v>2741051.54</v>
      </c>
      <c r="E1995" s="18">
        <v>346.36</v>
      </c>
      <c r="F1995" s="18">
        <v>41930.28</v>
      </c>
      <c r="G1995" s="18">
        <v>133408</v>
      </c>
      <c r="H1995" s="18">
        <f t="shared" si="64"/>
        <v>41894.28</v>
      </c>
      <c r="I1995" s="12"/>
    </row>
    <row r="1996" spans="1:9" s="2" customFormat="1" ht="21.75" customHeight="1" x14ac:dyDescent="0.55000000000000004">
      <c r="A1996" s="18">
        <v>24.773392300000001</v>
      </c>
      <c r="B1996" s="18">
        <v>34.798033199999999</v>
      </c>
      <c r="C1996" s="18">
        <v>681789.87</v>
      </c>
      <c r="D1996" s="18">
        <v>2741051.7</v>
      </c>
      <c r="E1996" s="18">
        <v>346.7</v>
      </c>
      <c r="F1996" s="18">
        <v>41931.79</v>
      </c>
      <c r="G1996" s="18">
        <v>133410</v>
      </c>
      <c r="H1996" s="18">
        <f t="shared" si="64"/>
        <v>41895.79</v>
      </c>
      <c r="I1996" s="12"/>
    </row>
    <row r="1997" spans="1:9" s="2" customFormat="1" ht="21.75" customHeight="1" x14ac:dyDescent="0.55000000000000004">
      <c r="A1997" s="18">
        <v>24.773390200000001</v>
      </c>
      <c r="B1997" s="18">
        <v>34.798013400000002</v>
      </c>
      <c r="C1997" s="18">
        <v>681787.87</v>
      </c>
      <c r="D1997" s="18">
        <v>2741051.44</v>
      </c>
      <c r="E1997" s="18">
        <v>347.22</v>
      </c>
      <c r="F1997" s="18">
        <v>41935.760000000002</v>
      </c>
      <c r="G1997" s="18">
        <v>133412</v>
      </c>
      <c r="H1997" s="18">
        <f t="shared" ref="H1997:H2060" si="65">SUM(F1997-36)</f>
        <v>41899.760000000002</v>
      </c>
      <c r="I1997" s="12"/>
    </row>
    <row r="1998" spans="1:9" s="2" customFormat="1" ht="21.75" customHeight="1" x14ac:dyDescent="0.55000000000000004">
      <c r="A1998" s="18">
        <v>24.773391499999999</v>
      </c>
      <c r="B1998" s="18">
        <v>34.797995999999998</v>
      </c>
      <c r="C1998" s="18">
        <v>681786.1</v>
      </c>
      <c r="D1998" s="18">
        <v>2741051.56</v>
      </c>
      <c r="E1998" s="18">
        <v>347.66</v>
      </c>
      <c r="F1998" s="18">
        <v>41931.4</v>
      </c>
      <c r="G1998" s="18">
        <v>133414</v>
      </c>
      <c r="H1998" s="18">
        <f t="shared" si="65"/>
        <v>41895.4</v>
      </c>
      <c r="I1998" s="12"/>
    </row>
    <row r="1999" spans="1:9" s="2" customFormat="1" ht="21.75" customHeight="1" x14ac:dyDescent="0.55000000000000004">
      <c r="A1999" s="18">
        <v>24.773394100000001</v>
      </c>
      <c r="B1999" s="18">
        <v>34.797976400000003</v>
      </c>
      <c r="C1999" s="18">
        <v>681784.12</v>
      </c>
      <c r="D1999" s="18">
        <v>2741051.83</v>
      </c>
      <c r="E1999" s="18">
        <v>348.05</v>
      </c>
      <c r="F1999" s="18">
        <v>41933.089999999997</v>
      </c>
      <c r="G1999" s="18">
        <v>133416</v>
      </c>
      <c r="H1999" s="18">
        <f t="shared" si="65"/>
        <v>41897.089999999997</v>
      </c>
      <c r="I1999" s="12"/>
    </row>
    <row r="2000" spans="1:9" s="2" customFormat="1" ht="21.75" customHeight="1" x14ac:dyDescent="0.55000000000000004">
      <c r="A2000" s="18">
        <v>24.773399300000001</v>
      </c>
      <c r="B2000" s="18">
        <v>34.797959800000001</v>
      </c>
      <c r="C2000" s="18">
        <v>681782.43</v>
      </c>
      <c r="D2000" s="18">
        <v>2741052.38</v>
      </c>
      <c r="E2000" s="18">
        <v>348.32</v>
      </c>
      <c r="F2000" s="18">
        <v>41930.980000000003</v>
      </c>
      <c r="G2000" s="18">
        <v>133418</v>
      </c>
      <c r="H2000" s="18">
        <f t="shared" si="65"/>
        <v>41894.980000000003</v>
      </c>
      <c r="I2000" s="12"/>
    </row>
    <row r="2001" spans="1:9" s="2" customFormat="1" ht="21.75" customHeight="1" x14ac:dyDescent="0.55000000000000004">
      <c r="A2001" s="18">
        <v>24.773406699999999</v>
      </c>
      <c r="B2001" s="18">
        <v>34.797939700000001</v>
      </c>
      <c r="C2001" s="18">
        <v>681780.39</v>
      </c>
      <c r="D2001" s="18">
        <v>2741053.17</v>
      </c>
      <c r="E2001" s="18">
        <v>348.48</v>
      </c>
      <c r="F2001" s="18">
        <v>41932.07</v>
      </c>
      <c r="G2001" s="18">
        <v>133420</v>
      </c>
      <c r="H2001" s="18">
        <f t="shared" si="65"/>
        <v>41896.07</v>
      </c>
      <c r="I2001" s="12"/>
    </row>
    <row r="2002" spans="1:9" s="2" customFormat="1" ht="21.75" customHeight="1" x14ac:dyDescent="0.55000000000000004">
      <c r="A2002" s="18">
        <v>24.773410200000001</v>
      </c>
      <c r="B2002" s="18">
        <v>34.797920599999998</v>
      </c>
      <c r="C2002" s="18">
        <v>681778.46</v>
      </c>
      <c r="D2002" s="18">
        <v>2741053.53</v>
      </c>
      <c r="E2002" s="18">
        <v>348.6</v>
      </c>
      <c r="F2002" s="18">
        <v>41930.75</v>
      </c>
      <c r="G2002" s="18">
        <v>133422</v>
      </c>
      <c r="H2002" s="18">
        <f t="shared" si="65"/>
        <v>41894.75</v>
      </c>
      <c r="I2002" s="12"/>
    </row>
    <row r="2003" spans="1:9" s="2" customFormat="1" ht="21.75" customHeight="1" x14ac:dyDescent="0.55000000000000004">
      <c r="A2003" s="18">
        <v>24.773418800000002</v>
      </c>
      <c r="B2003" s="18">
        <v>34.797902999999998</v>
      </c>
      <c r="C2003" s="18">
        <v>681776.66</v>
      </c>
      <c r="D2003" s="18">
        <v>2741054.46</v>
      </c>
      <c r="E2003" s="18">
        <v>348.46</v>
      </c>
      <c r="F2003" s="18">
        <v>41929.019999999997</v>
      </c>
      <c r="G2003" s="18">
        <v>133424</v>
      </c>
      <c r="H2003" s="18">
        <f t="shared" si="65"/>
        <v>41893.019999999997</v>
      </c>
      <c r="I2003" s="12"/>
    </row>
    <row r="2004" spans="1:9" s="2" customFormat="1" ht="21.75" customHeight="1" x14ac:dyDescent="0.55000000000000004">
      <c r="A2004" s="18">
        <v>24.773426099999998</v>
      </c>
      <c r="B2004" s="18">
        <v>34.797885600000001</v>
      </c>
      <c r="C2004" s="18">
        <v>681774.89</v>
      </c>
      <c r="D2004" s="18">
        <v>2741055.24</v>
      </c>
      <c r="E2004" s="18">
        <v>348.41</v>
      </c>
      <c r="F2004" s="18">
        <v>41928.92</v>
      </c>
      <c r="G2004" s="18">
        <v>133426</v>
      </c>
      <c r="H2004" s="18">
        <f t="shared" si="65"/>
        <v>41892.92</v>
      </c>
      <c r="I2004" s="12"/>
    </row>
    <row r="2005" spans="1:9" s="2" customFormat="1" ht="21.75" customHeight="1" x14ac:dyDescent="0.55000000000000004">
      <c r="A2005" s="18">
        <v>24.773433699999998</v>
      </c>
      <c r="B2005" s="18">
        <v>34.7978667</v>
      </c>
      <c r="C2005" s="18">
        <v>681772.97</v>
      </c>
      <c r="D2005" s="18">
        <v>2741056.06</v>
      </c>
      <c r="E2005" s="18">
        <v>348.38</v>
      </c>
      <c r="F2005" s="18">
        <v>41930.29</v>
      </c>
      <c r="G2005" s="18">
        <v>133428</v>
      </c>
      <c r="H2005" s="18">
        <f t="shared" si="65"/>
        <v>41894.29</v>
      </c>
      <c r="I2005" s="12"/>
    </row>
    <row r="2006" spans="1:9" s="2" customFormat="1" ht="21.75" customHeight="1" x14ac:dyDescent="0.55000000000000004">
      <c r="A2006" s="18">
        <v>24.773443799999999</v>
      </c>
      <c r="B2006" s="18">
        <v>34.797851600000001</v>
      </c>
      <c r="C2006" s="18">
        <v>681771.43</v>
      </c>
      <c r="D2006" s="18">
        <v>2741057.17</v>
      </c>
      <c r="E2006" s="18">
        <v>348.22</v>
      </c>
      <c r="F2006" s="18">
        <v>41927.660000000003</v>
      </c>
      <c r="G2006" s="18">
        <v>133430</v>
      </c>
      <c r="H2006" s="18">
        <f t="shared" si="65"/>
        <v>41891.660000000003</v>
      </c>
      <c r="I2006" s="12"/>
    </row>
    <row r="2007" spans="1:9" s="2" customFormat="1" ht="21.75" customHeight="1" x14ac:dyDescent="0.55000000000000004">
      <c r="A2007" s="18">
        <v>24.773453799999999</v>
      </c>
      <c r="B2007" s="18">
        <v>34.797834799999997</v>
      </c>
      <c r="C2007" s="18">
        <v>681769.71</v>
      </c>
      <c r="D2007" s="18">
        <v>2741058.24</v>
      </c>
      <c r="E2007" s="18">
        <v>348.08</v>
      </c>
      <c r="F2007" s="18">
        <v>41928.22</v>
      </c>
      <c r="G2007" s="18">
        <v>133432</v>
      </c>
      <c r="H2007" s="18">
        <f t="shared" si="65"/>
        <v>41892.22</v>
      </c>
      <c r="I2007" s="12"/>
    </row>
    <row r="2008" spans="1:9" s="2" customFormat="1" ht="21.75" customHeight="1" x14ac:dyDescent="0.55000000000000004">
      <c r="A2008" s="18">
        <v>24.773458999999999</v>
      </c>
      <c r="B2008" s="18">
        <v>34.797819500000003</v>
      </c>
      <c r="C2008" s="18">
        <v>681768.16</v>
      </c>
      <c r="D2008" s="18">
        <v>2741058.8</v>
      </c>
      <c r="E2008" s="18">
        <v>347.73</v>
      </c>
      <c r="F2008" s="18">
        <v>41928.550000000003</v>
      </c>
      <c r="G2008" s="18">
        <v>133434</v>
      </c>
      <c r="H2008" s="18">
        <f t="shared" si="65"/>
        <v>41892.550000000003</v>
      </c>
      <c r="I2008" s="12"/>
    </row>
    <row r="2009" spans="1:9" s="2" customFormat="1" ht="21.75" customHeight="1" x14ac:dyDescent="0.55000000000000004">
      <c r="A2009" s="18">
        <v>24.7734603</v>
      </c>
      <c r="B2009" s="18">
        <v>34.797800199999998</v>
      </c>
      <c r="C2009" s="18">
        <v>681766.2</v>
      </c>
      <c r="D2009" s="18">
        <v>2741058.92</v>
      </c>
      <c r="E2009" s="18">
        <v>347.26</v>
      </c>
      <c r="F2009" s="18">
        <v>41929.06</v>
      </c>
      <c r="G2009" s="18">
        <v>133436</v>
      </c>
      <c r="H2009" s="18">
        <f t="shared" si="65"/>
        <v>41893.06</v>
      </c>
      <c r="I2009" s="12"/>
    </row>
    <row r="2010" spans="1:9" s="2" customFormat="1" ht="21.75" customHeight="1" x14ac:dyDescent="0.55000000000000004">
      <c r="A2010" s="18">
        <v>24.773465699999999</v>
      </c>
      <c r="B2010" s="18">
        <v>34.797783500000001</v>
      </c>
      <c r="C2010" s="18">
        <v>681764.51</v>
      </c>
      <c r="D2010" s="18">
        <v>2741059.5</v>
      </c>
      <c r="E2010" s="18">
        <v>346.81</v>
      </c>
      <c r="F2010" s="18">
        <v>41932.629999999997</v>
      </c>
      <c r="G2010" s="18">
        <v>133438</v>
      </c>
      <c r="H2010" s="18">
        <f t="shared" si="65"/>
        <v>41896.629999999997</v>
      </c>
      <c r="I2010" s="12"/>
    </row>
    <row r="2011" spans="1:9" s="2" customFormat="1" ht="21.75" customHeight="1" x14ac:dyDescent="0.55000000000000004">
      <c r="A2011" s="18">
        <v>24.773477</v>
      </c>
      <c r="B2011" s="18">
        <v>34.797767499999999</v>
      </c>
      <c r="C2011" s="18">
        <v>681762.87</v>
      </c>
      <c r="D2011" s="18">
        <v>2741060.73</v>
      </c>
      <c r="E2011" s="18">
        <v>346.27</v>
      </c>
      <c r="F2011" s="18">
        <v>41932.449999999997</v>
      </c>
      <c r="G2011" s="18">
        <v>133440</v>
      </c>
      <c r="H2011" s="18">
        <f t="shared" si="65"/>
        <v>41896.449999999997</v>
      </c>
      <c r="I2011" s="12"/>
    </row>
    <row r="2012" spans="1:9" s="2" customFormat="1" ht="21.75" customHeight="1" x14ac:dyDescent="0.55000000000000004">
      <c r="A2012" s="18">
        <v>24.773486399999999</v>
      </c>
      <c r="B2012" s="18">
        <v>34.797755199999997</v>
      </c>
      <c r="C2012" s="18">
        <v>681761.62</v>
      </c>
      <c r="D2012" s="18">
        <v>2741061.75</v>
      </c>
      <c r="E2012" s="18">
        <v>346.07</v>
      </c>
      <c r="F2012" s="18">
        <v>41934.57</v>
      </c>
      <c r="G2012" s="18">
        <v>133442</v>
      </c>
      <c r="H2012" s="18">
        <f t="shared" si="65"/>
        <v>41898.57</v>
      </c>
      <c r="I2012" s="12"/>
    </row>
    <row r="2013" spans="1:9" s="2" customFormat="1" ht="21.75" customHeight="1" x14ac:dyDescent="0.55000000000000004">
      <c r="A2013" s="18">
        <v>24.773503699999999</v>
      </c>
      <c r="B2013" s="18">
        <v>34.7977524</v>
      </c>
      <c r="C2013" s="18">
        <v>681761.31</v>
      </c>
      <c r="D2013" s="18">
        <v>2741063.67</v>
      </c>
      <c r="E2013" s="18">
        <v>346.22</v>
      </c>
      <c r="F2013" s="18">
        <v>41925.300000000003</v>
      </c>
      <c r="G2013" s="18">
        <v>133444</v>
      </c>
      <c r="H2013" s="18">
        <f t="shared" si="65"/>
        <v>41889.300000000003</v>
      </c>
      <c r="I2013" s="12"/>
    </row>
    <row r="2014" spans="1:9" s="2" customFormat="1" ht="21.75" customHeight="1" x14ac:dyDescent="0.55000000000000004">
      <c r="A2014" s="18">
        <v>24.7735232</v>
      </c>
      <c r="B2014" s="18">
        <v>34.797744999999999</v>
      </c>
      <c r="C2014" s="18">
        <v>681760.53</v>
      </c>
      <c r="D2014" s="18">
        <v>2741065.81</v>
      </c>
      <c r="E2014" s="18">
        <v>346.24</v>
      </c>
      <c r="F2014" s="18">
        <v>41924.370000000003</v>
      </c>
      <c r="G2014" s="18">
        <v>133446</v>
      </c>
      <c r="H2014" s="18">
        <f t="shared" si="65"/>
        <v>41888.370000000003</v>
      </c>
      <c r="I2014" s="12"/>
    </row>
    <row r="2015" spans="1:9" s="2" customFormat="1" ht="21.75" customHeight="1" x14ac:dyDescent="0.55000000000000004">
      <c r="A2015" s="18">
        <v>24.7735384</v>
      </c>
      <c r="B2015" s="18">
        <v>34.797732600000003</v>
      </c>
      <c r="C2015" s="18">
        <v>681759.25</v>
      </c>
      <c r="D2015" s="18">
        <v>2741067.48</v>
      </c>
      <c r="E2015" s="18">
        <v>346.34</v>
      </c>
      <c r="F2015" s="18">
        <v>41926.730000000003</v>
      </c>
      <c r="G2015" s="18">
        <v>133448</v>
      </c>
      <c r="H2015" s="18">
        <f t="shared" si="65"/>
        <v>41890.730000000003</v>
      </c>
      <c r="I2015" s="12"/>
    </row>
    <row r="2016" spans="1:9" s="2" customFormat="1" ht="21.75" customHeight="1" x14ac:dyDescent="0.55000000000000004">
      <c r="A2016" s="18">
        <v>24.773553</v>
      </c>
      <c r="B2016" s="18">
        <v>34.797724000000002</v>
      </c>
      <c r="C2016" s="18">
        <v>681758.36</v>
      </c>
      <c r="D2016" s="18">
        <v>2741069.09</v>
      </c>
      <c r="E2016" s="18">
        <v>346.4</v>
      </c>
      <c r="F2016" s="18">
        <v>41927.07</v>
      </c>
      <c r="G2016" s="18">
        <v>133450</v>
      </c>
      <c r="H2016" s="18">
        <f t="shared" si="65"/>
        <v>41891.07</v>
      </c>
      <c r="I2016" s="12"/>
    </row>
    <row r="2017" spans="1:9" s="2" customFormat="1" ht="21.75" customHeight="1" x14ac:dyDescent="0.55000000000000004">
      <c r="A2017" s="18">
        <v>24.7735676</v>
      </c>
      <c r="B2017" s="18">
        <v>34.797708900000003</v>
      </c>
      <c r="C2017" s="18">
        <v>681756.81</v>
      </c>
      <c r="D2017" s="18">
        <v>2741070.68</v>
      </c>
      <c r="E2017" s="18">
        <v>345.92</v>
      </c>
      <c r="F2017" s="18">
        <v>41928.89</v>
      </c>
      <c r="G2017" s="18">
        <v>133452</v>
      </c>
      <c r="H2017" s="18">
        <f t="shared" si="65"/>
        <v>41892.89</v>
      </c>
      <c r="I2017" s="12"/>
    </row>
    <row r="2018" spans="1:9" s="2" customFormat="1" ht="21.75" customHeight="1" x14ac:dyDescent="0.55000000000000004">
      <c r="A2018" s="18">
        <v>24.7735807</v>
      </c>
      <c r="B2018" s="18">
        <v>34.797696799999997</v>
      </c>
      <c r="C2018" s="18">
        <v>681755.57</v>
      </c>
      <c r="D2018" s="18">
        <v>2741072.11</v>
      </c>
      <c r="E2018" s="18">
        <v>346</v>
      </c>
      <c r="F2018" s="18">
        <v>41930.21</v>
      </c>
      <c r="G2018" s="18">
        <v>133454</v>
      </c>
      <c r="H2018" s="18">
        <f t="shared" si="65"/>
        <v>41894.21</v>
      </c>
      <c r="I2018" s="12"/>
    </row>
    <row r="2019" spans="1:9" s="2" customFormat="1" ht="21.75" customHeight="1" x14ac:dyDescent="0.55000000000000004">
      <c r="A2019" s="18">
        <v>24.7735977</v>
      </c>
      <c r="B2019" s="18">
        <v>34.797686599999999</v>
      </c>
      <c r="C2019" s="18">
        <v>681754.52</v>
      </c>
      <c r="D2019" s="18">
        <v>2741073.98</v>
      </c>
      <c r="E2019" s="18">
        <v>345.99</v>
      </c>
      <c r="F2019" s="18">
        <v>41931.42</v>
      </c>
      <c r="G2019" s="18">
        <v>133456</v>
      </c>
      <c r="H2019" s="18">
        <f t="shared" si="65"/>
        <v>41895.42</v>
      </c>
      <c r="I2019" s="12"/>
    </row>
    <row r="2020" spans="1:9" s="2" customFormat="1" ht="21.75" customHeight="1" x14ac:dyDescent="0.55000000000000004">
      <c r="A2020" s="18">
        <v>24.7736126</v>
      </c>
      <c r="B2020" s="18">
        <v>34.7976788</v>
      </c>
      <c r="C2020" s="18">
        <v>681753.71</v>
      </c>
      <c r="D2020" s="18">
        <v>2741075.63</v>
      </c>
      <c r="E2020" s="18">
        <v>346.33</v>
      </c>
      <c r="F2020" s="18">
        <v>41929.42</v>
      </c>
      <c r="G2020" s="18">
        <v>133458</v>
      </c>
      <c r="H2020" s="18">
        <f t="shared" si="65"/>
        <v>41893.42</v>
      </c>
      <c r="I2020" s="12"/>
    </row>
    <row r="2021" spans="1:9" s="2" customFormat="1" ht="21.75" customHeight="1" x14ac:dyDescent="0.55000000000000004">
      <c r="A2021" s="18">
        <v>24.773626499999999</v>
      </c>
      <c r="B2021" s="18">
        <v>34.797669499999998</v>
      </c>
      <c r="C2021" s="18">
        <v>681752.75</v>
      </c>
      <c r="D2021" s="18">
        <v>2741077.16</v>
      </c>
      <c r="E2021" s="18">
        <v>346.68</v>
      </c>
      <c r="F2021" s="18">
        <v>41927.75</v>
      </c>
      <c r="G2021" s="18">
        <v>133500</v>
      </c>
      <c r="H2021" s="18">
        <f t="shared" si="65"/>
        <v>41891.75</v>
      </c>
      <c r="I2021" s="12"/>
    </row>
    <row r="2022" spans="1:9" s="2" customFormat="1" ht="21.75" customHeight="1" x14ac:dyDescent="0.55000000000000004">
      <c r="A2022" s="18">
        <v>24.7736418</v>
      </c>
      <c r="B2022" s="18">
        <v>34.797662899999999</v>
      </c>
      <c r="C2022" s="18">
        <v>681752.06</v>
      </c>
      <c r="D2022" s="18">
        <v>2741078.84</v>
      </c>
      <c r="E2022" s="18">
        <v>346.96</v>
      </c>
      <c r="F2022" s="18">
        <v>41928.61</v>
      </c>
      <c r="G2022" s="18">
        <v>133502</v>
      </c>
      <c r="H2022" s="18">
        <f t="shared" si="65"/>
        <v>41892.61</v>
      </c>
      <c r="I2022" s="12"/>
    </row>
    <row r="2023" spans="1:9" s="2" customFormat="1" ht="21.75" customHeight="1" x14ac:dyDescent="0.55000000000000004">
      <c r="A2023" s="18">
        <v>24.773654499999999</v>
      </c>
      <c r="B2023" s="18">
        <v>34.797651600000002</v>
      </c>
      <c r="C2023" s="18">
        <v>681750.9</v>
      </c>
      <c r="D2023" s="18">
        <v>2741080.24</v>
      </c>
      <c r="E2023" s="18">
        <v>347</v>
      </c>
      <c r="F2023" s="18">
        <v>41925.72</v>
      </c>
      <c r="G2023" s="18">
        <v>133504</v>
      </c>
      <c r="H2023" s="18">
        <f t="shared" si="65"/>
        <v>41889.72</v>
      </c>
      <c r="I2023" s="12"/>
    </row>
    <row r="2024" spans="1:9" s="2" customFormat="1" ht="21.75" customHeight="1" x14ac:dyDescent="0.55000000000000004">
      <c r="A2024" s="18">
        <v>24.773660899999999</v>
      </c>
      <c r="B2024" s="18">
        <v>34.7976429</v>
      </c>
      <c r="C2024" s="18">
        <v>681750</v>
      </c>
      <c r="D2024" s="18">
        <v>2741080.93</v>
      </c>
      <c r="E2024" s="18">
        <v>346.87</v>
      </c>
      <c r="F2024" s="18">
        <v>41925.33</v>
      </c>
      <c r="G2024" s="18">
        <v>133506</v>
      </c>
      <c r="H2024" s="18">
        <f t="shared" si="65"/>
        <v>41889.33</v>
      </c>
      <c r="I2024" s="12"/>
    </row>
    <row r="2025" spans="1:9" s="2" customFormat="1" ht="21.75" customHeight="1" x14ac:dyDescent="0.55000000000000004">
      <c r="A2025" s="18">
        <v>24.773663299999999</v>
      </c>
      <c r="B2025" s="18">
        <v>34.797643000000001</v>
      </c>
      <c r="C2025" s="18">
        <v>681750.01</v>
      </c>
      <c r="D2025" s="18">
        <v>2741081.19</v>
      </c>
      <c r="E2025" s="18">
        <v>346.76</v>
      </c>
      <c r="F2025" s="18">
        <v>41926.79</v>
      </c>
      <c r="G2025" s="18">
        <v>133508</v>
      </c>
      <c r="H2025" s="18">
        <f t="shared" si="65"/>
        <v>41890.79</v>
      </c>
      <c r="I2025" s="12"/>
    </row>
    <row r="2026" spans="1:9" s="2" customFormat="1" ht="21.75" customHeight="1" x14ac:dyDescent="0.55000000000000004">
      <c r="A2026" s="18">
        <v>24.773668399999998</v>
      </c>
      <c r="B2026" s="18">
        <v>34.797636599999997</v>
      </c>
      <c r="C2026" s="18">
        <v>681749.36</v>
      </c>
      <c r="D2026" s="18">
        <v>2741081.75</v>
      </c>
      <c r="E2026" s="18">
        <v>346.64</v>
      </c>
      <c r="F2026" s="18">
        <v>41931.11</v>
      </c>
      <c r="G2026" s="18">
        <v>133510</v>
      </c>
      <c r="H2026" s="18">
        <f t="shared" si="65"/>
        <v>41895.11</v>
      </c>
      <c r="I2026" s="12"/>
    </row>
    <row r="2027" spans="1:9" s="2" customFormat="1" ht="21.75" customHeight="1" x14ac:dyDescent="0.55000000000000004">
      <c r="A2027" s="18">
        <v>24.7736822</v>
      </c>
      <c r="B2027" s="18">
        <v>34.797629899999997</v>
      </c>
      <c r="C2027" s="18">
        <v>681748.67</v>
      </c>
      <c r="D2027" s="18">
        <v>2741083.27</v>
      </c>
      <c r="E2027" s="18">
        <v>346.56</v>
      </c>
      <c r="F2027" s="18">
        <v>41924.730000000003</v>
      </c>
      <c r="G2027" s="18">
        <v>133512</v>
      </c>
      <c r="H2027" s="18">
        <f t="shared" si="65"/>
        <v>41888.730000000003</v>
      </c>
      <c r="I2027" s="12"/>
    </row>
    <row r="2028" spans="1:9" s="2" customFormat="1" ht="21.75" customHeight="1" x14ac:dyDescent="0.55000000000000004">
      <c r="A2028" s="18">
        <v>24.7736996</v>
      </c>
      <c r="B2028" s="18">
        <v>34.797623700000003</v>
      </c>
      <c r="C2028" s="18">
        <v>681748.01</v>
      </c>
      <c r="D2028" s="18">
        <v>2741085.19</v>
      </c>
      <c r="E2028" s="18">
        <v>346.25</v>
      </c>
      <c r="F2028" s="18">
        <v>41922.910000000003</v>
      </c>
      <c r="G2028" s="18">
        <v>133514</v>
      </c>
      <c r="H2028" s="18">
        <f t="shared" si="65"/>
        <v>41886.910000000003</v>
      </c>
      <c r="I2028" s="12"/>
    </row>
    <row r="2029" spans="1:9" s="2" customFormat="1" ht="21.75" customHeight="1" x14ac:dyDescent="0.55000000000000004">
      <c r="A2029" s="18">
        <v>24.773718200000001</v>
      </c>
      <c r="B2029" s="18">
        <v>34.797616599999998</v>
      </c>
      <c r="C2029" s="18">
        <v>681747.27</v>
      </c>
      <c r="D2029" s="18">
        <v>2741087.25</v>
      </c>
      <c r="E2029" s="18">
        <v>345.81</v>
      </c>
      <c r="F2029" s="18">
        <v>41926.519999999997</v>
      </c>
      <c r="G2029" s="18">
        <v>133516</v>
      </c>
      <c r="H2029" s="18">
        <f t="shared" si="65"/>
        <v>41890.519999999997</v>
      </c>
      <c r="I2029" s="12"/>
    </row>
    <row r="2030" spans="1:9" s="2" customFormat="1" ht="21.75" customHeight="1" x14ac:dyDescent="0.55000000000000004">
      <c r="A2030" s="18">
        <v>24.773738399999999</v>
      </c>
      <c r="B2030" s="18">
        <v>34.797606999999999</v>
      </c>
      <c r="C2030" s="18">
        <v>681746.26</v>
      </c>
      <c r="D2030" s="18">
        <v>2741089.47</v>
      </c>
      <c r="E2030" s="18">
        <v>345.48</v>
      </c>
      <c r="F2030" s="18">
        <v>41928.379999999997</v>
      </c>
      <c r="G2030" s="18">
        <v>133518</v>
      </c>
      <c r="H2030" s="18">
        <f t="shared" si="65"/>
        <v>41892.379999999997</v>
      </c>
      <c r="I2030" s="12"/>
    </row>
    <row r="2031" spans="1:9" s="2" customFormat="1" ht="21.75" customHeight="1" x14ac:dyDescent="0.55000000000000004">
      <c r="A2031" s="18">
        <v>24.7737549</v>
      </c>
      <c r="B2031" s="18">
        <v>34.797596900000002</v>
      </c>
      <c r="C2031" s="18">
        <v>681745.21</v>
      </c>
      <c r="D2031" s="18">
        <v>2741091.28</v>
      </c>
      <c r="E2031" s="18">
        <v>345.05</v>
      </c>
      <c r="F2031" s="18">
        <v>41928.82</v>
      </c>
      <c r="G2031" s="18">
        <v>133520</v>
      </c>
      <c r="H2031" s="18">
        <f t="shared" si="65"/>
        <v>41892.82</v>
      </c>
      <c r="I2031" s="12"/>
    </row>
    <row r="2032" spans="1:9" s="2" customFormat="1" ht="21.75" customHeight="1" x14ac:dyDescent="0.55000000000000004">
      <c r="A2032" s="18">
        <v>24.773778700000001</v>
      </c>
      <c r="B2032" s="18">
        <v>34.797587</v>
      </c>
      <c r="C2032" s="18">
        <v>681744.18</v>
      </c>
      <c r="D2032" s="18">
        <v>2741093.91</v>
      </c>
      <c r="E2032" s="18">
        <v>344.91</v>
      </c>
      <c r="F2032" s="18">
        <v>41927.230000000003</v>
      </c>
      <c r="G2032" s="18">
        <v>133522</v>
      </c>
      <c r="H2032" s="18">
        <f t="shared" si="65"/>
        <v>41891.230000000003</v>
      </c>
      <c r="I2032" s="12"/>
    </row>
    <row r="2033" spans="1:9" s="2" customFormat="1" ht="21.75" customHeight="1" x14ac:dyDescent="0.55000000000000004">
      <c r="A2033" s="18">
        <v>24.773796300000001</v>
      </c>
      <c r="B2033" s="18">
        <v>34.797584399999998</v>
      </c>
      <c r="C2033" s="18">
        <v>681743.89</v>
      </c>
      <c r="D2033" s="18">
        <v>2741095.84</v>
      </c>
      <c r="E2033" s="18">
        <v>344.81</v>
      </c>
      <c r="F2033" s="18">
        <v>41926.26</v>
      </c>
      <c r="G2033" s="18">
        <v>133524</v>
      </c>
      <c r="H2033" s="18">
        <f t="shared" si="65"/>
        <v>41890.26</v>
      </c>
      <c r="I2033" s="12"/>
    </row>
    <row r="2034" spans="1:9" s="2" customFormat="1" ht="21.75" customHeight="1" x14ac:dyDescent="0.55000000000000004">
      <c r="A2034" s="18">
        <v>24.773816499999999</v>
      </c>
      <c r="B2034" s="18">
        <v>34.7975773</v>
      </c>
      <c r="C2034" s="18">
        <v>681743.15</v>
      </c>
      <c r="D2034" s="18">
        <v>2741098.08</v>
      </c>
      <c r="E2034" s="18">
        <v>344.98</v>
      </c>
      <c r="F2034" s="18">
        <v>41928.11</v>
      </c>
      <c r="G2034" s="18">
        <v>133526</v>
      </c>
      <c r="H2034" s="18">
        <f t="shared" si="65"/>
        <v>41892.11</v>
      </c>
      <c r="I2034" s="12"/>
    </row>
    <row r="2035" spans="1:9" s="2" customFormat="1" ht="21.75" customHeight="1" x14ac:dyDescent="0.55000000000000004">
      <c r="A2035" s="18">
        <v>24.773832500000001</v>
      </c>
      <c r="B2035" s="18">
        <v>34.797573200000002</v>
      </c>
      <c r="C2035" s="18">
        <v>681742.7</v>
      </c>
      <c r="D2035" s="18">
        <v>2741099.84</v>
      </c>
      <c r="E2035" s="18">
        <v>345.37</v>
      </c>
      <c r="F2035" s="18">
        <v>41929.5</v>
      </c>
      <c r="G2035" s="18">
        <v>133528</v>
      </c>
      <c r="H2035" s="18">
        <f t="shared" si="65"/>
        <v>41893.5</v>
      </c>
      <c r="I2035" s="12"/>
    </row>
    <row r="2036" spans="1:9" s="2" customFormat="1" ht="21.75" customHeight="1" x14ac:dyDescent="0.55000000000000004">
      <c r="A2036" s="18">
        <v>24.773846500000001</v>
      </c>
      <c r="B2036" s="18">
        <v>34.797567200000003</v>
      </c>
      <c r="C2036" s="18">
        <v>681742.09</v>
      </c>
      <c r="D2036" s="18">
        <v>2741101.39</v>
      </c>
      <c r="E2036" s="18">
        <v>345.54</v>
      </c>
      <c r="F2036" s="18">
        <v>41928.81</v>
      </c>
      <c r="G2036" s="18">
        <v>133530</v>
      </c>
      <c r="H2036" s="18">
        <f t="shared" si="65"/>
        <v>41892.81</v>
      </c>
      <c r="I2036" s="12"/>
    </row>
    <row r="2037" spans="1:9" s="2" customFormat="1" ht="21.75" customHeight="1" x14ac:dyDescent="0.55000000000000004">
      <c r="A2037" s="18">
        <v>24.7738692</v>
      </c>
      <c r="B2037" s="18">
        <v>34.797561999999999</v>
      </c>
      <c r="C2037" s="18">
        <v>681741.52</v>
      </c>
      <c r="D2037" s="18">
        <v>2741103.89</v>
      </c>
      <c r="E2037" s="18">
        <v>345.41</v>
      </c>
      <c r="F2037" s="18">
        <v>41926.449999999997</v>
      </c>
      <c r="G2037" s="18">
        <v>133532</v>
      </c>
      <c r="H2037" s="18">
        <f t="shared" si="65"/>
        <v>41890.449999999997</v>
      </c>
      <c r="I2037" s="12"/>
    </row>
    <row r="2038" spans="1:9" s="2" customFormat="1" ht="21.75" customHeight="1" x14ac:dyDescent="0.55000000000000004">
      <c r="A2038" s="18">
        <v>24.773884200000001</v>
      </c>
      <c r="B2038" s="18">
        <v>34.797554599999998</v>
      </c>
      <c r="C2038" s="18">
        <v>681740.75</v>
      </c>
      <c r="D2038" s="18">
        <v>2741105.55</v>
      </c>
      <c r="E2038" s="18">
        <v>345.56</v>
      </c>
      <c r="F2038" s="18">
        <v>41927.760000000002</v>
      </c>
      <c r="G2038" s="18">
        <v>133534</v>
      </c>
      <c r="H2038" s="18">
        <f t="shared" si="65"/>
        <v>41891.760000000002</v>
      </c>
      <c r="I2038" s="12"/>
    </row>
    <row r="2039" spans="1:9" s="2" customFormat="1" ht="21.75" customHeight="1" x14ac:dyDescent="0.55000000000000004">
      <c r="A2039" s="18">
        <v>24.773903000000001</v>
      </c>
      <c r="B2039" s="18">
        <v>34.797550800000003</v>
      </c>
      <c r="C2039" s="18">
        <v>681740.34</v>
      </c>
      <c r="D2039" s="18">
        <v>2741107.62</v>
      </c>
      <c r="E2039" s="18">
        <v>345.37</v>
      </c>
      <c r="F2039" s="18">
        <v>41926.29</v>
      </c>
      <c r="G2039" s="18">
        <v>133536</v>
      </c>
      <c r="H2039" s="18">
        <f t="shared" si="65"/>
        <v>41890.29</v>
      </c>
      <c r="I2039" s="12"/>
    </row>
    <row r="2040" spans="1:9" s="2" customFormat="1" ht="21.75" customHeight="1" x14ac:dyDescent="0.55000000000000004">
      <c r="A2040" s="18">
        <v>24.773927700000002</v>
      </c>
      <c r="B2040" s="18">
        <v>34.797541500000001</v>
      </c>
      <c r="C2040" s="18">
        <v>681739.37</v>
      </c>
      <c r="D2040" s="18">
        <v>2741110.35</v>
      </c>
      <c r="E2040" s="18">
        <v>345.23</v>
      </c>
      <c r="F2040" s="18">
        <v>41927.440000000002</v>
      </c>
      <c r="G2040" s="18">
        <v>133538</v>
      </c>
      <c r="H2040" s="18">
        <f t="shared" si="65"/>
        <v>41891.440000000002</v>
      </c>
      <c r="I2040" s="12"/>
    </row>
    <row r="2041" spans="1:9" s="2" customFormat="1" ht="21.75" customHeight="1" x14ac:dyDescent="0.55000000000000004">
      <c r="A2041" s="18">
        <v>24.7739431</v>
      </c>
      <c r="B2041" s="18">
        <v>34.797536299999997</v>
      </c>
      <c r="C2041" s="18">
        <v>681738.82</v>
      </c>
      <c r="D2041" s="18">
        <v>2741112.04</v>
      </c>
      <c r="E2041" s="18">
        <v>345.51</v>
      </c>
      <c r="F2041" s="18">
        <v>41929.78</v>
      </c>
      <c r="G2041" s="18">
        <v>133540</v>
      </c>
      <c r="H2041" s="18">
        <f t="shared" si="65"/>
        <v>41893.78</v>
      </c>
      <c r="I2041" s="12"/>
    </row>
    <row r="2042" spans="1:9" s="2" customFormat="1" ht="21.75" customHeight="1" x14ac:dyDescent="0.55000000000000004">
      <c r="A2042" s="18">
        <v>24.773962600000001</v>
      </c>
      <c r="B2042" s="18">
        <v>34.797533600000001</v>
      </c>
      <c r="C2042" s="18">
        <v>681738.51</v>
      </c>
      <c r="D2042" s="18">
        <v>2741114.2</v>
      </c>
      <c r="E2042" s="18">
        <v>345.48</v>
      </c>
      <c r="F2042" s="18">
        <v>41926.74</v>
      </c>
      <c r="G2042" s="18">
        <v>133542</v>
      </c>
      <c r="H2042" s="18">
        <f t="shared" si="65"/>
        <v>41890.74</v>
      </c>
      <c r="I2042" s="12"/>
    </row>
    <row r="2043" spans="1:9" s="2" customFormat="1" ht="21.75" customHeight="1" x14ac:dyDescent="0.55000000000000004">
      <c r="A2043" s="18">
        <v>24.773984500000001</v>
      </c>
      <c r="B2043" s="18">
        <v>34.797527500000001</v>
      </c>
      <c r="C2043" s="18">
        <v>681737.86</v>
      </c>
      <c r="D2043" s="18">
        <v>2741116.62</v>
      </c>
      <c r="E2043" s="18">
        <v>345.4</v>
      </c>
      <c r="F2043" s="18">
        <v>41926.17</v>
      </c>
      <c r="G2043" s="18">
        <v>133544</v>
      </c>
      <c r="H2043" s="18">
        <f t="shared" si="65"/>
        <v>41890.17</v>
      </c>
      <c r="I2043" s="12"/>
    </row>
    <row r="2044" spans="1:9" s="2" customFormat="1" ht="21.75" customHeight="1" x14ac:dyDescent="0.55000000000000004">
      <c r="A2044" s="18">
        <v>24.774008599999998</v>
      </c>
      <c r="B2044" s="18">
        <v>34.797517999999997</v>
      </c>
      <c r="C2044" s="18">
        <v>681736.87</v>
      </c>
      <c r="D2044" s="18">
        <v>2741119.28</v>
      </c>
      <c r="E2044" s="18">
        <v>345.45</v>
      </c>
      <c r="F2044" s="18">
        <v>41926.980000000003</v>
      </c>
      <c r="G2044" s="18">
        <v>133546</v>
      </c>
      <c r="H2044" s="18">
        <f t="shared" si="65"/>
        <v>41890.980000000003</v>
      </c>
      <c r="I2044" s="12"/>
    </row>
    <row r="2045" spans="1:9" s="2" customFormat="1" ht="21.75" customHeight="1" x14ac:dyDescent="0.55000000000000004">
      <c r="A2045" s="18">
        <v>24.774030700000001</v>
      </c>
      <c r="B2045" s="18">
        <v>34.7975086</v>
      </c>
      <c r="C2045" s="18">
        <v>681735.89</v>
      </c>
      <c r="D2045" s="18">
        <v>2741121.71</v>
      </c>
      <c r="E2045" s="18">
        <v>345.61</v>
      </c>
      <c r="F2045" s="18">
        <v>41928.03</v>
      </c>
      <c r="G2045" s="18">
        <v>133548</v>
      </c>
      <c r="H2045" s="18">
        <f t="shared" si="65"/>
        <v>41892.03</v>
      </c>
      <c r="I2045" s="12"/>
    </row>
    <row r="2046" spans="1:9" s="2" customFormat="1" ht="21.75" customHeight="1" x14ac:dyDescent="0.55000000000000004">
      <c r="A2046" s="18">
        <v>24.7740483</v>
      </c>
      <c r="B2046" s="18">
        <v>34.797494299999997</v>
      </c>
      <c r="C2046" s="18">
        <v>681734.41</v>
      </c>
      <c r="D2046" s="18">
        <v>2741123.64</v>
      </c>
      <c r="E2046" s="18">
        <v>345.85</v>
      </c>
      <c r="F2046" s="18">
        <v>41930.61</v>
      </c>
      <c r="G2046" s="18">
        <v>133550</v>
      </c>
      <c r="H2046" s="18">
        <f t="shared" si="65"/>
        <v>41894.61</v>
      </c>
      <c r="I2046" s="12"/>
    </row>
    <row r="2047" spans="1:9" s="2" customFormat="1" ht="21.75" customHeight="1" x14ac:dyDescent="0.55000000000000004">
      <c r="A2047" s="18">
        <v>24.7740638</v>
      </c>
      <c r="B2047" s="18">
        <v>34.797478900000002</v>
      </c>
      <c r="C2047" s="18">
        <v>681732.83</v>
      </c>
      <c r="D2047" s="18">
        <v>2741125.33</v>
      </c>
      <c r="E2047" s="18">
        <v>345.95</v>
      </c>
      <c r="F2047" s="18">
        <v>41930.18</v>
      </c>
      <c r="G2047" s="18">
        <v>133552</v>
      </c>
      <c r="H2047" s="18">
        <f t="shared" si="65"/>
        <v>41894.18</v>
      </c>
      <c r="I2047" s="12"/>
    </row>
    <row r="2048" spans="1:9" s="2" customFormat="1" ht="21.75" customHeight="1" x14ac:dyDescent="0.55000000000000004">
      <c r="A2048" s="18">
        <v>24.7740814</v>
      </c>
      <c r="B2048" s="18">
        <v>34.797468199999997</v>
      </c>
      <c r="C2048" s="18">
        <v>681731.73</v>
      </c>
      <c r="D2048" s="18">
        <v>2741127.27</v>
      </c>
      <c r="E2048" s="18">
        <v>346.05</v>
      </c>
      <c r="F2048" s="18">
        <v>41928.379999999997</v>
      </c>
      <c r="G2048" s="18">
        <v>133554</v>
      </c>
      <c r="H2048" s="18">
        <f t="shared" si="65"/>
        <v>41892.379999999997</v>
      </c>
      <c r="I2048" s="12"/>
    </row>
    <row r="2049" spans="1:9" s="2" customFormat="1" ht="21.75" customHeight="1" x14ac:dyDescent="0.55000000000000004">
      <c r="A2049" s="18">
        <v>24.774097600000001</v>
      </c>
      <c r="B2049" s="18">
        <v>34.797457100000003</v>
      </c>
      <c r="C2049" s="18">
        <v>681730.58</v>
      </c>
      <c r="D2049" s="18">
        <v>2741129.05</v>
      </c>
      <c r="E2049" s="18">
        <v>345.76</v>
      </c>
      <c r="F2049" s="18">
        <v>41926.44</v>
      </c>
      <c r="G2049" s="18">
        <v>133556</v>
      </c>
      <c r="H2049" s="18">
        <f t="shared" si="65"/>
        <v>41890.44</v>
      </c>
      <c r="I2049" s="12"/>
    </row>
    <row r="2050" spans="1:9" s="2" customFormat="1" ht="21.75" customHeight="1" x14ac:dyDescent="0.55000000000000004">
      <c r="A2050" s="18">
        <v>24.774115999999999</v>
      </c>
      <c r="B2050" s="18">
        <v>34.797450400000002</v>
      </c>
      <c r="C2050" s="18">
        <v>681729.88</v>
      </c>
      <c r="D2050" s="18">
        <v>2741131.08</v>
      </c>
      <c r="E2050" s="18">
        <v>345.44</v>
      </c>
      <c r="F2050" s="18">
        <v>41923.5</v>
      </c>
      <c r="G2050" s="18">
        <v>133558</v>
      </c>
      <c r="H2050" s="18">
        <f t="shared" si="65"/>
        <v>41887.5</v>
      </c>
      <c r="I2050" s="12"/>
    </row>
    <row r="2051" spans="1:9" s="2" customFormat="1" ht="21.75" customHeight="1" x14ac:dyDescent="0.55000000000000004">
      <c r="A2051" s="18">
        <v>24.7741328</v>
      </c>
      <c r="B2051" s="18">
        <v>34.797439599999997</v>
      </c>
      <c r="C2051" s="18">
        <v>681728.76</v>
      </c>
      <c r="D2051" s="18">
        <v>2741132.93</v>
      </c>
      <c r="E2051" s="18">
        <v>344.93</v>
      </c>
      <c r="F2051" s="18">
        <v>41923.58</v>
      </c>
      <c r="G2051" s="18">
        <v>133600</v>
      </c>
      <c r="H2051" s="18">
        <f t="shared" si="65"/>
        <v>41887.58</v>
      </c>
      <c r="I2051" s="12"/>
    </row>
    <row r="2052" spans="1:9" s="2" customFormat="1" ht="21.75" customHeight="1" x14ac:dyDescent="0.55000000000000004">
      <c r="A2052" s="18">
        <v>24.7741425</v>
      </c>
      <c r="B2052" s="18">
        <v>34.797420600000002</v>
      </c>
      <c r="C2052" s="18">
        <v>681726.82</v>
      </c>
      <c r="D2052" s="18">
        <v>2741133.98</v>
      </c>
      <c r="E2052" s="18">
        <v>344.57</v>
      </c>
      <c r="F2052" s="18">
        <v>41924.550000000003</v>
      </c>
      <c r="G2052" s="18">
        <v>133602</v>
      </c>
      <c r="H2052" s="18">
        <f t="shared" si="65"/>
        <v>41888.550000000003</v>
      </c>
      <c r="I2052" s="12"/>
    </row>
    <row r="2053" spans="1:9" s="2" customFormat="1" ht="21.75" customHeight="1" x14ac:dyDescent="0.55000000000000004">
      <c r="A2053" s="18">
        <v>24.7741495</v>
      </c>
      <c r="B2053" s="18">
        <v>34.797402900000002</v>
      </c>
      <c r="C2053" s="18">
        <v>681725.03</v>
      </c>
      <c r="D2053" s="18">
        <v>2741134.73</v>
      </c>
      <c r="E2053" s="18">
        <v>344.27</v>
      </c>
      <c r="F2053" s="18">
        <v>41928.160000000003</v>
      </c>
      <c r="G2053" s="18">
        <v>133604</v>
      </c>
      <c r="H2053" s="18">
        <f t="shared" si="65"/>
        <v>41892.160000000003</v>
      </c>
      <c r="I2053" s="12"/>
    </row>
    <row r="2054" spans="1:9" s="2" customFormat="1" ht="21.75" customHeight="1" x14ac:dyDescent="0.55000000000000004">
      <c r="A2054" s="18">
        <v>24.774167599999998</v>
      </c>
      <c r="B2054" s="18">
        <v>34.797396599999999</v>
      </c>
      <c r="C2054" s="18">
        <v>681724.37</v>
      </c>
      <c r="D2054" s="18">
        <v>2741136.72</v>
      </c>
      <c r="E2054" s="18">
        <v>344</v>
      </c>
      <c r="F2054" s="18">
        <v>41930.1</v>
      </c>
      <c r="G2054" s="18">
        <v>133606</v>
      </c>
      <c r="H2054" s="18">
        <f t="shared" si="65"/>
        <v>41894.1</v>
      </c>
      <c r="I2054" s="12"/>
    </row>
    <row r="2055" spans="1:9" s="2" customFormat="1" ht="21.75" customHeight="1" x14ac:dyDescent="0.55000000000000004">
      <c r="A2055" s="18">
        <v>24.774183600000001</v>
      </c>
      <c r="B2055" s="18">
        <v>34.797390300000004</v>
      </c>
      <c r="C2055" s="18">
        <v>681723.7</v>
      </c>
      <c r="D2055" s="18">
        <v>2741138.49</v>
      </c>
      <c r="E2055" s="18">
        <v>344.78</v>
      </c>
      <c r="F2055" s="18">
        <v>41932.68</v>
      </c>
      <c r="G2055" s="18">
        <v>133608</v>
      </c>
      <c r="H2055" s="18">
        <f t="shared" si="65"/>
        <v>41896.68</v>
      </c>
      <c r="I2055" s="12"/>
    </row>
    <row r="2056" spans="1:9" s="2" customFormat="1" ht="21.75" customHeight="1" x14ac:dyDescent="0.55000000000000004">
      <c r="A2056" s="18">
        <v>24.774197000000001</v>
      </c>
      <c r="B2056" s="18">
        <v>34.797379499999998</v>
      </c>
      <c r="C2056" s="18">
        <v>681722.59</v>
      </c>
      <c r="D2056" s="18">
        <v>2741139.96</v>
      </c>
      <c r="E2056" s="18">
        <v>344.76</v>
      </c>
      <c r="F2056" s="18">
        <v>41931.620000000003</v>
      </c>
      <c r="G2056" s="18">
        <v>133610</v>
      </c>
      <c r="H2056" s="18">
        <f t="shared" si="65"/>
        <v>41895.620000000003</v>
      </c>
      <c r="I2056" s="12"/>
    </row>
    <row r="2057" spans="1:9" s="2" customFormat="1" ht="21.75" customHeight="1" x14ac:dyDescent="0.55000000000000004">
      <c r="A2057" s="18">
        <v>24.774207199999999</v>
      </c>
      <c r="B2057" s="18">
        <v>34.797364199999997</v>
      </c>
      <c r="C2057" s="18">
        <v>681721.03</v>
      </c>
      <c r="D2057" s="18">
        <v>2741141.06</v>
      </c>
      <c r="E2057" s="18">
        <v>344.67</v>
      </c>
      <c r="F2057" s="18">
        <v>41936.61</v>
      </c>
      <c r="G2057" s="18">
        <v>133612</v>
      </c>
      <c r="H2057" s="18">
        <f t="shared" si="65"/>
        <v>41900.61</v>
      </c>
      <c r="I2057" s="12"/>
    </row>
    <row r="2058" spans="1:9" s="2" customFormat="1" ht="21.75" customHeight="1" x14ac:dyDescent="0.55000000000000004">
      <c r="A2058" s="18">
        <v>24.7742161</v>
      </c>
      <c r="B2058" s="18">
        <v>34.797340900000002</v>
      </c>
      <c r="C2058" s="18">
        <v>681718.66</v>
      </c>
      <c r="D2058" s="18">
        <v>2741142.02</v>
      </c>
      <c r="E2058" s="18">
        <v>344.71</v>
      </c>
      <c r="F2058" s="18">
        <v>41945.91</v>
      </c>
      <c r="G2058" s="18">
        <v>133614</v>
      </c>
      <c r="H2058" s="18">
        <f t="shared" si="65"/>
        <v>41909.910000000003</v>
      </c>
      <c r="I2058" s="12"/>
    </row>
    <row r="2059" spans="1:9" s="2" customFormat="1" ht="21.75" customHeight="1" x14ac:dyDescent="0.55000000000000004">
      <c r="A2059" s="18">
        <v>24.774222699999999</v>
      </c>
      <c r="B2059" s="18">
        <v>34.797320200000001</v>
      </c>
      <c r="C2059" s="18">
        <v>681716.55</v>
      </c>
      <c r="D2059" s="18">
        <v>2741142.73</v>
      </c>
      <c r="E2059" s="18">
        <v>344.84</v>
      </c>
      <c r="F2059" s="18">
        <v>41945.37</v>
      </c>
      <c r="G2059" s="18">
        <v>133616</v>
      </c>
      <c r="H2059" s="18">
        <f t="shared" si="65"/>
        <v>41909.370000000003</v>
      </c>
      <c r="I2059" s="12"/>
    </row>
    <row r="2060" spans="1:9" s="2" customFormat="1" ht="21.75" customHeight="1" x14ac:dyDescent="0.55000000000000004">
      <c r="A2060" s="18">
        <v>24.774231100000002</v>
      </c>
      <c r="B2060" s="18">
        <v>34.797303200000002</v>
      </c>
      <c r="C2060" s="18">
        <v>681714.82</v>
      </c>
      <c r="D2060" s="18">
        <v>2741143.64</v>
      </c>
      <c r="E2060" s="18">
        <v>345.06</v>
      </c>
      <c r="F2060" s="18">
        <v>41930.400000000001</v>
      </c>
      <c r="G2060" s="18">
        <v>133618</v>
      </c>
      <c r="H2060" s="18">
        <f t="shared" si="65"/>
        <v>41894.400000000001</v>
      </c>
      <c r="I2060" s="12"/>
    </row>
    <row r="2061" spans="1:9" s="2" customFormat="1" ht="21.75" customHeight="1" x14ac:dyDescent="0.55000000000000004">
      <c r="A2061" s="18">
        <v>24.774238100000002</v>
      </c>
      <c r="B2061" s="18">
        <v>34.797283999999998</v>
      </c>
      <c r="C2061" s="18">
        <v>681712.87</v>
      </c>
      <c r="D2061" s="18">
        <v>2741144.39</v>
      </c>
      <c r="E2061" s="18">
        <v>344.96</v>
      </c>
      <c r="F2061" s="18">
        <v>41930.36</v>
      </c>
      <c r="G2061" s="18">
        <v>133620</v>
      </c>
      <c r="H2061" s="18">
        <f t="shared" ref="H2061:H2124" si="66">SUM(F2061-36)</f>
        <v>41894.36</v>
      </c>
      <c r="I2061" s="12"/>
    </row>
    <row r="2062" spans="1:9" s="2" customFormat="1" ht="21.75" customHeight="1" x14ac:dyDescent="0.55000000000000004">
      <c r="A2062" s="18">
        <v>24.774255100000001</v>
      </c>
      <c r="B2062" s="18">
        <v>34.797270099999999</v>
      </c>
      <c r="C2062" s="18">
        <v>681711.44</v>
      </c>
      <c r="D2062" s="18">
        <v>2741146.24</v>
      </c>
      <c r="E2062" s="18">
        <v>345.24</v>
      </c>
      <c r="F2062" s="18">
        <v>41932.120000000003</v>
      </c>
      <c r="G2062" s="18">
        <v>133622</v>
      </c>
      <c r="H2062" s="18">
        <f t="shared" si="66"/>
        <v>41896.120000000003</v>
      </c>
      <c r="I2062" s="12"/>
    </row>
    <row r="2063" spans="1:9" s="2" customFormat="1" ht="21.75" customHeight="1" x14ac:dyDescent="0.55000000000000004">
      <c r="A2063" s="18">
        <v>24.774273300000001</v>
      </c>
      <c r="B2063" s="18">
        <v>34.797265199999998</v>
      </c>
      <c r="C2063" s="18">
        <v>681710.91</v>
      </c>
      <c r="D2063" s="18">
        <v>2741148.26</v>
      </c>
      <c r="E2063" s="18">
        <v>345.62</v>
      </c>
      <c r="F2063" s="18">
        <v>41929.22</v>
      </c>
      <c r="G2063" s="18">
        <v>133624</v>
      </c>
      <c r="H2063" s="18">
        <f t="shared" si="66"/>
        <v>41893.22</v>
      </c>
      <c r="I2063" s="12"/>
    </row>
    <row r="2064" spans="1:9" s="2" customFormat="1" ht="21.75" customHeight="1" x14ac:dyDescent="0.55000000000000004">
      <c r="A2064" s="18">
        <v>24.774291300000002</v>
      </c>
      <c r="B2064" s="18">
        <v>34.797261900000002</v>
      </c>
      <c r="C2064" s="18">
        <v>681710.56</v>
      </c>
      <c r="D2064" s="18">
        <v>2741150.25</v>
      </c>
      <c r="E2064" s="18">
        <v>346.11</v>
      </c>
      <c r="F2064" s="18">
        <v>41922.93</v>
      </c>
      <c r="G2064" s="18">
        <v>133626</v>
      </c>
      <c r="H2064" s="18">
        <f t="shared" si="66"/>
        <v>41886.93</v>
      </c>
      <c r="I2064" s="12"/>
    </row>
    <row r="2065" spans="1:9" s="2" customFormat="1" ht="21.75" customHeight="1" x14ac:dyDescent="0.55000000000000004">
      <c r="A2065" s="18">
        <v>24.774310400000001</v>
      </c>
      <c r="B2065" s="18">
        <v>34.797249299999997</v>
      </c>
      <c r="C2065" s="18">
        <v>681709.26</v>
      </c>
      <c r="D2065" s="18">
        <v>2741152.35</v>
      </c>
      <c r="E2065" s="18">
        <v>346.27</v>
      </c>
      <c r="F2065" s="18">
        <v>41924.51</v>
      </c>
      <c r="G2065" s="18">
        <v>133628</v>
      </c>
      <c r="H2065" s="18">
        <f t="shared" si="66"/>
        <v>41888.51</v>
      </c>
      <c r="I2065" s="12"/>
    </row>
    <row r="2066" spans="1:9" s="2" customFormat="1" ht="21.75" customHeight="1" x14ac:dyDescent="0.55000000000000004">
      <c r="A2066" s="18">
        <v>24.774328300000001</v>
      </c>
      <c r="B2066" s="18">
        <v>34.797243600000002</v>
      </c>
      <c r="C2066" s="18">
        <v>681708.66</v>
      </c>
      <c r="D2066" s="18">
        <v>2741154.32</v>
      </c>
      <c r="E2066" s="18">
        <v>346.72</v>
      </c>
      <c r="F2066" s="18">
        <v>41926.33</v>
      </c>
      <c r="G2066" s="18">
        <v>133630</v>
      </c>
      <c r="H2066" s="18">
        <f t="shared" si="66"/>
        <v>41890.33</v>
      </c>
      <c r="I2066" s="12"/>
    </row>
    <row r="2067" spans="1:9" s="2" customFormat="1" ht="21.75" customHeight="1" x14ac:dyDescent="0.55000000000000004">
      <c r="A2067" s="18">
        <v>24.774346300000001</v>
      </c>
      <c r="B2067" s="18">
        <v>34.797246700000002</v>
      </c>
      <c r="C2067" s="18">
        <v>681708.95</v>
      </c>
      <c r="D2067" s="18">
        <v>2741156.32</v>
      </c>
      <c r="E2067" s="18">
        <v>347.11</v>
      </c>
      <c r="F2067" s="18">
        <v>41923.89</v>
      </c>
      <c r="G2067" s="18">
        <v>133632</v>
      </c>
      <c r="H2067" s="18">
        <f t="shared" si="66"/>
        <v>41887.89</v>
      </c>
      <c r="I2067" s="12"/>
    </row>
    <row r="2068" spans="1:9" s="2" customFormat="1" ht="21.75" customHeight="1" x14ac:dyDescent="0.55000000000000004">
      <c r="A2068" s="18">
        <v>24.774361299999999</v>
      </c>
      <c r="B2068" s="18">
        <v>34.797252299999997</v>
      </c>
      <c r="C2068" s="18">
        <v>681709.49</v>
      </c>
      <c r="D2068" s="18">
        <v>2741157.99</v>
      </c>
      <c r="E2068" s="18">
        <v>347.37</v>
      </c>
      <c r="F2068" s="18">
        <v>41922.78</v>
      </c>
      <c r="G2068" s="18">
        <v>133634</v>
      </c>
      <c r="H2068" s="18">
        <f t="shared" si="66"/>
        <v>41886.78</v>
      </c>
      <c r="I2068" s="12"/>
    </row>
    <row r="2069" spans="1:9" s="2" customFormat="1" ht="21.75" customHeight="1" x14ac:dyDescent="0.55000000000000004">
      <c r="A2069" s="18">
        <v>24.774378299999999</v>
      </c>
      <c r="B2069" s="18">
        <v>34.797252899999997</v>
      </c>
      <c r="C2069" s="18">
        <v>681709.53</v>
      </c>
      <c r="D2069" s="18">
        <v>2741159.87</v>
      </c>
      <c r="E2069" s="18">
        <v>348.04</v>
      </c>
      <c r="F2069" s="18">
        <v>41927.56</v>
      </c>
      <c r="G2069" s="18">
        <v>133636</v>
      </c>
      <c r="H2069" s="18">
        <f t="shared" si="66"/>
        <v>41891.56</v>
      </c>
      <c r="I2069" s="12"/>
    </row>
    <row r="2070" spans="1:9" s="2" customFormat="1" ht="21.75" customHeight="1" x14ac:dyDescent="0.55000000000000004">
      <c r="A2070" s="18">
        <v>24.774395599999998</v>
      </c>
      <c r="B2070" s="18">
        <v>34.797261200000001</v>
      </c>
      <c r="C2070" s="18">
        <v>681710.34</v>
      </c>
      <c r="D2070" s="18">
        <v>2741161.79</v>
      </c>
      <c r="E2070" s="18">
        <v>348.51</v>
      </c>
      <c r="F2070" s="18">
        <v>41932.019999999997</v>
      </c>
      <c r="G2070" s="18">
        <v>133638</v>
      </c>
      <c r="H2070" s="18">
        <f t="shared" si="66"/>
        <v>41896.019999999997</v>
      </c>
      <c r="I2070" s="12"/>
    </row>
    <row r="2071" spans="1:9" s="2" customFormat="1" ht="21.75" customHeight="1" x14ac:dyDescent="0.55000000000000004">
      <c r="A2071" s="18">
        <v>24.7744097</v>
      </c>
      <c r="B2071" s="18">
        <v>34.797258999999997</v>
      </c>
      <c r="C2071" s="18">
        <v>681710.1</v>
      </c>
      <c r="D2071" s="18">
        <v>2741163.36</v>
      </c>
      <c r="E2071" s="18">
        <v>349.24</v>
      </c>
      <c r="F2071" s="18">
        <v>41922.230000000003</v>
      </c>
      <c r="G2071" s="18">
        <v>133640</v>
      </c>
      <c r="H2071" s="18">
        <f t="shared" si="66"/>
        <v>41886.230000000003</v>
      </c>
      <c r="I2071" s="12"/>
    </row>
    <row r="2072" spans="1:9" s="2" customFormat="1" ht="21.75" customHeight="1" x14ac:dyDescent="0.55000000000000004">
      <c r="A2072" s="18">
        <v>24.774427200000002</v>
      </c>
      <c r="B2072" s="18">
        <v>34.797259500000003</v>
      </c>
      <c r="C2072" s="18">
        <v>681710.12</v>
      </c>
      <c r="D2072" s="18">
        <v>2741165.3</v>
      </c>
      <c r="E2072" s="18">
        <v>349.87</v>
      </c>
      <c r="F2072" s="18">
        <v>41931.54</v>
      </c>
      <c r="G2072" s="18">
        <v>133642</v>
      </c>
      <c r="H2072" s="18">
        <f t="shared" si="66"/>
        <v>41895.54</v>
      </c>
      <c r="I2072" s="12"/>
    </row>
    <row r="2073" spans="1:9" s="2" customFormat="1" ht="21.75" customHeight="1" x14ac:dyDescent="0.55000000000000004">
      <c r="A2073" s="18">
        <v>24.774449799999999</v>
      </c>
      <c r="B2073" s="18">
        <v>34.797251799999998</v>
      </c>
      <c r="C2073" s="18">
        <v>681709.31</v>
      </c>
      <c r="D2073" s="18">
        <v>2741167.79</v>
      </c>
      <c r="E2073" s="18">
        <v>350.3</v>
      </c>
      <c r="F2073" s="18">
        <v>41927.58</v>
      </c>
      <c r="G2073" s="18">
        <v>133644</v>
      </c>
      <c r="H2073" s="18">
        <f t="shared" si="66"/>
        <v>41891.58</v>
      </c>
      <c r="I2073" s="12"/>
    </row>
    <row r="2074" spans="1:9" s="2" customFormat="1" ht="21.75" customHeight="1" x14ac:dyDescent="0.55000000000000004">
      <c r="A2074" s="18">
        <v>24.774463300000001</v>
      </c>
      <c r="B2074" s="18">
        <v>34.797244900000003</v>
      </c>
      <c r="C2074" s="18">
        <v>681708.58</v>
      </c>
      <c r="D2074" s="18">
        <v>2741169.28</v>
      </c>
      <c r="E2074" s="18">
        <v>351.09</v>
      </c>
      <c r="F2074" s="18">
        <v>41943.58</v>
      </c>
      <c r="G2074" s="18">
        <v>133646</v>
      </c>
      <c r="H2074" s="18">
        <f t="shared" si="66"/>
        <v>41907.58</v>
      </c>
      <c r="I2074" s="12"/>
    </row>
    <row r="2075" spans="1:9" s="2" customFormat="1" ht="21.75" customHeight="1" x14ac:dyDescent="0.55000000000000004">
      <c r="A2075" s="18">
        <v>24.774478599999998</v>
      </c>
      <c r="B2075" s="18">
        <v>34.7972495</v>
      </c>
      <c r="C2075" s="18">
        <v>681709.03</v>
      </c>
      <c r="D2075" s="18">
        <v>2741170.98</v>
      </c>
      <c r="E2075" s="18">
        <v>351.38</v>
      </c>
      <c r="F2075" s="18">
        <v>41919.870000000003</v>
      </c>
      <c r="G2075" s="18">
        <v>133648</v>
      </c>
      <c r="H2075" s="18">
        <f t="shared" si="66"/>
        <v>41883.870000000003</v>
      </c>
      <c r="I2075" s="12"/>
    </row>
    <row r="2076" spans="1:9" s="2" customFormat="1" ht="21.75" customHeight="1" x14ac:dyDescent="0.55000000000000004">
      <c r="A2076" s="18">
        <v>24.774488399999999</v>
      </c>
      <c r="B2076" s="18">
        <v>34.797243399999999</v>
      </c>
      <c r="C2076" s="18">
        <v>681708.4</v>
      </c>
      <c r="D2076" s="18">
        <v>2741172.05</v>
      </c>
      <c r="E2076" s="18">
        <v>352.03</v>
      </c>
      <c r="F2076" s="18">
        <v>41919.39</v>
      </c>
      <c r="G2076" s="18">
        <v>133650</v>
      </c>
      <c r="H2076" s="18">
        <f t="shared" si="66"/>
        <v>41883.39</v>
      </c>
      <c r="I2076" s="12"/>
    </row>
    <row r="2077" spans="1:9" s="2" customFormat="1" ht="21.75" customHeight="1" x14ac:dyDescent="0.55000000000000004">
      <c r="A2077" s="18">
        <v>24.774506599999999</v>
      </c>
      <c r="B2077" s="18">
        <v>34.797242699999998</v>
      </c>
      <c r="C2077" s="18">
        <v>681708.3</v>
      </c>
      <c r="D2077" s="18">
        <v>2741174.07</v>
      </c>
      <c r="E2077" s="18">
        <v>352.34</v>
      </c>
      <c r="F2077" s="18">
        <v>41923.370000000003</v>
      </c>
      <c r="G2077" s="18">
        <v>133652</v>
      </c>
      <c r="H2077" s="18">
        <f t="shared" si="66"/>
        <v>41887.370000000003</v>
      </c>
      <c r="I2077" s="12"/>
    </row>
    <row r="2078" spans="1:9" s="2" customFormat="1" ht="21.75" customHeight="1" x14ac:dyDescent="0.55000000000000004">
      <c r="A2078" s="18">
        <v>24.774522399999999</v>
      </c>
      <c r="B2078" s="18">
        <v>34.797237600000003</v>
      </c>
      <c r="C2078" s="18">
        <v>681707.77</v>
      </c>
      <c r="D2078" s="18">
        <v>2741175.82</v>
      </c>
      <c r="E2078" s="18">
        <v>352.97</v>
      </c>
      <c r="F2078" s="18">
        <v>41925.53</v>
      </c>
      <c r="G2078" s="18">
        <v>133654</v>
      </c>
      <c r="H2078" s="18">
        <f t="shared" si="66"/>
        <v>41889.53</v>
      </c>
      <c r="I2078" s="12"/>
    </row>
    <row r="2079" spans="1:9" s="2" customFormat="1" ht="21.75" customHeight="1" x14ac:dyDescent="0.55000000000000004">
      <c r="A2079" s="18">
        <v>24.774532700000002</v>
      </c>
      <c r="B2079" s="18">
        <v>34.797227900000003</v>
      </c>
      <c r="C2079" s="18">
        <v>681706.77</v>
      </c>
      <c r="D2079" s="18">
        <v>2741176.94</v>
      </c>
      <c r="E2079" s="18">
        <v>353.72</v>
      </c>
      <c r="F2079" s="18">
        <v>41930.26</v>
      </c>
      <c r="G2079" s="18">
        <v>133656</v>
      </c>
      <c r="H2079" s="18">
        <f t="shared" si="66"/>
        <v>41894.26</v>
      </c>
      <c r="I2079" s="12"/>
    </row>
    <row r="2080" spans="1:9" s="2" customFormat="1" ht="21.75" customHeight="1" x14ac:dyDescent="0.55000000000000004">
      <c r="A2080" s="18">
        <v>24.774540600000002</v>
      </c>
      <c r="B2080" s="18">
        <v>34.797224200000002</v>
      </c>
      <c r="C2080" s="18">
        <v>681706.39</v>
      </c>
      <c r="D2080" s="18">
        <v>2741177.81</v>
      </c>
      <c r="E2080" s="18">
        <v>354.29</v>
      </c>
      <c r="F2080" s="18">
        <v>41926.92</v>
      </c>
      <c r="G2080" s="18">
        <v>133658</v>
      </c>
      <c r="H2080" s="18">
        <f t="shared" si="66"/>
        <v>41890.92</v>
      </c>
      <c r="I2080" s="12"/>
    </row>
    <row r="2081" spans="1:9" s="2" customFormat="1" ht="21.75" customHeight="1" x14ac:dyDescent="0.55000000000000004">
      <c r="A2081" s="18">
        <v>24.774548299999999</v>
      </c>
      <c r="B2081" s="18">
        <v>34.797213399999997</v>
      </c>
      <c r="C2081" s="18">
        <v>681705.28</v>
      </c>
      <c r="D2081" s="18">
        <v>2741178.65</v>
      </c>
      <c r="E2081" s="18">
        <v>354.52</v>
      </c>
      <c r="F2081" s="18">
        <v>41926.69</v>
      </c>
      <c r="G2081" s="18">
        <v>133700</v>
      </c>
      <c r="H2081" s="18">
        <f t="shared" si="66"/>
        <v>41890.69</v>
      </c>
      <c r="I2081" s="12"/>
    </row>
    <row r="2082" spans="1:9" s="2" customFormat="1" ht="21.75" customHeight="1" x14ac:dyDescent="0.55000000000000004">
      <c r="A2082" s="18">
        <v>24.774554800000001</v>
      </c>
      <c r="B2082" s="18">
        <v>34.797206199999998</v>
      </c>
      <c r="C2082" s="18">
        <v>681704.54</v>
      </c>
      <c r="D2082" s="18">
        <v>2741179.36</v>
      </c>
      <c r="E2082" s="18">
        <v>354.85</v>
      </c>
      <c r="F2082" s="18">
        <v>41932.97</v>
      </c>
      <c r="G2082" s="18">
        <v>133702</v>
      </c>
      <c r="H2082" s="18">
        <f t="shared" si="66"/>
        <v>41896.97</v>
      </c>
      <c r="I2082" s="12"/>
    </row>
    <row r="2083" spans="1:9" s="2" customFormat="1" ht="21.75" customHeight="1" x14ac:dyDescent="0.55000000000000004">
      <c r="A2083" s="18">
        <v>24.774562100000001</v>
      </c>
      <c r="B2083" s="18">
        <v>34.797193</v>
      </c>
      <c r="C2083" s="18">
        <v>681703.2</v>
      </c>
      <c r="D2083" s="18">
        <v>2741180.15</v>
      </c>
      <c r="E2083" s="18">
        <v>355.28</v>
      </c>
      <c r="F2083" s="18">
        <v>41925.49</v>
      </c>
      <c r="G2083" s="18">
        <v>133704</v>
      </c>
      <c r="H2083" s="18">
        <f t="shared" si="66"/>
        <v>41889.49</v>
      </c>
      <c r="I2083" s="12"/>
    </row>
    <row r="2084" spans="1:9" s="2" customFormat="1" ht="21.75" customHeight="1" x14ac:dyDescent="0.55000000000000004">
      <c r="A2084" s="18">
        <v>24.774567399999999</v>
      </c>
      <c r="B2084" s="18">
        <v>34.797179800000002</v>
      </c>
      <c r="C2084" s="18">
        <v>681701.86</v>
      </c>
      <c r="D2084" s="18">
        <v>2741180.72</v>
      </c>
      <c r="E2084" s="18">
        <v>355.91</v>
      </c>
      <c r="F2084" s="18">
        <v>41926.019999999997</v>
      </c>
      <c r="G2084" s="18">
        <v>133706</v>
      </c>
      <c r="H2084" s="18">
        <f t="shared" si="66"/>
        <v>41890.019999999997</v>
      </c>
      <c r="I2084" s="12"/>
    </row>
    <row r="2085" spans="1:9" s="2" customFormat="1" ht="21.75" customHeight="1" x14ac:dyDescent="0.55000000000000004">
      <c r="A2085" s="18">
        <v>24.7745788</v>
      </c>
      <c r="B2085" s="18">
        <v>34.797168599999999</v>
      </c>
      <c r="C2085" s="18">
        <v>681700.71</v>
      </c>
      <c r="D2085" s="18">
        <v>2741181.97</v>
      </c>
      <c r="E2085" s="18">
        <v>356.33</v>
      </c>
      <c r="F2085" s="18">
        <v>41929.71</v>
      </c>
      <c r="G2085" s="18">
        <v>133708</v>
      </c>
      <c r="H2085" s="18">
        <f t="shared" si="66"/>
        <v>41893.71</v>
      </c>
      <c r="I2085" s="12"/>
    </row>
    <row r="2086" spans="1:9" s="2" customFormat="1" ht="21.75" customHeight="1" x14ac:dyDescent="0.55000000000000004">
      <c r="A2086" s="18">
        <v>24.774587400000001</v>
      </c>
      <c r="B2086" s="18">
        <v>34.797157400000003</v>
      </c>
      <c r="C2086" s="18">
        <v>681699.56</v>
      </c>
      <c r="D2086" s="18">
        <v>2741182.9</v>
      </c>
      <c r="E2086" s="18">
        <v>356.83</v>
      </c>
      <c r="F2086" s="18">
        <v>41930.49</v>
      </c>
      <c r="G2086" s="18">
        <v>133710</v>
      </c>
      <c r="H2086" s="18">
        <f t="shared" si="66"/>
        <v>41894.49</v>
      </c>
      <c r="I2086" s="12"/>
    </row>
    <row r="2087" spans="1:9" s="2" customFormat="1" ht="21.75" customHeight="1" x14ac:dyDescent="0.55000000000000004">
      <c r="A2087" s="18">
        <v>24.7745937</v>
      </c>
      <c r="B2087" s="18">
        <v>34.797142399999998</v>
      </c>
      <c r="C2087" s="18">
        <v>681698.03</v>
      </c>
      <c r="D2087" s="18">
        <v>2741183.59</v>
      </c>
      <c r="E2087" s="18">
        <v>357.2</v>
      </c>
      <c r="F2087" s="18">
        <v>41927.339999999997</v>
      </c>
      <c r="G2087" s="18">
        <v>133712</v>
      </c>
      <c r="H2087" s="18">
        <f t="shared" si="66"/>
        <v>41891.339999999997</v>
      </c>
      <c r="I2087" s="12"/>
    </row>
    <row r="2088" spans="1:9" s="2" customFormat="1" ht="21.75" customHeight="1" x14ac:dyDescent="0.55000000000000004">
      <c r="A2088" s="18">
        <v>24.774589299999999</v>
      </c>
      <c r="B2088" s="18">
        <v>34.797131899999997</v>
      </c>
      <c r="C2088" s="18">
        <v>681696.98</v>
      </c>
      <c r="D2088" s="18">
        <v>2741183.08</v>
      </c>
      <c r="E2088" s="18">
        <v>357.92</v>
      </c>
      <c r="F2088" s="18">
        <v>41930.31</v>
      </c>
      <c r="G2088" s="18">
        <v>133714</v>
      </c>
      <c r="H2088" s="18">
        <f t="shared" si="66"/>
        <v>41894.31</v>
      </c>
      <c r="I2088" s="12"/>
    </row>
    <row r="2089" spans="1:9" s="2" customFormat="1" ht="21.75" customHeight="1" x14ac:dyDescent="0.55000000000000004">
      <c r="A2089" s="18">
        <v>24.774585900000002</v>
      </c>
      <c r="B2089" s="18">
        <v>34.797123399999997</v>
      </c>
      <c r="C2089" s="18">
        <v>681696.13</v>
      </c>
      <c r="D2089" s="18">
        <v>2741182.7</v>
      </c>
      <c r="E2089" s="18">
        <v>358.3</v>
      </c>
      <c r="F2089" s="18">
        <v>41932.47</v>
      </c>
      <c r="G2089" s="18">
        <v>133716</v>
      </c>
      <c r="H2089" s="18">
        <f t="shared" si="66"/>
        <v>41896.47</v>
      </c>
      <c r="I2089" s="12"/>
    </row>
    <row r="2090" spans="1:9" s="2" customFormat="1" ht="21.75" customHeight="1" x14ac:dyDescent="0.55000000000000004">
      <c r="A2090" s="18">
        <v>24.774585900000002</v>
      </c>
      <c r="B2090" s="18">
        <v>34.797111999999998</v>
      </c>
      <c r="C2090" s="18">
        <v>681694.97</v>
      </c>
      <c r="D2090" s="18">
        <v>2741182.68</v>
      </c>
      <c r="E2090" s="18">
        <v>358.69</v>
      </c>
      <c r="F2090" s="18">
        <v>41925.910000000003</v>
      </c>
      <c r="G2090" s="18">
        <v>133718</v>
      </c>
      <c r="H2090" s="18">
        <f t="shared" si="66"/>
        <v>41889.910000000003</v>
      </c>
      <c r="I2090" s="12"/>
    </row>
    <row r="2091" spans="1:9" s="2" customFormat="1" ht="21.75" customHeight="1" x14ac:dyDescent="0.55000000000000004">
      <c r="A2091" s="18">
        <v>24.7745824</v>
      </c>
      <c r="B2091" s="18">
        <v>34.797104400000002</v>
      </c>
      <c r="C2091" s="18">
        <v>681694.21</v>
      </c>
      <c r="D2091" s="18">
        <v>2741182.28</v>
      </c>
      <c r="E2091" s="18">
        <v>359.25</v>
      </c>
      <c r="F2091" s="18">
        <v>41930.199999999997</v>
      </c>
      <c r="G2091" s="18">
        <v>133720</v>
      </c>
      <c r="H2091" s="18">
        <f t="shared" si="66"/>
        <v>41894.199999999997</v>
      </c>
      <c r="I2091" s="12"/>
    </row>
    <row r="2092" spans="1:9" s="2" customFormat="1" ht="21.75" customHeight="1" x14ac:dyDescent="0.55000000000000004">
      <c r="A2092" s="18">
        <v>24.7745873</v>
      </c>
      <c r="B2092" s="18">
        <v>34.7970933</v>
      </c>
      <c r="C2092" s="18">
        <v>681693.08</v>
      </c>
      <c r="D2092" s="18">
        <v>2741182.81</v>
      </c>
      <c r="E2092" s="18">
        <v>359.75</v>
      </c>
      <c r="F2092" s="18">
        <v>41927.120000000003</v>
      </c>
      <c r="G2092" s="18">
        <v>133722</v>
      </c>
      <c r="H2092" s="18">
        <f t="shared" si="66"/>
        <v>41891.120000000003</v>
      </c>
      <c r="I2092" s="12"/>
    </row>
    <row r="2093" spans="1:9" s="2" customFormat="1" ht="21.75" customHeight="1" x14ac:dyDescent="0.55000000000000004">
      <c r="A2093" s="18">
        <v>24.77459</v>
      </c>
      <c r="B2093" s="18">
        <v>34.797080000000001</v>
      </c>
      <c r="C2093" s="18">
        <v>681691.73</v>
      </c>
      <c r="D2093" s="18">
        <v>2741183.09</v>
      </c>
      <c r="E2093" s="18">
        <v>360.2</v>
      </c>
      <c r="F2093" s="18">
        <v>41931.35</v>
      </c>
      <c r="G2093" s="18">
        <v>133724</v>
      </c>
      <c r="H2093" s="18">
        <f t="shared" si="66"/>
        <v>41895.35</v>
      </c>
      <c r="I2093" s="12"/>
    </row>
    <row r="2094" spans="1:9" s="2" customFormat="1" ht="21.75" customHeight="1" x14ac:dyDescent="0.55000000000000004">
      <c r="A2094" s="18">
        <v>24.774587700000001</v>
      </c>
      <c r="B2094" s="18">
        <v>34.797063100000003</v>
      </c>
      <c r="C2094" s="18">
        <v>681690.03</v>
      </c>
      <c r="D2094" s="18">
        <v>2741182.81</v>
      </c>
      <c r="E2094" s="18">
        <v>360.42</v>
      </c>
      <c r="F2094" s="18">
        <v>41930.22</v>
      </c>
      <c r="G2094" s="18">
        <v>133726</v>
      </c>
      <c r="H2094" s="18">
        <f t="shared" si="66"/>
        <v>41894.22</v>
      </c>
      <c r="I2094" s="12"/>
    </row>
    <row r="2095" spans="1:9" s="2" customFormat="1" ht="21.75" customHeight="1" x14ac:dyDescent="0.55000000000000004">
      <c r="A2095" s="18">
        <v>24.774591000000001</v>
      </c>
      <c r="B2095" s="18">
        <v>34.797047999999997</v>
      </c>
      <c r="C2095" s="18">
        <v>681688.49</v>
      </c>
      <c r="D2095" s="18">
        <v>2741183.16</v>
      </c>
      <c r="E2095" s="18">
        <v>360.68</v>
      </c>
      <c r="F2095" s="18">
        <v>41933.06</v>
      </c>
      <c r="G2095" s="18">
        <v>133728</v>
      </c>
      <c r="H2095" s="18">
        <f t="shared" si="66"/>
        <v>41897.06</v>
      </c>
      <c r="I2095" s="12"/>
    </row>
    <row r="2096" spans="1:9" s="2" customFormat="1" ht="21.75" customHeight="1" x14ac:dyDescent="0.55000000000000004">
      <c r="A2096" s="18">
        <v>24.7745967</v>
      </c>
      <c r="B2096" s="18">
        <v>34.797033300000002</v>
      </c>
      <c r="C2096" s="18">
        <v>681687</v>
      </c>
      <c r="D2096" s="18">
        <v>2741183.77</v>
      </c>
      <c r="E2096" s="18">
        <v>360.95</v>
      </c>
      <c r="F2096" s="18">
        <v>41930.9</v>
      </c>
      <c r="G2096" s="18">
        <v>133730</v>
      </c>
      <c r="H2096" s="18">
        <f t="shared" si="66"/>
        <v>41894.9</v>
      </c>
      <c r="I2096" s="12"/>
    </row>
    <row r="2097" spans="1:9" s="2" customFormat="1" ht="21.75" customHeight="1" x14ac:dyDescent="0.55000000000000004">
      <c r="A2097" s="18">
        <v>24.774607</v>
      </c>
      <c r="B2097" s="18">
        <v>34.797026700000004</v>
      </c>
      <c r="C2097" s="18">
        <v>681686.32</v>
      </c>
      <c r="D2097" s="18">
        <v>2741184.9</v>
      </c>
      <c r="E2097" s="18">
        <v>361.15</v>
      </c>
      <c r="F2097" s="18">
        <v>41932.080000000002</v>
      </c>
      <c r="G2097" s="18">
        <v>133732</v>
      </c>
      <c r="H2097" s="18">
        <f t="shared" si="66"/>
        <v>41896.080000000002</v>
      </c>
      <c r="I2097" s="12"/>
    </row>
    <row r="2098" spans="1:9" s="2" customFormat="1" ht="21.75" customHeight="1" x14ac:dyDescent="0.55000000000000004">
      <c r="A2098" s="18">
        <v>24.774614799999998</v>
      </c>
      <c r="B2098" s="18">
        <v>34.797019599999999</v>
      </c>
      <c r="C2098" s="18">
        <v>681685.59</v>
      </c>
      <c r="D2098" s="18">
        <v>2741185.75</v>
      </c>
      <c r="E2098" s="18">
        <v>361.37</v>
      </c>
      <c r="F2098" s="18">
        <v>41930.01</v>
      </c>
      <c r="G2098" s="18">
        <v>133734</v>
      </c>
      <c r="H2098" s="18">
        <f t="shared" si="66"/>
        <v>41894.01</v>
      </c>
      <c r="I2098" s="12"/>
    </row>
    <row r="2099" spans="1:9" s="2" customFormat="1" ht="21.75" customHeight="1" x14ac:dyDescent="0.55000000000000004">
      <c r="A2099" s="18">
        <v>24.7746186</v>
      </c>
      <c r="B2099" s="18">
        <v>34.797009600000003</v>
      </c>
      <c r="C2099" s="18">
        <v>681684.57</v>
      </c>
      <c r="D2099" s="18">
        <v>2741186.16</v>
      </c>
      <c r="E2099" s="18">
        <v>361.32</v>
      </c>
      <c r="F2099" s="18">
        <v>41927.71</v>
      </c>
      <c r="G2099" s="18">
        <v>133736</v>
      </c>
      <c r="H2099" s="18">
        <f t="shared" si="66"/>
        <v>41891.71</v>
      </c>
      <c r="I2099" s="12"/>
    </row>
    <row r="2100" spans="1:9" s="2" customFormat="1" ht="21.75" customHeight="1" x14ac:dyDescent="0.55000000000000004">
      <c r="A2100" s="18">
        <v>24.774620899999999</v>
      </c>
      <c r="B2100" s="18">
        <v>34.7970063</v>
      </c>
      <c r="C2100" s="18">
        <v>681684.23</v>
      </c>
      <c r="D2100" s="18">
        <v>2741186.41</v>
      </c>
      <c r="E2100" s="18">
        <v>361.23</v>
      </c>
      <c r="F2100" s="18">
        <v>41933.67</v>
      </c>
      <c r="G2100" s="18">
        <v>133738</v>
      </c>
      <c r="H2100" s="18">
        <f t="shared" si="66"/>
        <v>41897.67</v>
      </c>
      <c r="I2100" s="12"/>
    </row>
    <row r="2101" spans="1:9" s="2" customFormat="1" ht="21.75" customHeight="1" x14ac:dyDescent="0.55000000000000004">
      <c r="A2101" s="18">
        <v>24.774620500000001</v>
      </c>
      <c r="B2101" s="18">
        <v>34.796998700000003</v>
      </c>
      <c r="C2101" s="18">
        <v>681683.47</v>
      </c>
      <c r="D2101" s="18">
        <v>2741186.36</v>
      </c>
      <c r="E2101" s="18">
        <v>361.05</v>
      </c>
      <c r="F2101" s="18">
        <v>41937.629999999997</v>
      </c>
      <c r="G2101" s="18">
        <v>133740</v>
      </c>
      <c r="H2101" s="18">
        <f t="shared" si="66"/>
        <v>41901.629999999997</v>
      </c>
      <c r="I2101" s="12"/>
    </row>
    <row r="2102" spans="1:9" s="2" customFormat="1" ht="21.75" customHeight="1" x14ac:dyDescent="0.55000000000000004">
      <c r="A2102" s="18">
        <v>24.7746268</v>
      </c>
      <c r="B2102" s="18">
        <v>34.796978899999999</v>
      </c>
      <c r="C2102" s="18">
        <v>681681.45</v>
      </c>
      <c r="D2102" s="18">
        <v>2741187.03</v>
      </c>
      <c r="E2102" s="18">
        <v>360.63</v>
      </c>
      <c r="F2102" s="18">
        <v>41933.69</v>
      </c>
      <c r="G2102" s="18">
        <v>133742</v>
      </c>
      <c r="H2102" s="18">
        <f t="shared" si="66"/>
        <v>41897.69</v>
      </c>
      <c r="I2102" s="12"/>
    </row>
    <row r="2103" spans="1:9" s="2" customFormat="1" ht="21.75" customHeight="1" x14ac:dyDescent="0.55000000000000004">
      <c r="A2103" s="18">
        <v>24.774634200000001</v>
      </c>
      <c r="B2103" s="18">
        <v>34.7969589</v>
      </c>
      <c r="C2103" s="18">
        <v>681679.41</v>
      </c>
      <c r="D2103" s="18">
        <v>2741187.82</v>
      </c>
      <c r="E2103" s="18">
        <v>360.3</v>
      </c>
      <c r="F2103" s="18">
        <v>41929.65</v>
      </c>
      <c r="G2103" s="18">
        <v>133744</v>
      </c>
      <c r="H2103" s="18">
        <f t="shared" si="66"/>
        <v>41893.65</v>
      </c>
      <c r="I2103" s="12"/>
    </row>
    <row r="2104" spans="1:9" s="2" customFormat="1" ht="21.75" customHeight="1" x14ac:dyDescent="0.55000000000000004">
      <c r="A2104" s="18">
        <v>24.774639000000001</v>
      </c>
      <c r="B2104" s="18">
        <v>34.796937300000003</v>
      </c>
      <c r="C2104" s="18">
        <v>681677.22</v>
      </c>
      <c r="D2104" s="18">
        <v>2741188.33</v>
      </c>
      <c r="E2104" s="18">
        <v>359.76</v>
      </c>
      <c r="F2104" s="18">
        <v>41928.03</v>
      </c>
      <c r="G2104" s="18">
        <v>133746</v>
      </c>
      <c r="H2104" s="18">
        <f t="shared" si="66"/>
        <v>41892.03</v>
      </c>
      <c r="I2104" s="12"/>
    </row>
    <row r="2105" spans="1:9" s="2" customFormat="1" ht="21.75" customHeight="1" x14ac:dyDescent="0.55000000000000004">
      <c r="A2105" s="18">
        <v>24.774647000000002</v>
      </c>
      <c r="B2105" s="18">
        <v>34.796916600000003</v>
      </c>
      <c r="C2105" s="18">
        <v>681675.12</v>
      </c>
      <c r="D2105" s="18">
        <v>2741189.19</v>
      </c>
      <c r="E2105" s="18">
        <v>359.22</v>
      </c>
      <c r="F2105" s="18">
        <v>41923.67</v>
      </c>
      <c r="G2105" s="18">
        <v>133748</v>
      </c>
      <c r="H2105" s="18">
        <f t="shared" si="66"/>
        <v>41887.67</v>
      </c>
      <c r="I2105" s="12"/>
    </row>
    <row r="2106" spans="1:9" s="2" customFormat="1" ht="21.75" customHeight="1" x14ac:dyDescent="0.55000000000000004">
      <c r="A2106" s="18">
        <v>24.774657699999999</v>
      </c>
      <c r="B2106" s="18">
        <v>34.796896400000001</v>
      </c>
      <c r="C2106" s="18">
        <v>681673.07</v>
      </c>
      <c r="D2106" s="18">
        <v>2741190.34</v>
      </c>
      <c r="E2106" s="18">
        <v>358.93</v>
      </c>
      <c r="F2106" s="18">
        <v>41922.54</v>
      </c>
      <c r="G2106" s="18">
        <v>133750</v>
      </c>
      <c r="H2106" s="18">
        <f t="shared" si="66"/>
        <v>41886.54</v>
      </c>
      <c r="I2106" s="12"/>
    </row>
    <row r="2107" spans="1:9" s="2" customFormat="1" ht="21.75" customHeight="1" x14ac:dyDescent="0.55000000000000004">
      <c r="A2107" s="18">
        <v>24.774668399999999</v>
      </c>
      <c r="B2107" s="18">
        <v>34.7968768</v>
      </c>
      <c r="C2107" s="18">
        <v>681671.06</v>
      </c>
      <c r="D2107" s="18">
        <v>2741191.5</v>
      </c>
      <c r="E2107" s="18">
        <v>358.56</v>
      </c>
      <c r="F2107" s="18">
        <v>41921.870000000003</v>
      </c>
      <c r="G2107" s="18">
        <v>133752</v>
      </c>
      <c r="H2107" s="18">
        <f t="shared" si="66"/>
        <v>41885.870000000003</v>
      </c>
      <c r="I2107" s="12"/>
    </row>
    <row r="2108" spans="1:9" s="2" customFormat="1" ht="21.75" customHeight="1" x14ac:dyDescent="0.55000000000000004">
      <c r="A2108" s="18">
        <v>24.774674699999998</v>
      </c>
      <c r="B2108" s="18">
        <v>34.796856099999999</v>
      </c>
      <c r="C2108" s="18">
        <v>681668.97</v>
      </c>
      <c r="D2108" s="18">
        <v>2741192.17</v>
      </c>
      <c r="E2108" s="18">
        <v>358.07</v>
      </c>
      <c r="F2108" s="18">
        <v>41926.550000000003</v>
      </c>
      <c r="G2108" s="18">
        <v>133754</v>
      </c>
      <c r="H2108" s="18">
        <f t="shared" si="66"/>
        <v>41890.550000000003</v>
      </c>
      <c r="I2108" s="12"/>
    </row>
    <row r="2109" spans="1:9" s="2" customFormat="1" ht="21.75" customHeight="1" x14ac:dyDescent="0.55000000000000004">
      <c r="A2109" s="18">
        <v>24.774680100000001</v>
      </c>
      <c r="B2109" s="18">
        <v>34.796833399999997</v>
      </c>
      <c r="C2109" s="18">
        <v>681666.66</v>
      </c>
      <c r="D2109" s="18">
        <v>2741192.74</v>
      </c>
      <c r="E2109" s="18">
        <v>357.86</v>
      </c>
      <c r="F2109" s="18">
        <v>41929.25</v>
      </c>
      <c r="G2109" s="18">
        <v>133756</v>
      </c>
      <c r="H2109" s="18">
        <f t="shared" si="66"/>
        <v>41893.25</v>
      </c>
      <c r="I2109" s="12"/>
    </row>
    <row r="2110" spans="1:9" s="2" customFormat="1" ht="21.75" customHeight="1" x14ac:dyDescent="0.55000000000000004">
      <c r="A2110" s="18">
        <v>24.774691099999998</v>
      </c>
      <c r="B2110" s="18">
        <v>34.796814400000002</v>
      </c>
      <c r="C2110" s="18">
        <v>681664.73</v>
      </c>
      <c r="D2110" s="18">
        <v>2741193.93</v>
      </c>
      <c r="E2110" s="18">
        <v>357.55</v>
      </c>
      <c r="F2110" s="18">
        <v>41925.300000000003</v>
      </c>
      <c r="G2110" s="18">
        <v>133758</v>
      </c>
      <c r="H2110" s="18">
        <f t="shared" si="66"/>
        <v>41889.300000000003</v>
      </c>
      <c r="I2110" s="12"/>
    </row>
    <row r="2111" spans="1:9" s="2" customFormat="1" ht="21.75" customHeight="1" x14ac:dyDescent="0.55000000000000004">
      <c r="A2111" s="18">
        <v>24.774700299999999</v>
      </c>
      <c r="B2111" s="18">
        <v>34.796795099999997</v>
      </c>
      <c r="C2111" s="18">
        <v>681662.76</v>
      </c>
      <c r="D2111" s="18">
        <v>2741194.93</v>
      </c>
      <c r="E2111" s="18">
        <v>357.31</v>
      </c>
      <c r="F2111" s="18">
        <v>41921.24</v>
      </c>
      <c r="G2111" s="18">
        <v>133800</v>
      </c>
      <c r="H2111" s="18">
        <f t="shared" si="66"/>
        <v>41885.24</v>
      </c>
      <c r="I2111" s="12"/>
    </row>
    <row r="2112" spans="1:9" s="2" customFormat="1" ht="21.75" customHeight="1" x14ac:dyDescent="0.55000000000000004">
      <c r="A2112" s="18">
        <v>24.774701799999999</v>
      </c>
      <c r="B2112" s="18">
        <v>34.796771399999997</v>
      </c>
      <c r="C2112" s="18">
        <v>681660.36</v>
      </c>
      <c r="D2112" s="18">
        <v>2741195.07</v>
      </c>
      <c r="E2112" s="18">
        <v>357.08</v>
      </c>
      <c r="F2112" s="18">
        <v>41921.5</v>
      </c>
      <c r="G2112" s="18">
        <v>133802</v>
      </c>
      <c r="H2112" s="18">
        <f t="shared" si="66"/>
        <v>41885.5</v>
      </c>
      <c r="I2112" s="12"/>
    </row>
    <row r="2113" spans="1:9" s="2" customFormat="1" ht="21.75" customHeight="1" x14ac:dyDescent="0.55000000000000004">
      <c r="A2113" s="18">
        <v>24.774704100000001</v>
      </c>
      <c r="B2113" s="18">
        <v>34.796748200000003</v>
      </c>
      <c r="C2113" s="18">
        <v>681658.01</v>
      </c>
      <c r="D2113" s="18">
        <v>2741195.29</v>
      </c>
      <c r="E2113" s="18">
        <v>356.78</v>
      </c>
      <c r="F2113" s="18">
        <v>41922.58</v>
      </c>
      <c r="G2113" s="18">
        <v>133804</v>
      </c>
      <c r="H2113" s="18">
        <f t="shared" si="66"/>
        <v>41886.58</v>
      </c>
      <c r="I2113" s="12"/>
    </row>
    <row r="2114" spans="1:9" s="2" customFormat="1" ht="21.75" customHeight="1" x14ac:dyDescent="0.55000000000000004">
      <c r="A2114" s="18">
        <v>24.7747098</v>
      </c>
      <c r="B2114" s="18">
        <v>34.7967248</v>
      </c>
      <c r="C2114" s="18">
        <v>681655.63</v>
      </c>
      <c r="D2114" s="18">
        <v>2741195.88</v>
      </c>
      <c r="E2114" s="18">
        <v>356.43</v>
      </c>
      <c r="F2114" s="18">
        <v>41923.910000000003</v>
      </c>
      <c r="G2114" s="18">
        <v>133806</v>
      </c>
      <c r="H2114" s="18">
        <f t="shared" si="66"/>
        <v>41887.910000000003</v>
      </c>
      <c r="I2114" s="12"/>
    </row>
    <row r="2115" spans="1:9" s="2" customFormat="1" ht="21.75" customHeight="1" x14ac:dyDescent="0.55000000000000004">
      <c r="A2115" s="18">
        <v>24.774714299999999</v>
      </c>
      <c r="B2115" s="18">
        <v>34.796699699999998</v>
      </c>
      <c r="C2115" s="18">
        <v>681653.09</v>
      </c>
      <c r="D2115" s="18">
        <v>2741196.35</v>
      </c>
      <c r="E2115" s="18">
        <v>355.9</v>
      </c>
      <c r="F2115" s="18">
        <v>41923.78</v>
      </c>
      <c r="G2115" s="18">
        <v>133808</v>
      </c>
      <c r="H2115" s="18">
        <f t="shared" si="66"/>
        <v>41887.78</v>
      </c>
      <c r="I2115" s="12"/>
    </row>
    <row r="2116" spans="1:9" s="2" customFormat="1" ht="21.75" customHeight="1" x14ac:dyDescent="0.55000000000000004">
      <c r="A2116" s="18">
        <v>24.774718100000001</v>
      </c>
      <c r="B2116" s="18">
        <v>34.796674400000001</v>
      </c>
      <c r="C2116" s="18">
        <v>681650.53</v>
      </c>
      <c r="D2116" s="18">
        <v>2741196.74</v>
      </c>
      <c r="E2116" s="18">
        <v>355.61</v>
      </c>
      <c r="F2116" s="18">
        <v>41923.68</v>
      </c>
      <c r="G2116" s="18">
        <v>133810</v>
      </c>
      <c r="H2116" s="18">
        <f t="shared" si="66"/>
        <v>41887.68</v>
      </c>
      <c r="I2116" s="12"/>
    </row>
    <row r="2117" spans="1:9" s="2" customFormat="1" ht="21.75" customHeight="1" x14ac:dyDescent="0.55000000000000004">
      <c r="A2117" s="18">
        <v>24.774716099999999</v>
      </c>
      <c r="B2117" s="18">
        <v>34.796648900000001</v>
      </c>
      <c r="C2117" s="18">
        <v>681647.95</v>
      </c>
      <c r="D2117" s="18">
        <v>2741196.48</v>
      </c>
      <c r="E2117" s="18">
        <v>355.34</v>
      </c>
      <c r="F2117" s="18">
        <v>41922.58</v>
      </c>
      <c r="G2117" s="18">
        <v>133812</v>
      </c>
      <c r="H2117" s="18">
        <f t="shared" si="66"/>
        <v>41886.58</v>
      </c>
      <c r="I2117" s="12"/>
    </row>
    <row r="2118" spans="1:9" s="2" customFormat="1" ht="21.75" customHeight="1" x14ac:dyDescent="0.55000000000000004">
      <c r="A2118" s="18">
        <v>24.774705900000001</v>
      </c>
      <c r="B2118" s="18">
        <v>34.796625499999998</v>
      </c>
      <c r="C2118" s="18">
        <v>681645.6</v>
      </c>
      <c r="D2118" s="18">
        <v>2741195.33</v>
      </c>
      <c r="E2118" s="18">
        <v>355.29</v>
      </c>
      <c r="F2118" s="18">
        <v>41922.71</v>
      </c>
      <c r="G2118" s="18">
        <v>133814</v>
      </c>
      <c r="H2118" s="18">
        <f t="shared" si="66"/>
        <v>41886.71</v>
      </c>
      <c r="I2118" s="12"/>
    </row>
    <row r="2119" spans="1:9" s="2" customFormat="1" ht="21.75" customHeight="1" x14ac:dyDescent="0.55000000000000004">
      <c r="A2119" s="18">
        <v>24.774695300000001</v>
      </c>
      <c r="B2119" s="18">
        <v>34.796607799999997</v>
      </c>
      <c r="C2119" s="18">
        <v>681643.82</v>
      </c>
      <c r="D2119" s="18">
        <v>2741194.12</v>
      </c>
      <c r="E2119" s="18">
        <v>355.13</v>
      </c>
      <c r="F2119" s="18">
        <v>41924.83</v>
      </c>
      <c r="G2119" s="18">
        <v>133816</v>
      </c>
      <c r="H2119" s="18">
        <f t="shared" si="66"/>
        <v>41888.83</v>
      </c>
      <c r="I2119" s="12"/>
    </row>
    <row r="2120" spans="1:9" s="2" customFormat="1" ht="21.75" customHeight="1" x14ac:dyDescent="0.55000000000000004">
      <c r="A2120" s="18">
        <v>24.7746888</v>
      </c>
      <c r="B2120" s="18">
        <v>34.7965886</v>
      </c>
      <c r="C2120" s="18">
        <v>681641.89</v>
      </c>
      <c r="D2120" s="18">
        <v>2741193.38</v>
      </c>
      <c r="E2120" s="18">
        <v>354.7</v>
      </c>
      <c r="F2120" s="18">
        <v>41922.699999999997</v>
      </c>
      <c r="G2120" s="18">
        <v>133818</v>
      </c>
      <c r="H2120" s="18">
        <f t="shared" si="66"/>
        <v>41886.699999999997</v>
      </c>
      <c r="I2120" s="12"/>
    </row>
    <row r="2121" spans="1:9" s="2" customFormat="1" ht="21.75" customHeight="1" x14ac:dyDescent="0.55000000000000004">
      <c r="A2121" s="18">
        <v>24.774681000000001</v>
      </c>
      <c r="B2121" s="18">
        <v>34.796568100000002</v>
      </c>
      <c r="C2121" s="18">
        <v>681639.83</v>
      </c>
      <c r="D2121" s="18">
        <v>2741192.48</v>
      </c>
      <c r="E2121" s="18">
        <v>354.53</v>
      </c>
      <c r="F2121" s="18">
        <v>41923.339999999997</v>
      </c>
      <c r="G2121" s="18">
        <v>133820</v>
      </c>
      <c r="H2121" s="18">
        <f t="shared" si="66"/>
        <v>41887.339999999997</v>
      </c>
      <c r="I2121" s="12"/>
    </row>
    <row r="2122" spans="1:9" s="2" customFormat="1" ht="21.75" customHeight="1" x14ac:dyDescent="0.55000000000000004">
      <c r="A2122" s="18">
        <v>24.774679500000001</v>
      </c>
      <c r="B2122" s="18">
        <v>34.796546900000003</v>
      </c>
      <c r="C2122" s="18">
        <v>681637.69</v>
      </c>
      <c r="D2122" s="18">
        <v>2741192.29</v>
      </c>
      <c r="E2122" s="18">
        <v>354.36</v>
      </c>
      <c r="F2122" s="18">
        <v>41924.160000000003</v>
      </c>
      <c r="G2122" s="18">
        <v>133822</v>
      </c>
      <c r="H2122" s="18">
        <f t="shared" si="66"/>
        <v>41888.160000000003</v>
      </c>
      <c r="I2122" s="12"/>
    </row>
    <row r="2123" spans="1:9" s="2" customFormat="1" ht="21.75" customHeight="1" x14ac:dyDescent="0.55000000000000004">
      <c r="A2123" s="18">
        <v>24.7746803</v>
      </c>
      <c r="B2123" s="18">
        <v>34.796523999999998</v>
      </c>
      <c r="C2123" s="18">
        <v>681635.37</v>
      </c>
      <c r="D2123" s="18">
        <v>2741192.35</v>
      </c>
      <c r="E2123" s="18">
        <v>354.22</v>
      </c>
      <c r="F2123" s="18">
        <v>41923.19</v>
      </c>
      <c r="G2123" s="18">
        <v>133824</v>
      </c>
      <c r="H2123" s="18">
        <f t="shared" si="66"/>
        <v>41887.19</v>
      </c>
      <c r="I2123" s="12"/>
    </row>
    <row r="2124" spans="1:9" s="2" customFormat="1" ht="21.75" customHeight="1" x14ac:dyDescent="0.55000000000000004">
      <c r="A2124" s="18">
        <v>24.7746818</v>
      </c>
      <c r="B2124" s="18">
        <v>34.796501499999998</v>
      </c>
      <c r="C2124" s="18">
        <v>681633.09</v>
      </c>
      <c r="D2124" s="18">
        <v>2741192.49</v>
      </c>
      <c r="E2124" s="18">
        <v>353.84</v>
      </c>
      <c r="F2124" s="18">
        <v>41920.6</v>
      </c>
      <c r="G2124" s="18">
        <v>133826</v>
      </c>
      <c r="H2124" s="18">
        <f t="shared" si="66"/>
        <v>41884.6</v>
      </c>
      <c r="I2124" s="12"/>
    </row>
    <row r="2125" spans="1:9" s="2" customFormat="1" ht="21.75" customHeight="1" x14ac:dyDescent="0.55000000000000004">
      <c r="A2125" s="18">
        <v>24.774683199999998</v>
      </c>
      <c r="B2125" s="18">
        <v>34.796479900000001</v>
      </c>
      <c r="C2125" s="18">
        <v>681630.91</v>
      </c>
      <c r="D2125" s="18">
        <v>2741192.61</v>
      </c>
      <c r="E2125" s="18">
        <v>353.61</v>
      </c>
      <c r="F2125" s="18">
        <v>41921.89</v>
      </c>
      <c r="G2125" s="18">
        <v>133828</v>
      </c>
      <c r="H2125" s="18">
        <f t="shared" ref="H2125:H2188" si="67">SUM(F2125-36)</f>
        <v>41885.89</v>
      </c>
      <c r="I2125" s="12"/>
    </row>
    <row r="2126" spans="1:9" s="2" customFormat="1" ht="21.75" customHeight="1" x14ac:dyDescent="0.55000000000000004">
      <c r="A2126" s="18">
        <v>24.7746876</v>
      </c>
      <c r="B2126" s="18">
        <v>34.796459499999997</v>
      </c>
      <c r="C2126" s="18">
        <v>681628.84</v>
      </c>
      <c r="D2126" s="18">
        <v>2741193.08</v>
      </c>
      <c r="E2126" s="18">
        <v>353.23</v>
      </c>
      <c r="F2126" s="18">
        <v>41922.83</v>
      </c>
      <c r="G2126" s="18">
        <v>133830</v>
      </c>
      <c r="H2126" s="18">
        <f t="shared" si="67"/>
        <v>41886.83</v>
      </c>
      <c r="I2126" s="12"/>
    </row>
    <row r="2127" spans="1:9" s="2" customFormat="1" ht="21.75" customHeight="1" x14ac:dyDescent="0.55000000000000004">
      <c r="A2127" s="18">
        <v>24.774691099999998</v>
      </c>
      <c r="B2127" s="18">
        <v>34.7964421</v>
      </c>
      <c r="C2127" s="18">
        <v>681627.08</v>
      </c>
      <c r="D2127" s="18">
        <v>2741193.44</v>
      </c>
      <c r="E2127" s="18">
        <v>353.03</v>
      </c>
      <c r="F2127" s="18">
        <v>41921.54</v>
      </c>
      <c r="G2127" s="18">
        <v>133832</v>
      </c>
      <c r="H2127" s="18">
        <f t="shared" si="67"/>
        <v>41885.54</v>
      </c>
      <c r="I2127" s="12"/>
    </row>
    <row r="2128" spans="1:9" s="2" customFormat="1" ht="21.75" customHeight="1" x14ac:dyDescent="0.55000000000000004">
      <c r="A2128" s="18">
        <v>24.774691199999999</v>
      </c>
      <c r="B2128" s="18">
        <v>34.796435500000001</v>
      </c>
      <c r="C2128" s="18">
        <v>681626.4</v>
      </c>
      <c r="D2128" s="18">
        <v>2741193.44</v>
      </c>
      <c r="E2128" s="18">
        <v>353</v>
      </c>
      <c r="F2128" s="18">
        <v>41919.65</v>
      </c>
      <c r="G2128" s="18">
        <v>133834</v>
      </c>
      <c r="H2128" s="18">
        <f t="shared" si="67"/>
        <v>41883.65</v>
      </c>
      <c r="I2128" s="12"/>
    </row>
    <row r="2129" spans="1:9" s="2" customFormat="1" ht="21.75" customHeight="1" x14ac:dyDescent="0.55000000000000004">
      <c r="A2129" s="18">
        <v>24.774689899999998</v>
      </c>
      <c r="B2129" s="18">
        <v>34.796433700000001</v>
      </c>
      <c r="C2129" s="18">
        <v>681626.23</v>
      </c>
      <c r="D2129" s="18">
        <v>2741193.29</v>
      </c>
      <c r="E2129" s="18">
        <v>352.99</v>
      </c>
      <c r="F2129" s="18">
        <v>41923.339999999997</v>
      </c>
      <c r="G2129" s="18">
        <v>133836</v>
      </c>
      <c r="H2129" s="18">
        <f t="shared" si="67"/>
        <v>41887.339999999997</v>
      </c>
      <c r="I2129" s="12"/>
    </row>
    <row r="2130" spans="1:9" s="2" customFormat="1" ht="21.75" customHeight="1" x14ac:dyDescent="0.55000000000000004">
      <c r="A2130" s="18">
        <v>24.7747019</v>
      </c>
      <c r="B2130" s="18">
        <v>34.796422999999997</v>
      </c>
      <c r="C2130" s="18">
        <v>681625.13</v>
      </c>
      <c r="D2130" s="18">
        <v>2741194.61</v>
      </c>
      <c r="E2130" s="18">
        <v>352.82</v>
      </c>
      <c r="F2130" s="18">
        <v>41920.15</v>
      </c>
      <c r="G2130" s="18">
        <v>133838</v>
      </c>
      <c r="H2130" s="18">
        <f t="shared" si="67"/>
        <v>41884.15</v>
      </c>
      <c r="I2130" s="12"/>
    </row>
    <row r="2131" spans="1:9" s="2" customFormat="1" ht="21.75" customHeight="1" x14ac:dyDescent="0.55000000000000004">
      <c r="A2131" s="18">
        <v>24.7747134</v>
      </c>
      <c r="B2131" s="18">
        <v>34.796414300000002</v>
      </c>
      <c r="C2131" s="18">
        <v>681624.23</v>
      </c>
      <c r="D2131" s="18">
        <v>2741195.87</v>
      </c>
      <c r="E2131" s="18">
        <v>352.6</v>
      </c>
      <c r="F2131" s="18">
        <v>41920.620000000003</v>
      </c>
      <c r="G2131" s="18">
        <v>133840</v>
      </c>
      <c r="H2131" s="18">
        <f t="shared" si="67"/>
        <v>41884.620000000003</v>
      </c>
      <c r="I2131" s="12"/>
    </row>
    <row r="2132" spans="1:9" s="2" customFormat="1" ht="21.75" customHeight="1" x14ac:dyDescent="0.55000000000000004">
      <c r="A2132" s="18">
        <v>24.774713999999999</v>
      </c>
      <c r="B2132" s="18">
        <v>34.7964147</v>
      </c>
      <c r="C2132" s="18">
        <v>681624.27</v>
      </c>
      <c r="D2132" s="18">
        <v>2741195.94</v>
      </c>
      <c r="E2132" s="18">
        <v>352.59</v>
      </c>
      <c r="F2132" s="18">
        <v>41918.6</v>
      </c>
      <c r="G2132" s="18">
        <v>133842</v>
      </c>
      <c r="H2132" s="18">
        <f t="shared" si="67"/>
        <v>41882.6</v>
      </c>
      <c r="I2132" s="12"/>
    </row>
    <row r="2133" spans="1:9" s="2" customFormat="1" ht="21.75" customHeight="1" x14ac:dyDescent="0.55000000000000004">
      <c r="A2133" s="18">
        <v>24.774729399999998</v>
      </c>
      <c r="B2133" s="18">
        <v>34.796404099999997</v>
      </c>
      <c r="C2133" s="18">
        <v>681623.18</v>
      </c>
      <c r="D2133" s="18">
        <v>2741197.63</v>
      </c>
      <c r="E2133" s="18">
        <v>352.15</v>
      </c>
      <c r="F2133" s="18">
        <v>41919.629999999997</v>
      </c>
      <c r="G2133" s="18">
        <v>133844</v>
      </c>
      <c r="H2133" s="18">
        <f t="shared" si="67"/>
        <v>41883.629999999997</v>
      </c>
      <c r="I2133" s="12"/>
    </row>
    <row r="2134" spans="1:9" s="2" customFormat="1" ht="21.75" customHeight="1" x14ac:dyDescent="0.55000000000000004">
      <c r="A2134" s="18">
        <v>24.774744500000001</v>
      </c>
      <c r="B2134" s="18">
        <v>34.7963904</v>
      </c>
      <c r="C2134" s="18">
        <v>681621.77</v>
      </c>
      <c r="D2134" s="18">
        <v>2741199.29</v>
      </c>
      <c r="E2134" s="18">
        <v>351.52</v>
      </c>
      <c r="F2134" s="18">
        <v>41919.74</v>
      </c>
      <c r="G2134" s="18">
        <v>133846</v>
      </c>
      <c r="H2134" s="18">
        <f t="shared" si="67"/>
        <v>41883.74</v>
      </c>
      <c r="I2134" s="12"/>
    </row>
    <row r="2135" spans="1:9" s="2" customFormat="1" ht="21.75" customHeight="1" x14ac:dyDescent="0.55000000000000004">
      <c r="A2135" s="18">
        <v>24.774759599999999</v>
      </c>
      <c r="B2135" s="18">
        <v>34.796379299999998</v>
      </c>
      <c r="C2135" s="18">
        <v>681620.63</v>
      </c>
      <c r="D2135" s="18">
        <v>2741200.95</v>
      </c>
      <c r="E2135" s="18">
        <v>351.06</v>
      </c>
      <c r="F2135" s="18">
        <v>41918.699999999997</v>
      </c>
      <c r="G2135" s="18">
        <v>133848</v>
      </c>
      <c r="H2135" s="18">
        <f t="shared" si="67"/>
        <v>41882.699999999997</v>
      </c>
      <c r="I2135" s="12"/>
    </row>
    <row r="2136" spans="1:9" s="2" customFormat="1" ht="21.75" customHeight="1" x14ac:dyDescent="0.55000000000000004">
      <c r="A2136" s="18">
        <v>24.7747712</v>
      </c>
      <c r="B2136" s="18">
        <v>34.796364400000002</v>
      </c>
      <c r="C2136" s="18">
        <v>681619.1</v>
      </c>
      <c r="D2136" s="18">
        <v>2741202.2</v>
      </c>
      <c r="E2136" s="18">
        <v>350.54</v>
      </c>
      <c r="F2136" s="18">
        <v>41920.14</v>
      </c>
      <c r="G2136" s="18">
        <v>133850</v>
      </c>
      <c r="H2136" s="18">
        <f t="shared" si="67"/>
        <v>41884.14</v>
      </c>
      <c r="I2136" s="12"/>
    </row>
    <row r="2137" spans="1:9" s="2" customFormat="1" ht="21.75" customHeight="1" x14ac:dyDescent="0.55000000000000004">
      <c r="A2137" s="18">
        <v>24.7747843</v>
      </c>
      <c r="B2137" s="18">
        <v>34.796351700000002</v>
      </c>
      <c r="C2137" s="18">
        <v>681617.8</v>
      </c>
      <c r="D2137" s="18">
        <v>2741203.64</v>
      </c>
      <c r="E2137" s="18">
        <v>350.12</v>
      </c>
      <c r="F2137" s="18">
        <v>41919.96</v>
      </c>
      <c r="G2137" s="18">
        <v>133852</v>
      </c>
      <c r="H2137" s="18">
        <f t="shared" si="67"/>
        <v>41883.96</v>
      </c>
      <c r="I2137" s="12"/>
    </row>
    <row r="2138" spans="1:9" s="2" customFormat="1" ht="21.75" customHeight="1" x14ac:dyDescent="0.55000000000000004">
      <c r="A2138" s="18">
        <v>24.774801</v>
      </c>
      <c r="B2138" s="18">
        <v>34.796346</v>
      </c>
      <c r="C2138" s="18">
        <v>681617.19</v>
      </c>
      <c r="D2138" s="18">
        <v>2741205.48</v>
      </c>
      <c r="E2138" s="18">
        <v>349.57</v>
      </c>
      <c r="F2138" s="18">
        <v>41918.449999999997</v>
      </c>
      <c r="G2138" s="18">
        <v>133854</v>
      </c>
      <c r="H2138" s="18">
        <f t="shared" si="67"/>
        <v>41882.449999999997</v>
      </c>
      <c r="I2138" s="12"/>
    </row>
    <row r="2139" spans="1:9" s="2" customFormat="1" ht="21.75" customHeight="1" x14ac:dyDescent="0.55000000000000004">
      <c r="A2139" s="18">
        <v>24.774815199999999</v>
      </c>
      <c r="B2139" s="18">
        <v>34.796333300000001</v>
      </c>
      <c r="C2139" s="18">
        <v>681615.9</v>
      </c>
      <c r="D2139" s="18">
        <v>2741207.03</v>
      </c>
      <c r="E2139" s="18">
        <v>348.8</v>
      </c>
      <c r="F2139" s="18">
        <v>41919.43</v>
      </c>
      <c r="G2139" s="18">
        <v>133856</v>
      </c>
      <c r="H2139" s="18">
        <f t="shared" si="67"/>
        <v>41883.43</v>
      </c>
      <c r="I2139" s="12"/>
    </row>
    <row r="2140" spans="1:9" s="2" customFormat="1" ht="21.75" customHeight="1" x14ac:dyDescent="0.55000000000000004">
      <c r="A2140" s="18">
        <v>24.774827500000001</v>
      </c>
      <c r="B2140" s="18">
        <v>34.7963174</v>
      </c>
      <c r="C2140" s="18">
        <v>681614.26</v>
      </c>
      <c r="D2140" s="18">
        <v>2741208.38</v>
      </c>
      <c r="E2140" s="18">
        <v>348.26</v>
      </c>
      <c r="F2140" s="18">
        <v>41920.03</v>
      </c>
      <c r="G2140" s="18">
        <v>133858</v>
      </c>
      <c r="H2140" s="18">
        <f t="shared" si="67"/>
        <v>41884.03</v>
      </c>
      <c r="I2140" s="12"/>
    </row>
    <row r="2141" spans="1:9" s="2" customFormat="1" ht="21.75" customHeight="1" x14ac:dyDescent="0.55000000000000004">
      <c r="A2141" s="18">
        <v>24.774844600000002</v>
      </c>
      <c r="B2141" s="18">
        <v>34.796306100000002</v>
      </c>
      <c r="C2141" s="18">
        <v>681613.1</v>
      </c>
      <c r="D2141" s="18">
        <v>2741210.26</v>
      </c>
      <c r="E2141" s="18">
        <v>347.76</v>
      </c>
      <c r="F2141" s="18">
        <v>41918.49</v>
      </c>
      <c r="G2141" s="18">
        <v>133900</v>
      </c>
      <c r="H2141" s="18">
        <f t="shared" si="67"/>
        <v>41882.49</v>
      </c>
      <c r="I2141" s="12"/>
    </row>
    <row r="2142" spans="1:9" s="2" customFormat="1" ht="21.75" customHeight="1" x14ac:dyDescent="0.55000000000000004">
      <c r="A2142" s="18">
        <v>24.7748591</v>
      </c>
      <c r="B2142" s="18">
        <v>34.796295899999997</v>
      </c>
      <c r="C2142" s="18">
        <v>681612.05</v>
      </c>
      <c r="D2142" s="18">
        <v>2741211.86</v>
      </c>
      <c r="E2142" s="18">
        <v>347.37</v>
      </c>
      <c r="F2142" s="18">
        <v>41918.85</v>
      </c>
      <c r="G2142" s="18">
        <v>133902</v>
      </c>
      <c r="H2142" s="18">
        <f t="shared" si="67"/>
        <v>41882.85</v>
      </c>
      <c r="I2142" s="12"/>
    </row>
    <row r="2143" spans="1:9" s="2" customFormat="1" ht="21.75" customHeight="1" x14ac:dyDescent="0.55000000000000004">
      <c r="A2143" s="18">
        <v>24.774872200000001</v>
      </c>
      <c r="B2143" s="18">
        <v>34.796289899999998</v>
      </c>
      <c r="C2143" s="18">
        <v>681611.42</v>
      </c>
      <c r="D2143" s="18">
        <v>2741213.29</v>
      </c>
      <c r="E2143" s="18">
        <v>346.8</v>
      </c>
      <c r="F2143" s="18">
        <v>41919.19</v>
      </c>
      <c r="G2143" s="18">
        <v>133904</v>
      </c>
      <c r="H2143" s="18">
        <f t="shared" si="67"/>
        <v>41883.19</v>
      </c>
      <c r="I2143" s="12"/>
    </row>
    <row r="2144" spans="1:9" s="2" customFormat="1" ht="21.75" customHeight="1" x14ac:dyDescent="0.55000000000000004">
      <c r="A2144" s="18">
        <v>24.774888300000001</v>
      </c>
      <c r="B2144" s="18">
        <v>34.796284499999999</v>
      </c>
      <c r="C2144" s="18">
        <v>681610.85</v>
      </c>
      <c r="D2144" s="18">
        <v>2741215.08</v>
      </c>
      <c r="E2144" s="18">
        <v>346.23</v>
      </c>
      <c r="F2144" s="18">
        <v>41919.17</v>
      </c>
      <c r="G2144" s="18">
        <v>133906</v>
      </c>
      <c r="H2144" s="18">
        <f t="shared" si="67"/>
        <v>41883.17</v>
      </c>
      <c r="I2144" s="12"/>
    </row>
    <row r="2145" spans="1:9" s="2" customFormat="1" ht="21.75" customHeight="1" x14ac:dyDescent="0.55000000000000004">
      <c r="A2145" s="18">
        <v>24.774900200000001</v>
      </c>
      <c r="B2145" s="18">
        <v>34.796273100000001</v>
      </c>
      <c r="C2145" s="18">
        <v>681609.68</v>
      </c>
      <c r="D2145" s="18">
        <v>2741216.38</v>
      </c>
      <c r="E2145" s="18">
        <v>345.54</v>
      </c>
      <c r="F2145" s="18">
        <v>41921.339999999997</v>
      </c>
      <c r="G2145" s="18">
        <v>133908</v>
      </c>
      <c r="H2145" s="18">
        <f t="shared" si="67"/>
        <v>41885.339999999997</v>
      </c>
      <c r="I2145" s="12"/>
    </row>
    <row r="2146" spans="1:9" s="2" customFormat="1" ht="21.75" customHeight="1" x14ac:dyDescent="0.55000000000000004">
      <c r="A2146" s="18">
        <v>24.774911899999999</v>
      </c>
      <c r="B2146" s="18">
        <v>34.796270700000001</v>
      </c>
      <c r="C2146" s="18">
        <v>681609.42</v>
      </c>
      <c r="D2146" s="18">
        <v>2741217.66</v>
      </c>
      <c r="E2146" s="18">
        <v>345.12</v>
      </c>
      <c r="F2146" s="18">
        <v>41918.99</v>
      </c>
      <c r="G2146" s="18">
        <v>133910</v>
      </c>
      <c r="H2146" s="18">
        <f t="shared" si="67"/>
        <v>41882.99</v>
      </c>
      <c r="I2146" s="12"/>
    </row>
    <row r="2147" spans="1:9" s="2" customFormat="1" ht="21.75" customHeight="1" x14ac:dyDescent="0.55000000000000004">
      <c r="A2147" s="18">
        <v>24.774927000000002</v>
      </c>
      <c r="B2147" s="18">
        <v>34.796268499999996</v>
      </c>
      <c r="C2147" s="18">
        <v>681609.17</v>
      </c>
      <c r="D2147" s="18">
        <v>2741219.33</v>
      </c>
      <c r="E2147" s="18">
        <v>344.37</v>
      </c>
      <c r="F2147" s="18">
        <v>41920.57</v>
      </c>
      <c r="G2147" s="18">
        <v>133912</v>
      </c>
      <c r="H2147" s="18">
        <f t="shared" si="67"/>
        <v>41884.57</v>
      </c>
      <c r="I2147" s="12"/>
    </row>
    <row r="2148" spans="1:9" s="2" customFormat="1" ht="21.75" customHeight="1" x14ac:dyDescent="0.55000000000000004">
      <c r="A2148" s="18">
        <v>24.774939199999999</v>
      </c>
      <c r="B2148" s="18">
        <v>34.796263099999997</v>
      </c>
      <c r="C2148" s="18">
        <v>681608.61</v>
      </c>
      <c r="D2148" s="18">
        <v>2741220.68</v>
      </c>
      <c r="E2148" s="18">
        <v>343.92</v>
      </c>
      <c r="F2148" s="18">
        <v>41919.97</v>
      </c>
      <c r="G2148" s="18">
        <v>133914</v>
      </c>
      <c r="H2148" s="18">
        <f t="shared" si="67"/>
        <v>41883.97</v>
      </c>
      <c r="I2148" s="12"/>
    </row>
    <row r="2149" spans="1:9" s="2" customFormat="1" ht="21.75" customHeight="1" x14ac:dyDescent="0.55000000000000004">
      <c r="A2149" s="18">
        <v>24.774954099999999</v>
      </c>
      <c r="B2149" s="18">
        <v>34.796264299999997</v>
      </c>
      <c r="C2149" s="18">
        <v>681608.71</v>
      </c>
      <c r="D2149" s="18">
        <v>2741222.33</v>
      </c>
      <c r="E2149" s="18">
        <v>343.41</v>
      </c>
      <c r="F2149" s="18">
        <v>41918.81</v>
      </c>
      <c r="G2149" s="18">
        <v>133916</v>
      </c>
      <c r="H2149" s="18">
        <f t="shared" si="67"/>
        <v>41882.81</v>
      </c>
      <c r="I2149" s="12"/>
    </row>
    <row r="2150" spans="1:9" s="2" customFormat="1" ht="21.75" customHeight="1" x14ac:dyDescent="0.55000000000000004">
      <c r="A2150" s="18">
        <v>24.774971499999999</v>
      </c>
      <c r="B2150" s="18">
        <v>34.7962591</v>
      </c>
      <c r="C2150" s="18">
        <v>681608.16</v>
      </c>
      <c r="D2150" s="18">
        <v>2741224.26</v>
      </c>
      <c r="E2150" s="18">
        <v>342.92</v>
      </c>
      <c r="F2150" s="18">
        <v>41919.19</v>
      </c>
      <c r="G2150" s="18">
        <v>133918</v>
      </c>
      <c r="H2150" s="18">
        <f t="shared" si="67"/>
        <v>41883.19</v>
      </c>
      <c r="I2150" s="12"/>
    </row>
    <row r="2151" spans="1:9" s="2" customFormat="1" ht="21.75" customHeight="1" x14ac:dyDescent="0.55000000000000004">
      <c r="A2151" s="18">
        <v>24.774984400000001</v>
      </c>
      <c r="B2151" s="18">
        <v>34.796250800000003</v>
      </c>
      <c r="C2151" s="18">
        <v>681607.31</v>
      </c>
      <c r="D2151" s="18">
        <v>2741225.67</v>
      </c>
      <c r="E2151" s="18">
        <v>342.41</v>
      </c>
      <c r="F2151" s="18">
        <v>41920.370000000003</v>
      </c>
      <c r="G2151" s="18">
        <v>133920</v>
      </c>
      <c r="H2151" s="18">
        <f t="shared" si="67"/>
        <v>41884.370000000003</v>
      </c>
      <c r="I2151" s="12"/>
    </row>
    <row r="2152" spans="1:9" s="2" customFormat="1" ht="21.75" customHeight="1" x14ac:dyDescent="0.55000000000000004">
      <c r="A2152" s="18">
        <v>24.775000200000001</v>
      </c>
      <c r="B2152" s="18">
        <v>34.796244999999999</v>
      </c>
      <c r="C2152" s="18">
        <v>681606.7</v>
      </c>
      <c r="D2152" s="18">
        <v>2741227.41</v>
      </c>
      <c r="E2152" s="18">
        <v>341.91</v>
      </c>
      <c r="F2152" s="18">
        <v>41919.519999999997</v>
      </c>
      <c r="G2152" s="18">
        <v>133922</v>
      </c>
      <c r="H2152" s="18">
        <f t="shared" si="67"/>
        <v>41883.519999999997</v>
      </c>
      <c r="I2152" s="12"/>
    </row>
    <row r="2153" spans="1:9" s="2" customFormat="1" ht="21.75" customHeight="1" x14ac:dyDescent="0.55000000000000004">
      <c r="A2153" s="18">
        <v>24.775017099999999</v>
      </c>
      <c r="B2153" s="18">
        <v>34.796239</v>
      </c>
      <c r="C2153" s="18">
        <v>681606.06</v>
      </c>
      <c r="D2153" s="18">
        <v>2741229.28</v>
      </c>
      <c r="E2153" s="18">
        <v>341.43</v>
      </c>
      <c r="F2153" s="18">
        <v>41920.33</v>
      </c>
      <c r="G2153" s="18">
        <v>133924</v>
      </c>
      <c r="H2153" s="18">
        <f t="shared" si="67"/>
        <v>41884.33</v>
      </c>
      <c r="I2153" s="12"/>
    </row>
    <row r="2154" spans="1:9" s="2" customFormat="1" ht="21.75" customHeight="1" x14ac:dyDescent="0.55000000000000004">
      <c r="A2154" s="18">
        <v>24.775036499999999</v>
      </c>
      <c r="B2154" s="18">
        <v>34.796236</v>
      </c>
      <c r="C2154" s="18">
        <v>681605.73</v>
      </c>
      <c r="D2154" s="18">
        <v>2741231.42</v>
      </c>
      <c r="E2154" s="18">
        <v>340.81</v>
      </c>
      <c r="F2154" s="18">
        <v>41919.24</v>
      </c>
      <c r="G2154" s="18">
        <v>133926</v>
      </c>
      <c r="H2154" s="18">
        <f t="shared" si="67"/>
        <v>41883.24</v>
      </c>
      <c r="I2154" s="12"/>
    </row>
    <row r="2155" spans="1:9" s="2" customFormat="1" ht="21.75" customHeight="1" x14ac:dyDescent="0.55000000000000004">
      <c r="A2155" s="18">
        <v>24.775055299999998</v>
      </c>
      <c r="B2155" s="18">
        <v>34.7962311</v>
      </c>
      <c r="C2155" s="18">
        <v>681605.21</v>
      </c>
      <c r="D2155" s="18">
        <v>2741233.5</v>
      </c>
      <c r="E2155" s="18">
        <v>340.65</v>
      </c>
      <c r="F2155" s="18">
        <v>41918.410000000003</v>
      </c>
      <c r="G2155" s="18">
        <v>133928</v>
      </c>
      <c r="H2155" s="18">
        <f t="shared" si="67"/>
        <v>41882.410000000003</v>
      </c>
      <c r="I2155" s="12"/>
    </row>
    <row r="2156" spans="1:9" s="2" customFormat="1" ht="21.75" customHeight="1" x14ac:dyDescent="0.55000000000000004">
      <c r="A2156" s="18">
        <v>24.775074199999999</v>
      </c>
      <c r="B2156" s="18">
        <v>34.796234200000001</v>
      </c>
      <c r="C2156" s="18">
        <v>681605.49</v>
      </c>
      <c r="D2156" s="18">
        <v>2741235.59</v>
      </c>
      <c r="E2156" s="18">
        <v>340.21</v>
      </c>
      <c r="F2156" s="18">
        <v>41919.97</v>
      </c>
      <c r="G2156" s="18">
        <v>133930</v>
      </c>
      <c r="H2156" s="18">
        <f t="shared" si="67"/>
        <v>41883.97</v>
      </c>
      <c r="I2156" s="12"/>
    </row>
    <row r="2157" spans="1:9" s="2" customFormat="1" ht="21.75" customHeight="1" x14ac:dyDescent="0.55000000000000004">
      <c r="A2157" s="18">
        <v>24.775093600000002</v>
      </c>
      <c r="B2157" s="18">
        <v>34.796229500000003</v>
      </c>
      <c r="C2157" s="18">
        <v>681604.99</v>
      </c>
      <c r="D2157" s="18">
        <v>2741237.74</v>
      </c>
      <c r="E2157" s="18">
        <v>339.98</v>
      </c>
      <c r="F2157" s="18">
        <v>41920.800000000003</v>
      </c>
      <c r="G2157" s="18">
        <v>133932</v>
      </c>
      <c r="H2157" s="18">
        <f t="shared" si="67"/>
        <v>41884.800000000003</v>
      </c>
      <c r="I2157" s="12"/>
    </row>
    <row r="2158" spans="1:9" s="2" customFormat="1" ht="21.75" customHeight="1" x14ac:dyDescent="0.55000000000000004">
      <c r="A2158" s="18">
        <v>24.7751135</v>
      </c>
      <c r="B2158" s="18">
        <v>34.796216700000002</v>
      </c>
      <c r="C2158" s="18">
        <v>681603.67</v>
      </c>
      <c r="D2158" s="18">
        <v>2741239.92</v>
      </c>
      <c r="E2158" s="18">
        <v>339.58</v>
      </c>
      <c r="F2158" s="18">
        <v>41918.39</v>
      </c>
      <c r="G2158" s="18">
        <v>133934</v>
      </c>
      <c r="H2158" s="18">
        <f t="shared" si="67"/>
        <v>41882.39</v>
      </c>
      <c r="I2158" s="12"/>
    </row>
    <row r="2159" spans="1:9" s="2" customFormat="1" ht="21.75" customHeight="1" x14ac:dyDescent="0.55000000000000004">
      <c r="A2159" s="18">
        <v>24.775125200000002</v>
      </c>
      <c r="B2159" s="18">
        <v>34.796199700000003</v>
      </c>
      <c r="C2159" s="18">
        <v>681601.93</v>
      </c>
      <c r="D2159" s="18">
        <v>2741241.19</v>
      </c>
      <c r="E2159" s="18">
        <v>339.27</v>
      </c>
      <c r="F2159" s="18">
        <v>41919.480000000003</v>
      </c>
      <c r="G2159" s="18">
        <v>133936</v>
      </c>
      <c r="H2159" s="18">
        <f t="shared" si="67"/>
        <v>41883.480000000003</v>
      </c>
      <c r="I2159" s="12"/>
    </row>
    <row r="2160" spans="1:9" s="2" customFormat="1" ht="21.75" customHeight="1" x14ac:dyDescent="0.55000000000000004">
      <c r="A2160" s="18">
        <v>24.775137999999998</v>
      </c>
      <c r="B2160" s="18">
        <v>34.7961825</v>
      </c>
      <c r="C2160" s="18">
        <v>681600.18</v>
      </c>
      <c r="D2160" s="18">
        <v>2741242.59</v>
      </c>
      <c r="E2160" s="18">
        <v>339.2</v>
      </c>
      <c r="F2160" s="18">
        <v>41919.19</v>
      </c>
      <c r="G2160" s="18">
        <v>133938</v>
      </c>
      <c r="H2160" s="18">
        <f t="shared" si="67"/>
        <v>41883.19</v>
      </c>
      <c r="I2160" s="12"/>
    </row>
    <row r="2161" spans="1:9" s="2" customFormat="1" ht="21.75" customHeight="1" x14ac:dyDescent="0.55000000000000004">
      <c r="A2161" s="18">
        <v>24.775154000000001</v>
      </c>
      <c r="B2161" s="18">
        <v>34.796174399999998</v>
      </c>
      <c r="C2161" s="18">
        <v>681599.33</v>
      </c>
      <c r="D2161" s="18">
        <v>2741244.36</v>
      </c>
      <c r="E2161" s="18">
        <v>338.92</v>
      </c>
      <c r="F2161" s="18">
        <v>41918.959999999999</v>
      </c>
      <c r="G2161" s="18">
        <v>133940</v>
      </c>
      <c r="H2161" s="18">
        <f t="shared" si="67"/>
        <v>41882.959999999999</v>
      </c>
      <c r="I2161" s="12"/>
    </row>
    <row r="2162" spans="1:9" s="2" customFormat="1" ht="21.75" customHeight="1" x14ac:dyDescent="0.55000000000000004">
      <c r="A2162" s="18">
        <v>24.775171199999999</v>
      </c>
      <c r="B2162" s="18">
        <v>34.796171800000003</v>
      </c>
      <c r="C2162" s="18">
        <v>681599.04</v>
      </c>
      <c r="D2162" s="18">
        <v>2741246.26</v>
      </c>
      <c r="E2162" s="18">
        <v>338.44</v>
      </c>
      <c r="F2162" s="18">
        <v>41919.599999999999</v>
      </c>
      <c r="G2162" s="18">
        <v>133942</v>
      </c>
      <c r="H2162" s="18">
        <f t="shared" si="67"/>
        <v>41883.599999999999</v>
      </c>
      <c r="I2162" s="12"/>
    </row>
    <row r="2163" spans="1:9" s="2" customFormat="1" ht="21.75" customHeight="1" x14ac:dyDescent="0.55000000000000004">
      <c r="A2163" s="18">
        <v>24.775191499999998</v>
      </c>
      <c r="B2163" s="18">
        <v>34.796176099999997</v>
      </c>
      <c r="C2163" s="18">
        <v>681599.44</v>
      </c>
      <c r="D2163" s="18">
        <v>2741248.51</v>
      </c>
      <c r="E2163" s="18">
        <v>338.24</v>
      </c>
      <c r="F2163" s="18">
        <v>41917.67</v>
      </c>
      <c r="G2163" s="18">
        <v>133944</v>
      </c>
      <c r="H2163" s="18">
        <f t="shared" si="67"/>
        <v>41881.67</v>
      </c>
      <c r="I2163" s="12"/>
    </row>
    <row r="2164" spans="1:9" s="2" customFormat="1" ht="21.75" customHeight="1" x14ac:dyDescent="0.55000000000000004">
      <c r="A2164" s="18">
        <v>24.7752093</v>
      </c>
      <c r="B2164" s="18">
        <v>34.796180399999997</v>
      </c>
      <c r="C2164" s="18">
        <v>681599.86</v>
      </c>
      <c r="D2164" s="18">
        <v>2741250.49</v>
      </c>
      <c r="E2164" s="18">
        <v>338.05</v>
      </c>
      <c r="F2164" s="18">
        <v>41917.08</v>
      </c>
      <c r="G2164" s="18">
        <v>133946</v>
      </c>
      <c r="H2164" s="18">
        <f t="shared" si="67"/>
        <v>41881.08</v>
      </c>
      <c r="I2164" s="12"/>
    </row>
    <row r="2165" spans="1:9" s="2" customFormat="1" ht="21.75" customHeight="1" x14ac:dyDescent="0.55000000000000004">
      <c r="A2165" s="18">
        <v>24.775227600000001</v>
      </c>
      <c r="B2165" s="18">
        <v>34.796177700000001</v>
      </c>
      <c r="C2165" s="18">
        <v>681599.55</v>
      </c>
      <c r="D2165" s="18">
        <v>2741252.51</v>
      </c>
      <c r="E2165" s="18">
        <v>337.8</v>
      </c>
      <c r="F2165" s="18">
        <v>41918.25</v>
      </c>
      <c r="G2165" s="18">
        <v>133948</v>
      </c>
      <c r="H2165" s="18">
        <f t="shared" si="67"/>
        <v>41882.25</v>
      </c>
      <c r="I2165" s="12"/>
    </row>
    <row r="2166" spans="1:9" s="2" customFormat="1" ht="21.75" customHeight="1" x14ac:dyDescent="0.55000000000000004">
      <c r="A2166" s="18">
        <v>24.775246299999999</v>
      </c>
      <c r="B2166" s="18">
        <v>34.796165799999997</v>
      </c>
      <c r="C2166" s="18">
        <v>681598.32</v>
      </c>
      <c r="D2166" s="18">
        <v>2741254.56</v>
      </c>
      <c r="E2166" s="18">
        <v>337.59</v>
      </c>
      <c r="F2166" s="18">
        <v>41918.53</v>
      </c>
      <c r="G2166" s="18">
        <v>133950</v>
      </c>
      <c r="H2166" s="18">
        <f t="shared" si="67"/>
        <v>41882.53</v>
      </c>
      <c r="I2166" s="12"/>
    </row>
    <row r="2167" spans="1:9" s="2" customFormat="1" ht="21.75" customHeight="1" x14ac:dyDescent="0.55000000000000004">
      <c r="A2167" s="18">
        <v>24.7752622</v>
      </c>
      <c r="B2167" s="18">
        <v>34.796159799999998</v>
      </c>
      <c r="C2167" s="18">
        <v>681597.69</v>
      </c>
      <c r="D2167" s="18">
        <v>2741256.32</v>
      </c>
      <c r="E2167" s="18">
        <v>337.31</v>
      </c>
      <c r="F2167" s="18">
        <v>41917.9</v>
      </c>
      <c r="G2167" s="18">
        <v>133952</v>
      </c>
      <c r="H2167" s="18">
        <f t="shared" si="67"/>
        <v>41881.9</v>
      </c>
      <c r="I2167" s="12"/>
    </row>
    <row r="2168" spans="1:9" s="2" customFormat="1" ht="21.75" customHeight="1" x14ac:dyDescent="0.55000000000000004">
      <c r="A2168" s="18">
        <v>24.775282300000001</v>
      </c>
      <c r="B2168" s="18">
        <v>34.7961581</v>
      </c>
      <c r="C2168" s="18">
        <v>681597.5</v>
      </c>
      <c r="D2168" s="18">
        <v>2741258.54</v>
      </c>
      <c r="E2168" s="18">
        <v>336.98</v>
      </c>
      <c r="F2168" s="18">
        <v>41918.089999999997</v>
      </c>
      <c r="G2168" s="18">
        <v>133954</v>
      </c>
      <c r="H2168" s="18">
        <f t="shared" si="67"/>
        <v>41882.089999999997</v>
      </c>
      <c r="I2168" s="12"/>
    </row>
    <row r="2169" spans="1:9" s="2" customFormat="1" ht="21.75" customHeight="1" x14ac:dyDescent="0.55000000000000004">
      <c r="A2169" s="18">
        <v>24.775298500000002</v>
      </c>
      <c r="B2169" s="18">
        <v>34.796143299999997</v>
      </c>
      <c r="C2169" s="18">
        <v>681595.97</v>
      </c>
      <c r="D2169" s="18">
        <v>2741260.32</v>
      </c>
      <c r="E2169" s="18">
        <v>336.84</v>
      </c>
      <c r="F2169" s="18">
        <v>41918.97</v>
      </c>
      <c r="G2169" s="18">
        <v>133956</v>
      </c>
      <c r="H2169" s="18">
        <f t="shared" si="67"/>
        <v>41882.97</v>
      </c>
      <c r="I2169" s="12"/>
    </row>
    <row r="2170" spans="1:9" s="2" customFormat="1" ht="21.75" customHeight="1" x14ac:dyDescent="0.55000000000000004">
      <c r="A2170" s="18">
        <v>24.775314000000002</v>
      </c>
      <c r="B2170" s="18">
        <v>34.796138300000003</v>
      </c>
      <c r="C2170" s="18">
        <v>681595.44</v>
      </c>
      <c r="D2170" s="18">
        <v>2741262.02</v>
      </c>
      <c r="E2170" s="18">
        <v>336.83</v>
      </c>
      <c r="F2170" s="18">
        <v>41918.769999999997</v>
      </c>
      <c r="G2170" s="18">
        <v>133958</v>
      </c>
      <c r="H2170" s="18">
        <f t="shared" si="67"/>
        <v>41882.769999999997</v>
      </c>
      <c r="I2170" s="12"/>
    </row>
    <row r="2171" spans="1:9" s="2" customFormat="1" ht="21.75" customHeight="1" x14ac:dyDescent="0.55000000000000004">
      <c r="A2171" s="18">
        <v>24.775332800000001</v>
      </c>
      <c r="B2171" s="18">
        <v>34.796130300000002</v>
      </c>
      <c r="C2171" s="18">
        <v>681594.61</v>
      </c>
      <c r="D2171" s="18">
        <v>2741264.1</v>
      </c>
      <c r="E2171" s="18">
        <v>336.74</v>
      </c>
      <c r="F2171" s="18">
        <v>41916.71</v>
      </c>
      <c r="G2171" s="18">
        <v>134000</v>
      </c>
      <c r="H2171" s="18">
        <f t="shared" si="67"/>
        <v>41880.71</v>
      </c>
      <c r="I2171" s="12"/>
    </row>
    <row r="2172" spans="1:9" s="2" customFormat="1" ht="21.75" customHeight="1" x14ac:dyDescent="0.55000000000000004">
      <c r="A2172" s="18">
        <v>24.775350100000001</v>
      </c>
      <c r="B2172" s="18">
        <v>34.796120700000003</v>
      </c>
      <c r="C2172" s="18">
        <v>681593.61</v>
      </c>
      <c r="D2172" s="18">
        <v>2741266</v>
      </c>
      <c r="E2172" s="18">
        <v>336.66</v>
      </c>
      <c r="F2172" s="18">
        <v>41919.550000000003</v>
      </c>
      <c r="G2172" s="18">
        <v>134002</v>
      </c>
      <c r="H2172" s="18">
        <f t="shared" si="67"/>
        <v>41883.550000000003</v>
      </c>
      <c r="I2172" s="12"/>
    </row>
    <row r="2173" spans="1:9" s="2" customFormat="1" ht="21.75" customHeight="1" x14ac:dyDescent="0.55000000000000004">
      <c r="A2173" s="18">
        <v>24.7753719</v>
      </c>
      <c r="B2173" s="18">
        <v>34.796123999999999</v>
      </c>
      <c r="C2173" s="18">
        <v>681593.91</v>
      </c>
      <c r="D2173" s="18">
        <v>2741268.42</v>
      </c>
      <c r="E2173" s="18">
        <v>336.46</v>
      </c>
      <c r="F2173" s="18">
        <v>41918.269999999997</v>
      </c>
      <c r="G2173" s="18">
        <v>134004</v>
      </c>
      <c r="H2173" s="18">
        <f t="shared" si="67"/>
        <v>41882.269999999997</v>
      </c>
      <c r="I2173" s="12"/>
    </row>
    <row r="2174" spans="1:9" s="2" customFormat="1" ht="21.75" customHeight="1" x14ac:dyDescent="0.55000000000000004">
      <c r="A2174" s="18">
        <v>24.7753899</v>
      </c>
      <c r="B2174" s="18">
        <v>34.796123700000003</v>
      </c>
      <c r="C2174" s="18">
        <v>681593.86</v>
      </c>
      <c r="D2174" s="18">
        <v>2741270.42</v>
      </c>
      <c r="E2174" s="18">
        <v>336.3</v>
      </c>
      <c r="F2174" s="18">
        <v>41917.69</v>
      </c>
      <c r="G2174" s="18">
        <v>134006</v>
      </c>
      <c r="H2174" s="18">
        <f t="shared" si="67"/>
        <v>41881.69</v>
      </c>
      <c r="I2174" s="12"/>
    </row>
    <row r="2175" spans="1:9" s="2" customFormat="1" ht="21.75" customHeight="1" x14ac:dyDescent="0.55000000000000004">
      <c r="A2175" s="18">
        <v>24.775409199999999</v>
      </c>
      <c r="B2175" s="18">
        <v>34.796120600000002</v>
      </c>
      <c r="C2175" s="18">
        <v>681593.52</v>
      </c>
      <c r="D2175" s="18">
        <v>2741272.55</v>
      </c>
      <c r="E2175" s="18">
        <v>336.24</v>
      </c>
      <c r="F2175" s="18">
        <v>41918.449999999997</v>
      </c>
      <c r="G2175" s="18">
        <v>134008</v>
      </c>
      <c r="H2175" s="18">
        <f t="shared" si="67"/>
        <v>41882.449999999997</v>
      </c>
      <c r="I2175" s="12"/>
    </row>
    <row r="2176" spans="1:9" s="2" customFormat="1" ht="21.75" customHeight="1" x14ac:dyDescent="0.55000000000000004">
      <c r="A2176" s="18">
        <v>24.7754294</v>
      </c>
      <c r="B2176" s="18">
        <v>34.796119300000001</v>
      </c>
      <c r="C2176" s="18">
        <v>681593.35</v>
      </c>
      <c r="D2176" s="18">
        <v>2741274.79</v>
      </c>
      <c r="E2176" s="18">
        <v>336.09</v>
      </c>
      <c r="F2176" s="18">
        <v>41917.32</v>
      </c>
      <c r="G2176" s="18">
        <v>134010</v>
      </c>
      <c r="H2176" s="18">
        <f t="shared" si="67"/>
        <v>41881.32</v>
      </c>
      <c r="I2176" s="12"/>
    </row>
    <row r="2177" spans="1:9" s="2" customFormat="1" ht="21.75" customHeight="1" x14ac:dyDescent="0.55000000000000004">
      <c r="A2177" s="18">
        <v>24.775448900000001</v>
      </c>
      <c r="B2177" s="18">
        <v>34.7961101</v>
      </c>
      <c r="C2177" s="18">
        <v>681592.4</v>
      </c>
      <c r="D2177" s="18">
        <v>2741276.93</v>
      </c>
      <c r="E2177" s="18">
        <v>336.09</v>
      </c>
      <c r="F2177" s="18">
        <v>41918.58</v>
      </c>
      <c r="G2177" s="18">
        <v>134012</v>
      </c>
      <c r="H2177" s="18">
        <f t="shared" si="67"/>
        <v>41882.58</v>
      </c>
      <c r="I2177" s="12"/>
    </row>
    <row r="2178" spans="1:9" s="2" customFormat="1" ht="21.75" customHeight="1" x14ac:dyDescent="0.55000000000000004">
      <c r="A2178" s="18">
        <v>24.775465100000002</v>
      </c>
      <c r="B2178" s="18">
        <v>34.7960998</v>
      </c>
      <c r="C2178" s="18">
        <v>681591.34</v>
      </c>
      <c r="D2178" s="18">
        <v>2741278.7200000002</v>
      </c>
      <c r="E2178" s="18">
        <v>336.04</v>
      </c>
      <c r="F2178" s="18">
        <v>41920.94</v>
      </c>
      <c r="G2178" s="18">
        <v>134014</v>
      </c>
      <c r="H2178" s="18">
        <f t="shared" si="67"/>
        <v>41884.94</v>
      </c>
      <c r="I2178" s="12"/>
    </row>
    <row r="2179" spans="1:9" s="2" customFormat="1" ht="21.75" customHeight="1" x14ac:dyDescent="0.55000000000000004">
      <c r="A2179" s="18">
        <v>24.775487300000002</v>
      </c>
      <c r="B2179" s="18">
        <v>34.796098399999998</v>
      </c>
      <c r="C2179" s="18">
        <v>681591.16</v>
      </c>
      <c r="D2179" s="18">
        <v>2741281.17</v>
      </c>
      <c r="E2179" s="18">
        <v>336.04</v>
      </c>
      <c r="F2179" s="18">
        <v>41920.83</v>
      </c>
      <c r="G2179" s="18">
        <v>134016</v>
      </c>
      <c r="H2179" s="18">
        <f t="shared" si="67"/>
        <v>41884.83</v>
      </c>
      <c r="I2179" s="12"/>
    </row>
    <row r="2180" spans="1:9" s="2" customFormat="1" ht="21.75" customHeight="1" x14ac:dyDescent="0.55000000000000004">
      <c r="A2180" s="18">
        <v>24.775508500000001</v>
      </c>
      <c r="B2180" s="18">
        <v>34.796100000000003</v>
      </c>
      <c r="C2180" s="18">
        <v>681591.29</v>
      </c>
      <c r="D2180" s="18">
        <v>2741283.52</v>
      </c>
      <c r="E2180" s="18">
        <v>336.01</v>
      </c>
      <c r="F2180" s="18">
        <v>41920.15</v>
      </c>
      <c r="G2180" s="18">
        <v>134018</v>
      </c>
      <c r="H2180" s="18">
        <f t="shared" si="67"/>
        <v>41884.15</v>
      </c>
      <c r="I2180" s="12"/>
    </row>
    <row r="2181" spans="1:9" s="2" customFormat="1" ht="21.75" customHeight="1" x14ac:dyDescent="0.55000000000000004">
      <c r="A2181" s="18">
        <v>24.7755294</v>
      </c>
      <c r="B2181" s="18">
        <v>34.796107999999997</v>
      </c>
      <c r="C2181" s="18">
        <v>681592.06</v>
      </c>
      <c r="D2181" s="18">
        <v>2741285.84</v>
      </c>
      <c r="E2181" s="18">
        <v>335.81</v>
      </c>
      <c r="F2181" s="18">
        <v>41919.06</v>
      </c>
      <c r="G2181" s="18">
        <v>134020</v>
      </c>
      <c r="H2181" s="18">
        <f t="shared" si="67"/>
        <v>41883.06</v>
      </c>
      <c r="I2181" s="12"/>
    </row>
    <row r="2182" spans="1:9" s="2" customFormat="1" ht="21.75" customHeight="1" x14ac:dyDescent="0.55000000000000004">
      <c r="A2182" s="18">
        <v>24.775549399999999</v>
      </c>
      <c r="B2182" s="18">
        <v>34.796110400000003</v>
      </c>
      <c r="C2182" s="18">
        <v>681592.29</v>
      </c>
      <c r="D2182" s="18">
        <v>2741288.06</v>
      </c>
      <c r="E2182" s="18">
        <v>335.57</v>
      </c>
      <c r="F2182" s="18">
        <v>41919.42</v>
      </c>
      <c r="G2182" s="18">
        <v>134022</v>
      </c>
      <c r="H2182" s="18">
        <f t="shared" si="67"/>
        <v>41883.42</v>
      </c>
      <c r="I2182" s="12"/>
    </row>
    <row r="2183" spans="1:9" s="2" customFormat="1" ht="21.75" customHeight="1" x14ac:dyDescent="0.55000000000000004">
      <c r="A2183" s="18">
        <v>24.775569699999998</v>
      </c>
      <c r="B2183" s="18">
        <v>34.796114099999997</v>
      </c>
      <c r="C2183" s="18">
        <v>681592.62</v>
      </c>
      <c r="D2183" s="18">
        <v>2741290.32</v>
      </c>
      <c r="E2183" s="18">
        <v>335.48</v>
      </c>
      <c r="F2183" s="18">
        <v>41918.85</v>
      </c>
      <c r="G2183" s="18">
        <v>134024</v>
      </c>
      <c r="H2183" s="18">
        <f t="shared" si="67"/>
        <v>41882.85</v>
      </c>
      <c r="I2183" s="12"/>
    </row>
    <row r="2184" spans="1:9" s="2" customFormat="1" ht="21.75" customHeight="1" x14ac:dyDescent="0.55000000000000004">
      <c r="A2184" s="18">
        <v>24.7755926</v>
      </c>
      <c r="B2184" s="18">
        <v>34.796118700000001</v>
      </c>
      <c r="C2184" s="18">
        <v>681593.06</v>
      </c>
      <c r="D2184" s="18">
        <v>2741292.86</v>
      </c>
      <c r="E2184" s="18">
        <v>335.34</v>
      </c>
      <c r="F2184" s="18">
        <v>41918.71</v>
      </c>
      <c r="G2184" s="18">
        <v>134026</v>
      </c>
      <c r="H2184" s="18">
        <f t="shared" si="67"/>
        <v>41882.71</v>
      </c>
      <c r="I2184" s="12"/>
    </row>
    <row r="2185" spans="1:9" s="2" customFormat="1" ht="21.75" customHeight="1" x14ac:dyDescent="0.55000000000000004">
      <c r="A2185" s="18">
        <v>24.775612500000001</v>
      </c>
      <c r="B2185" s="18">
        <v>34.796124399999997</v>
      </c>
      <c r="C2185" s="18">
        <v>681593.6</v>
      </c>
      <c r="D2185" s="18">
        <v>2741295.07</v>
      </c>
      <c r="E2185" s="18">
        <v>335.33</v>
      </c>
      <c r="F2185" s="18">
        <v>41919.5</v>
      </c>
      <c r="G2185" s="18">
        <v>134028</v>
      </c>
      <c r="H2185" s="18">
        <f t="shared" si="67"/>
        <v>41883.5</v>
      </c>
      <c r="I2185" s="12"/>
    </row>
    <row r="2186" spans="1:9" s="2" customFormat="1" ht="21.75" customHeight="1" x14ac:dyDescent="0.55000000000000004">
      <c r="A2186" s="18">
        <v>24.7756334</v>
      </c>
      <c r="B2186" s="18">
        <v>34.796128699999997</v>
      </c>
      <c r="C2186" s="18">
        <v>681594.01</v>
      </c>
      <c r="D2186" s="18">
        <v>2741297.39</v>
      </c>
      <c r="E2186" s="18">
        <v>335.36</v>
      </c>
      <c r="F2186" s="18">
        <v>41919.620000000003</v>
      </c>
      <c r="G2186" s="18">
        <v>134030</v>
      </c>
      <c r="H2186" s="18">
        <f t="shared" si="67"/>
        <v>41883.620000000003</v>
      </c>
      <c r="I2186" s="12"/>
    </row>
    <row r="2187" spans="1:9" s="2" customFormat="1" ht="21.75" customHeight="1" x14ac:dyDescent="0.55000000000000004">
      <c r="A2187" s="18">
        <v>24.7756498</v>
      </c>
      <c r="B2187" s="18">
        <v>34.796133099999999</v>
      </c>
      <c r="C2187" s="18">
        <v>681594.43</v>
      </c>
      <c r="D2187" s="18">
        <v>2741299.22</v>
      </c>
      <c r="E2187" s="18">
        <v>335.15</v>
      </c>
      <c r="F2187" s="18">
        <v>41921.97</v>
      </c>
      <c r="G2187" s="18">
        <v>134032</v>
      </c>
      <c r="H2187" s="18">
        <f t="shared" si="67"/>
        <v>41885.97</v>
      </c>
      <c r="I2187" s="12"/>
    </row>
    <row r="2188" spans="1:9" s="2" customFormat="1" ht="21.75" customHeight="1" x14ac:dyDescent="0.55000000000000004">
      <c r="A2188" s="18">
        <v>24.7756671</v>
      </c>
      <c r="B2188" s="18">
        <v>34.7961375</v>
      </c>
      <c r="C2188" s="18">
        <v>681594.85</v>
      </c>
      <c r="D2188" s="18">
        <v>2741301.14</v>
      </c>
      <c r="E2188" s="18">
        <v>334.92</v>
      </c>
      <c r="F2188" s="18">
        <v>41920.94</v>
      </c>
      <c r="G2188" s="18">
        <v>134034</v>
      </c>
      <c r="H2188" s="18">
        <f t="shared" si="67"/>
        <v>41884.94</v>
      </c>
      <c r="I2188" s="12"/>
    </row>
    <row r="2189" spans="1:9" s="2" customFormat="1" ht="21.75" customHeight="1" x14ac:dyDescent="0.55000000000000004">
      <c r="A2189" s="18">
        <v>24.775688599999999</v>
      </c>
      <c r="B2189" s="18">
        <v>34.796140899999997</v>
      </c>
      <c r="C2189" s="18">
        <v>681595.17</v>
      </c>
      <c r="D2189" s="18">
        <v>2741303.52</v>
      </c>
      <c r="E2189" s="18">
        <v>334.88</v>
      </c>
      <c r="F2189" s="18">
        <v>41921.31</v>
      </c>
      <c r="G2189" s="18">
        <v>134036</v>
      </c>
      <c r="H2189" s="18">
        <f t="shared" ref="H2189:H2252" si="68">SUM(F2189-36)</f>
        <v>41885.31</v>
      </c>
      <c r="I2189" s="12"/>
    </row>
    <row r="2190" spans="1:9" s="2" customFormat="1" ht="21.75" customHeight="1" x14ac:dyDescent="0.55000000000000004">
      <c r="A2190" s="18">
        <v>24.775706100000001</v>
      </c>
      <c r="B2190" s="18">
        <v>34.796146700000001</v>
      </c>
      <c r="C2190" s="18">
        <v>681595.72</v>
      </c>
      <c r="D2190" s="18">
        <v>2741305.47</v>
      </c>
      <c r="E2190" s="18">
        <v>335.1</v>
      </c>
      <c r="F2190" s="18">
        <v>41920.69</v>
      </c>
      <c r="G2190" s="18">
        <v>134038</v>
      </c>
      <c r="H2190" s="18">
        <f t="shared" si="68"/>
        <v>41884.69</v>
      </c>
      <c r="I2190" s="12"/>
    </row>
    <row r="2191" spans="1:9" s="2" customFormat="1" ht="21.75" customHeight="1" x14ac:dyDescent="0.55000000000000004">
      <c r="A2191" s="18">
        <v>24.7757252</v>
      </c>
      <c r="B2191" s="18">
        <v>34.796151700000003</v>
      </c>
      <c r="C2191" s="18">
        <v>681596.2</v>
      </c>
      <c r="D2191" s="18">
        <v>2741307.59</v>
      </c>
      <c r="E2191" s="18">
        <v>335</v>
      </c>
      <c r="F2191" s="18">
        <v>41920.33</v>
      </c>
      <c r="G2191" s="18">
        <v>134040</v>
      </c>
      <c r="H2191" s="18">
        <f t="shared" si="68"/>
        <v>41884.33</v>
      </c>
      <c r="I2191" s="12"/>
    </row>
    <row r="2192" spans="1:9" s="2" customFormat="1" ht="21.75" customHeight="1" x14ac:dyDescent="0.55000000000000004">
      <c r="A2192" s="18">
        <v>24.7757471</v>
      </c>
      <c r="B2192" s="18">
        <v>34.796153799999999</v>
      </c>
      <c r="C2192" s="18">
        <v>681596.39</v>
      </c>
      <c r="D2192" s="18">
        <v>2741310.02</v>
      </c>
      <c r="E2192" s="18">
        <v>335</v>
      </c>
      <c r="F2192" s="18">
        <v>41921.21</v>
      </c>
      <c r="G2192" s="18">
        <v>134042</v>
      </c>
      <c r="H2192" s="18">
        <f t="shared" si="68"/>
        <v>41885.21</v>
      </c>
      <c r="I2192" s="12"/>
    </row>
    <row r="2193" spans="1:9" s="2" customFormat="1" ht="21.75" customHeight="1" x14ac:dyDescent="0.55000000000000004">
      <c r="A2193" s="18">
        <v>24.775768899999999</v>
      </c>
      <c r="B2193" s="18">
        <v>34.796157200000003</v>
      </c>
      <c r="C2193" s="18">
        <v>681596.69</v>
      </c>
      <c r="D2193" s="18">
        <v>2741312.44</v>
      </c>
      <c r="E2193" s="18">
        <v>334.96</v>
      </c>
      <c r="F2193" s="18">
        <v>41920.559999999998</v>
      </c>
      <c r="G2193" s="18">
        <v>134044</v>
      </c>
      <c r="H2193" s="18">
        <f t="shared" si="68"/>
        <v>41884.559999999998</v>
      </c>
      <c r="I2193" s="12"/>
    </row>
    <row r="2194" spans="1:9" s="2" customFormat="1" ht="21.75" customHeight="1" x14ac:dyDescent="0.55000000000000004">
      <c r="A2194" s="18">
        <v>24.7757884</v>
      </c>
      <c r="B2194" s="18">
        <v>34.796156600000003</v>
      </c>
      <c r="C2194" s="18">
        <v>681596.61</v>
      </c>
      <c r="D2194" s="18">
        <v>2741314.59</v>
      </c>
      <c r="E2194" s="18">
        <v>334.77</v>
      </c>
      <c r="F2194" s="18">
        <v>41920.959999999999</v>
      </c>
      <c r="G2194" s="18">
        <v>134046</v>
      </c>
      <c r="H2194" s="18">
        <f t="shared" si="68"/>
        <v>41884.959999999999</v>
      </c>
      <c r="I2194" s="12"/>
    </row>
    <row r="2195" spans="1:9" s="2" customFormat="1" ht="21.75" customHeight="1" x14ac:dyDescent="0.55000000000000004">
      <c r="A2195" s="18">
        <v>24.7758103</v>
      </c>
      <c r="B2195" s="18">
        <v>34.796156500000002</v>
      </c>
      <c r="C2195" s="18">
        <v>681596.56</v>
      </c>
      <c r="D2195" s="18">
        <v>2741317.02</v>
      </c>
      <c r="E2195" s="18">
        <v>334.42</v>
      </c>
      <c r="F2195" s="18">
        <v>41920.949999999997</v>
      </c>
      <c r="G2195" s="18">
        <v>134048</v>
      </c>
      <c r="H2195" s="18">
        <f t="shared" si="68"/>
        <v>41884.949999999997</v>
      </c>
      <c r="I2195" s="12"/>
    </row>
    <row r="2196" spans="1:9" s="2" customFormat="1" ht="21.75" customHeight="1" x14ac:dyDescent="0.55000000000000004">
      <c r="A2196" s="18">
        <v>24.775830200000001</v>
      </c>
      <c r="B2196" s="18">
        <v>34.796160299999997</v>
      </c>
      <c r="C2196" s="18">
        <v>681596.92</v>
      </c>
      <c r="D2196" s="18">
        <v>2741319.24</v>
      </c>
      <c r="E2196" s="18">
        <v>334.19</v>
      </c>
      <c r="F2196" s="18">
        <v>41920.410000000003</v>
      </c>
      <c r="G2196" s="18">
        <v>134050</v>
      </c>
      <c r="H2196" s="18">
        <f t="shared" si="68"/>
        <v>41884.410000000003</v>
      </c>
      <c r="I2196" s="12"/>
    </row>
    <row r="2197" spans="1:9" s="2" customFormat="1" ht="21.75" customHeight="1" x14ac:dyDescent="0.55000000000000004">
      <c r="A2197" s="18">
        <v>24.775849600000001</v>
      </c>
      <c r="B2197" s="18">
        <v>34.796159099999997</v>
      </c>
      <c r="C2197" s="18">
        <v>681596.77</v>
      </c>
      <c r="D2197" s="18">
        <v>2741321.38</v>
      </c>
      <c r="E2197" s="18">
        <v>333.89</v>
      </c>
      <c r="F2197" s="18">
        <v>41922.43</v>
      </c>
      <c r="G2197" s="18">
        <v>134052</v>
      </c>
      <c r="H2197" s="18">
        <f t="shared" si="68"/>
        <v>41886.43</v>
      </c>
      <c r="I2197" s="12"/>
    </row>
    <row r="2198" spans="1:9" s="2" customFormat="1" ht="21.75" customHeight="1" x14ac:dyDescent="0.55000000000000004">
      <c r="A2198" s="18">
        <v>24.7758684</v>
      </c>
      <c r="B2198" s="18">
        <v>34.796160800000003</v>
      </c>
      <c r="C2198" s="18">
        <v>681596.92</v>
      </c>
      <c r="D2198" s="18">
        <v>2741323.47</v>
      </c>
      <c r="E2198" s="18">
        <v>333.71</v>
      </c>
      <c r="F2198" s="18">
        <v>41920.83</v>
      </c>
      <c r="G2198" s="18">
        <v>134054</v>
      </c>
      <c r="H2198" s="18">
        <f t="shared" si="68"/>
        <v>41884.83</v>
      </c>
      <c r="I2198" s="12"/>
    </row>
    <row r="2199" spans="1:9" s="2" customFormat="1" ht="21.75" customHeight="1" x14ac:dyDescent="0.55000000000000004">
      <c r="A2199" s="18">
        <v>24.7758909</v>
      </c>
      <c r="B2199" s="18">
        <v>34.796159500000002</v>
      </c>
      <c r="C2199" s="18">
        <v>681596.75</v>
      </c>
      <c r="D2199" s="18">
        <v>2741325.96</v>
      </c>
      <c r="E2199" s="18">
        <v>333.61</v>
      </c>
      <c r="F2199" s="18">
        <v>41921.230000000003</v>
      </c>
      <c r="G2199" s="18">
        <v>134056</v>
      </c>
      <c r="H2199" s="18">
        <f t="shared" si="68"/>
        <v>41885.230000000003</v>
      </c>
      <c r="I2199" s="12"/>
    </row>
    <row r="2200" spans="1:9" s="2" customFormat="1" ht="21.75" customHeight="1" x14ac:dyDescent="0.55000000000000004">
      <c r="A2200" s="18">
        <v>24.775907100000001</v>
      </c>
      <c r="B2200" s="18">
        <v>34.796151199999997</v>
      </c>
      <c r="C2200" s="18">
        <v>681595.89</v>
      </c>
      <c r="D2200" s="18">
        <v>2741327.74</v>
      </c>
      <c r="E2200" s="18">
        <v>333.54</v>
      </c>
      <c r="F2200" s="18">
        <v>41921.86</v>
      </c>
      <c r="G2200" s="18">
        <v>134058</v>
      </c>
      <c r="H2200" s="18">
        <f t="shared" si="68"/>
        <v>41885.86</v>
      </c>
      <c r="I2200" s="12"/>
    </row>
    <row r="2201" spans="1:9" s="2" customFormat="1" ht="21.75" customHeight="1" x14ac:dyDescent="0.55000000000000004">
      <c r="A2201" s="18">
        <v>24.7759255</v>
      </c>
      <c r="B2201" s="18">
        <v>34.796145000000003</v>
      </c>
      <c r="C2201" s="18">
        <v>681595.23</v>
      </c>
      <c r="D2201" s="18">
        <v>2741329.77</v>
      </c>
      <c r="E2201" s="18">
        <v>333.34</v>
      </c>
      <c r="F2201" s="18">
        <v>41922.31</v>
      </c>
      <c r="G2201" s="18">
        <v>134100</v>
      </c>
      <c r="H2201" s="18">
        <f t="shared" si="68"/>
        <v>41886.31</v>
      </c>
      <c r="I2201" s="12"/>
    </row>
    <row r="2202" spans="1:9" s="2" customFormat="1" ht="21.75" customHeight="1" x14ac:dyDescent="0.55000000000000004">
      <c r="A2202" s="18">
        <v>24.7759435</v>
      </c>
      <c r="B2202" s="18">
        <v>34.796140800000003</v>
      </c>
      <c r="C2202" s="18">
        <v>681594.78</v>
      </c>
      <c r="D2202" s="18">
        <v>2741331.75</v>
      </c>
      <c r="E2202" s="18">
        <v>333.36</v>
      </c>
      <c r="F2202" s="18">
        <v>41922.400000000001</v>
      </c>
      <c r="G2202" s="18">
        <v>134102</v>
      </c>
      <c r="H2202" s="18">
        <f t="shared" si="68"/>
        <v>41886.400000000001</v>
      </c>
      <c r="I2202" s="12"/>
    </row>
    <row r="2203" spans="1:9" s="2" customFormat="1" ht="21.75" customHeight="1" x14ac:dyDescent="0.55000000000000004">
      <c r="A2203" s="18">
        <v>24.775964099999999</v>
      </c>
      <c r="B2203" s="18">
        <v>34.7961375</v>
      </c>
      <c r="C2203" s="18">
        <v>681594.42</v>
      </c>
      <c r="D2203" s="18">
        <v>2741334.04</v>
      </c>
      <c r="E2203" s="18">
        <v>333.21</v>
      </c>
      <c r="F2203" s="18">
        <v>41921.99</v>
      </c>
      <c r="G2203" s="18">
        <v>134104</v>
      </c>
      <c r="H2203" s="18">
        <f t="shared" si="68"/>
        <v>41885.99</v>
      </c>
      <c r="I2203" s="12"/>
    </row>
    <row r="2204" spans="1:9" s="2" customFormat="1" ht="21.75" customHeight="1" x14ac:dyDescent="0.55000000000000004">
      <c r="A2204" s="18">
        <v>24.775984999999999</v>
      </c>
      <c r="B2204" s="18">
        <v>34.796133099999999</v>
      </c>
      <c r="C2204" s="18">
        <v>681593.94</v>
      </c>
      <c r="D2204" s="18">
        <v>2741336.34</v>
      </c>
      <c r="E2204" s="18">
        <v>333.2</v>
      </c>
      <c r="F2204" s="18">
        <v>41923.279999999999</v>
      </c>
      <c r="G2204" s="18">
        <v>134106</v>
      </c>
      <c r="H2204" s="18">
        <f t="shared" si="68"/>
        <v>41887.279999999999</v>
      </c>
      <c r="I2204" s="12"/>
    </row>
    <row r="2205" spans="1:9" s="2" customFormat="1" ht="21.75" customHeight="1" x14ac:dyDescent="0.55000000000000004">
      <c r="A2205" s="18">
        <v>24.776006500000001</v>
      </c>
      <c r="B2205" s="18">
        <v>34.796126000000001</v>
      </c>
      <c r="C2205" s="18">
        <v>681593.19</v>
      </c>
      <c r="D2205" s="18">
        <v>2741338.72</v>
      </c>
      <c r="E2205" s="18">
        <v>333.05</v>
      </c>
      <c r="F2205" s="18">
        <v>41923.79</v>
      </c>
      <c r="G2205" s="18">
        <v>134108</v>
      </c>
      <c r="H2205" s="18">
        <f t="shared" si="68"/>
        <v>41887.79</v>
      </c>
      <c r="I2205" s="12"/>
    </row>
    <row r="2206" spans="1:9" s="2" customFormat="1" ht="21.75" customHeight="1" x14ac:dyDescent="0.55000000000000004">
      <c r="A2206" s="18">
        <v>24.776023200000001</v>
      </c>
      <c r="B2206" s="18">
        <v>34.796123100000003</v>
      </c>
      <c r="C2206" s="18">
        <v>681592.88</v>
      </c>
      <c r="D2206" s="18">
        <v>2741340.56</v>
      </c>
      <c r="E2206" s="18">
        <v>333.17</v>
      </c>
      <c r="F2206" s="18">
        <v>41922.32</v>
      </c>
      <c r="G2206" s="18">
        <v>134110</v>
      </c>
      <c r="H2206" s="18">
        <f t="shared" si="68"/>
        <v>41886.32</v>
      </c>
      <c r="I2206" s="12"/>
    </row>
    <row r="2207" spans="1:9" s="2" customFormat="1" ht="21.75" customHeight="1" x14ac:dyDescent="0.55000000000000004">
      <c r="A2207" s="18">
        <v>24.776039900000001</v>
      </c>
      <c r="B2207" s="18">
        <v>34.7961168</v>
      </c>
      <c r="C2207" s="18">
        <v>681592.21</v>
      </c>
      <c r="D2207" s="18">
        <v>2741342.4</v>
      </c>
      <c r="E2207" s="18">
        <v>333.15</v>
      </c>
      <c r="F2207" s="18">
        <v>41924.050000000003</v>
      </c>
      <c r="G2207" s="18">
        <v>134112</v>
      </c>
      <c r="H2207" s="18">
        <f t="shared" si="68"/>
        <v>41888.050000000003</v>
      </c>
      <c r="I2207" s="12"/>
    </row>
    <row r="2208" spans="1:9" s="2" customFormat="1" ht="21.75" customHeight="1" x14ac:dyDescent="0.55000000000000004">
      <c r="A2208" s="18">
        <v>24.776055400000001</v>
      </c>
      <c r="B2208" s="18">
        <v>34.7961083</v>
      </c>
      <c r="C2208" s="18">
        <v>681591.34</v>
      </c>
      <c r="D2208" s="18">
        <v>2741344.11</v>
      </c>
      <c r="E2208" s="18">
        <v>333</v>
      </c>
      <c r="F2208" s="18">
        <v>41925.01</v>
      </c>
      <c r="G2208" s="18">
        <v>134114</v>
      </c>
      <c r="H2208" s="18">
        <f t="shared" si="68"/>
        <v>41889.01</v>
      </c>
      <c r="I2208" s="12"/>
    </row>
    <row r="2209" spans="1:9" s="2" customFormat="1" ht="21.75" customHeight="1" x14ac:dyDescent="0.55000000000000004">
      <c r="A2209" s="18">
        <v>24.776073</v>
      </c>
      <c r="B2209" s="18">
        <v>34.7961077</v>
      </c>
      <c r="C2209" s="18">
        <v>681591.25</v>
      </c>
      <c r="D2209" s="18">
        <v>2741346.06</v>
      </c>
      <c r="E2209" s="18">
        <v>332.83</v>
      </c>
      <c r="F2209" s="18">
        <v>41923.85</v>
      </c>
      <c r="G2209" s="18">
        <v>134116</v>
      </c>
      <c r="H2209" s="18">
        <f t="shared" si="68"/>
        <v>41887.85</v>
      </c>
      <c r="I2209" s="12"/>
    </row>
    <row r="2210" spans="1:9" s="2" customFormat="1" ht="21.75" customHeight="1" x14ac:dyDescent="0.55000000000000004">
      <c r="A2210" s="18">
        <v>24.776088600000001</v>
      </c>
      <c r="B2210" s="18">
        <v>34.796111400000001</v>
      </c>
      <c r="C2210" s="18">
        <v>681591.6</v>
      </c>
      <c r="D2210" s="18">
        <v>2741347.79</v>
      </c>
      <c r="E2210" s="18">
        <v>332.73</v>
      </c>
      <c r="F2210" s="18">
        <v>41924.68</v>
      </c>
      <c r="G2210" s="18">
        <v>134118</v>
      </c>
      <c r="H2210" s="18">
        <f t="shared" si="68"/>
        <v>41888.68</v>
      </c>
      <c r="I2210" s="12"/>
    </row>
    <row r="2211" spans="1:9" s="2" customFormat="1" ht="21.75" customHeight="1" x14ac:dyDescent="0.55000000000000004">
      <c r="A2211" s="18">
        <v>24.776106299999999</v>
      </c>
      <c r="B2211" s="18">
        <v>34.796120000000002</v>
      </c>
      <c r="C2211" s="18">
        <v>681592.44</v>
      </c>
      <c r="D2211" s="18">
        <v>2741349.76</v>
      </c>
      <c r="E2211" s="18">
        <v>332.69</v>
      </c>
      <c r="F2211" s="18">
        <v>41922.75</v>
      </c>
      <c r="G2211" s="18">
        <v>134120</v>
      </c>
      <c r="H2211" s="18">
        <f t="shared" si="68"/>
        <v>41886.75</v>
      </c>
      <c r="I2211" s="12"/>
    </row>
    <row r="2212" spans="1:9" s="2" customFormat="1" ht="21.75" customHeight="1" x14ac:dyDescent="0.55000000000000004">
      <c r="A2212" s="18">
        <v>24.776126099999999</v>
      </c>
      <c r="B2212" s="18">
        <v>34.796123299999998</v>
      </c>
      <c r="C2212" s="18">
        <v>681592.75</v>
      </c>
      <c r="D2212" s="18">
        <v>2741351.96</v>
      </c>
      <c r="E2212" s="18">
        <v>332.79</v>
      </c>
      <c r="F2212" s="18">
        <v>41923.620000000003</v>
      </c>
      <c r="G2212" s="18">
        <v>134122</v>
      </c>
      <c r="H2212" s="18">
        <f t="shared" si="68"/>
        <v>41887.620000000003</v>
      </c>
      <c r="I2212" s="12"/>
    </row>
    <row r="2213" spans="1:9" s="2" customFormat="1" ht="21.75" customHeight="1" x14ac:dyDescent="0.55000000000000004">
      <c r="A2213" s="18">
        <v>24.7761435</v>
      </c>
      <c r="B2213" s="18">
        <v>34.796115499999999</v>
      </c>
      <c r="C2213" s="18">
        <v>681591.94</v>
      </c>
      <c r="D2213" s="18">
        <v>2741353.87</v>
      </c>
      <c r="E2213" s="18">
        <v>333.03</v>
      </c>
      <c r="F2213" s="18">
        <v>41923.519999999997</v>
      </c>
      <c r="G2213" s="18">
        <v>134124</v>
      </c>
      <c r="H2213" s="18">
        <f t="shared" si="68"/>
        <v>41887.519999999997</v>
      </c>
      <c r="I2213" s="12"/>
    </row>
    <row r="2214" spans="1:9" s="2" customFormat="1" ht="21.75" customHeight="1" x14ac:dyDescent="0.55000000000000004">
      <c r="A2214" s="18">
        <v>24.7761581</v>
      </c>
      <c r="B2214" s="18">
        <v>34.796118399999997</v>
      </c>
      <c r="C2214" s="18">
        <v>681592.2</v>
      </c>
      <c r="D2214" s="18">
        <v>2741355.5</v>
      </c>
      <c r="E2214" s="18">
        <v>333.17</v>
      </c>
      <c r="F2214" s="18">
        <v>41923.39</v>
      </c>
      <c r="G2214" s="18">
        <v>134126</v>
      </c>
      <c r="H2214" s="18">
        <f t="shared" si="68"/>
        <v>41887.39</v>
      </c>
      <c r="I2214" s="12"/>
    </row>
    <row r="2215" spans="1:9" s="2" customFormat="1" ht="21.75" customHeight="1" x14ac:dyDescent="0.55000000000000004">
      <c r="A2215" s="18">
        <v>24.7761727</v>
      </c>
      <c r="B2215" s="18">
        <v>34.796123399999999</v>
      </c>
      <c r="C2215" s="18">
        <v>681592.69</v>
      </c>
      <c r="D2215" s="18">
        <v>2741357.12</v>
      </c>
      <c r="E2215" s="18">
        <v>333.11</v>
      </c>
      <c r="F2215" s="18">
        <v>41922.32</v>
      </c>
      <c r="G2215" s="18">
        <v>134128</v>
      </c>
      <c r="H2215" s="18">
        <f t="shared" si="68"/>
        <v>41886.32</v>
      </c>
      <c r="I2215" s="12"/>
    </row>
    <row r="2216" spans="1:9" s="2" customFormat="1" ht="21.75" customHeight="1" x14ac:dyDescent="0.55000000000000004">
      <c r="A2216" s="18">
        <v>24.776183499999998</v>
      </c>
      <c r="B2216" s="18">
        <v>34.7961277</v>
      </c>
      <c r="C2216" s="18">
        <v>681593.1</v>
      </c>
      <c r="D2216" s="18">
        <v>2741358.33</v>
      </c>
      <c r="E2216" s="18">
        <v>332.94</v>
      </c>
      <c r="F2216" s="18">
        <v>41924.44</v>
      </c>
      <c r="G2216" s="18">
        <v>134130</v>
      </c>
      <c r="H2216" s="18">
        <f t="shared" si="68"/>
        <v>41888.44</v>
      </c>
      <c r="I2216" s="12"/>
    </row>
    <row r="2217" spans="1:9" s="2" customFormat="1" ht="21.75" customHeight="1" x14ac:dyDescent="0.55000000000000004">
      <c r="A2217" s="18">
        <v>24.776194499999999</v>
      </c>
      <c r="B2217" s="18">
        <v>34.796155599999999</v>
      </c>
      <c r="C2217" s="18">
        <v>681595.91</v>
      </c>
      <c r="D2217" s="18">
        <v>2741359.57</v>
      </c>
      <c r="E2217" s="18">
        <v>332.24</v>
      </c>
      <c r="F2217" s="18">
        <v>41922.94</v>
      </c>
      <c r="G2217" s="18">
        <v>134132</v>
      </c>
      <c r="H2217" s="18">
        <f t="shared" si="68"/>
        <v>41886.94</v>
      </c>
      <c r="I2217" s="12"/>
    </row>
    <row r="2218" spans="1:9" s="2" customFormat="1" ht="21.75" customHeight="1" x14ac:dyDescent="0.55000000000000004">
      <c r="A2218" s="18">
        <v>24.7762159</v>
      </c>
      <c r="B2218" s="18">
        <v>34.7961727</v>
      </c>
      <c r="C2218" s="18">
        <v>681597.61</v>
      </c>
      <c r="D2218" s="18">
        <v>2741361.97</v>
      </c>
      <c r="E2218" s="18">
        <v>332.65</v>
      </c>
      <c r="F2218" s="18">
        <v>41923.760000000002</v>
      </c>
      <c r="G2218" s="18">
        <v>134134</v>
      </c>
      <c r="H2218" s="18">
        <f t="shared" si="68"/>
        <v>41887.760000000002</v>
      </c>
      <c r="I2218" s="12"/>
    </row>
    <row r="2219" spans="1:9" s="2" customFormat="1" ht="21.75" customHeight="1" x14ac:dyDescent="0.55000000000000004">
      <c r="A2219" s="18">
        <v>24.7762305</v>
      </c>
      <c r="B2219" s="18">
        <v>34.796174999999998</v>
      </c>
      <c r="C2219" s="18">
        <v>681597.82</v>
      </c>
      <c r="D2219" s="18">
        <v>2741363.59</v>
      </c>
      <c r="E2219" s="18">
        <v>332.76</v>
      </c>
      <c r="F2219" s="18">
        <v>41924.54</v>
      </c>
      <c r="G2219" s="18">
        <v>134136</v>
      </c>
      <c r="H2219" s="18">
        <f t="shared" si="68"/>
        <v>41888.54</v>
      </c>
      <c r="I2219" s="12"/>
    </row>
    <row r="2220" spans="1:9" s="2" customFormat="1" ht="21.75" customHeight="1" x14ac:dyDescent="0.55000000000000004">
      <c r="A2220" s="18">
        <v>24.7762505</v>
      </c>
      <c r="B2220" s="18">
        <v>34.796171000000001</v>
      </c>
      <c r="C2220" s="18">
        <v>681597.39</v>
      </c>
      <c r="D2220" s="18">
        <v>2741365.8</v>
      </c>
      <c r="E2220" s="18">
        <v>332.23</v>
      </c>
      <c r="F2220" s="18">
        <v>41923.46</v>
      </c>
      <c r="G2220" s="18">
        <v>134138</v>
      </c>
      <c r="H2220" s="18">
        <f t="shared" si="68"/>
        <v>41887.46</v>
      </c>
      <c r="I2220" s="12"/>
    </row>
    <row r="2221" spans="1:9" s="2" customFormat="1" ht="21.75" customHeight="1" x14ac:dyDescent="0.55000000000000004">
      <c r="A2221" s="18">
        <v>24.776266799999998</v>
      </c>
      <c r="B2221" s="18">
        <v>34.796157700000002</v>
      </c>
      <c r="C2221" s="18">
        <v>681596.02</v>
      </c>
      <c r="D2221" s="18">
        <v>2741367.59</v>
      </c>
      <c r="E2221" s="18">
        <v>332.02</v>
      </c>
      <c r="F2221" s="18">
        <v>41926.879999999997</v>
      </c>
      <c r="G2221" s="18">
        <v>134140</v>
      </c>
      <c r="H2221" s="18">
        <f t="shared" si="68"/>
        <v>41890.879999999997</v>
      </c>
      <c r="I2221" s="12"/>
    </row>
    <row r="2222" spans="1:9" s="2" customFormat="1" ht="21.75" customHeight="1" x14ac:dyDescent="0.55000000000000004">
      <c r="A2222" s="18">
        <v>24.776282599999998</v>
      </c>
      <c r="B2222" s="18">
        <v>34.7961448</v>
      </c>
      <c r="C2222" s="18">
        <v>681594.69</v>
      </c>
      <c r="D2222" s="18">
        <v>2741369.32</v>
      </c>
      <c r="E2222" s="18">
        <v>332</v>
      </c>
      <c r="F2222" s="18">
        <v>41925.769999999997</v>
      </c>
      <c r="G2222" s="18">
        <v>134142</v>
      </c>
      <c r="H2222" s="18">
        <f t="shared" si="68"/>
        <v>41889.769999999997</v>
      </c>
      <c r="I2222" s="12"/>
    </row>
    <row r="2223" spans="1:9" s="2" customFormat="1" ht="21.75" customHeight="1" x14ac:dyDescent="0.55000000000000004">
      <c r="A2223" s="18">
        <v>24.776299099999999</v>
      </c>
      <c r="B2223" s="18">
        <v>34.796125600000003</v>
      </c>
      <c r="C2223" s="18">
        <v>681592.72</v>
      </c>
      <c r="D2223" s="18">
        <v>2741371.12</v>
      </c>
      <c r="E2223" s="18">
        <v>331.93</v>
      </c>
      <c r="F2223" s="18">
        <v>41926.629999999997</v>
      </c>
      <c r="G2223" s="18">
        <v>134144</v>
      </c>
      <c r="H2223" s="18">
        <f t="shared" si="68"/>
        <v>41890.629999999997</v>
      </c>
      <c r="I2223" s="12"/>
    </row>
    <row r="2224" spans="1:9" s="2" customFormat="1" ht="21.75" customHeight="1" x14ac:dyDescent="0.55000000000000004">
      <c r="A2224" s="18">
        <v>24.776302099999999</v>
      </c>
      <c r="B2224" s="18">
        <v>34.796100899999999</v>
      </c>
      <c r="C2224" s="18">
        <v>681590.22</v>
      </c>
      <c r="D2224" s="18">
        <v>2741371.42</v>
      </c>
      <c r="E2224" s="18">
        <v>332.14</v>
      </c>
      <c r="F2224" s="18">
        <v>41924.879999999997</v>
      </c>
      <c r="G2224" s="18">
        <v>134146</v>
      </c>
      <c r="H2224" s="18">
        <f t="shared" si="68"/>
        <v>41888.879999999997</v>
      </c>
      <c r="I2224" s="12"/>
    </row>
    <row r="2225" spans="1:9" s="2" customFormat="1" ht="21.75" customHeight="1" x14ac:dyDescent="0.55000000000000004">
      <c r="A2225" s="18">
        <v>24.776290899999999</v>
      </c>
      <c r="B2225" s="18">
        <v>34.7960773</v>
      </c>
      <c r="C2225" s="18">
        <v>681587.85</v>
      </c>
      <c r="D2225" s="18">
        <v>2741370.15</v>
      </c>
      <c r="E2225" s="18">
        <v>332.16</v>
      </c>
      <c r="F2225" s="18">
        <v>41926.58</v>
      </c>
      <c r="G2225" s="18">
        <v>134148</v>
      </c>
      <c r="H2225" s="18">
        <f t="shared" si="68"/>
        <v>41890.58</v>
      </c>
      <c r="I2225" s="12"/>
    </row>
    <row r="2226" spans="1:9" s="2" customFormat="1" ht="21.75" customHeight="1" x14ac:dyDescent="0.55000000000000004">
      <c r="A2226" s="18">
        <v>24.776275800000001</v>
      </c>
      <c r="B2226" s="18">
        <v>34.796056200000002</v>
      </c>
      <c r="C2226" s="18">
        <v>681585.74</v>
      </c>
      <c r="D2226" s="18">
        <v>2741368.45</v>
      </c>
      <c r="E2226" s="18">
        <v>332.23</v>
      </c>
      <c r="F2226" s="18">
        <v>41926.81</v>
      </c>
      <c r="G2226" s="18">
        <v>134150</v>
      </c>
      <c r="H2226" s="18">
        <f t="shared" si="68"/>
        <v>41890.81</v>
      </c>
      <c r="I2226" s="12"/>
    </row>
    <row r="2227" spans="1:9" s="2" customFormat="1" ht="21.75" customHeight="1" x14ac:dyDescent="0.55000000000000004">
      <c r="A2227" s="18">
        <v>24.7762618</v>
      </c>
      <c r="B2227" s="18">
        <v>34.796034599999999</v>
      </c>
      <c r="C2227" s="18">
        <v>681583.58</v>
      </c>
      <c r="D2227" s="18">
        <v>2741366.87</v>
      </c>
      <c r="E2227" s="18">
        <v>332.2</v>
      </c>
      <c r="F2227" s="18">
        <v>41926.36</v>
      </c>
      <c r="G2227" s="18">
        <v>134152</v>
      </c>
      <c r="H2227" s="18">
        <f t="shared" si="68"/>
        <v>41890.36</v>
      </c>
      <c r="I2227" s="12"/>
    </row>
    <row r="2228" spans="1:9" s="2" customFormat="1" ht="21.75" customHeight="1" x14ac:dyDescent="0.55000000000000004">
      <c r="A2228" s="18">
        <v>24.776245599999999</v>
      </c>
      <c r="B2228" s="18">
        <v>34.796013500000001</v>
      </c>
      <c r="C2228" s="18">
        <v>681581.47</v>
      </c>
      <c r="D2228" s="18">
        <v>2741365.05</v>
      </c>
      <c r="E2228" s="18">
        <v>332.3</v>
      </c>
      <c r="F2228" s="18">
        <v>41927.480000000003</v>
      </c>
      <c r="G2228" s="18">
        <v>134154</v>
      </c>
      <c r="H2228" s="18">
        <f t="shared" si="68"/>
        <v>41891.480000000003</v>
      </c>
      <c r="I2228" s="12"/>
    </row>
    <row r="2229" spans="1:9" s="2" customFormat="1" ht="21.75" customHeight="1" x14ac:dyDescent="0.55000000000000004">
      <c r="A2229" s="18">
        <v>24.7762314</v>
      </c>
      <c r="B2229" s="18">
        <v>34.795991600000001</v>
      </c>
      <c r="C2229" s="18">
        <v>681579.28</v>
      </c>
      <c r="D2229" s="18">
        <v>2741363.45</v>
      </c>
      <c r="E2229" s="18">
        <v>332.38</v>
      </c>
      <c r="F2229" s="18">
        <v>41928.720000000001</v>
      </c>
      <c r="G2229" s="18">
        <v>134156</v>
      </c>
      <c r="H2229" s="18">
        <f t="shared" si="68"/>
        <v>41892.720000000001</v>
      </c>
      <c r="I2229" s="12"/>
    </row>
    <row r="2230" spans="1:9" s="2" customFormat="1" ht="21.75" customHeight="1" x14ac:dyDescent="0.55000000000000004">
      <c r="A2230" s="18">
        <v>24.7762192</v>
      </c>
      <c r="B2230" s="18">
        <v>34.795965899999999</v>
      </c>
      <c r="C2230" s="18">
        <v>681576.7</v>
      </c>
      <c r="D2230" s="18">
        <v>2741362.06</v>
      </c>
      <c r="E2230" s="18">
        <v>332.35</v>
      </c>
      <c r="F2230" s="18">
        <v>41929.67</v>
      </c>
      <c r="G2230" s="18">
        <v>134158</v>
      </c>
      <c r="H2230" s="18">
        <f t="shared" si="68"/>
        <v>41893.67</v>
      </c>
      <c r="I2230" s="12"/>
    </row>
    <row r="2231" spans="1:9" s="2" customFormat="1" ht="21.75" customHeight="1" x14ac:dyDescent="0.55000000000000004">
      <c r="A2231" s="18">
        <v>24.7762064</v>
      </c>
      <c r="B2231" s="18">
        <v>34.795941999999997</v>
      </c>
      <c r="C2231" s="18">
        <v>681574.29</v>
      </c>
      <c r="D2231" s="18">
        <v>2741360.61</v>
      </c>
      <c r="E2231" s="18">
        <v>332.52</v>
      </c>
      <c r="F2231" s="18">
        <v>41928.959999999999</v>
      </c>
      <c r="G2231" s="18">
        <v>134200</v>
      </c>
      <c r="H2231" s="18">
        <f t="shared" si="68"/>
        <v>41892.959999999999</v>
      </c>
      <c r="I2231" s="12"/>
    </row>
    <row r="2232" spans="1:9" s="2" customFormat="1" ht="21.75" customHeight="1" x14ac:dyDescent="0.55000000000000004">
      <c r="A2232" s="18">
        <v>24.776193599999999</v>
      </c>
      <c r="B2232" s="18">
        <v>34.795920700000003</v>
      </c>
      <c r="C2232" s="18">
        <v>681572.17</v>
      </c>
      <c r="D2232" s="18">
        <v>2741359.16</v>
      </c>
      <c r="E2232" s="18">
        <v>332.92</v>
      </c>
      <c r="F2232" s="18">
        <v>41928.14</v>
      </c>
      <c r="G2232" s="18">
        <v>134202</v>
      </c>
      <c r="H2232" s="18">
        <f t="shared" si="68"/>
        <v>41892.14</v>
      </c>
      <c r="I2232" s="12"/>
    </row>
    <row r="2233" spans="1:9" s="2" customFormat="1" ht="21.75" customHeight="1" x14ac:dyDescent="0.55000000000000004">
      <c r="A2233" s="18">
        <v>24.776183799999998</v>
      </c>
      <c r="B2233" s="18">
        <v>34.7959003</v>
      </c>
      <c r="C2233" s="18">
        <v>681570.11</v>
      </c>
      <c r="D2233" s="18">
        <v>2741358.05</v>
      </c>
      <c r="E2233" s="18">
        <v>333.11</v>
      </c>
      <c r="F2233" s="18">
        <v>41929.300000000003</v>
      </c>
      <c r="G2233" s="18">
        <v>134204</v>
      </c>
      <c r="H2233" s="18">
        <f t="shared" si="68"/>
        <v>41893.300000000003</v>
      </c>
      <c r="I2233" s="12"/>
    </row>
    <row r="2234" spans="1:9" s="2" customFormat="1" ht="21.75" customHeight="1" x14ac:dyDescent="0.55000000000000004">
      <c r="A2234" s="18">
        <v>24.776174600000001</v>
      </c>
      <c r="B2234" s="18">
        <v>34.795880099999998</v>
      </c>
      <c r="C2234" s="18">
        <v>681568.08</v>
      </c>
      <c r="D2234" s="18">
        <v>2741357</v>
      </c>
      <c r="E2234" s="18">
        <v>333.41</v>
      </c>
      <c r="F2234" s="18">
        <v>41930.879999999997</v>
      </c>
      <c r="G2234" s="18">
        <v>134206</v>
      </c>
      <c r="H2234" s="18">
        <f t="shared" si="68"/>
        <v>41894.879999999997</v>
      </c>
      <c r="I2234" s="12"/>
    </row>
    <row r="2235" spans="1:9" s="2" customFormat="1" ht="21.75" customHeight="1" x14ac:dyDescent="0.55000000000000004">
      <c r="A2235" s="18">
        <v>24.776166499999999</v>
      </c>
      <c r="B2235" s="18">
        <v>34.795858500000001</v>
      </c>
      <c r="C2235" s="18">
        <v>681565.91</v>
      </c>
      <c r="D2235" s="18">
        <v>2741356.08</v>
      </c>
      <c r="E2235" s="18">
        <v>333.64</v>
      </c>
      <c r="F2235" s="18">
        <v>41931.26</v>
      </c>
      <c r="G2235" s="18">
        <v>134208</v>
      </c>
      <c r="H2235" s="18">
        <f t="shared" si="68"/>
        <v>41895.26</v>
      </c>
      <c r="I2235" s="12"/>
    </row>
    <row r="2236" spans="1:9" s="2" customFormat="1" ht="21.75" customHeight="1" x14ac:dyDescent="0.55000000000000004">
      <c r="A2236" s="18">
        <v>24.776162800000002</v>
      </c>
      <c r="B2236" s="18">
        <v>34.795834900000003</v>
      </c>
      <c r="C2236" s="18">
        <v>681563.53</v>
      </c>
      <c r="D2236" s="18">
        <v>2741355.64</v>
      </c>
      <c r="E2236" s="18">
        <v>333.92</v>
      </c>
      <c r="F2236" s="18">
        <v>41930.449999999997</v>
      </c>
      <c r="G2236" s="18">
        <v>134210</v>
      </c>
      <c r="H2236" s="18">
        <f t="shared" si="68"/>
        <v>41894.449999999997</v>
      </c>
      <c r="I2236" s="12"/>
    </row>
    <row r="2237" spans="1:9" s="2" customFormat="1" ht="21.75" customHeight="1" x14ac:dyDescent="0.55000000000000004">
      <c r="A2237" s="18">
        <v>24.776158800000001</v>
      </c>
      <c r="B2237" s="18">
        <v>34.795811100000002</v>
      </c>
      <c r="C2237" s="18">
        <v>681561.12</v>
      </c>
      <c r="D2237" s="18">
        <v>2741355.16</v>
      </c>
      <c r="E2237" s="18">
        <v>334.35</v>
      </c>
      <c r="F2237" s="18">
        <v>41928.9</v>
      </c>
      <c r="G2237" s="18">
        <v>134212</v>
      </c>
      <c r="H2237" s="18">
        <f t="shared" si="68"/>
        <v>41892.9</v>
      </c>
      <c r="I2237" s="12"/>
    </row>
    <row r="2238" spans="1:9" s="2" customFormat="1" ht="21.75" customHeight="1" x14ac:dyDescent="0.55000000000000004">
      <c r="A2238" s="18">
        <v>24.776157000000001</v>
      </c>
      <c r="B2238" s="18">
        <v>34.795785799999997</v>
      </c>
      <c r="C2238" s="18">
        <v>681558.57</v>
      </c>
      <c r="D2238" s="18">
        <v>2741354.93</v>
      </c>
      <c r="E2238" s="18">
        <v>334.64</v>
      </c>
      <c r="F2238" s="18">
        <v>41928.51</v>
      </c>
      <c r="G2238" s="18">
        <v>134214</v>
      </c>
      <c r="H2238" s="18">
        <f t="shared" si="68"/>
        <v>41892.51</v>
      </c>
      <c r="I2238" s="12"/>
    </row>
    <row r="2239" spans="1:9" s="2" customFormat="1" ht="21.75" customHeight="1" x14ac:dyDescent="0.55000000000000004">
      <c r="A2239" s="18">
        <v>24.776156</v>
      </c>
      <c r="B2239" s="18">
        <v>34.795760700000002</v>
      </c>
      <c r="C2239" s="18">
        <v>681556.03</v>
      </c>
      <c r="D2239" s="18">
        <v>2741354.79</v>
      </c>
      <c r="E2239" s="18">
        <v>334.86</v>
      </c>
      <c r="F2239" s="18">
        <v>41927.760000000002</v>
      </c>
      <c r="G2239" s="18">
        <v>134216</v>
      </c>
      <c r="H2239" s="18">
        <f t="shared" si="68"/>
        <v>41891.760000000002</v>
      </c>
      <c r="I2239" s="12"/>
    </row>
    <row r="2240" spans="1:9" s="2" customFormat="1" ht="21.75" customHeight="1" x14ac:dyDescent="0.55000000000000004">
      <c r="A2240" s="18">
        <v>24.776152</v>
      </c>
      <c r="B2240" s="18">
        <v>34.795735700000002</v>
      </c>
      <c r="C2240" s="18">
        <v>681553.51</v>
      </c>
      <c r="D2240" s="18">
        <v>2741354.31</v>
      </c>
      <c r="E2240" s="18">
        <v>335.11</v>
      </c>
      <c r="F2240" s="18">
        <v>41931.089999999997</v>
      </c>
      <c r="G2240" s="18">
        <v>134218</v>
      </c>
      <c r="H2240" s="18">
        <f t="shared" si="68"/>
        <v>41895.089999999997</v>
      </c>
      <c r="I2240" s="12"/>
    </row>
    <row r="2241" spans="1:9" s="2" customFormat="1" ht="21.75" customHeight="1" x14ac:dyDescent="0.55000000000000004">
      <c r="A2241" s="18">
        <v>24.776148500000001</v>
      </c>
      <c r="B2241" s="18">
        <v>34.7957131</v>
      </c>
      <c r="C2241" s="18">
        <v>681551.23</v>
      </c>
      <c r="D2241" s="18">
        <v>2741353.89</v>
      </c>
      <c r="E2241" s="18">
        <v>335.06</v>
      </c>
      <c r="F2241" s="18">
        <v>41931.07</v>
      </c>
      <c r="G2241" s="18">
        <v>134220</v>
      </c>
      <c r="H2241" s="18">
        <f t="shared" si="68"/>
        <v>41895.07</v>
      </c>
      <c r="I2241" s="12"/>
    </row>
    <row r="2242" spans="1:9" s="2" customFormat="1" ht="21.75" customHeight="1" x14ac:dyDescent="0.55000000000000004">
      <c r="A2242" s="18">
        <v>24.776148200000002</v>
      </c>
      <c r="B2242" s="18">
        <v>34.795688499999997</v>
      </c>
      <c r="C2242" s="18">
        <v>681548.74</v>
      </c>
      <c r="D2242" s="18">
        <v>2741353.82</v>
      </c>
      <c r="E2242" s="18">
        <v>334.74</v>
      </c>
      <c r="F2242" s="18">
        <v>41928.03</v>
      </c>
      <c r="G2242" s="18">
        <v>134222</v>
      </c>
      <c r="H2242" s="18">
        <f t="shared" si="68"/>
        <v>41892.03</v>
      </c>
      <c r="I2242" s="12"/>
    </row>
    <row r="2243" spans="1:9" s="2" customFormat="1" ht="21.75" customHeight="1" x14ac:dyDescent="0.55000000000000004">
      <c r="A2243" s="18">
        <v>24.776144200000001</v>
      </c>
      <c r="B2243" s="18">
        <v>34.795662299999996</v>
      </c>
      <c r="C2243" s="18">
        <v>681546.11</v>
      </c>
      <c r="D2243" s="18">
        <v>2741353.35</v>
      </c>
      <c r="E2243" s="18">
        <v>334.28</v>
      </c>
      <c r="F2243" s="18">
        <v>41928.79</v>
      </c>
      <c r="G2243" s="18">
        <v>134224</v>
      </c>
      <c r="H2243" s="18">
        <f t="shared" si="68"/>
        <v>41892.79</v>
      </c>
      <c r="I2243" s="12"/>
    </row>
    <row r="2244" spans="1:9" s="2" customFormat="1" ht="21.75" customHeight="1" x14ac:dyDescent="0.55000000000000004">
      <c r="A2244" s="18">
        <v>24.7761405</v>
      </c>
      <c r="B2244" s="18">
        <v>34.795635900000001</v>
      </c>
      <c r="C2244" s="18">
        <v>681543.44</v>
      </c>
      <c r="D2244" s="18">
        <v>2741352.9</v>
      </c>
      <c r="E2244" s="18">
        <v>334.03</v>
      </c>
      <c r="F2244" s="18">
        <v>41926.559999999998</v>
      </c>
      <c r="G2244" s="18">
        <v>134226</v>
      </c>
      <c r="H2244" s="18">
        <f t="shared" si="68"/>
        <v>41890.559999999998</v>
      </c>
      <c r="I2244" s="12"/>
    </row>
    <row r="2245" spans="1:9" s="2" customFormat="1" ht="21.75" customHeight="1" x14ac:dyDescent="0.55000000000000004">
      <c r="A2245" s="18">
        <v>24.776136600000001</v>
      </c>
      <c r="B2245" s="18">
        <v>34.795610600000003</v>
      </c>
      <c r="C2245" s="18">
        <v>681540.88</v>
      </c>
      <c r="D2245" s="18">
        <v>2741352.44</v>
      </c>
      <c r="E2245" s="18">
        <v>333.93</v>
      </c>
      <c r="F2245" s="18">
        <v>41928.199999999997</v>
      </c>
      <c r="G2245" s="18">
        <v>134228</v>
      </c>
      <c r="H2245" s="18">
        <f t="shared" si="68"/>
        <v>41892.199999999997</v>
      </c>
      <c r="I2245" s="12"/>
    </row>
    <row r="2246" spans="1:9" s="2" customFormat="1" ht="21.75" customHeight="1" x14ac:dyDescent="0.55000000000000004">
      <c r="A2246" s="18">
        <v>24.7761377</v>
      </c>
      <c r="B2246" s="18">
        <v>34.795583700000002</v>
      </c>
      <c r="C2246" s="18">
        <v>681538.16</v>
      </c>
      <c r="D2246" s="18">
        <v>2741352.53</v>
      </c>
      <c r="E2246" s="18">
        <v>333.84</v>
      </c>
      <c r="F2246" s="18">
        <v>41927.760000000002</v>
      </c>
      <c r="G2246" s="18">
        <v>134230</v>
      </c>
      <c r="H2246" s="18">
        <f t="shared" si="68"/>
        <v>41891.760000000002</v>
      </c>
      <c r="I2246" s="12"/>
    </row>
    <row r="2247" spans="1:9" s="2" customFormat="1" ht="21.75" customHeight="1" x14ac:dyDescent="0.55000000000000004">
      <c r="A2247" s="18">
        <v>24.7761368</v>
      </c>
      <c r="B2247" s="18">
        <v>34.795557500000001</v>
      </c>
      <c r="C2247" s="18">
        <v>681535.52</v>
      </c>
      <c r="D2247" s="18">
        <v>2741352.4</v>
      </c>
      <c r="E2247" s="18">
        <v>333.77</v>
      </c>
      <c r="F2247" s="18">
        <v>41928.79</v>
      </c>
      <c r="G2247" s="18">
        <v>134232</v>
      </c>
      <c r="H2247" s="18">
        <f t="shared" si="68"/>
        <v>41892.79</v>
      </c>
      <c r="I2247" s="12"/>
    </row>
    <row r="2248" spans="1:9" s="2" customFormat="1" ht="21.75" customHeight="1" x14ac:dyDescent="0.55000000000000004">
      <c r="A2248" s="18">
        <v>24.776138</v>
      </c>
      <c r="B2248" s="18">
        <v>34.795533800000001</v>
      </c>
      <c r="C2248" s="18">
        <v>681533.12</v>
      </c>
      <c r="D2248" s="18">
        <v>2741352.49</v>
      </c>
      <c r="E2248" s="18">
        <v>333.77</v>
      </c>
      <c r="F2248" s="18">
        <v>41931.65</v>
      </c>
      <c r="G2248" s="18">
        <v>134234</v>
      </c>
      <c r="H2248" s="18">
        <f t="shared" si="68"/>
        <v>41895.65</v>
      </c>
      <c r="I2248" s="12"/>
    </row>
    <row r="2249" spans="1:9" s="2" customFormat="1" ht="21.75" customHeight="1" x14ac:dyDescent="0.55000000000000004">
      <c r="A2249" s="18">
        <v>24.776144500000001</v>
      </c>
      <c r="B2249" s="18">
        <v>34.795509299999999</v>
      </c>
      <c r="C2249" s="18">
        <v>681530.63</v>
      </c>
      <c r="D2249" s="18">
        <v>2741353.18</v>
      </c>
      <c r="E2249" s="18">
        <v>334.01</v>
      </c>
      <c r="F2249" s="18">
        <v>41926.519999999997</v>
      </c>
      <c r="G2249" s="18">
        <v>134236</v>
      </c>
      <c r="H2249" s="18">
        <f t="shared" si="68"/>
        <v>41890.519999999997</v>
      </c>
      <c r="I2249" s="12"/>
    </row>
    <row r="2250" spans="1:9" s="2" customFormat="1" ht="21.75" customHeight="1" x14ac:dyDescent="0.55000000000000004">
      <c r="A2250" s="18">
        <v>24.776148299999999</v>
      </c>
      <c r="B2250" s="18">
        <v>34.795483500000003</v>
      </c>
      <c r="C2250" s="18">
        <v>681528.02</v>
      </c>
      <c r="D2250" s="18">
        <v>2741353.56</v>
      </c>
      <c r="E2250" s="18">
        <v>334.02</v>
      </c>
      <c r="F2250" s="18">
        <v>41926.71</v>
      </c>
      <c r="G2250" s="18">
        <v>134238</v>
      </c>
      <c r="H2250" s="18">
        <f t="shared" si="68"/>
        <v>41890.71</v>
      </c>
      <c r="I2250" s="12"/>
    </row>
    <row r="2251" spans="1:9" s="2" customFormat="1" ht="21.75" customHeight="1" x14ac:dyDescent="0.55000000000000004">
      <c r="A2251" s="18">
        <v>24.776154600000002</v>
      </c>
      <c r="B2251" s="18">
        <v>34.795457900000002</v>
      </c>
      <c r="C2251" s="18">
        <v>681525.42</v>
      </c>
      <c r="D2251" s="18">
        <v>2741354.23</v>
      </c>
      <c r="E2251" s="18">
        <v>334.18</v>
      </c>
      <c r="F2251" s="18">
        <v>41927.050000000003</v>
      </c>
      <c r="G2251" s="18">
        <v>134240</v>
      </c>
      <c r="H2251" s="18">
        <f t="shared" si="68"/>
        <v>41891.050000000003</v>
      </c>
      <c r="I2251" s="12"/>
    </row>
    <row r="2252" spans="1:9" s="2" customFormat="1" ht="21.75" customHeight="1" x14ac:dyDescent="0.55000000000000004">
      <c r="A2252" s="18">
        <v>24.776161500000001</v>
      </c>
      <c r="B2252" s="18">
        <v>34.7954322</v>
      </c>
      <c r="C2252" s="18">
        <v>681522.81</v>
      </c>
      <c r="D2252" s="18">
        <v>2741354.96</v>
      </c>
      <c r="E2252" s="18">
        <v>334.34</v>
      </c>
      <c r="F2252" s="18">
        <v>41925.72</v>
      </c>
      <c r="G2252" s="18">
        <v>134242</v>
      </c>
      <c r="H2252" s="18">
        <f t="shared" si="68"/>
        <v>41889.72</v>
      </c>
      <c r="I2252" s="12"/>
    </row>
    <row r="2253" spans="1:9" s="2" customFormat="1" ht="21.75" customHeight="1" x14ac:dyDescent="0.55000000000000004">
      <c r="A2253" s="18">
        <v>24.776165800000001</v>
      </c>
      <c r="B2253" s="18">
        <v>34.795410500000003</v>
      </c>
      <c r="C2253" s="18">
        <v>681520.61</v>
      </c>
      <c r="D2253" s="18">
        <v>2741355.4</v>
      </c>
      <c r="E2253" s="18">
        <v>334.55</v>
      </c>
      <c r="F2253" s="18">
        <v>41928.14</v>
      </c>
      <c r="G2253" s="18">
        <v>134244</v>
      </c>
      <c r="H2253" s="18">
        <f t="shared" ref="H2253:H2316" si="69">SUM(F2253-36)</f>
        <v>41892.14</v>
      </c>
      <c r="I2253" s="12"/>
    </row>
    <row r="2254" spans="1:9" s="2" customFormat="1" ht="21.75" customHeight="1" x14ac:dyDescent="0.55000000000000004">
      <c r="A2254" s="18">
        <v>24.776176199999998</v>
      </c>
      <c r="B2254" s="18">
        <v>34.795389399999998</v>
      </c>
      <c r="C2254" s="18">
        <v>681518.45</v>
      </c>
      <c r="D2254" s="18">
        <v>2741356.54</v>
      </c>
      <c r="E2254" s="18">
        <v>334.66</v>
      </c>
      <c r="F2254" s="18">
        <v>41923.870000000003</v>
      </c>
      <c r="G2254" s="18">
        <v>134246</v>
      </c>
      <c r="H2254" s="18">
        <f t="shared" si="69"/>
        <v>41887.870000000003</v>
      </c>
      <c r="I2254" s="12"/>
    </row>
    <row r="2255" spans="1:9" s="2" customFormat="1" ht="21.75" customHeight="1" x14ac:dyDescent="0.55000000000000004">
      <c r="A2255" s="18">
        <v>24.776184099999998</v>
      </c>
      <c r="B2255" s="18">
        <v>34.795366899999998</v>
      </c>
      <c r="C2255" s="18">
        <v>681516.18</v>
      </c>
      <c r="D2255" s="18">
        <v>2741357.37</v>
      </c>
      <c r="E2255" s="18">
        <v>334.7</v>
      </c>
      <c r="F2255" s="18">
        <v>41927.51</v>
      </c>
      <c r="G2255" s="18">
        <v>134248</v>
      </c>
      <c r="H2255" s="18">
        <f t="shared" si="69"/>
        <v>41891.51</v>
      </c>
      <c r="I2255" s="12"/>
    </row>
    <row r="2256" spans="1:9" s="2" customFormat="1" ht="21.75" customHeight="1" x14ac:dyDescent="0.55000000000000004">
      <c r="A2256" s="18">
        <v>24.776194100000001</v>
      </c>
      <c r="B2256" s="18">
        <v>34.795348699999998</v>
      </c>
      <c r="C2256" s="18">
        <v>681514.32</v>
      </c>
      <c r="D2256" s="18">
        <v>2741358.46</v>
      </c>
      <c r="E2256" s="18">
        <v>334.75</v>
      </c>
      <c r="F2256" s="18">
        <v>41926.44</v>
      </c>
      <c r="G2256" s="18">
        <v>134250</v>
      </c>
      <c r="H2256" s="18">
        <f t="shared" si="69"/>
        <v>41890.44</v>
      </c>
      <c r="I2256" s="12"/>
    </row>
    <row r="2257" spans="1:9" s="2" customFormat="1" ht="21.75" customHeight="1" x14ac:dyDescent="0.55000000000000004">
      <c r="A2257" s="18">
        <v>24.776205000000001</v>
      </c>
      <c r="B2257" s="18">
        <v>34.795324700000002</v>
      </c>
      <c r="C2257" s="18">
        <v>681511.87</v>
      </c>
      <c r="D2257" s="18">
        <v>2741359.64</v>
      </c>
      <c r="E2257" s="18">
        <v>334.9</v>
      </c>
      <c r="F2257" s="18">
        <v>41924.480000000003</v>
      </c>
      <c r="G2257" s="18">
        <v>134252</v>
      </c>
      <c r="H2257" s="18">
        <f t="shared" si="69"/>
        <v>41888.480000000003</v>
      </c>
      <c r="I2257" s="12"/>
    </row>
    <row r="2258" spans="1:9" s="2" customFormat="1" ht="21.75" customHeight="1" x14ac:dyDescent="0.55000000000000004">
      <c r="A2258" s="18">
        <v>24.776212000000001</v>
      </c>
      <c r="B2258" s="18">
        <v>34.795303400000002</v>
      </c>
      <c r="C2258" s="18">
        <v>681509.71</v>
      </c>
      <c r="D2258" s="18">
        <v>2741360.38</v>
      </c>
      <c r="E2258" s="18">
        <v>334.83</v>
      </c>
      <c r="F2258" s="18">
        <v>41922.660000000003</v>
      </c>
      <c r="G2258" s="18">
        <v>134254</v>
      </c>
      <c r="H2258" s="18">
        <f t="shared" si="69"/>
        <v>41886.660000000003</v>
      </c>
      <c r="I2258" s="12"/>
    </row>
    <row r="2259" spans="1:9" s="2" customFormat="1" ht="21.75" customHeight="1" x14ac:dyDescent="0.55000000000000004">
      <c r="A2259" s="18">
        <v>24.776217299999999</v>
      </c>
      <c r="B2259" s="18">
        <v>34.795279299999997</v>
      </c>
      <c r="C2259" s="18">
        <v>681507.27</v>
      </c>
      <c r="D2259" s="18">
        <v>2741360.94</v>
      </c>
      <c r="E2259" s="18">
        <v>335.11</v>
      </c>
      <c r="F2259" s="18">
        <v>41924.89</v>
      </c>
      <c r="G2259" s="18">
        <v>134256</v>
      </c>
      <c r="H2259" s="18">
        <f t="shared" si="69"/>
        <v>41888.89</v>
      </c>
      <c r="I2259" s="12"/>
    </row>
    <row r="2260" spans="1:9" s="2" customFormat="1" ht="21.75" customHeight="1" x14ac:dyDescent="0.55000000000000004">
      <c r="A2260" s="18">
        <v>24.7762235</v>
      </c>
      <c r="B2260" s="18">
        <v>34.795256999999999</v>
      </c>
      <c r="C2260" s="18">
        <v>681505.01</v>
      </c>
      <c r="D2260" s="18">
        <v>2741361.59</v>
      </c>
      <c r="E2260" s="18">
        <v>335.17</v>
      </c>
      <c r="F2260" s="18">
        <v>41923.760000000002</v>
      </c>
      <c r="G2260" s="18">
        <v>134258</v>
      </c>
      <c r="H2260" s="18">
        <f t="shared" si="69"/>
        <v>41887.760000000002</v>
      </c>
      <c r="I2260" s="12"/>
    </row>
    <row r="2261" spans="1:9" s="2" customFormat="1" ht="21.75" customHeight="1" x14ac:dyDescent="0.55000000000000004">
      <c r="A2261" s="18">
        <v>24.776232400000001</v>
      </c>
      <c r="B2261" s="18">
        <v>34.7952321</v>
      </c>
      <c r="C2261" s="18">
        <v>681502.47</v>
      </c>
      <c r="D2261" s="18">
        <v>2741362.55</v>
      </c>
      <c r="E2261" s="18">
        <v>335.21</v>
      </c>
      <c r="F2261" s="18">
        <v>41923.519999999997</v>
      </c>
      <c r="G2261" s="18">
        <v>134300</v>
      </c>
      <c r="H2261" s="18">
        <f t="shared" si="69"/>
        <v>41887.519999999997</v>
      </c>
      <c r="I2261" s="12"/>
    </row>
    <row r="2262" spans="1:9" s="2" customFormat="1" ht="21.75" customHeight="1" x14ac:dyDescent="0.55000000000000004">
      <c r="A2262" s="18">
        <v>24.776232799999999</v>
      </c>
      <c r="B2262" s="18">
        <v>34.795209499999999</v>
      </c>
      <c r="C2262" s="18">
        <v>681500.19</v>
      </c>
      <c r="D2262" s="18">
        <v>2741362.56</v>
      </c>
      <c r="E2262" s="18">
        <v>335.34</v>
      </c>
      <c r="F2262" s="18">
        <v>41927.39</v>
      </c>
      <c r="G2262" s="18">
        <v>134302</v>
      </c>
      <c r="H2262" s="18">
        <f t="shared" si="69"/>
        <v>41891.39</v>
      </c>
      <c r="I2262" s="12"/>
    </row>
    <row r="2263" spans="1:9" s="2" customFormat="1" ht="21.75" customHeight="1" x14ac:dyDescent="0.55000000000000004">
      <c r="A2263" s="18">
        <v>24.7762408</v>
      </c>
      <c r="B2263" s="18">
        <v>34.7951871</v>
      </c>
      <c r="C2263" s="18">
        <v>681497.9</v>
      </c>
      <c r="D2263" s="18">
        <v>2741363.41</v>
      </c>
      <c r="E2263" s="18">
        <v>335.32</v>
      </c>
      <c r="F2263" s="18">
        <v>41923.730000000003</v>
      </c>
      <c r="G2263" s="18">
        <v>134304</v>
      </c>
      <c r="H2263" s="18">
        <f t="shared" si="69"/>
        <v>41887.730000000003</v>
      </c>
      <c r="I2263" s="12"/>
    </row>
    <row r="2264" spans="1:9" s="2" customFormat="1" ht="21.75" customHeight="1" x14ac:dyDescent="0.55000000000000004">
      <c r="A2264" s="18">
        <v>24.776247600000001</v>
      </c>
      <c r="B2264" s="18">
        <v>34.795163799999997</v>
      </c>
      <c r="C2264" s="18">
        <v>681495.54</v>
      </c>
      <c r="D2264" s="18">
        <v>2741364.14</v>
      </c>
      <c r="E2264" s="18">
        <v>335.48</v>
      </c>
      <c r="F2264" s="18">
        <v>41928.089999999997</v>
      </c>
      <c r="G2264" s="18">
        <v>134306</v>
      </c>
      <c r="H2264" s="18">
        <f t="shared" si="69"/>
        <v>41892.089999999997</v>
      </c>
      <c r="I2264" s="12"/>
    </row>
    <row r="2265" spans="1:9" s="2" customFormat="1" ht="21.75" customHeight="1" x14ac:dyDescent="0.55000000000000004">
      <c r="A2265" s="18">
        <v>24.776241800000001</v>
      </c>
      <c r="B2265" s="18">
        <v>34.795143799999998</v>
      </c>
      <c r="C2265" s="18">
        <v>681493.53</v>
      </c>
      <c r="D2265" s="18">
        <v>2741363.47</v>
      </c>
      <c r="E2265" s="18">
        <v>335.62</v>
      </c>
      <c r="F2265" s="18">
        <v>41927.910000000003</v>
      </c>
      <c r="G2265" s="18">
        <v>134308</v>
      </c>
      <c r="H2265" s="18">
        <f t="shared" si="69"/>
        <v>41891.910000000003</v>
      </c>
      <c r="I2265" s="12"/>
    </row>
    <row r="2266" spans="1:9" s="2" customFormat="1" ht="21.75" customHeight="1" x14ac:dyDescent="0.55000000000000004">
      <c r="A2266" s="18">
        <v>24.776232400000001</v>
      </c>
      <c r="B2266" s="18">
        <v>34.795123099999998</v>
      </c>
      <c r="C2266" s="18">
        <v>681491.45</v>
      </c>
      <c r="D2266" s="18">
        <v>2741362.41</v>
      </c>
      <c r="E2266" s="18">
        <v>335.8</v>
      </c>
      <c r="F2266" s="18">
        <v>41919.67</v>
      </c>
      <c r="G2266" s="18">
        <v>134310</v>
      </c>
      <c r="H2266" s="18">
        <f t="shared" si="69"/>
        <v>41883.67</v>
      </c>
      <c r="I2266" s="12"/>
    </row>
    <row r="2267" spans="1:9" s="2" customFormat="1" ht="21.75" customHeight="1" x14ac:dyDescent="0.55000000000000004">
      <c r="A2267" s="18">
        <v>24.776220200000001</v>
      </c>
      <c r="B2267" s="18">
        <v>34.795105300000003</v>
      </c>
      <c r="C2267" s="18">
        <v>681489.66</v>
      </c>
      <c r="D2267" s="18">
        <v>2741361.03</v>
      </c>
      <c r="E2267" s="18">
        <v>335.75</v>
      </c>
      <c r="F2267" s="18">
        <v>41921.31</v>
      </c>
      <c r="G2267" s="18">
        <v>134312</v>
      </c>
      <c r="H2267" s="18">
        <f t="shared" si="69"/>
        <v>41885.31</v>
      </c>
      <c r="I2267" s="12"/>
    </row>
    <row r="2268" spans="1:9" s="2" customFormat="1" ht="21.75" customHeight="1" x14ac:dyDescent="0.55000000000000004">
      <c r="A2268" s="18">
        <v>24.776201499999999</v>
      </c>
      <c r="B2268" s="18">
        <v>34.795090899999998</v>
      </c>
      <c r="C2268" s="18">
        <v>681488.23</v>
      </c>
      <c r="D2268" s="18">
        <v>2741358.94</v>
      </c>
      <c r="E2268" s="18">
        <v>335.68</v>
      </c>
      <c r="F2268" s="18">
        <v>41921.769999999997</v>
      </c>
      <c r="G2268" s="18">
        <v>134314</v>
      </c>
      <c r="H2268" s="18">
        <f t="shared" si="69"/>
        <v>41885.769999999997</v>
      </c>
      <c r="I2268" s="12"/>
    </row>
    <row r="2269" spans="1:9" s="2" customFormat="1" ht="21.75" customHeight="1" x14ac:dyDescent="0.55000000000000004">
      <c r="A2269" s="18">
        <v>24.7761803</v>
      </c>
      <c r="B2269" s="18">
        <v>34.795075900000001</v>
      </c>
      <c r="C2269" s="18">
        <v>681486.75</v>
      </c>
      <c r="D2269" s="18">
        <v>2741356.57</v>
      </c>
      <c r="E2269" s="18">
        <v>335.74</v>
      </c>
      <c r="F2269" s="18">
        <v>41922.28</v>
      </c>
      <c r="G2269" s="18">
        <v>134316</v>
      </c>
      <c r="H2269" s="18">
        <f t="shared" si="69"/>
        <v>41886.28</v>
      </c>
      <c r="I2269" s="12"/>
    </row>
    <row r="2270" spans="1:9" s="2" customFormat="1" ht="21.75" customHeight="1" x14ac:dyDescent="0.55000000000000004">
      <c r="A2270" s="18">
        <v>24.776163400000002</v>
      </c>
      <c r="B2270" s="18">
        <v>34.795068399999998</v>
      </c>
      <c r="C2270" s="18">
        <v>681486.01</v>
      </c>
      <c r="D2270" s="18">
        <v>2741354.69</v>
      </c>
      <c r="E2270" s="18">
        <v>336.11</v>
      </c>
      <c r="F2270" s="18">
        <v>41920.19</v>
      </c>
      <c r="G2270" s="18">
        <v>134318</v>
      </c>
      <c r="H2270" s="18">
        <f t="shared" si="69"/>
        <v>41884.19</v>
      </c>
      <c r="I2270" s="12"/>
    </row>
    <row r="2271" spans="1:9" s="2" customFormat="1" ht="21.75" customHeight="1" x14ac:dyDescent="0.55000000000000004">
      <c r="A2271" s="18">
        <v>24.776147000000002</v>
      </c>
      <c r="B2271" s="18">
        <v>34.795062399999999</v>
      </c>
      <c r="C2271" s="18">
        <v>681485.43</v>
      </c>
      <c r="D2271" s="18">
        <v>2741352.87</v>
      </c>
      <c r="E2271" s="18">
        <v>336.2</v>
      </c>
      <c r="F2271" s="18">
        <v>41922.629999999997</v>
      </c>
      <c r="G2271" s="18">
        <v>134320</v>
      </c>
      <c r="H2271" s="18">
        <f t="shared" si="69"/>
        <v>41886.629999999997</v>
      </c>
      <c r="I2271" s="12"/>
    </row>
    <row r="2272" spans="1:9" s="2" customFormat="1" ht="21.75" customHeight="1" x14ac:dyDescent="0.55000000000000004">
      <c r="A2272" s="18">
        <v>24.776130999999999</v>
      </c>
      <c r="B2272" s="18">
        <v>34.795048199999997</v>
      </c>
      <c r="C2272" s="18">
        <v>681484.02</v>
      </c>
      <c r="D2272" s="18">
        <v>2741351.07</v>
      </c>
      <c r="E2272" s="18">
        <v>336.36</v>
      </c>
      <c r="F2272" s="18">
        <v>41921.75</v>
      </c>
      <c r="G2272" s="18">
        <v>134322</v>
      </c>
      <c r="H2272" s="18">
        <f t="shared" si="69"/>
        <v>41885.75</v>
      </c>
      <c r="I2272" s="12"/>
    </row>
    <row r="2273" spans="1:9" s="2" customFormat="1" ht="21.75" customHeight="1" x14ac:dyDescent="0.55000000000000004">
      <c r="A2273" s="18">
        <v>24.776117500000002</v>
      </c>
      <c r="B2273" s="18">
        <v>34.795037100000002</v>
      </c>
      <c r="C2273" s="18">
        <v>681482.92</v>
      </c>
      <c r="D2273" s="18">
        <v>2741349.57</v>
      </c>
      <c r="E2273" s="18">
        <v>336.31</v>
      </c>
      <c r="F2273" s="18">
        <v>41921.15</v>
      </c>
      <c r="G2273" s="18">
        <v>134324</v>
      </c>
      <c r="H2273" s="18">
        <f t="shared" si="69"/>
        <v>41885.15</v>
      </c>
      <c r="I2273" s="12"/>
    </row>
    <row r="2274" spans="1:9" s="2" customFormat="1" ht="21.75" customHeight="1" x14ac:dyDescent="0.55000000000000004">
      <c r="A2274" s="18">
        <v>24.7761116</v>
      </c>
      <c r="B2274" s="18">
        <v>34.795018900000002</v>
      </c>
      <c r="C2274" s="18">
        <v>681481.08</v>
      </c>
      <c r="D2274" s="18">
        <v>2741348.88</v>
      </c>
      <c r="E2274" s="18">
        <v>336.48</v>
      </c>
      <c r="F2274" s="18">
        <v>41922.639999999999</v>
      </c>
      <c r="G2274" s="18">
        <v>134326</v>
      </c>
      <c r="H2274" s="18">
        <f t="shared" si="69"/>
        <v>41886.639999999999</v>
      </c>
      <c r="I2274" s="12"/>
    </row>
    <row r="2275" spans="1:9" s="2" customFormat="1" ht="21.75" customHeight="1" x14ac:dyDescent="0.55000000000000004">
      <c r="A2275" s="18">
        <v>24.7761055</v>
      </c>
      <c r="B2275" s="18">
        <v>34.795010300000001</v>
      </c>
      <c r="C2275" s="18">
        <v>681480.23</v>
      </c>
      <c r="D2275" s="18">
        <v>2741348.19</v>
      </c>
      <c r="E2275" s="18">
        <v>336.67</v>
      </c>
      <c r="F2275" s="18">
        <v>41919.160000000003</v>
      </c>
      <c r="G2275" s="18">
        <v>134328</v>
      </c>
      <c r="H2275" s="18">
        <f t="shared" si="69"/>
        <v>41883.160000000003</v>
      </c>
      <c r="I2275" s="12"/>
    </row>
    <row r="2276" spans="1:9" s="2" customFormat="1" ht="21.75" customHeight="1" x14ac:dyDescent="0.55000000000000004">
      <c r="A2276" s="18">
        <v>24.776095900000001</v>
      </c>
      <c r="B2276" s="18">
        <v>34.795000600000002</v>
      </c>
      <c r="C2276" s="18">
        <v>681479.26</v>
      </c>
      <c r="D2276" s="18">
        <v>2741347.12</v>
      </c>
      <c r="E2276" s="18">
        <v>336.65</v>
      </c>
      <c r="F2276" s="18">
        <v>41920.730000000003</v>
      </c>
      <c r="G2276" s="18">
        <v>134330</v>
      </c>
      <c r="H2276" s="18">
        <f t="shared" si="69"/>
        <v>41884.730000000003</v>
      </c>
      <c r="I2276" s="12"/>
    </row>
    <row r="2277" spans="1:9" s="2" customFormat="1" ht="21.75" customHeight="1" x14ac:dyDescent="0.55000000000000004">
      <c r="A2277" s="18">
        <v>24.776085299999998</v>
      </c>
      <c r="B2277" s="18">
        <v>34.7949877</v>
      </c>
      <c r="C2277" s="18">
        <v>681477.97</v>
      </c>
      <c r="D2277" s="18">
        <v>2741345.93</v>
      </c>
      <c r="E2277" s="18">
        <v>336.84</v>
      </c>
      <c r="F2277" s="18">
        <v>41920.03</v>
      </c>
      <c r="G2277" s="18">
        <v>134332</v>
      </c>
      <c r="H2277" s="18">
        <f t="shared" si="69"/>
        <v>41884.03</v>
      </c>
      <c r="I2277" s="12"/>
    </row>
    <row r="2278" spans="1:9" s="2" customFormat="1" ht="21.75" customHeight="1" x14ac:dyDescent="0.55000000000000004">
      <c r="A2278" s="18">
        <v>24.7760748</v>
      </c>
      <c r="B2278" s="18">
        <v>34.794975600000001</v>
      </c>
      <c r="C2278" s="18">
        <v>681476.76</v>
      </c>
      <c r="D2278" s="18">
        <v>2741344.75</v>
      </c>
      <c r="E2278" s="18">
        <v>336.82</v>
      </c>
      <c r="F2278" s="18">
        <v>41919.19</v>
      </c>
      <c r="G2278" s="18">
        <v>134334</v>
      </c>
      <c r="H2278" s="18">
        <f t="shared" si="69"/>
        <v>41883.19</v>
      </c>
      <c r="I2278" s="12"/>
    </row>
    <row r="2279" spans="1:9" s="2" customFormat="1" ht="21.75" customHeight="1" x14ac:dyDescent="0.55000000000000004">
      <c r="A2279" s="18">
        <v>24.776057900000001</v>
      </c>
      <c r="B2279" s="18">
        <v>34.794960099999997</v>
      </c>
      <c r="C2279" s="18">
        <v>681475.22</v>
      </c>
      <c r="D2279" s="18">
        <v>2741342.86</v>
      </c>
      <c r="E2279" s="18">
        <v>336.94</v>
      </c>
      <c r="F2279" s="18">
        <v>41919.370000000003</v>
      </c>
      <c r="G2279" s="18">
        <v>134336</v>
      </c>
      <c r="H2279" s="18">
        <f t="shared" si="69"/>
        <v>41883.370000000003</v>
      </c>
      <c r="I2279" s="12"/>
    </row>
    <row r="2280" spans="1:9" s="2" customFormat="1" ht="21.75" customHeight="1" x14ac:dyDescent="0.55000000000000004">
      <c r="A2280" s="18">
        <v>24.7760432</v>
      </c>
      <c r="B2280" s="18">
        <v>34.794950900000003</v>
      </c>
      <c r="C2280" s="18">
        <v>681474.31</v>
      </c>
      <c r="D2280" s="18">
        <v>2741341.21</v>
      </c>
      <c r="E2280" s="18">
        <v>336.92</v>
      </c>
      <c r="F2280" s="18">
        <v>41917.93</v>
      </c>
      <c r="G2280" s="18">
        <v>134338</v>
      </c>
      <c r="H2280" s="18">
        <f t="shared" si="69"/>
        <v>41881.93</v>
      </c>
      <c r="I2280" s="12"/>
    </row>
    <row r="2281" spans="1:9" s="2" customFormat="1" ht="21.75" customHeight="1" x14ac:dyDescent="0.55000000000000004">
      <c r="A2281" s="18">
        <v>24.776026600000002</v>
      </c>
      <c r="B2281" s="18">
        <v>34.794934599999998</v>
      </c>
      <c r="C2281" s="18">
        <v>681472.69</v>
      </c>
      <c r="D2281" s="18">
        <v>2741339.36</v>
      </c>
      <c r="E2281" s="18">
        <v>336.95</v>
      </c>
      <c r="F2281" s="18">
        <v>41918.78</v>
      </c>
      <c r="G2281" s="18">
        <v>134340</v>
      </c>
      <c r="H2281" s="18">
        <f t="shared" si="69"/>
        <v>41882.78</v>
      </c>
      <c r="I2281" s="12"/>
    </row>
    <row r="2282" spans="1:9" s="2" customFormat="1" ht="21.75" customHeight="1" x14ac:dyDescent="0.55000000000000004">
      <c r="A2282" s="18">
        <v>24.776015399999999</v>
      </c>
      <c r="B2282" s="18">
        <v>34.794919899999996</v>
      </c>
      <c r="C2282" s="18">
        <v>681471.21</v>
      </c>
      <c r="D2282" s="18">
        <v>2741338.09</v>
      </c>
      <c r="E2282" s="18">
        <v>337.18</v>
      </c>
      <c r="F2282" s="18">
        <v>41915.17</v>
      </c>
      <c r="G2282" s="18">
        <v>134342</v>
      </c>
      <c r="H2282" s="18">
        <f t="shared" si="69"/>
        <v>41879.17</v>
      </c>
      <c r="I2282" s="12"/>
    </row>
    <row r="2283" spans="1:9" s="2" customFormat="1" ht="21.75" customHeight="1" x14ac:dyDescent="0.55000000000000004">
      <c r="A2283" s="18">
        <v>24.7759985</v>
      </c>
      <c r="B2283" s="18">
        <v>34.794910299999998</v>
      </c>
      <c r="C2283" s="18">
        <v>681470.27</v>
      </c>
      <c r="D2283" s="18">
        <v>2741336.22</v>
      </c>
      <c r="E2283" s="18">
        <v>337.22</v>
      </c>
      <c r="F2283" s="18">
        <v>41916.81</v>
      </c>
      <c r="G2283" s="18">
        <v>134344</v>
      </c>
      <c r="H2283" s="18">
        <f t="shared" si="69"/>
        <v>41880.81</v>
      </c>
      <c r="I2283" s="12"/>
    </row>
    <row r="2284" spans="1:9" s="2" customFormat="1" ht="21.75" customHeight="1" x14ac:dyDescent="0.55000000000000004">
      <c r="A2284" s="18">
        <v>24.775979599999999</v>
      </c>
      <c r="B2284" s="18">
        <v>34.794901000000003</v>
      </c>
      <c r="C2284" s="18">
        <v>681469.36</v>
      </c>
      <c r="D2284" s="18">
        <v>2741334.1</v>
      </c>
      <c r="E2284" s="18">
        <v>337.11</v>
      </c>
      <c r="F2284" s="18">
        <v>41920.29</v>
      </c>
      <c r="G2284" s="18">
        <v>134346</v>
      </c>
      <c r="H2284" s="18">
        <f t="shared" si="69"/>
        <v>41884.29</v>
      </c>
      <c r="I2284" s="12"/>
    </row>
    <row r="2285" spans="1:9" s="2" customFormat="1" ht="21.75" customHeight="1" x14ac:dyDescent="0.55000000000000004">
      <c r="A2285" s="18">
        <v>24.7759623</v>
      </c>
      <c r="B2285" s="18">
        <v>34.794887699999997</v>
      </c>
      <c r="C2285" s="18">
        <v>681468.04</v>
      </c>
      <c r="D2285" s="18">
        <v>2741332.17</v>
      </c>
      <c r="E2285" s="18">
        <v>336.94</v>
      </c>
      <c r="F2285" s="18">
        <v>41920.92</v>
      </c>
      <c r="G2285" s="18">
        <v>134348</v>
      </c>
      <c r="H2285" s="18">
        <f t="shared" si="69"/>
        <v>41884.92</v>
      </c>
      <c r="I2285" s="12"/>
    </row>
    <row r="2286" spans="1:9" s="2" customFormat="1" ht="21.75" customHeight="1" x14ac:dyDescent="0.55000000000000004">
      <c r="A2286" s="18">
        <v>24.775949099999998</v>
      </c>
      <c r="B2286" s="18">
        <v>34.794868200000003</v>
      </c>
      <c r="C2286" s="18">
        <v>681466.09</v>
      </c>
      <c r="D2286" s="18">
        <v>2741330.69</v>
      </c>
      <c r="E2286" s="18">
        <v>337.08</v>
      </c>
      <c r="F2286" s="18">
        <v>41918.980000000003</v>
      </c>
      <c r="G2286" s="18">
        <v>134350</v>
      </c>
      <c r="H2286" s="18">
        <f t="shared" si="69"/>
        <v>41882.980000000003</v>
      </c>
      <c r="I2286" s="12"/>
    </row>
    <row r="2287" spans="1:9" s="2" customFormat="1" ht="21.75" customHeight="1" x14ac:dyDescent="0.55000000000000004">
      <c r="A2287" s="18">
        <v>24.775942300000001</v>
      </c>
      <c r="B2287" s="18">
        <v>34.794845799999997</v>
      </c>
      <c r="C2287" s="18">
        <v>681463.83</v>
      </c>
      <c r="D2287" s="18">
        <v>2741329.9</v>
      </c>
      <c r="E2287" s="18">
        <v>337.25</v>
      </c>
      <c r="F2287" s="18">
        <v>41920.639999999999</v>
      </c>
      <c r="G2287" s="18">
        <v>134352</v>
      </c>
      <c r="H2287" s="18">
        <f t="shared" si="69"/>
        <v>41884.639999999999</v>
      </c>
      <c r="I2287" s="12"/>
    </row>
    <row r="2288" spans="1:9" s="2" customFormat="1" ht="21.75" customHeight="1" x14ac:dyDescent="0.55000000000000004">
      <c r="A2288" s="18">
        <v>24.775932699999998</v>
      </c>
      <c r="B2288" s="18">
        <v>34.794828299999999</v>
      </c>
      <c r="C2288" s="18">
        <v>681462.08</v>
      </c>
      <c r="D2288" s="18">
        <v>2741328.82</v>
      </c>
      <c r="E2288" s="18">
        <v>337.48</v>
      </c>
      <c r="F2288" s="18">
        <v>41918.410000000003</v>
      </c>
      <c r="G2288" s="18">
        <v>134354</v>
      </c>
      <c r="H2288" s="18">
        <f t="shared" si="69"/>
        <v>41882.410000000003</v>
      </c>
      <c r="I2288" s="12"/>
    </row>
    <row r="2289" spans="1:9" s="2" customFormat="1" ht="21.75" customHeight="1" x14ac:dyDescent="0.55000000000000004">
      <c r="A2289" s="18">
        <v>24.775925900000001</v>
      </c>
      <c r="B2289" s="18">
        <v>34.794810900000002</v>
      </c>
      <c r="C2289" s="18">
        <v>681460.32</v>
      </c>
      <c r="D2289" s="18">
        <v>2741328.03</v>
      </c>
      <c r="E2289" s="18">
        <v>337.77</v>
      </c>
      <c r="F2289" s="18">
        <v>41920.400000000001</v>
      </c>
      <c r="G2289" s="18">
        <v>134356</v>
      </c>
      <c r="H2289" s="18">
        <f t="shared" si="69"/>
        <v>41884.400000000001</v>
      </c>
      <c r="I2289" s="12"/>
    </row>
    <row r="2290" spans="1:9" s="2" customFormat="1" ht="21.75" customHeight="1" x14ac:dyDescent="0.55000000000000004">
      <c r="A2290" s="18">
        <v>24.775925300000001</v>
      </c>
      <c r="B2290" s="18">
        <v>34.794788599999997</v>
      </c>
      <c r="C2290" s="18">
        <v>681458.07</v>
      </c>
      <c r="D2290" s="18">
        <v>2741327.94</v>
      </c>
      <c r="E2290" s="18">
        <v>337.75</v>
      </c>
      <c r="F2290" s="18">
        <v>41916.870000000003</v>
      </c>
      <c r="G2290" s="18">
        <v>134358</v>
      </c>
      <c r="H2290" s="18">
        <f t="shared" si="69"/>
        <v>41880.870000000003</v>
      </c>
      <c r="I2290" s="12"/>
    </row>
    <row r="2291" spans="1:9" s="2" customFormat="1" ht="21.75" customHeight="1" x14ac:dyDescent="0.55000000000000004">
      <c r="A2291" s="18">
        <v>24.775918399999998</v>
      </c>
      <c r="B2291" s="18">
        <v>34.794769000000002</v>
      </c>
      <c r="C2291" s="18">
        <v>681456.1</v>
      </c>
      <c r="D2291" s="18">
        <v>2741327.16</v>
      </c>
      <c r="E2291" s="18">
        <v>337.91</v>
      </c>
      <c r="F2291" s="18">
        <v>41915.71</v>
      </c>
      <c r="G2291" s="18">
        <v>134400</v>
      </c>
      <c r="H2291" s="18">
        <f t="shared" si="69"/>
        <v>41879.71</v>
      </c>
      <c r="I2291" s="12"/>
    </row>
    <row r="2292" spans="1:9" s="2" customFormat="1" ht="21.75" customHeight="1" x14ac:dyDescent="0.55000000000000004">
      <c r="A2292" s="18">
        <v>24.775905600000002</v>
      </c>
      <c r="B2292" s="18">
        <v>34.7947536</v>
      </c>
      <c r="C2292" s="18">
        <v>681454.55</v>
      </c>
      <c r="D2292" s="18">
        <v>2741325.71</v>
      </c>
      <c r="E2292" s="18">
        <v>338.17</v>
      </c>
      <c r="F2292" s="18">
        <v>41919.160000000003</v>
      </c>
      <c r="G2292" s="18">
        <v>134402</v>
      </c>
      <c r="H2292" s="18">
        <f t="shared" si="69"/>
        <v>41883.160000000003</v>
      </c>
      <c r="I2292" s="12"/>
    </row>
    <row r="2293" spans="1:9" s="2" customFormat="1" ht="21.75" customHeight="1" x14ac:dyDescent="0.55000000000000004">
      <c r="A2293" s="18">
        <v>24.775894999999998</v>
      </c>
      <c r="B2293" s="18">
        <v>34.794734599999998</v>
      </c>
      <c r="C2293" s="18">
        <v>681452.65</v>
      </c>
      <c r="D2293" s="18">
        <v>2741324.51</v>
      </c>
      <c r="E2293" s="18">
        <v>338.44</v>
      </c>
      <c r="F2293" s="18">
        <v>41919.480000000003</v>
      </c>
      <c r="G2293" s="18">
        <v>134404</v>
      </c>
      <c r="H2293" s="18">
        <f t="shared" si="69"/>
        <v>41883.480000000003</v>
      </c>
      <c r="I2293" s="12"/>
    </row>
    <row r="2294" spans="1:9" s="2" customFormat="1" ht="21.75" customHeight="1" x14ac:dyDescent="0.55000000000000004">
      <c r="A2294" s="18">
        <v>24.775885899999999</v>
      </c>
      <c r="B2294" s="18">
        <v>34.794710899999998</v>
      </c>
      <c r="C2294" s="18">
        <v>681450.27</v>
      </c>
      <c r="D2294" s="18">
        <v>2741323.48</v>
      </c>
      <c r="E2294" s="18">
        <v>338.65</v>
      </c>
      <c r="F2294" s="18">
        <v>41916.01</v>
      </c>
      <c r="G2294" s="18">
        <v>134406</v>
      </c>
      <c r="H2294" s="18">
        <f t="shared" si="69"/>
        <v>41880.01</v>
      </c>
      <c r="I2294" s="12"/>
    </row>
    <row r="2295" spans="1:9" s="2" customFormat="1" ht="21.75" customHeight="1" x14ac:dyDescent="0.55000000000000004">
      <c r="A2295" s="18">
        <v>24.775884300000001</v>
      </c>
      <c r="B2295" s="18">
        <v>34.794686200000001</v>
      </c>
      <c r="C2295" s="18">
        <v>681447.78</v>
      </c>
      <c r="D2295" s="18">
        <v>2741323.27</v>
      </c>
      <c r="E2295" s="18">
        <v>338.7</v>
      </c>
      <c r="F2295" s="18">
        <v>41914.980000000003</v>
      </c>
      <c r="G2295" s="18">
        <v>134408</v>
      </c>
      <c r="H2295" s="18">
        <f t="shared" si="69"/>
        <v>41878.980000000003</v>
      </c>
      <c r="I2295" s="12"/>
    </row>
    <row r="2296" spans="1:9" s="2" customFormat="1" ht="21.75" customHeight="1" x14ac:dyDescent="0.55000000000000004">
      <c r="A2296" s="18">
        <v>24.775885299999999</v>
      </c>
      <c r="B2296" s="18">
        <v>34.794660800000003</v>
      </c>
      <c r="C2296" s="18">
        <v>681445.2</v>
      </c>
      <c r="D2296" s="18">
        <v>2741323.35</v>
      </c>
      <c r="E2296" s="18">
        <v>338.9</v>
      </c>
      <c r="F2296" s="18">
        <v>41915.769999999997</v>
      </c>
      <c r="G2296" s="18">
        <v>134410</v>
      </c>
      <c r="H2296" s="18">
        <f t="shared" si="69"/>
        <v>41879.769999999997</v>
      </c>
      <c r="I2296" s="12"/>
    </row>
    <row r="2297" spans="1:9" s="2" customFormat="1" ht="21.75" customHeight="1" x14ac:dyDescent="0.55000000000000004">
      <c r="A2297" s="18">
        <v>24.775883799999999</v>
      </c>
      <c r="B2297" s="18">
        <v>34.794637600000001</v>
      </c>
      <c r="C2297" s="18">
        <v>681442.86</v>
      </c>
      <c r="D2297" s="18">
        <v>2741323.14</v>
      </c>
      <c r="E2297" s="18">
        <v>339.03</v>
      </c>
      <c r="F2297" s="18">
        <v>41916.300000000003</v>
      </c>
      <c r="G2297" s="18">
        <v>134412</v>
      </c>
      <c r="H2297" s="18">
        <f t="shared" si="69"/>
        <v>41880.300000000003</v>
      </c>
      <c r="I2297" s="12"/>
    </row>
    <row r="2298" spans="1:9" s="2" customFormat="1" ht="21.75" customHeight="1" x14ac:dyDescent="0.55000000000000004">
      <c r="A2298" s="18">
        <v>24.775887399999998</v>
      </c>
      <c r="B2298" s="18">
        <v>34.794612000000001</v>
      </c>
      <c r="C2298" s="18">
        <v>681440.26</v>
      </c>
      <c r="D2298" s="18">
        <v>2741323.51</v>
      </c>
      <c r="E2298" s="18">
        <v>339.22</v>
      </c>
      <c r="F2298" s="18">
        <v>41916.199999999997</v>
      </c>
      <c r="G2298" s="18">
        <v>134414</v>
      </c>
      <c r="H2298" s="18">
        <f t="shared" si="69"/>
        <v>41880.199999999997</v>
      </c>
      <c r="I2298" s="12"/>
    </row>
    <row r="2299" spans="1:9" s="2" customFormat="1" ht="21.75" customHeight="1" x14ac:dyDescent="0.55000000000000004">
      <c r="A2299" s="18">
        <v>24.7758948</v>
      </c>
      <c r="B2299" s="18">
        <v>34.794588300000001</v>
      </c>
      <c r="C2299" s="18">
        <v>681437.85</v>
      </c>
      <c r="D2299" s="18">
        <v>2741324.3</v>
      </c>
      <c r="E2299" s="18">
        <v>339.2</v>
      </c>
      <c r="F2299" s="18">
        <v>41915.11</v>
      </c>
      <c r="G2299" s="18">
        <v>134416</v>
      </c>
      <c r="H2299" s="18">
        <f t="shared" si="69"/>
        <v>41879.11</v>
      </c>
      <c r="I2299" s="12"/>
    </row>
    <row r="2300" spans="1:9" s="2" customFormat="1" ht="21.75" customHeight="1" x14ac:dyDescent="0.55000000000000004">
      <c r="A2300" s="18">
        <v>24.775896100000001</v>
      </c>
      <c r="B2300" s="18">
        <v>34.794564399999999</v>
      </c>
      <c r="C2300" s="18">
        <v>681435.44</v>
      </c>
      <c r="D2300" s="18">
        <v>2741324.41</v>
      </c>
      <c r="E2300" s="18">
        <v>339.47</v>
      </c>
      <c r="F2300" s="18">
        <v>41915.760000000002</v>
      </c>
      <c r="G2300" s="18">
        <v>134418</v>
      </c>
      <c r="H2300" s="18">
        <f t="shared" si="69"/>
        <v>41879.760000000002</v>
      </c>
      <c r="I2300" s="12"/>
    </row>
    <row r="2301" spans="1:9" s="2" customFormat="1" ht="21.75" customHeight="1" x14ac:dyDescent="0.55000000000000004">
      <c r="A2301" s="18">
        <v>24.775895999999999</v>
      </c>
      <c r="B2301" s="18">
        <v>34.794540599999998</v>
      </c>
      <c r="C2301" s="18">
        <v>681433.04</v>
      </c>
      <c r="D2301" s="18">
        <v>2741324.37</v>
      </c>
      <c r="E2301" s="18">
        <v>339.77</v>
      </c>
      <c r="F2301" s="18">
        <v>41916.01</v>
      </c>
      <c r="G2301" s="18">
        <v>134420</v>
      </c>
      <c r="H2301" s="18">
        <f t="shared" si="69"/>
        <v>41880.01</v>
      </c>
      <c r="I2301" s="12"/>
    </row>
    <row r="2302" spans="1:9" s="2" customFormat="1" ht="21.75" customHeight="1" x14ac:dyDescent="0.55000000000000004">
      <c r="A2302" s="18">
        <v>24.775895800000001</v>
      </c>
      <c r="B2302" s="18">
        <v>34.794517300000003</v>
      </c>
      <c r="C2302" s="18">
        <v>681430.68</v>
      </c>
      <c r="D2302" s="18">
        <v>2741324.32</v>
      </c>
      <c r="E2302" s="18">
        <v>340.08</v>
      </c>
      <c r="F2302" s="18">
        <v>41915.85</v>
      </c>
      <c r="G2302" s="18">
        <v>134422</v>
      </c>
      <c r="H2302" s="18">
        <f t="shared" si="69"/>
        <v>41879.85</v>
      </c>
      <c r="I2302" s="12"/>
    </row>
    <row r="2303" spans="1:9" s="2" customFormat="1" ht="21.75" customHeight="1" x14ac:dyDescent="0.55000000000000004">
      <c r="A2303" s="18">
        <v>24.7758915</v>
      </c>
      <c r="B2303" s="18">
        <v>34.794494999999998</v>
      </c>
      <c r="C2303" s="18">
        <v>681428.43</v>
      </c>
      <c r="D2303" s="18">
        <v>2741323.81</v>
      </c>
      <c r="E2303" s="18">
        <v>340.28</v>
      </c>
      <c r="F2303" s="18">
        <v>41915.980000000003</v>
      </c>
      <c r="G2303" s="18">
        <v>134424</v>
      </c>
      <c r="H2303" s="18">
        <f t="shared" si="69"/>
        <v>41879.980000000003</v>
      </c>
      <c r="I2303" s="12"/>
    </row>
    <row r="2304" spans="1:9" s="2" customFormat="1" ht="21.75" customHeight="1" x14ac:dyDescent="0.55000000000000004">
      <c r="A2304" s="18">
        <v>24.775888399999999</v>
      </c>
      <c r="B2304" s="18">
        <v>34.794474000000001</v>
      </c>
      <c r="C2304" s="18">
        <v>681426.31</v>
      </c>
      <c r="D2304" s="18">
        <v>2741323.44</v>
      </c>
      <c r="E2304" s="18">
        <v>340.6</v>
      </c>
      <c r="F2304" s="18">
        <v>41915.980000000003</v>
      </c>
      <c r="G2304" s="18">
        <v>134426</v>
      </c>
      <c r="H2304" s="18">
        <f t="shared" si="69"/>
        <v>41879.980000000003</v>
      </c>
      <c r="I2304" s="12"/>
    </row>
    <row r="2305" spans="1:9" s="2" customFormat="1" ht="21.75" customHeight="1" x14ac:dyDescent="0.55000000000000004">
      <c r="A2305" s="18">
        <v>24.775878500000001</v>
      </c>
      <c r="B2305" s="18">
        <v>34.794454500000001</v>
      </c>
      <c r="C2305" s="18">
        <v>681424.35</v>
      </c>
      <c r="D2305" s="18">
        <v>2741322.32</v>
      </c>
      <c r="E2305" s="18">
        <v>340.63</v>
      </c>
      <c r="F2305" s="18">
        <v>41917.93</v>
      </c>
      <c r="G2305" s="18">
        <v>134428</v>
      </c>
      <c r="H2305" s="18">
        <f t="shared" si="69"/>
        <v>41881.93</v>
      </c>
      <c r="I2305" s="12"/>
    </row>
    <row r="2306" spans="1:9" s="2" customFormat="1" ht="21.75" customHeight="1" x14ac:dyDescent="0.55000000000000004">
      <c r="A2306" s="18">
        <v>24.7758687</v>
      </c>
      <c r="B2306" s="18">
        <v>34.794434000000003</v>
      </c>
      <c r="C2306" s="18">
        <v>681422.29</v>
      </c>
      <c r="D2306" s="18">
        <v>2741321.2</v>
      </c>
      <c r="E2306" s="18">
        <v>340.38</v>
      </c>
      <c r="F2306" s="18">
        <v>41916.76</v>
      </c>
      <c r="G2306" s="18">
        <v>134430</v>
      </c>
      <c r="H2306" s="18">
        <f t="shared" si="69"/>
        <v>41880.76</v>
      </c>
      <c r="I2306" s="12"/>
    </row>
    <row r="2307" spans="1:9" s="2" customFormat="1" ht="21.75" customHeight="1" x14ac:dyDescent="0.55000000000000004">
      <c r="A2307" s="18">
        <v>24.775854500000001</v>
      </c>
      <c r="B2307" s="18">
        <v>34.7944113</v>
      </c>
      <c r="C2307" s="18">
        <v>681420.02</v>
      </c>
      <c r="D2307" s="18">
        <v>2741319.6</v>
      </c>
      <c r="E2307" s="18">
        <v>339.97</v>
      </c>
      <c r="F2307" s="18">
        <v>41917.269999999997</v>
      </c>
      <c r="G2307" s="18">
        <v>134432</v>
      </c>
      <c r="H2307" s="18">
        <f t="shared" si="69"/>
        <v>41881.269999999997</v>
      </c>
      <c r="I2307" s="12"/>
    </row>
    <row r="2308" spans="1:9" s="2" customFormat="1" ht="21.75" customHeight="1" x14ac:dyDescent="0.55000000000000004">
      <c r="A2308" s="18">
        <v>24.775842000000001</v>
      </c>
      <c r="B2308" s="18">
        <v>34.794389000000002</v>
      </c>
      <c r="C2308" s="18">
        <v>681417.78</v>
      </c>
      <c r="D2308" s="18">
        <v>2741318.19</v>
      </c>
      <c r="E2308" s="18">
        <v>340.13</v>
      </c>
      <c r="F2308" s="18">
        <v>41917.339999999997</v>
      </c>
      <c r="G2308" s="18">
        <v>134434</v>
      </c>
      <c r="H2308" s="18">
        <f t="shared" si="69"/>
        <v>41881.339999999997</v>
      </c>
      <c r="I2308" s="12"/>
    </row>
    <row r="2309" spans="1:9" s="2" customFormat="1" ht="21.75" customHeight="1" x14ac:dyDescent="0.55000000000000004">
      <c r="A2309" s="18">
        <v>24.775833800000001</v>
      </c>
      <c r="B2309" s="18">
        <v>34.794366099999998</v>
      </c>
      <c r="C2309" s="18">
        <v>681415.48</v>
      </c>
      <c r="D2309" s="18">
        <v>2741317.25</v>
      </c>
      <c r="E2309" s="18">
        <v>340.25</v>
      </c>
      <c r="F2309" s="18">
        <v>41916.94</v>
      </c>
      <c r="G2309" s="18">
        <v>134436</v>
      </c>
      <c r="H2309" s="18">
        <f t="shared" si="69"/>
        <v>41880.94</v>
      </c>
      <c r="I2309" s="12"/>
    </row>
    <row r="2310" spans="1:9" s="2" customFormat="1" ht="21.75" customHeight="1" x14ac:dyDescent="0.55000000000000004">
      <c r="A2310" s="18">
        <v>24.775821000000001</v>
      </c>
      <c r="B2310" s="18">
        <v>34.794344799999998</v>
      </c>
      <c r="C2310" s="18">
        <v>681413.34</v>
      </c>
      <c r="D2310" s="18">
        <v>2741315.8</v>
      </c>
      <c r="E2310" s="18">
        <v>340.39</v>
      </c>
      <c r="F2310" s="18">
        <v>41917.18</v>
      </c>
      <c r="G2310" s="18">
        <v>134438</v>
      </c>
      <c r="H2310" s="18">
        <f t="shared" si="69"/>
        <v>41881.18</v>
      </c>
      <c r="I2310" s="12"/>
    </row>
    <row r="2311" spans="1:9" s="2" customFormat="1" ht="21.75" customHeight="1" x14ac:dyDescent="0.55000000000000004">
      <c r="A2311" s="18">
        <v>24.775807700000001</v>
      </c>
      <c r="B2311" s="18">
        <v>34.794326499999997</v>
      </c>
      <c r="C2311" s="18">
        <v>681411.51</v>
      </c>
      <c r="D2311" s="18">
        <v>2741314.31</v>
      </c>
      <c r="E2311" s="18">
        <v>340.36</v>
      </c>
      <c r="F2311" s="18">
        <v>41914.31</v>
      </c>
      <c r="G2311" s="18">
        <v>134440</v>
      </c>
      <c r="H2311" s="18">
        <f t="shared" si="69"/>
        <v>41878.31</v>
      </c>
      <c r="I2311" s="12"/>
    </row>
    <row r="2312" spans="1:9" s="2" customFormat="1" ht="21.75" customHeight="1" x14ac:dyDescent="0.55000000000000004">
      <c r="A2312" s="18">
        <v>24.7757921</v>
      </c>
      <c r="B2312" s="18">
        <v>34.794305700000002</v>
      </c>
      <c r="C2312" s="18">
        <v>681409.42</v>
      </c>
      <c r="D2312" s="18">
        <v>2741312.55</v>
      </c>
      <c r="E2312" s="18">
        <v>340.47</v>
      </c>
      <c r="F2312" s="18">
        <v>41915.089999999997</v>
      </c>
      <c r="G2312" s="18">
        <v>134442</v>
      </c>
      <c r="H2312" s="18">
        <f t="shared" si="69"/>
        <v>41879.089999999997</v>
      </c>
      <c r="I2312" s="12"/>
    </row>
    <row r="2313" spans="1:9" s="2" customFormat="1" ht="21.75" customHeight="1" x14ac:dyDescent="0.55000000000000004">
      <c r="A2313" s="18">
        <v>24.775777999999999</v>
      </c>
      <c r="B2313" s="18">
        <v>34.7942854</v>
      </c>
      <c r="C2313" s="18">
        <v>681407.39</v>
      </c>
      <c r="D2313" s="18">
        <v>2741310.96</v>
      </c>
      <c r="E2313" s="18">
        <v>340.56</v>
      </c>
      <c r="F2313" s="18">
        <v>41916.730000000003</v>
      </c>
      <c r="G2313" s="18">
        <v>134444</v>
      </c>
      <c r="H2313" s="18">
        <f t="shared" si="69"/>
        <v>41880.730000000003</v>
      </c>
      <c r="I2313" s="12"/>
    </row>
    <row r="2314" spans="1:9" s="2" customFormat="1" ht="21.75" customHeight="1" x14ac:dyDescent="0.55000000000000004">
      <c r="A2314" s="18">
        <v>24.775764299999999</v>
      </c>
      <c r="B2314" s="18">
        <v>34.7942611</v>
      </c>
      <c r="C2314" s="18">
        <v>681404.96</v>
      </c>
      <c r="D2314" s="18">
        <v>2741309.41</v>
      </c>
      <c r="E2314" s="18">
        <v>340.63</v>
      </c>
      <c r="F2314" s="18">
        <v>41919.17</v>
      </c>
      <c r="G2314" s="18">
        <v>134446</v>
      </c>
      <c r="H2314" s="18">
        <f t="shared" si="69"/>
        <v>41883.17</v>
      </c>
      <c r="I2314" s="12"/>
    </row>
    <row r="2315" spans="1:9" s="2" customFormat="1" ht="21.75" customHeight="1" x14ac:dyDescent="0.55000000000000004">
      <c r="A2315" s="18">
        <v>24.775752399999998</v>
      </c>
      <c r="B2315" s="18">
        <v>34.794240799999997</v>
      </c>
      <c r="C2315" s="18">
        <v>681402.92</v>
      </c>
      <c r="D2315" s="18">
        <v>2741308.07</v>
      </c>
      <c r="E2315" s="18">
        <v>340.94</v>
      </c>
      <c r="F2315" s="18">
        <v>41917.760000000002</v>
      </c>
      <c r="G2315" s="18">
        <v>134448</v>
      </c>
      <c r="H2315" s="18">
        <f t="shared" si="69"/>
        <v>41881.760000000002</v>
      </c>
      <c r="I2315" s="12"/>
    </row>
    <row r="2316" spans="1:9" s="2" customFormat="1" ht="21.75" customHeight="1" x14ac:dyDescent="0.55000000000000004">
      <c r="A2316" s="18">
        <v>24.775742300000001</v>
      </c>
      <c r="B2316" s="18">
        <v>34.794220799999998</v>
      </c>
      <c r="C2316" s="18">
        <v>681400.91</v>
      </c>
      <c r="D2316" s="18">
        <v>2741306.93</v>
      </c>
      <c r="E2316" s="18">
        <v>341.31</v>
      </c>
      <c r="F2316" s="18">
        <v>41918.25</v>
      </c>
      <c r="G2316" s="18">
        <v>134450</v>
      </c>
      <c r="H2316" s="18">
        <f t="shared" si="69"/>
        <v>41882.25</v>
      </c>
      <c r="I2316" s="12"/>
    </row>
    <row r="2317" spans="1:9" s="2" customFormat="1" ht="21.75" customHeight="1" x14ac:dyDescent="0.55000000000000004">
      <c r="A2317" s="18">
        <v>24.775735000000001</v>
      </c>
      <c r="B2317" s="18">
        <v>34.794199399999997</v>
      </c>
      <c r="C2317" s="18">
        <v>681398.76</v>
      </c>
      <c r="D2317" s="18">
        <v>2741306.08</v>
      </c>
      <c r="E2317" s="18">
        <v>341.41</v>
      </c>
      <c r="F2317" s="18">
        <v>41915.300000000003</v>
      </c>
      <c r="G2317" s="18">
        <v>134452</v>
      </c>
      <c r="H2317" s="18">
        <f t="shared" ref="H2317:H2321" si="70">SUM(F2317-36)</f>
        <v>41879.300000000003</v>
      </c>
      <c r="I2317" s="12"/>
    </row>
    <row r="2318" spans="1:9" s="2" customFormat="1" ht="21.75" customHeight="1" x14ac:dyDescent="0.55000000000000004">
      <c r="A2318" s="18">
        <v>24.775725699999999</v>
      </c>
      <c r="B2318" s="18">
        <v>34.7941802</v>
      </c>
      <c r="C2318" s="18">
        <v>681396.83</v>
      </c>
      <c r="D2318" s="18">
        <v>2741305.03</v>
      </c>
      <c r="E2318" s="18">
        <v>341.55</v>
      </c>
      <c r="F2318" s="18">
        <v>41912.699999999997</v>
      </c>
      <c r="G2318" s="18">
        <v>134454</v>
      </c>
      <c r="H2318" s="18">
        <f t="shared" si="70"/>
        <v>41876.699999999997</v>
      </c>
      <c r="I2318" s="12"/>
    </row>
    <row r="2319" spans="1:9" s="2" customFormat="1" ht="21.75" customHeight="1" x14ac:dyDescent="0.55000000000000004">
      <c r="A2319" s="18">
        <v>24.775717400000001</v>
      </c>
      <c r="B2319" s="18">
        <v>34.794162499999999</v>
      </c>
      <c r="C2319" s="18">
        <v>681395.05</v>
      </c>
      <c r="D2319" s="18">
        <v>2741304.08</v>
      </c>
      <c r="E2319" s="18">
        <v>341.58</v>
      </c>
      <c r="F2319" s="18">
        <v>41917.99</v>
      </c>
      <c r="G2319" s="18">
        <v>134456</v>
      </c>
      <c r="H2319" s="18">
        <f t="shared" si="70"/>
        <v>41881.99</v>
      </c>
      <c r="I2319" s="12"/>
    </row>
    <row r="2320" spans="1:9" s="2" customFormat="1" ht="21.75" customHeight="1" x14ac:dyDescent="0.55000000000000004">
      <c r="A2320" s="18">
        <v>24.7757124</v>
      </c>
      <c r="B2320" s="18">
        <v>34.794145999999998</v>
      </c>
      <c r="C2320" s="18">
        <v>681393.39</v>
      </c>
      <c r="D2320" s="18">
        <v>2741303.5</v>
      </c>
      <c r="E2320" s="18">
        <v>341.57</v>
      </c>
      <c r="F2320" s="18">
        <v>41913.74</v>
      </c>
      <c r="G2320" s="18">
        <v>134458</v>
      </c>
      <c r="H2320" s="18">
        <f t="shared" si="70"/>
        <v>41877.74</v>
      </c>
      <c r="I2320" s="12"/>
    </row>
    <row r="2321" spans="1:9" s="2" customFormat="1" ht="21.75" customHeight="1" x14ac:dyDescent="0.55000000000000004">
      <c r="A2321" s="18">
        <v>24.775702899999999</v>
      </c>
      <c r="B2321" s="18">
        <v>34.794131200000002</v>
      </c>
      <c r="C2321" s="18">
        <v>681391.91</v>
      </c>
      <c r="D2321" s="18">
        <v>2741302.43</v>
      </c>
      <c r="E2321" s="18">
        <v>341.48</v>
      </c>
      <c r="F2321" s="18">
        <v>41917.160000000003</v>
      </c>
      <c r="G2321" s="18">
        <v>134500</v>
      </c>
      <c r="H2321" s="18">
        <f t="shared" si="70"/>
        <v>41881.160000000003</v>
      </c>
      <c r="I2321" s="12"/>
    </row>
    <row r="2322" spans="1:9" s="2" customFormat="1" ht="21.75" customHeight="1" x14ac:dyDescent="0.55000000000000004">
      <c r="A2322" s="18">
        <v>24.7756911</v>
      </c>
      <c r="B2322" s="18">
        <v>34.794119799999997</v>
      </c>
      <c r="C2322" s="18">
        <v>681390.78</v>
      </c>
      <c r="D2322" s="18">
        <v>2741301.12</v>
      </c>
      <c r="E2322" s="18">
        <v>341.41</v>
      </c>
      <c r="F2322" s="18">
        <v>41929.949999999997</v>
      </c>
      <c r="G2322" s="18">
        <v>134502</v>
      </c>
      <c r="H2322" s="18">
        <f>SUM(F2322-35)</f>
        <v>41894.949999999997</v>
      </c>
      <c r="I2322" s="12"/>
    </row>
    <row r="2323" spans="1:9" s="2" customFormat="1" ht="21.75" customHeight="1" x14ac:dyDescent="0.55000000000000004">
      <c r="A2323" s="18">
        <v>24.775679199999999</v>
      </c>
      <c r="B2323" s="18">
        <v>34.794106499999998</v>
      </c>
      <c r="C2323" s="18">
        <v>681389.45</v>
      </c>
      <c r="D2323" s="18">
        <v>2741299.78</v>
      </c>
      <c r="E2323" s="18">
        <v>341.31</v>
      </c>
      <c r="F2323" s="18">
        <v>41922.35</v>
      </c>
      <c r="G2323" s="18">
        <v>134504</v>
      </c>
      <c r="H2323" s="18">
        <f t="shared" ref="H2323:H2386" si="71">SUM(F2323-35)</f>
        <v>41887.35</v>
      </c>
      <c r="I2323" s="12"/>
    </row>
    <row r="2324" spans="1:9" s="2" customFormat="1" ht="21.75" customHeight="1" x14ac:dyDescent="0.55000000000000004">
      <c r="A2324" s="18">
        <v>24.775670699999999</v>
      </c>
      <c r="B2324" s="18">
        <v>34.794084400000003</v>
      </c>
      <c r="C2324" s="18">
        <v>681387.22</v>
      </c>
      <c r="D2324" s="18">
        <v>2741298.81</v>
      </c>
      <c r="E2324" s="18">
        <v>341.29</v>
      </c>
      <c r="F2324" s="18">
        <v>41918.120000000003</v>
      </c>
      <c r="G2324" s="18">
        <v>134506</v>
      </c>
      <c r="H2324" s="18">
        <f t="shared" si="71"/>
        <v>41883.120000000003</v>
      </c>
      <c r="I2324" s="12"/>
    </row>
    <row r="2325" spans="1:9" s="2" customFormat="1" ht="21.75" customHeight="1" x14ac:dyDescent="0.55000000000000004">
      <c r="A2325" s="18">
        <v>24.7756568</v>
      </c>
      <c r="B2325" s="18">
        <v>34.794067699999999</v>
      </c>
      <c r="C2325" s="18">
        <v>681385.56</v>
      </c>
      <c r="D2325" s="18">
        <v>2741297.25</v>
      </c>
      <c r="E2325" s="18">
        <v>341.41</v>
      </c>
      <c r="F2325" s="18">
        <v>41915.79</v>
      </c>
      <c r="G2325" s="18">
        <v>134508</v>
      </c>
      <c r="H2325" s="18">
        <f t="shared" si="71"/>
        <v>41880.79</v>
      </c>
      <c r="I2325" s="12"/>
    </row>
    <row r="2326" spans="1:9" s="2" customFormat="1" ht="21.75" customHeight="1" x14ac:dyDescent="0.55000000000000004">
      <c r="A2326" s="18">
        <v>24.775644199999999</v>
      </c>
      <c r="B2326" s="18">
        <v>34.794053900000002</v>
      </c>
      <c r="C2326" s="18">
        <v>681384.18</v>
      </c>
      <c r="D2326" s="18">
        <v>2741295.83</v>
      </c>
      <c r="E2326" s="18">
        <v>341.59</v>
      </c>
      <c r="F2326" s="18">
        <v>41912.35</v>
      </c>
      <c r="G2326" s="18">
        <v>134510</v>
      </c>
      <c r="H2326" s="18">
        <f t="shared" si="71"/>
        <v>41877.35</v>
      </c>
      <c r="I2326" s="12"/>
    </row>
    <row r="2327" spans="1:9" s="2" customFormat="1" ht="21.75" customHeight="1" x14ac:dyDescent="0.55000000000000004">
      <c r="A2327" s="18">
        <v>24.775632699999999</v>
      </c>
      <c r="B2327" s="18">
        <v>34.794045300000001</v>
      </c>
      <c r="C2327" s="18">
        <v>681383.33</v>
      </c>
      <c r="D2327" s="18">
        <v>2741294.55</v>
      </c>
      <c r="E2327" s="18">
        <v>341.73</v>
      </c>
      <c r="F2327" s="18">
        <v>41916.11</v>
      </c>
      <c r="G2327" s="18">
        <v>134512</v>
      </c>
      <c r="H2327" s="18">
        <f t="shared" si="71"/>
        <v>41881.11</v>
      </c>
      <c r="I2327" s="12"/>
    </row>
    <row r="2328" spans="1:9" s="2" customFormat="1" ht="21.75" customHeight="1" x14ac:dyDescent="0.55000000000000004">
      <c r="A2328" s="18">
        <v>24.7756188</v>
      </c>
      <c r="B2328" s="18">
        <v>34.794036599999998</v>
      </c>
      <c r="C2328" s="18">
        <v>681382.46</v>
      </c>
      <c r="D2328" s="18">
        <v>2741292.99</v>
      </c>
      <c r="E2328" s="18">
        <v>341.79</v>
      </c>
      <c r="F2328" s="18">
        <v>41915.22</v>
      </c>
      <c r="G2328" s="18">
        <v>134514</v>
      </c>
      <c r="H2328" s="18">
        <f t="shared" si="71"/>
        <v>41880.22</v>
      </c>
      <c r="I2328" s="12"/>
    </row>
    <row r="2329" spans="1:9" s="2" customFormat="1" ht="21.75" customHeight="1" x14ac:dyDescent="0.55000000000000004">
      <c r="A2329" s="18">
        <v>24.775604600000001</v>
      </c>
      <c r="B2329" s="18">
        <v>34.794031500000003</v>
      </c>
      <c r="C2329" s="18">
        <v>681381.97</v>
      </c>
      <c r="D2329" s="18">
        <v>2741291.42</v>
      </c>
      <c r="E2329" s="18">
        <v>341.77</v>
      </c>
      <c r="F2329" s="18">
        <v>41919</v>
      </c>
      <c r="G2329" s="18">
        <v>134516</v>
      </c>
      <c r="H2329" s="18">
        <f t="shared" si="71"/>
        <v>41884</v>
      </c>
      <c r="I2329" s="12"/>
    </row>
    <row r="2330" spans="1:9" s="2" customFormat="1" ht="21.75" customHeight="1" x14ac:dyDescent="0.55000000000000004">
      <c r="A2330" s="18">
        <v>24.775591200000001</v>
      </c>
      <c r="B2330" s="18">
        <v>34.794019800000001</v>
      </c>
      <c r="C2330" s="18">
        <v>681380.81</v>
      </c>
      <c r="D2330" s="18">
        <v>2741289.92</v>
      </c>
      <c r="E2330" s="18">
        <v>341.75</v>
      </c>
      <c r="F2330" s="18">
        <v>41913.94</v>
      </c>
      <c r="G2330" s="18">
        <v>134518</v>
      </c>
      <c r="H2330" s="18">
        <f t="shared" si="71"/>
        <v>41878.94</v>
      </c>
      <c r="I2330" s="12"/>
    </row>
    <row r="2331" spans="1:9" s="2" customFormat="1" ht="21.75" customHeight="1" x14ac:dyDescent="0.55000000000000004">
      <c r="A2331" s="18">
        <v>24.775571100000001</v>
      </c>
      <c r="B2331" s="18">
        <v>34.794010800000002</v>
      </c>
      <c r="C2331" s="18">
        <v>681379.93</v>
      </c>
      <c r="D2331" s="18">
        <v>2741287.68</v>
      </c>
      <c r="E2331" s="18">
        <v>341.75</v>
      </c>
      <c r="F2331" s="18">
        <v>41915.870000000003</v>
      </c>
      <c r="G2331" s="18">
        <v>134520</v>
      </c>
      <c r="H2331" s="18">
        <f t="shared" si="71"/>
        <v>41880.870000000003</v>
      </c>
      <c r="I2331" s="12"/>
    </row>
    <row r="2332" spans="1:9" s="2" customFormat="1" ht="21.75" customHeight="1" x14ac:dyDescent="0.55000000000000004">
      <c r="A2332" s="18">
        <v>24.775552999999999</v>
      </c>
      <c r="B2332" s="18">
        <v>34.794004700000002</v>
      </c>
      <c r="C2332" s="18">
        <v>681379.34</v>
      </c>
      <c r="D2332" s="18">
        <v>2741285.67</v>
      </c>
      <c r="E2332" s="18">
        <v>341.9</v>
      </c>
      <c r="F2332" s="18">
        <v>41915.32</v>
      </c>
      <c r="G2332" s="18">
        <v>134522</v>
      </c>
      <c r="H2332" s="18">
        <f t="shared" si="71"/>
        <v>41880.32</v>
      </c>
      <c r="I2332" s="12"/>
    </row>
    <row r="2333" spans="1:9" s="2" customFormat="1" ht="21.75" customHeight="1" x14ac:dyDescent="0.55000000000000004">
      <c r="A2333" s="18">
        <v>24.775535600000001</v>
      </c>
      <c r="B2333" s="18">
        <v>34.793996</v>
      </c>
      <c r="C2333" s="18">
        <v>681378.48</v>
      </c>
      <c r="D2333" s="18">
        <v>2741283.73</v>
      </c>
      <c r="E2333" s="18">
        <v>341.91</v>
      </c>
      <c r="F2333" s="18">
        <v>41914.910000000003</v>
      </c>
      <c r="G2333" s="18">
        <v>134524</v>
      </c>
      <c r="H2333" s="18">
        <f t="shared" si="71"/>
        <v>41879.910000000003</v>
      </c>
      <c r="I2333" s="12"/>
    </row>
    <row r="2334" spans="1:9" s="2" customFormat="1" ht="21.75" customHeight="1" x14ac:dyDescent="0.55000000000000004">
      <c r="A2334" s="18">
        <v>24.775518699999999</v>
      </c>
      <c r="B2334" s="18">
        <v>34.793986400000001</v>
      </c>
      <c r="C2334" s="18">
        <v>681377.54</v>
      </c>
      <c r="D2334" s="18">
        <v>2741281.85</v>
      </c>
      <c r="E2334" s="18">
        <v>341.91</v>
      </c>
      <c r="F2334" s="18">
        <v>41918.03</v>
      </c>
      <c r="G2334" s="18">
        <v>134526</v>
      </c>
      <c r="H2334" s="18">
        <f t="shared" si="71"/>
        <v>41883.03</v>
      </c>
      <c r="I2334" s="12"/>
    </row>
    <row r="2335" spans="1:9" s="2" customFormat="1" ht="21.75" customHeight="1" x14ac:dyDescent="0.55000000000000004">
      <c r="A2335" s="18">
        <v>24.7755014</v>
      </c>
      <c r="B2335" s="18">
        <v>34.7939784</v>
      </c>
      <c r="C2335" s="18">
        <v>681376.75</v>
      </c>
      <c r="D2335" s="18">
        <v>2741279.91</v>
      </c>
      <c r="E2335" s="18">
        <v>341.97</v>
      </c>
      <c r="F2335" s="18">
        <v>41916.559999999998</v>
      </c>
      <c r="G2335" s="18">
        <v>134528</v>
      </c>
      <c r="H2335" s="18">
        <f t="shared" si="71"/>
        <v>41881.56</v>
      </c>
      <c r="I2335" s="12"/>
    </row>
    <row r="2336" spans="1:9" s="2" customFormat="1" ht="21.75" customHeight="1" x14ac:dyDescent="0.55000000000000004">
      <c r="A2336" s="18">
        <v>24.775484899999999</v>
      </c>
      <c r="B2336" s="18">
        <v>34.793974200000001</v>
      </c>
      <c r="C2336" s="18">
        <v>681376.35</v>
      </c>
      <c r="D2336" s="18">
        <v>2741278.09</v>
      </c>
      <c r="E2336" s="18">
        <v>342.03</v>
      </c>
      <c r="F2336" s="18">
        <v>41917.86</v>
      </c>
      <c r="G2336" s="18">
        <v>134530</v>
      </c>
      <c r="H2336" s="18">
        <f t="shared" si="71"/>
        <v>41882.86</v>
      </c>
      <c r="I2336" s="12"/>
    </row>
    <row r="2337" spans="1:9" s="2" customFormat="1" ht="21.75" customHeight="1" x14ac:dyDescent="0.55000000000000004">
      <c r="A2337" s="18">
        <v>24.775467200000001</v>
      </c>
      <c r="B2337" s="18">
        <v>34.7939729</v>
      </c>
      <c r="C2337" s="18">
        <v>681376.25</v>
      </c>
      <c r="D2337" s="18">
        <v>2741276.12</v>
      </c>
      <c r="E2337" s="18">
        <v>342.02</v>
      </c>
      <c r="F2337" s="18">
        <v>41916.6</v>
      </c>
      <c r="G2337" s="18">
        <v>134532</v>
      </c>
      <c r="H2337" s="18">
        <f t="shared" si="71"/>
        <v>41881.599999999999</v>
      </c>
      <c r="I2337" s="12"/>
    </row>
    <row r="2338" spans="1:9" s="2" customFormat="1" ht="21.75" customHeight="1" x14ac:dyDescent="0.55000000000000004">
      <c r="A2338" s="18">
        <v>24.775451199999999</v>
      </c>
      <c r="B2338" s="18">
        <v>34.793981100000003</v>
      </c>
      <c r="C2338" s="18">
        <v>681377.1</v>
      </c>
      <c r="D2338" s="18">
        <v>2741274.36</v>
      </c>
      <c r="E2338" s="18">
        <v>341.97</v>
      </c>
      <c r="F2338" s="18">
        <v>41917.440000000002</v>
      </c>
      <c r="G2338" s="18">
        <v>134534</v>
      </c>
      <c r="H2338" s="18">
        <f t="shared" si="71"/>
        <v>41882.44</v>
      </c>
      <c r="I2338" s="12"/>
    </row>
    <row r="2339" spans="1:9" s="2" customFormat="1" ht="21.75" customHeight="1" x14ac:dyDescent="0.55000000000000004">
      <c r="A2339" s="18">
        <v>24.775442099999999</v>
      </c>
      <c r="B2339" s="18">
        <v>34.793997099999999</v>
      </c>
      <c r="C2339" s="18">
        <v>681378.73</v>
      </c>
      <c r="D2339" s="18">
        <v>2741273.37</v>
      </c>
      <c r="E2339" s="18">
        <v>341.72</v>
      </c>
      <c r="F2339" s="18">
        <v>41920.11</v>
      </c>
      <c r="G2339" s="18">
        <v>134536</v>
      </c>
      <c r="H2339" s="18">
        <f t="shared" si="71"/>
        <v>41885.11</v>
      </c>
      <c r="I2339" s="12"/>
    </row>
    <row r="2340" spans="1:9" s="2" customFormat="1" ht="21.75" customHeight="1" x14ac:dyDescent="0.55000000000000004">
      <c r="A2340" s="18">
        <v>24.775423199999999</v>
      </c>
      <c r="B2340" s="18">
        <v>34.794005900000002</v>
      </c>
      <c r="C2340" s="18">
        <v>681379.64</v>
      </c>
      <c r="D2340" s="18">
        <v>2741271.3</v>
      </c>
      <c r="E2340" s="18">
        <v>341.83</v>
      </c>
      <c r="F2340" s="18">
        <v>41917.379999999997</v>
      </c>
      <c r="G2340" s="18">
        <v>134538</v>
      </c>
      <c r="H2340" s="18">
        <f t="shared" si="71"/>
        <v>41882.379999999997</v>
      </c>
      <c r="I2340" s="12"/>
    </row>
    <row r="2341" spans="1:9" s="2" customFormat="1" ht="21.75" customHeight="1" x14ac:dyDescent="0.55000000000000004">
      <c r="A2341" s="18">
        <v>24.7754002</v>
      </c>
      <c r="B2341" s="18">
        <v>34.794010700000001</v>
      </c>
      <c r="C2341" s="18">
        <v>681380.17</v>
      </c>
      <c r="D2341" s="18">
        <v>2741268.75</v>
      </c>
      <c r="E2341" s="18">
        <v>341.82</v>
      </c>
      <c r="F2341" s="18">
        <v>41916.51</v>
      </c>
      <c r="G2341" s="18">
        <v>134540</v>
      </c>
      <c r="H2341" s="18">
        <f t="shared" si="71"/>
        <v>41881.51</v>
      </c>
      <c r="I2341" s="12"/>
    </row>
    <row r="2342" spans="1:9" s="2" customFormat="1" ht="21.75" customHeight="1" x14ac:dyDescent="0.55000000000000004">
      <c r="A2342" s="18">
        <v>24.775378799999999</v>
      </c>
      <c r="B2342" s="18">
        <v>34.794012500000001</v>
      </c>
      <c r="C2342" s="18">
        <v>681380.38</v>
      </c>
      <c r="D2342" s="18">
        <v>2741266.38</v>
      </c>
      <c r="E2342" s="18">
        <v>341.88</v>
      </c>
      <c r="F2342" s="18">
        <v>41916.94</v>
      </c>
      <c r="G2342" s="18">
        <v>134542</v>
      </c>
      <c r="H2342" s="18">
        <f t="shared" si="71"/>
        <v>41881.94</v>
      </c>
      <c r="I2342" s="12"/>
    </row>
    <row r="2343" spans="1:9" s="2" customFormat="1" ht="21.75" customHeight="1" x14ac:dyDescent="0.55000000000000004">
      <c r="A2343" s="18">
        <v>24.775356200000001</v>
      </c>
      <c r="B2343" s="18">
        <v>34.794014699999998</v>
      </c>
      <c r="C2343" s="18">
        <v>681380.64</v>
      </c>
      <c r="D2343" s="18">
        <v>2741263.89</v>
      </c>
      <c r="E2343" s="18">
        <v>341.94</v>
      </c>
      <c r="F2343" s="18">
        <v>41916.1</v>
      </c>
      <c r="G2343" s="18">
        <v>134544</v>
      </c>
      <c r="H2343" s="18">
        <f t="shared" si="71"/>
        <v>41881.1</v>
      </c>
      <c r="I2343" s="12"/>
    </row>
    <row r="2344" spans="1:9" s="2" customFormat="1" ht="21.75" customHeight="1" x14ac:dyDescent="0.55000000000000004">
      <c r="A2344" s="18">
        <v>24.775333400000001</v>
      </c>
      <c r="B2344" s="18">
        <v>34.794018999999999</v>
      </c>
      <c r="C2344" s="18">
        <v>681381.11</v>
      </c>
      <c r="D2344" s="18">
        <v>2741261.36</v>
      </c>
      <c r="E2344" s="18">
        <v>342.23</v>
      </c>
      <c r="F2344" s="18">
        <v>41914.720000000001</v>
      </c>
      <c r="G2344" s="18">
        <v>134546</v>
      </c>
      <c r="H2344" s="18">
        <f t="shared" si="71"/>
        <v>41879.72</v>
      </c>
      <c r="I2344" s="12"/>
    </row>
    <row r="2345" spans="1:9" s="2" customFormat="1" ht="21.75" customHeight="1" x14ac:dyDescent="0.55000000000000004">
      <c r="A2345" s="18">
        <v>24.775312700000001</v>
      </c>
      <c r="B2345" s="18">
        <v>34.794025499999996</v>
      </c>
      <c r="C2345" s="18">
        <v>681381.79</v>
      </c>
      <c r="D2345" s="18">
        <v>2741259.08</v>
      </c>
      <c r="E2345" s="18">
        <v>342.45</v>
      </c>
      <c r="F2345" s="18">
        <v>41913.589999999997</v>
      </c>
      <c r="G2345" s="18">
        <v>134548</v>
      </c>
      <c r="H2345" s="18">
        <f t="shared" si="71"/>
        <v>41878.589999999997</v>
      </c>
      <c r="I2345" s="12"/>
    </row>
    <row r="2346" spans="1:9" s="2" customFormat="1" ht="21.75" customHeight="1" x14ac:dyDescent="0.55000000000000004">
      <c r="A2346" s="18">
        <v>24.7752926</v>
      </c>
      <c r="B2346" s="18">
        <v>34.794034500000002</v>
      </c>
      <c r="C2346" s="18">
        <v>681382.73</v>
      </c>
      <c r="D2346" s="18">
        <v>2741256.86</v>
      </c>
      <c r="E2346" s="18">
        <v>342.75</v>
      </c>
      <c r="F2346" s="18">
        <v>41915.660000000003</v>
      </c>
      <c r="G2346" s="18">
        <v>134550</v>
      </c>
      <c r="H2346" s="18">
        <f t="shared" si="71"/>
        <v>41880.660000000003</v>
      </c>
      <c r="I2346" s="12"/>
    </row>
    <row r="2347" spans="1:9" s="2" customFormat="1" ht="21.75" customHeight="1" x14ac:dyDescent="0.55000000000000004">
      <c r="A2347" s="18">
        <v>24.775274499999998</v>
      </c>
      <c r="B2347" s="18">
        <v>34.794041200000002</v>
      </c>
      <c r="C2347" s="18">
        <v>681383.44</v>
      </c>
      <c r="D2347" s="18">
        <v>2741254.86</v>
      </c>
      <c r="E2347" s="18">
        <v>342.89</v>
      </c>
      <c r="F2347" s="18">
        <v>41915.199999999997</v>
      </c>
      <c r="G2347" s="18">
        <v>134552</v>
      </c>
      <c r="H2347" s="18">
        <f t="shared" si="71"/>
        <v>41880.199999999997</v>
      </c>
      <c r="I2347" s="12"/>
    </row>
    <row r="2348" spans="1:9" s="2" customFormat="1" ht="21.75" customHeight="1" x14ac:dyDescent="0.55000000000000004">
      <c r="A2348" s="18">
        <v>24.7752549</v>
      </c>
      <c r="B2348" s="18">
        <v>34.794050400000003</v>
      </c>
      <c r="C2348" s="18">
        <v>681384.39</v>
      </c>
      <c r="D2348" s="18">
        <v>2741252.71</v>
      </c>
      <c r="E2348" s="18">
        <v>342.86</v>
      </c>
      <c r="F2348" s="18">
        <v>41915.31</v>
      </c>
      <c r="G2348" s="18">
        <v>134554</v>
      </c>
      <c r="H2348" s="18">
        <f t="shared" si="71"/>
        <v>41880.31</v>
      </c>
      <c r="I2348" s="12"/>
    </row>
    <row r="2349" spans="1:9" s="2" customFormat="1" ht="21.75" customHeight="1" x14ac:dyDescent="0.55000000000000004">
      <c r="A2349" s="18">
        <v>24.7752327</v>
      </c>
      <c r="B2349" s="18">
        <v>34.794056599999998</v>
      </c>
      <c r="C2349" s="18">
        <v>681385.05</v>
      </c>
      <c r="D2349" s="18">
        <v>2741250.26</v>
      </c>
      <c r="E2349" s="18">
        <v>342.84</v>
      </c>
      <c r="F2349" s="18">
        <v>41915.18</v>
      </c>
      <c r="G2349" s="18">
        <v>134556</v>
      </c>
      <c r="H2349" s="18">
        <f t="shared" si="71"/>
        <v>41880.18</v>
      </c>
      <c r="I2349" s="12"/>
    </row>
    <row r="2350" spans="1:9" s="2" customFormat="1" ht="21.75" customHeight="1" x14ac:dyDescent="0.55000000000000004">
      <c r="A2350" s="18">
        <v>24.775210399999999</v>
      </c>
      <c r="B2350" s="18">
        <v>34.794061499999998</v>
      </c>
      <c r="C2350" s="18">
        <v>681385.58</v>
      </c>
      <c r="D2350" s="18">
        <v>2741247.8</v>
      </c>
      <c r="E2350" s="18">
        <v>342.97</v>
      </c>
      <c r="F2350" s="18">
        <v>41915.279999999999</v>
      </c>
      <c r="G2350" s="18">
        <v>134558</v>
      </c>
      <c r="H2350" s="18">
        <f t="shared" si="71"/>
        <v>41880.28</v>
      </c>
      <c r="I2350" s="12"/>
    </row>
    <row r="2351" spans="1:9" s="2" customFormat="1" ht="21.75" customHeight="1" x14ac:dyDescent="0.55000000000000004">
      <c r="A2351" s="18">
        <v>24.775186900000001</v>
      </c>
      <c r="B2351" s="18">
        <v>34.7940665</v>
      </c>
      <c r="C2351" s="18">
        <v>681386.12</v>
      </c>
      <c r="D2351" s="18">
        <v>2741245.2</v>
      </c>
      <c r="E2351" s="18">
        <v>343.1</v>
      </c>
      <c r="F2351" s="18">
        <v>41915.74</v>
      </c>
      <c r="G2351" s="18">
        <v>134600</v>
      </c>
      <c r="H2351" s="18">
        <f t="shared" si="71"/>
        <v>41880.74</v>
      </c>
      <c r="I2351" s="12"/>
    </row>
    <row r="2352" spans="1:9" s="2" customFormat="1" ht="21.75" customHeight="1" x14ac:dyDescent="0.55000000000000004">
      <c r="A2352" s="18">
        <v>24.775165900000001</v>
      </c>
      <c r="B2352" s="18">
        <v>34.794073300000001</v>
      </c>
      <c r="C2352" s="18">
        <v>681386.84</v>
      </c>
      <c r="D2352" s="18">
        <v>2741242.88</v>
      </c>
      <c r="E2352" s="18">
        <v>343.25</v>
      </c>
      <c r="F2352" s="18">
        <v>41914.86</v>
      </c>
      <c r="G2352" s="18">
        <v>134602</v>
      </c>
      <c r="H2352" s="18">
        <f t="shared" si="71"/>
        <v>41879.86</v>
      </c>
      <c r="I2352" s="12"/>
    </row>
    <row r="2353" spans="1:9" s="2" customFormat="1" ht="21.75" customHeight="1" x14ac:dyDescent="0.55000000000000004">
      <c r="A2353" s="18">
        <v>24.775144600000001</v>
      </c>
      <c r="B2353" s="18">
        <v>34.7940781</v>
      </c>
      <c r="C2353" s="18">
        <v>681387.35</v>
      </c>
      <c r="D2353" s="18">
        <v>2741240.52</v>
      </c>
      <c r="E2353" s="18">
        <v>343.36</v>
      </c>
      <c r="F2353" s="18">
        <v>41914.43</v>
      </c>
      <c r="G2353" s="18">
        <v>134604</v>
      </c>
      <c r="H2353" s="18">
        <f t="shared" si="71"/>
        <v>41879.43</v>
      </c>
      <c r="I2353" s="12"/>
    </row>
    <row r="2354" spans="1:9" s="2" customFormat="1" ht="21.75" customHeight="1" x14ac:dyDescent="0.55000000000000004">
      <c r="A2354" s="18">
        <v>24.7751214</v>
      </c>
      <c r="B2354" s="18">
        <v>34.794077399999999</v>
      </c>
      <c r="C2354" s="18">
        <v>681387.32</v>
      </c>
      <c r="D2354" s="18">
        <v>2741237.96</v>
      </c>
      <c r="E2354" s="18">
        <v>343.44</v>
      </c>
      <c r="F2354" s="18">
        <v>41913.949999999997</v>
      </c>
      <c r="G2354" s="18">
        <v>134606</v>
      </c>
      <c r="H2354" s="18">
        <f t="shared" si="71"/>
        <v>41878.949999999997</v>
      </c>
      <c r="I2354" s="12"/>
    </row>
    <row r="2355" spans="1:9" s="2" customFormat="1" ht="21.75" customHeight="1" x14ac:dyDescent="0.55000000000000004">
      <c r="A2355" s="18">
        <v>24.775099600000001</v>
      </c>
      <c r="B2355" s="18">
        <v>34.794078499999998</v>
      </c>
      <c r="C2355" s="18">
        <v>681387.46</v>
      </c>
      <c r="D2355" s="18">
        <v>2741235.54</v>
      </c>
      <c r="E2355" s="18">
        <v>343.81</v>
      </c>
      <c r="F2355" s="18">
        <v>41915.279999999999</v>
      </c>
      <c r="G2355" s="18">
        <v>134608</v>
      </c>
      <c r="H2355" s="18">
        <f t="shared" si="71"/>
        <v>41880.28</v>
      </c>
      <c r="I2355" s="12"/>
    </row>
    <row r="2356" spans="1:9" s="2" customFormat="1" ht="21.75" customHeight="1" x14ac:dyDescent="0.55000000000000004">
      <c r="A2356" s="18">
        <v>24.775077400000001</v>
      </c>
      <c r="B2356" s="18">
        <v>34.794079400000001</v>
      </c>
      <c r="C2356" s="18">
        <v>681387.59</v>
      </c>
      <c r="D2356" s="18">
        <v>2741233.09</v>
      </c>
      <c r="E2356" s="18">
        <v>343.92</v>
      </c>
      <c r="F2356" s="18">
        <v>41916.400000000001</v>
      </c>
      <c r="G2356" s="18">
        <v>134610</v>
      </c>
      <c r="H2356" s="18">
        <f t="shared" si="71"/>
        <v>41881.4</v>
      </c>
      <c r="I2356" s="12"/>
    </row>
    <row r="2357" spans="1:9" s="2" customFormat="1" ht="21.75" customHeight="1" x14ac:dyDescent="0.55000000000000004">
      <c r="A2357" s="18">
        <v>24.775056500000002</v>
      </c>
      <c r="B2357" s="18">
        <v>34.794074299999998</v>
      </c>
      <c r="C2357" s="18">
        <v>681387.1</v>
      </c>
      <c r="D2357" s="18">
        <v>2741230.76</v>
      </c>
      <c r="E2357" s="18">
        <v>344.13</v>
      </c>
      <c r="F2357" s="18">
        <v>41916.25</v>
      </c>
      <c r="G2357" s="18">
        <v>134612</v>
      </c>
      <c r="H2357" s="18">
        <f t="shared" si="71"/>
        <v>41881.25</v>
      </c>
      <c r="I2357" s="12"/>
    </row>
    <row r="2358" spans="1:9" s="2" customFormat="1" ht="21.75" customHeight="1" x14ac:dyDescent="0.55000000000000004">
      <c r="A2358" s="18">
        <v>24.7750354</v>
      </c>
      <c r="B2358" s="18">
        <v>34.794068699999997</v>
      </c>
      <c r="C2358" s="18">
        <v>681386.56</v>
      </c>
      <c r="D2358" s="18">
        <v>2741228.43</v>
      </c>
      <c r="E2358" s="18">
        <v>344.36</v>
      </c>
      <c r="F2358" s="18">
        <v>41915.279999999999</v>
      </c>
      <c r="G2358" s="18">
        <v>134614</v>
      </c>
      <c r="H2358" s="18">
        <f t="shared" si="71"/>
        <v>41880.28</v>
      </c>
      <c r="I2358" s="12"/>
    </row>
    <row r="2359" spans="1:9" s="2" customFormat="1" ht="21.75" customHeight="1" x14ac:dyDescent="0.55000000000000004">
      <c r="A2359" s="18">
        <v>24.775013399999999</v>
      </c>
      <c r="B2359" s="18">
        <v>34.7940635</v>
      </c>
      <c r="C2359" s="18">
        <v>681386.07</v>
      </c>
      <c r="D2359" s="18">
        <v>2741225.98</v>
      </c>
      <c r="E2359" s="18">
        <v>344.42</v>
      </c>
      <c r="F2359" s="18">
        <v>41915.51</v>
      </c>
      <c r="G2359" s="18">
        <v>134616</v>
      </c>
      <c r="H2359" s="18">
        <f t="shared" si="71"/>
        <v>41880.51</v>
      </c>
      <c r="I2359" s="12"/>
    </row>
    <row r="2360" spans="1:9" s="2" customFormat="1" ht="21.75" customHeight="1" x14ac:dyDescent="0.55000000000000004">
      <c r="A2360" s="18">
        <v>24.7749907</v>
      </c>
      <c r="B2360" s="18">
        <v>34.794058800000002</v>
      </c>
      <c r="C2360" s="18">
        <v>681385.63</v>
      </c>
      <c r="D2360" s="18">
        <v>2741223.45</v>
      </c>
      <c r="E2360" s="18">
        <v>344.6</v>
      </c>
      <c r="F2360" s="18">
        <v>41915.919999999998</v>
      </c>
      <c r="G2360" s="18">
        <v>134618</v>
      </c>
      <c r="H2360" s="18">
        <f t="shared" si="71"/>
        <v>41880.92</v>
      </c>
      <c r="I2360" s="12"/>
    </row>
    <row r="2361" spans="1:9" s="2" customFormat="1" ht="21.75" customHeight="1" x14ac:dyDescent="0.55000000000000004">
      <c r="A2361" s="18">
        <v>24.774968600000001</v>
      </c>
      <c r="B2361" s="18">
        <v>34.794056300000001</v>
      </c>
      <c r="C2361" s="18">
        <v>681385.4</v>
      </c>
      <c r="D2361" s="18">
        <v>2741221.01</v>
      </c>
      <c r="E2361" s="18">
        <v>344.77</v>
      </c>
      <c r="F2361" s="18">
        <v>41916.410000000003</v>
      </c>
      <c r="G2361" s="18">
        <v>134620</v>
      </c>
      <c r="H2361" s="18">
        <f t="shared" si="71"/>
        <v>41881.410000000003</v>
      </c>
      <c r="I2361" s="12"/>
    </row>
    <row r="2362" spans="1:9" s="2" customFormat="1" ht="21.75" customHeight="1" x14ac:dyDescent="0.55000000000000004">
      <c r="A2362" s="18">
        <v>24.774952800000001</v>
      </c>
      <c r="B2362" s="18">
        <v>34.794057700000003</v>
      </c>
      <c r="C2362" s="18">
        <v>681385.57</v>
      </c>
      <c r="D2362" s="18">
        <v>2741219.26</v>
      </c>
      <c r="E2362" s="18">
        <v>344.76</v>
      </c>
      <c r="F2362" s="18">
        <v>41913.47</v>
      </c>
      <c r="G2362" s="18">
        <v>134622</v>
      </c>
      <c r="H2362" s="18">
        <f t="shared" si="71"/>
        <v>41878.47</v>
      </c>
      <c r="I2362" s="12"/>
    </row>
    <row r="2363" spans="1:9" s="2" customFormat="1" ht="21.75" customHeight="1" x14ac:dyDescent="0.55000000000000004">
      <c r="A2363" s="18">
        <v>24.7749381</v>
      </c>
      <c r="B2363" s="18">
        <v>34.794075599999999</v>
      </c>
      <c r="C2363" s="18">
        <v>681387.4</v>
      </c>
      <c r="D2363" s="18">
        <v>2741217.65</v>
      </c>
      <c r="E2363" s="18">
        <v>344.92</v>
      </c>
      <c r="F2363" s="18">
        <v>41917.43</v>
      </c>
      <c r="G2363" s="18">
        <v>134624</v>
      </c>
      <c r="H2363" s="18">
        <f t="shared" si="71"/>
        <v>41882.43</v>
      </c>
      <c r="I2363" s="12"/>
    </row>
    <row r="2364" spans="1:9" s="2" customFormat="1" ht="21.75" customHeight="1" x14ac:dyDescent="0.55000000000000004">
      <c r="A2364" s="18">
        <v>24.7749287</v>
      </c>
      <c r="B2364" s="18">
        <v>34.794085799999998</v>
      </c>
      <c r="C2364" s="18">
        <v>681388.45</v>
      </c>
      <c r="D2364" s="18">
        <v>2741216.63</v>
      </c>
      <c r="E2364" s="18">
        <v>344.76</v>
      </c>
      <c r="F2364" s="18">
        <v>41918.69</v>
      </c>
      <c r="G2364" s="18">
        <v>134626</v>
      </c>
      <c r="H2364" s="18">
        <f t="shared" si="71"/>
        <v>41883.69</v>
      </c>
      <c r="I2364" s="12"/>
    </row>
    <row r="2365" spans="1:9" s="2" customFormat="1" ht="21.75" customHeight="1" x14ac:dyDescent="0.55000000000000004">
      <c r="A2365" s="18">
        <v>24.774899300000001</v>
      </c>
      <c r="B2365" s="18">
        <v>34.7940957</v>
      </c>
      <c r="C2365" s="18">
        <v>681389.49</v>
      </c>
      <c r="D2365" s="18">
        <v>2741213.38</v>
      </c>
      <c r="E2365" s="18">
        <v>343.83</v>
      </c>
      <c r="F2365" s="18">
        <v>41917.81</v>
      </c>
      <c r="G2365" s="18">
        <v>134628</v>
      </c>
      <c r="H2365" s="18">
        <f t="shared" si="71"/>
        <v>41882.81</v>
      </c>
      <c r="I2365" s="12"/>
    </row>
    <row r="2366" spans="1:9" s="2" customFormat="1" ht="21.75" customHeight="1" x14ac:dyDescent="0.55000000000000004">
      <c r="A2366" s="18">
        <v>24.7748803</v>
      </c>
      <c r="B2366" s="18">
        <v>34.794087400000002</v>
      </c>
      <c r="C2366" s="18">
        <v>681388.67</v>
      </c>
      <c r="D2366" s="18">
        <v>2741211.26</v>
      </c>
      <c r="E2366" s="18">
        <v>344.12</v>
      </c>
      <c r="F2366" s="18">
        <v>41918.93</v>
      </c>
      <c r="G2366" s="18">
        <v>134630</v>
      </c>
      <c r="H2366" s="18">
        <f t="shared" si="71"/>
        <v>41883.93</v>
      </c>
      <c r="I2366" s="12"/>
    </row>
    <row r="2367" spans="1:9" s="2" customFormat="1" ht="21.75" customHeight="1" x14ac:dyDescent="0.55000000000000004">
      <c r="A2367" s="18">
        <v>24.774873700000001</v>
      </c>
      <c r="B2367" s="18">
        <v>34.794065600000003</v>
      </c>
      <c r="C2367" s="18">
        <v>681386.48</v>
      </c>
      <c r="D2367" s="18">
        <v>2741210.51</v>
      </c>
      <c r="E2367" s="18">
        <v>344.16</v>
      </c>
      <c r="F2367" s="18">
        <v>41914.43</v>
      </c>
      <c r="G2367" s="18">
        <v>134632</v>
      </c>
      <c r="H2367" s="18">
        <f t="shared" si="71"/>
        <v>41879.43</v>
      </c>
      <c r="I2367" s="12"/>
    </row>
    <row r="2368" spans="1:9" s="2" customFormat="1" ht="21.75" customHeight="1" x14ac:dyDescent="0.55000000000000004">
      <c r="A2368" s="18">
        <v>24.774861999999999</v>
      </c>
      <c r="B2368" s="18">
        <v>34.794044900000003</v>
      </c>
      <c r="C2368" s="18">
        <v>681384.4</v>
      </c>
      <c r="D2368" s="18">
        <v>2741209.18</v>
      </c>
      <c r="E2368" s="18">
        <v>344.35</v>
      </c>
      <c r="F2368" s="18">
        <v>41915.839999999997</v>
      </c>
      <c r="G2368" s="18">
        <v>134634</v>
      </c>
      <c r="H2368" s="18">
        <f t="shared" si="71"/>
        <v>41880.839999999997</v>
      </c>
      <c r="I2368" s="12"/>
    </row>
    <row r="2369" spans="1:9" s="2" customFormat="1" ht="21.75" customHeight="1" x14ac:dyDescent="0.55000000000000004">
      <c r="A2369" s="18">
        <v>24.774846100000001</v>
      </c>
      <c r="B2369" s="18">
        <v>34.794026799999997</v>
      </c>
      <c r="C2369" s="18">
        <v>681382.6</v>
      </c>
      <c r="D2369" s="18">
        <v>2741207.4</v>
      </c>
      <c r="E2369" s="18">
        <v>344.42</v>
      </c>
      <c r="F2369" s="18">
        <v>41916.51</v>
      </c>
      <c r="G2369" s="18">
        <v>134636</v>
      </c>
      <c r="H2369" s="18">
        <f t="shared" si="71"/>
        <v>41881.51</v>
      </c>
      <c r="I2369" s="12"/>
    </row>
    <row r="2370" spans="1:9" s="2" customFormat="1" ht="21.75" customHeight="1" x14ac:dyDescent="0.55000000000000004">
      <c r="A2370" s="18">
        <v>24.774830300000001</v>
      </c>
      <c r="B2370" s="18">
        <v>34.794010900000004</v>
      </c>
      <c r="C2370" s="18">
        <v>681381.02</v>
      </c>
      <c r="D2370" s="18">
        <v>2741205.63</v>
      </c>
      <c r="E2370" s="18">
        <v>344.57</v>
      </c>
      <c r="F2370" s="18">
        <v>41919.599999999999</v>
      </c>
      <c r="G2370" s="18">
        <v>134638</v>
      </c>
      <c r="H2370" s="18">
        <f t="shared" si="71"/>
        <v>41884.6</v>
      </c>
      <c r="I2370" s="12"/>
    </row>
    <row r="2371" spans="1:9" s="2" customFormat="1" ht="21.75" customHeight="1" x14ac:dyDescent="0.55000000000000004">
      <c r="A2371" s="18">
        <v>24.774816399999999</v>
      </c>
      <c r="B2371" s="18">
        <v>34.793991300000002</v>
      </c>
      <c r="C2371" s="18">
        <v>681379.05</v>
      </c>
      <c r="D2371" s="18">
        <v>2741204.07</v>
      </c>
      <c r="E2371" s="18">
        <v>344.69</v>
      </c>
      <c r="F2371" s="18">
        <v>41918.15</v>
      </c>
      <c r="G2371" s="18">
        <v>134640</v>
      </c>
      <c r="H2371" s="18">
        <f t="shared" si="71"/>
        <v>41883.15</v>
      </c>
      <c r="I2371" s="12"/>
    </row>
    <row r="2372" spans="1:9" s="2" customFormat="1" ht="21.75" customHeight="1" x14ac:dyDescent="0.55000000000000004">
      <c r="A2372" s="18">
        <v>24.7747992</v>
      </c>
      <c r="B2372" s="18">
        <v>34.793973299999998</v>
      </c>
      <c r="C2372" s="18">
        <v>681377.26</v>
      </c>
      <c r="D2372" s="18">
        <v>2741202.14</v>
      </c>
      <c r="E2372" s="18">
        <v>344.95</v>
      </c>
      <c r="F2372" s="18">
        <v>41916.949999999997</v>
      </c>
      <c r="G2372" s="18">
        <v>134642</v>
      </c>
      <c r="H2372" s="18">
        <f t="shared" si="71"/>
        <v>41881.949999999997</v>
      </c>
      <c r="I2372" s="12"/>
    </row>
    <row r="2373" spans="1:9" s="2" customFormat="1" ht="21.75" customHeight="1" x14ac:dyDescent="0.55000000000000004">
      <c r="A2373" s="18">
        <v>24.774783200000002</v>
      </c>
      <c r="B2373" s="18">
        <v>34.793956899999998</v>
      </c>
      <c r="C2373" s="18">
        <v>681375.62</v>
      </c>
      <c r="D2373" s="18">
        <v>2741200.34</v>
      </c>
      <c r="E2373" s="18">
        <v>345.17</v>
      </c>
      <c r="F2373" s="18">
        <v>41916.97</v>
      </c>
      <c r="G2373" s="18">
        <v>134644</v>
      </c>
      <c r="H2373" s="18">
        <f t="shared" si="71"/>
        <v>41881.97</v>
      </c>
      <c r="I2373" s="12"/>
    </row>
    <row r="2374" spans="1:9" s="2" customFormat="1" ht="21.75" customHeight="1" x14ac:dyDescent="0.55000000000000004">
      <c r="A2374" s="18">
        <v>24.774765500000001</v>
      </c>
      <c r="B2374" s="18">
        <v>34.793940599999999</v>
      </c>
      <c r="C2374" s="18">
        <v>681374</v>
      </c>
      <c r="D2374" s="18">
        <v>2741198.36</v>
      </c>
      <c r="E2374" s="18">
        <v>345.42</v>
      </c>
      <c r="F2374" s="18">
        <v>41917.599999999999</v>
      </c>
      <c r="G2374" s="18">
        <v>134646</v>
      </c>
      <c r="H2374" s="18">
        <f t="shared" si="71"/>
        <v>41882.6</v>
      </c>
      <c r="I2374" s="12"/>
    </row>
    <row r="2375" spans="1:9" s="2" customFormat="1" ht="21.75" customHeight="1" x14ac:dyDescent="0.55000000000000004">
      <c r="A2375" s="18">
        <v>24.7747484</v>
      </c>
      <c r="B2375" s="18">
        <v>34.793925999999999</v>
      </c>
      <c r="C2375" s="18">
        <v>681372.55</v>
      </c>
      <c r="D2375" s="18">
        <v>2741196.45</v>
      </c>
      <c r="E2375" s="18">
        <v>345.78</v>
      </c>
      <c r="F2375" s="18">
        <v>41918.730000000003</v>
      </c>
      <c r="G2375" s="18">
        <v>134648</v>
      </c>
      <c r="H2375" s="18">
        <f t="shared" si="71"/>
        <v>41883.730000000003</v>
      </c>
      <c r="I2375" s="12"/>
    </row>
    <row r="2376" spans="1:9" s="2" customFormat="1" ht="21.75" customHeight="1" x14ac:dyDescent="0.55000000000000004">
      <c r="A2376" s="18">
        <v>24.774732400000001</v>
      </c>
      <c r="B2376" s="18">
        <v>34.793911700000002</v>
      </c>
      <c r="C2376" s="18">
        <v>681371.13</v>
      </c>
      <c r="D2376" s="18">
        <v>2741194.65</v>
      </c>
      <c r="E2376" s="18">
        <v>346.02</v>
      </c>
      <c r="F2376" s="18">
        <v>41916.61</v>
      </c>
      <c r="G2376" s="18">
        <v>134650</v>
      </c>
      <c r="H2376" s="18">
        <f t="shared" si="71"/>
        <v>41881.61</v>
      </c>
      <c r="I2376" s="12"/>
    </row>
    <row r="2377" spans="1:9" s="2" customFormat="1" ht="21.75" customHeight="1" x14ac:dyDescent="0.55000000000000004">
      <c r="A2377" s="18">
        <v>24.774714100000001</v>
      </c>
      <c r="B2377" s="18">
        <v>34.793898200000001</v>
      </c>
      <c r="C2377" s="18">
        <v>681369.79</v>
      </c>
      <c r="D2377" s="18">
        <v>2741192.61</v>
      </c>
      <c r="E2377" s="18">
        <v>346.12</v>
      </c>
      <c r="F2377" s="18">
        <v>41913.85</v>
      </c>
      <c r="G2377" s="18">
        <v>134652</v>
      </c>
      <c r="H2377" s="18">
        <f t="shared" si="71"/>
        <v>41878.85</v>
      </c>
      <c r="I2377" s="12"/>
    </row>
    <row r="2378" spans="1:9" s="2" customFormat="1" ht="21.75" customHeight="1" x14ac:dyDescent="0.55000000000000004">
      <c r="A2378" s="18">
        <v>24.774694199999999</v>
      </c>
      <c r="B2378" s="18">
        <v>34.7938872</v>
      </c>
      <c r="C2378" s="18">
        <v>681368.7</v>
      </c>
      <c r="D2378" s="18">
        <v>2741190.39</v>
      </c>
      <c r="E2378" s="18">
        <v>346.01</v>
      </c>
      <c r="F2378" s="18">
        <v>41916.870000000003</v>
      </c>
      <c r="G2378" s="18">
        <v>134654</v>
      </c>
      <c r="H2378" s="18">
        <f t="shared" si="71"/>
        <v>41881.870000000003</v>
      </c>
      <c r="I2378" s="12"/>
    </row>
    <row r="2379" spans="1:9" s="2" customFormat="1" ht="21.75" customHeight="1" x14ac:dyDescent="0.55000000000000004">
      <c r="A2379" s="18">
        <v>24.774677799999999</v>
      </c>
      <c r="B2379" s="18">
        <v>34.793870599999998</v>
      </c>
      <c r="C2379" s="18">
        <v>681367.05</v>
      </c>
      <c r="D2379" s="18">
        <v>2741188.55</v>
      </c>
      <c r="E2379" s="18">
        <v>346.06</v>
      </c>
      <c r="F2379" s="18">
        <v>41919.42</v>
      </c>
      <c r="G2379" s="18">
        <v>134656</v>
      </c>
      <c r="H2379" s="18">
        <f t="shared" si="71"/>
        <v>41884.42</v>
      </c>
      <c r="I2379" s="12"/>
    </row>
    <row r="2380" spans="1:9" s="2" customFormat="1" ht="21.75" customHeight="1" x14ac:dyDescent="0.55000000000000004">
      <c r="A2380" s="18">
        <v>24.774663700000001</v>
      </c>
      <c r="B2380" s="18">
        <v>34.793849299999998</v>
      </c>
      <c r="C2380" s="18">
        <v>681364.91</v>
      </c>
      <c r="D2380" s="18">
        <v>2741186.96</v>
      </c>
      <c r="E2380" s="18">
        <v>345.97</v>
      </c>
      <c r="F2380" s="18">
        <v>41922.53</v>
      </c>
      <c r="G2380" s="18">
        <v>134658</v>
      </c>
      <c r="H2380" s="18">
        <f t="shared" si="71"/>
        <v>41887.53</v>
      </c>
      <c r="I2380" s="12"/>
    </row>
    <row r="2381" spans="1:9" s="2" customFormat="1" ht="21.75" customHeight="1" x14ac:dyDescent="0.55000000000000004">
      <c r="A2381" s="18">
        <v>24.7746505</v>
      </c>
      <c r="B2381" s="18">
        <v>34.793827399999998</v>
      </c>
      <c r="C2381" s="18">
        <v>681362.72</v>
      </c>
      <c r="D2381" s="18">
        <v>2741185.47</v>
      </c>
      <c r="E2381" s="18">
        <v>346.02</v>
      </c>
      <c r="F2381" s="18">
        <v>41922.1</v>
      </c>
      <c r="G2381" s="18">
        <v>134700</v>
      </c>
      <c r="H2381" s="18">
        <f t="shared" si="71"/>
        <v>41887.1</v>
      </c>
      <c r="I2381" s="12"/>
    </row>
    <row r="2382" spans="1:9" s="2" customFormat="1" ht="21.75" customHeight="1" x14ac:dyDescent="0.55000000000000004">
      <c r="A2382" s="18">
        <v>24.774637299999998</v>
      </c>
      <c r="B2382" s="18">
        <v>34.793805900000002</v>
      </c>
      <c r="C2382" s="18">
        <v>681360.56</v>
      </c>
      <c r="D2382" s="18">
        <v>2741183.98</v>
      </c>
      <c r="E2382" s="18">
        <v>345.94</v>
      </c>
      <c r="F2382" s="18">
        <v>41921.67</v>
      </c>
      <c r="G2382" s="18">
        <v>134702</v>
      </c>
      <c r="H2382" s="18">
        <f t="shared" si="71"/>
        <v>41886.67</v>
      </c>
      <c r="I2382" s="12"/>
    </row>
    <row r="2383" spans="1:9" s="2" customFormat="1" ht="21.75" customHeight="1" x14ac:dyDescent="0.55000000000000004">
      <c r="A2383" s="18">
        <v>24.774623399999999</v>
      </c>
      <c r="B2383" s="18">
        <v>34.793784700000003</v>
      </c>
      <c r="C2383" s="18">
        <v>681358.44</v>
      </c>
      <c r="D2383" s="18">
        <v>2741182.41</v>
      </c>
      <c r="E2383" s="18">
        <v>345.8</v>
      </c>
      <c r="F2383" s="18">
        <v>41923.78</v>
      </c>
      <c r="G2383" s="18">
        <v>134704</v>
      </c>
      <c r="H2383" s="18">
        <f t="shared" si="71"/>
        <v>41888.78</v>
      </c>
      <c r="I2383" s="12"/>
    </row>
    <row r="2384" spans="1:9" s="2" customFormat="1" ht="21.75" customHeight="1" x14ac:dyDescent="0.55000000000000004">
      <c r="A2384" s="18">
        <v>24.7746073</v>
      </c>
      <c r="B2384" s="18">
        <v>34.793763800000001</v>
      </c>
      <c r="C2384" s="18">
        <v>681356.35</v>
      </c>
      <c r="D2384" s="18">
        <v>2741180.6</v>
      </c>
      <c r="E2384" s="18">
        <v>345.71</v>
      </c>
      <c r="F2384" s="18">
        <v>41923.82</v>
      </c>
      <c r="G2384" s="18">
        <v>134706</v>
      </c>
      <c r="H2384" s="18">
        <f t="shared" si="71"/>
        <v>41888.82</v>
      </c>
      <c r="I2384" s="12"/>
    </row>
    <row r="2385" spans="1:9" s="2" customFormat="1" ht="21.75" customHeight="1" x14ac:dyDescent="0.55000000000000004">
      <c r="A2385" s="18">
        <v>24.774588699999999</v>
      </c>
      <c r="B2385" s="18">
        <v>34.793745600000001</v>
      </c>
      <c r="C2385" s="18">
        <v>681354.54</v>
      </c>
      <c r="D2385" s="18">
        <v>2741178.51</v>
      </c>
      <c r="E2385" s="18">
        <v>345.65</v>
      </c>
      <c r="F2385" s="18">
        <v>41924.870000000003</v>
      </c>
      <c r="G2385" s="18">
        <v>134708</v>
      </c>
      <c r="H2385" s="18">
        <f t="shared" si="71"/>
        <v>41889.870000000003</v>
      </c>
      <c r="I2385" s="12"/>
    </row>
    <row r="2386" spans="1:9" s="2" customFormat="1" ht="21.75" customHeight="1" x14ac:dyDescent="0.55000000000000004">
      <c r="A2386" s="18">
        <v>24.774570700000002</v>
      </c>
      <c r="B2386" s="18">
        <v>34.793726599999999</v>
      </c>
      <c r="C2386" s="18">
        <v>681352.65</v>
      </c>
      <c r="D2386" s="18">
        <v>2741176.49</v>
      </c>
      <c r="E2386" s="18">
        <v>345.6</v>
      </c>
      <c r="F2386" s="18">
        <v>41924.550000000003</v>
      </c>
      <c r="G2386" s="18">
        <v>134710</v>
      </c>
      <c r="H2386" s="18">
        <f t="shared" si="71"/>
        <v>41889.550000000003</v>
      </c>
      <c r="I2386" s="12"/>
    </row>
    <row r="2387" spans="1:9" s="2" customFormat="1" ht="21.75" customHeight="1" x14ac:dyDescent="0.55000000000000004">
      <c r="A2387" s="18">
        <v>24.774549</v>
      </c>
      <c r="B2387" s="18">
        <v>34.793712200000002</v>
      </c>
      <c r="C2387" s="18">
        <v>681351.22</v>
      </c>
      <c r="D2387" s="18">
        <v>2741174.07</v>
      </c>
      <c r="E2387" s="18">
        <v>345.69</v>
      </c>
      <c r="F2387" s="18">
        <v>41919.94</v>
      </c>
      <c r="G2387" s="18">
        <v>134712</v>
      </c>
      <c r="H2387" s="18">
        <f t="shared" ref="H2387:H2450" si="72">SUM(F2387-35)</f>
        <v>41884.94</v>
      </c>
      <c r="I2387" s="12"/>
    </row>
    <row r="2388" spans="1:9" s="2" customFormat="1" ht="21.75" customHeight="1" x14ac:dyDescent="0.55000000000000004">
      <c r="A2388" s="18">
        <v>24.774527500000001</v>
      </c>
      <c r="B2388" s="18">
        <v>34.793708500000001</v>
      </c>
      <c r="C2388" s="18">
        <v>681350.87</v>
      </c>
      <c r="D2388" s="18">
        <v>2741171.69</v>
      </c>
      <c r="E2388" s="18">
        <v>346.03</v>
      </c>
      <c r="F2388" s="18">
        <v>41924.550000000003</v>
      </c>
      <c r="G2388" s="18">
        <v>134714</v>
      </c>
      <c r="H2388" s="18">
        <f t="shared" si="72"/>
        <v>41889.550000000003</v>
      </c>
      <c r="I2388" s="12"/>
    </row>
    <row r="2389" spans="1:9" s="2" customFormat="1" ht="21.75" customHeight="1" x14ac:dyDescent="0.55000000000000004">
      <c r="A2389" s="18">
        <v>24.7745079</v>
      </c>
      <c r="B2389" s="18">
        <v>34.793701800000001</v>
      </c>
      <c r="C2389" s="18">
        <v>681350.22</v>
      </c>
      <c r="D2389" s="18">
        <v>2741169.51</v>
      </c>
      <c r="E2389" s="18">
        <v>346.23</v>
      </c>
      <c r="F2389" s="18">
        <v>41926.14</v>
      </c>
      <c r="G2389" s="18">
        <v>134716</v>
      </c>
      <c r="H2389" s="18">
        <f t="shared" si="72"/>
        <v>41891.14</v>
      </c>
      <c r="I2389" s="12"/>
    </row>
    <row r="2390" spans="1:9" s="2" customFormat="1" ht="21.75" customHeight="1" x14ac:dyDescent="0.55000000000000004">
      <c r="A2390" s="18">
        <v>24.774490700000001</v>
      </c>
      <c r="B2390" s="18">
        <v>34.793693400000002</v>
      </c>
      <c r="C2390" s="18">
        <v>681349.41</v>
      </c>
      <c r="D2390" s="18">
        <v>2741167.59</v>
      </c>
      <c r="E2390" s="18">
        <v>346.42</v>
      </c>
      <c r="F2390" s="18">
        <v>41927.379999999997</v>
      </c>
      <c r="G2390" s="18">
        <v>134718</v>
      </c>
      <c r="H2390" s="18">
        <f t="shared" si="72"/>
        <v>41892.379999999997</v>
      </c>
      <c r="I2390" s="12"/>
    </row>
    <row r="2391" spans="1:9" s="2" customFormat="1" ht="21.75" customHeight="1" x14ac:dyDescent="0.55000000000000004">
      <c r="A2391" s="18">
        <v>24.774477999999998</v>
      </c>
      <c r="B2391" s="18">
        <v>34.793678399999997</v>
      </c>
      <c r="C2391" s="18">
        <v>681347.91</v>
      </c>
      <c r="D2391" s="18">
        <v>2741166.17</v>
      </c>
      <c r="E2391" s="18">
        <v>346.53</v>
      </c>
      <c r="F2391" s="18">
        <v>41929.46</v>
      </c>
      <c r="G2391" s="18">
        <v>134720</v>
      </c>
      <c r="H2391" s="18">
        <f t="shared" si="72"/>
        <v>41894.46</v>
      </c>
      <c r="I2391" s="12"/>
    </row>
    <row r="2392" spans="1:9" s="2" customFormat="1" ht="21.75" customHeight="1" x14ac:dyDescent="0.55000000000000004">
      <c r="A2392" s="18">
        <v>24.774470600000001</v>
      </c>
      <c r="B2392" s="18">
        <v>34.793658999999998</v>
      </c>
      <c r="C2392" s="18">
        <v>681345.96</v>
      </c>
      <c r="D2392" s="18">
        <v>2741165.32</v>
      </c>
      <c r="E2392" s="18">
        <v>346.29</v>
      </c>
      <c r="F2392" s="18">
        <v>41922.36</v>
      </c>
      <c r="G2392" s="18">
        <v>134722</v>
      </c>
      <c r="H2392" s="18">
        <f t="shared" si="72"/>
        <v>41887.360000000001</v>
      </c>
      <c r="I2392" s="12"/>
    </row>
    <row r="2393" spans="1:9" s="2" customFormat="1" ht="21.75" customHeight="1" x14ac:dyDescent="0.55000000000000004">
      <c r="A2393" s="18">
        <v>24.774458800000001</v>
      </c>
      <c r="B2393" s="18">
        <v>34.793636599999999</v>
      </c>
      <c r="C2393" s="18">
        <v>681343.71</v>
      </c>
      <c r="D2393" s="18">
        <v>2741163.99</v>
      </c>
      <c r="E2393" s="18">
        <v>346.08</v>
      </c>
      <c r="F2393" s="18">
        <v>41926.54</v>
      </c>
      <c r="G2393" s="18">
        <v>134724</v>
      </c>
      <c r="H2393" s="18">
        <f t="shared" si="72"/>
        <v>41891.54</v>
      </c>
      <c r="I2393" s="12"/>
    </row>
    <row r="2394" spans="1:9" s="2" customFormat="1" ht="21.75" customHeight="1" x14ac:dyDescent="0.55000000000000004">
      <c r="A2394" s="18">
        <v>24.774448899999999</v>
      </c>
      <c r="B2394" s="18">
        <v>34.793614099999999</v>
      </c>
      <c r="C2394" s="18">
        <v>681341.45</v>
      </c>
      <c r="D2394" s="18">
        <v>2741162.86</v>
      </c>
      <c r="E2394" s="18">
        <v>346.02</v>
      </c>
      <c r="F2394" s="18">
        <v>41927.519999999997</v>
      </c>
      <c r="G2394" s="18">
        <v>134726</v>
      </c>
      <c r="H2394" s="18">
        <f t="shared" si="72"/>
        <v>41892.519999999997</v>
      </c>
      <c r="I2394" s="12"/>
    </row>
    <row r="2395" spans="1:9" s="2" customFormat="1" ht="21.75" customHeight="1" x14ac:dyDescent="0.55000000000000004">
      <c r="A2395" s="18">
        <v>24.774441100000001</v>
      </c>
      <c r="B2395" s="18">
        <v>34.793591900000003</v>
      </c>
      <c r="C2395" s="18">
        <v>681339.21</v>
      </c>
      <c r="D2395" s="18">
        <v>2741161.96</v>
      </c>
      <c r="E2395" s="18">
        <v>346.15</v>
      </c>
      <c r="F2395" s="18">
        <v>41926.400000000001</v>
      </c>
      <c r="G2395" s="18">
        <v>134728</v>
      </c>
      <c r="H2395" s="18">
        <f t="shared" si="72"/>
        <v>41891.4</v>
      </c>
      <c r="I2395" s="12"/>
    </row>
    <row r="2396" spans="1:9" s="2" customFormat="1" ht="21.75" customHeight="1" x14ac:dyDescent="0.55000000000000004">
      <c r="A2396" s="18">
        <v>24.7744365</v>
      </c>
      <c r="B2396" s="18">
        <v>34.793565700000002</v>
      </c>
      <c r="C2396" s="18">
        <v>681336.57</v>
      </c>
      <c r="D2396" s="18">
        <v>2741161.42</v>
      </c>
      <c r="E2396" s="18">
        <v>346.14</v>
      </c>
      <c r="F2396" s="18">
        <v>41927.78</v>
      </c>
      <c r="G2396" s="18">
        <v>134730</v>
      </c>
      <c r="H2396" s="18">
        <f t="shared" si="72"/>
        <v>41892.78</v>
      </c>
      <c r="I2396" s="12"/>
    </row>
    <row r="2397" spans="1:9" s="2" customFormat="1" ht="21.75" customHeight="1" x14ac:dyDescent="0.55000000000000004">
      <c r="A2397" s="18">
        <v>24.774435799999999</v>
      </c>
      <c r="B2397" s="18">
        <v>34.793538300000002</v>
      </c>
      <c r="C2397" s="18">
        <v>681333.8</v>
      </c>
      <c r="D2397" s="18">
        <v>2741161.3</v>
      </c>
      <c r="E2397" s="18">
        <v>346.25</v>
      </c>
      <c r="F2397" s="18">
        <v>41928.67</v>
      </c>
      <c r="G2397" s="18">
        <v>134732</v>
      </c>
      <c r="H2397" s="18">
        <f t="shared" si="72"/>
        <v>41893.67</v>
      </c>
      <c r="I2397" s="12"/>
    </row>
    <row r="2398" spans="1:9" s="2" customFormat="1" ht="21.75" customHeight="1" x14ac:dyDescent="0.55000000000000004">
      <c r="A2398" s="18">
        <v>24.774429300000001</v>
      </c>
      <c r="B2398" s="18">
        <v>34.793512700000001</v>
      </c>
      <c r="C2398" s="18">
        <v>681331.21</v>
      </c>
      <c r="D2398" s="18">
        <v>2741160.55</v>
      </c>
      <c r="E2398" s="18">
        <v>346.4</v>
      </c>
      <c r="F2398" s="18">
        <v>41930.83</v>
      </c>
      <c r="G2398" s="18">
        <v>134734</v>
      </c>
      <c r="H2398" s="18">
        <f t="shared" si="72"/>
        <v>41895.83</v>
      </c>
      <c r="I2398" s="12"/>
    </row>
    <row r="2399" spans="1:9" s="2" customFormat="1" ht="21.75" customHeight="1" x14ac:dyDescent="0.55000000000000004">
      <c r="A2399" s="18">
        <v>24.774422000000001</v>
      </c>
      <c r="B2399" s="18">
        <v>34.793486700000003</v>
      </c>
      <c r="C2399" s="18">
        <v>681328.59</v>
      </c>
      <c r="D2399" s="18">
        <v>2741159.71</v>
      </c>
      <c r="E2399" s="18">
        <v>346.6</v>
      </c>
      <c r="F2399" s="18">
        <v>41930.879999999997</v>
      </c>
      <c r="G2399" s="18">
        <v>134736</v>
      </c>
      <c r="H2399" s="18">
        <f t="shared" si="72"/>
        <v>41895.879999999997</v>
      </c>
      <c r="I2399" s="12"/>
    </row>
    <row r="2400" spans="1:9" s="2" customFormat="1" ht="21.75" customHeight="1" x14ac:dyDescent="0.55000000000000004">
      <c r="A2400" s="18">
        <v>24.7744158</v>
      </c>
      <c r="B2400" s="18">
        <v>34.793464</v>
      </c>
      <c r="C2400" s="18">
        <v>681326.31</v>
      </c>
      <c r="D2400" s="18">
        <v>2741158.99</v>
      </c>
      <c r="E2400" s="18">
        <v>346.79</v>
      </c>
      <c r="F2400" s="18">
        <v>41929.94</v>
      </c>
      <c r="G2400" s="18">
        <v>134738</v>
      </c>
      <c r="H2400" s="18">
        <f t="shared" si="72"/>
        <v>41894.94</v>
      </c>
      <c r="I2400" s="12"/>
    </row>
    <row r="2401" spans="1:9" s="2" customFormat="1" ht="21.75" customHeight="1" x14ac:dyDescent="0.55000000000000004">
      <c r="A2401" s="18">
        <v>24.774407400000001</v>
      </c>
      <c r="B2401" s="18">
        <v>34.793441000000001</v>
      </c>
      <c r="C2401" s="18">
        <v>681324</v>
      </c>
      <c r="D2401" s="18">
        <v>2741158.03</v>
      </c>
      <c r="E2401" s="18">
        <v>346.61</v>
      </c>
      <c r="F2401" s="18">
        <v>41928.730000000003</v>
      </c>
      <c r="G2401" s="18">
        <v>134740</v>
      </c>
      <c r="H2401" s="18">
        <f t="shared" si="72"/>
        <v>41893.730000000003</v>
      </c>
      <c r="I2401" s="12"/>
    </row>
    <row r="2402" spans="1:9" s="2" customFormat="1" ht="21.75" customHeight="1" x14ac:dyDescent="0.55000000000000004">
      <c r="A2402" s="18">
        <v>24.774400100000001</v>
      </c>
      <c r="B2402" s="18">
        <v>34.793413999999999</v>
      </c>
      <c r="C2402" s="18">
        <v>681321.28</v>
      </c>
      <c r="D2402" s="18">
        <v>2741157.19</v>
      </c>
      <c r="E2402" s="18">
        <v>346.42</v>
      </c>
      <c r="F2402" s="18">
        <v>41932.01</v>
      </c>
      <c r="G2402" s="18">
        <v>134742</v>
      </c>
      <c r="H2402" s="18">
        <f t="shared" si="72"/>
        <v>41897.01</v>
      </c>
      <c r="I2402" s="12"/>
    </row>
    <row r="2403" spans="1:9" s="2" customFormat="1" ht="21.75" customHeight="1" x14ac:dyDescent="0.55000000000000004">
      <c r="A2403" s="18">
        <v>24.774394000000001</v>
      </c>
      <c r="B2403" s="18">
        <v>34.793386300000002</v>
      </c>
      <c r="C2403" s="18">
        <v>681318.48</v>
      </c>
      <c r="D2403" s="18">
        <v>2741156.47</v>
      </c>
      <c r="E2403" s="18">
        <v>346.52</v>
      </c>
      <c r="F2403" s="18">
        <v>41932.400000000001</v>
      </c>
      <c r="G2403" s="18">
        <v>134744</v>
      </c>
      <c r="H2403" s="18">
        <f t="shared" si="72"/>
        <v>41897.4</v>
      </c>
      <c r="I2403" s="12"/>
    </row>
    <row r="2404" spans="1:9" s="2" customFormat="1" ht="21.75" customHeight="1" x14ac:dyDescent="0.55000000000000004">
      <c r="A2404" s="18">
        <v>24.774391000000001</v>
      </c>
      <c r="B2404" s="18">
        <v>34.793359000000002</v>
      </c>
      <c r="C2404" s="18">
        <v>681315.73</v>
      </c>
      <c r="D2404" s="18">
        <v>2741156.1</v>
      </c>
      <c r="E2404" s="18">
        <v>346.79</v>
      </c>
      <c r="F2404" s="18">
        <v>41930.36</v>
      </c>
      <c r="G2404" s="18">
        <v>134746</v>
      </c>
      <c r="H2404" s="18">
        <f t="shared" si="72"/>
        <v>41895.360000000001</v>
      </c>
      <c r="I2404" s="12"/>
    </row>
    <row r="2405" spans="1:9" s="2" customFormat="1" ht="21.75" customHeight="1" x14ac:dyDescent="0.55000000000000004">
      <c r="A2405" s="18">
        <v>24.774390499999999</v>
      </c>
      <c r="B2405" s="18">
        <v>34.793332399999997</v>
      </c>
      <c r="C2405" s="18">
        <v>681313.04</v>
      </c>
      <c r="D2405" s="18">
        <v>2741156.02</v>
      </c>
      <c r="E2405" s="18">
        <v>346.97</v>
      </c>
      <c r="F2405" s="18">
        <v>41929.67</v>
      </c>
      <c r="G2405" s="18">
        <v>134748</v>
      </c>
      <c r="H2405" s="18">
        <f t="shared" si="72"/>
        <v>41894.67</v>
      </c>
      <c r="I2405" s="12"/>
    </row>
    <row r="2406" spans="1:9" s="2" customFormat="1" ht="21.75" customHeight="1" x14ac:dyDescent="0.55000000000000004">
      <c r="A2406" s="18">
        <v>24.7743869</v>
      </c>
      <c r="B2406" s="18">
        <v>34.7933065</v>
      </c>
      <c r="C2406" s="18">
        <v>681310.43</v>
      </c>
      <c r="D2406" s="18">
        <v>2741155.58</v>
      </c>
      <c r="E2406" s="18">
        <v>347</v>
      </c>
      <c r="F2406" s="18">
        <v>41930.559999999998</v>
      </c>
      <c r="G2406" s="18">
        <v>134750</v>
      </c>
      <c r="H2406" s="18">
        <f t="shared" si="72"/>
        <v>41895.56</v>
      </c>
      <c r="I2406" s="12"/>
    </row>
    <row r="2407" spans="1:9" s="2" customFormat="1" ht="21.75" customHeight="1" x14ac:dyDescent="0.55000000000000004">
      <c r="A2407" s="18">
        <v>24.7743854</v>
      </c>
      <c r="B2407" s="18">
        <v>34.793281200000003</v>
      </c>
      <c r="C2407" s="18">
        <v>681307.88</v>
      </c>
      <c r="D2407" s="18">
        <v>2741155.38</v>
      </c>
      <c r="E2407" s="18">
        <v>347.13</v>
      </c>
      <c r="F2407" s="18">
        <v>41931.56</v>
      </c>
      <c r="G2407" s="18">
        <v>134752</v>
      </c>
      <c r="H2407" s="18">
        <f t="shared" si="72"/>
        <v>41896.559999999998</v>
      </c>
      <c r="I2407" s="12"/>
    </row>
    <row r="2408" spans="1:9" s="2" customFormat="1" ht="21.75" customHeight="1" x14ac:dyDescent="0.55000000000000004">
      <c r="A2408" s="18">
        <v>24.774386199999999</v>
      </c>
      <c r="B2408" s="18">
        <v>34.7932554</v>
      </c>
      <c r="C2408" s="18">
        <v>681305.26</v>
      </c>
      <c r="D2408" s="18">
        <v>2741155.43</v>
      </c>
      <c r="E2408" s="18">
        <v>347.34</v>
      </c>
      <c r="F2408" s="18">
        <v>41928.65</v>
      </c>
      <c r="G2408" s="18">
        <v>134754</v>
      </c>
      <c r="H2408" s="18">
        <f t="shared" si="72"/>
        <v>41893.65</v>
      </c>
      <c r="I2408" s="12"/>
    </row>
    <row r="2409" spans="1:9" s="2" customFormat="1" ht="21.75" customHeight="1" x14ac:dyDescent="0.55000000000000004">
      <c r="A2409" s="18">
        <v>24.774387900000001</v>
      </c>
      <c r="B2409" s="18">
        <v>34.793227999999999</v>
      </c>
      <c r="C2409" s="18">
        <v>681302.49</v>
      </c>
      <c r="D2409" s="18">
        <v>2741155.59</v>
      </c>
      <c r="E2409" s="18">
        <v>347.34</v>
      </c>
      <c r="F2409" s="18">
        <v>41929.449999999997</v>
      </c>
      <c r="G2409" s="18">
        <v>134756</v>
      </c>
      <c r="H2409" s="18">
        <f t="shared" si="72"/>
        <v>41894.449999999997</v>
      </c>
      <c r="I2409" s="12"/>
    </row>
    <row r="2410" spans="1:9" s="2" customFormat="1" ht="21.75" customHeight="1" x14ac:dyDescent="0.55000000000000004">
      <c r="A2410" s="18">
        <v>24.774387000000001</v>
      </c>
      <c r="B2410" s="18">
        <v>34.793200300000002</v>
      </c>
      <c r="C2410" s="18">
        <v>681299.69</v>
      </c>
      <c r="D2410" s="18">
        <v>2741155.45</v>
      </c>
      <c r="E2410" s="18">
        <v>347.49</v>
      </c>
      <c r="F2410" s="18">
        <v>41931.85</v>
      </c>
      <c r="G2410" s="18">
        <v>134758</v>
      </c>
      <c r="H2410" s="18">
        <f t="shared" si="72"/>
        <v>41896.85</v>
      </c>
      <c r="I2410" s="12"/>
    </row>
    <row r="2411" spans="1:9" s="2" customFormat="1" ht="21.75" customHeight="1" x14ac:dyDescent="0.55000000000000004">
      <c r="A2411" s="18">
        <v>24.7743912</v>
      </c>
      <c r="B2411" s="18">
        <v>34.793173299999999</v>
      </c>
      <c r="C2411" s="18">
        <v>681296.95</v>
      </c>
      <c r="D2411" s="18">
        <v>2741155.88</v>
      </c>
      <c r="E2411" s="18">
        <v>347.55</v>
      </c>
      <c r="F2411" s="18">
        <v>41930.449999999997</v>
      </c>
      <c r="G2411" s="18">
        <v>134800</v>
      </c>
      <c r="H2411" s="18">
        <f t="shared" si="72"/>
        <v>41895.449999999997</v>
      </c>
      <c r="I2411" s="12"/>
    </row>
    <row r="2412" spans="1:9" s="2" customFormat="1" ht="21.75" customHeight="1" x14ac:dyDescent="0.55000000000000004">
      <c r="A2412" s="18">
        <v>24.774395999999999</v>
      </c>
      <c r="B2412" s="18">
        <v>34.793146100000001</v>
      </c>
      <c r="C2412" s="18">
        <v>681294.2</v>
      </c>
      <c r="D2412" s="18">
        <v>2741156.38</v>
      </c>
      <c r="E2412" s="18">
        <v>347.68</v>
      </c>
      <c r="F2412" s="18">
        <v>41931.67</v>
      </c>
      <c r="G2412" s="18">
        <v>134802</v>
      </c>
      <c r="H2412" s="18">
        <f t="shared" si="72"/>
        <v>41896.67</v>
      </c>
      <c r="I2412" s="12"/>
    </row>
    <row r="2413" spans="1:9" s="2" customFormat="1" ht="21.75" customHeight="1" x14ac:dyDescent="0.55000000000000004">
      <c r="A2413" s="18">
        <v>24.774400100000001</v>
      </c>
      <c r="B2413" s="18">
        <v>34.793118800000002</v>
      </c>
      <c r="C2413" s="18">
        <v>681291.43</v>
      </c>
      <c r="D2413" s="18">
        <v>2741156.79</v>
      </c>
      <c r="E2413" s="18">
        <v>347.83</v>
      </c>
      <c r="F2413" s="18">
        <v>41932.99</v>
      </c>
      <c r="G2413" s="18">
        <v>134804</v>
      </c>
      <c r="H2413" s="18">
        <f t="shared" si="72"/>
        <v>41897.99</v>
      </c>
      <c r="I2413" s="12"/>
    </row>
    <row r="2414" spans="1:9" s="2" customFormat="1" ht="21.75" customHeight="1" x14ac:dyDescent="0.55000000000000004">
      <c r="A2414" s="18">
        <v>24.7744061</v>
      </c>
      <c r="B2414" s="18">
        <v>34.7930925</v>
      </c>
      <c r="C2414" s="18">
        <v>681288.76</v>
      </c>
      <c r="D2414" s="18">
        <v>2741157.42</v>
      </c>
      <c r="E2414" s="18">
        <v>348.06</v>
      </c>
      <c r="F2414" s="18">
        <v>41931.79</v>
      </c>
      <c r="G2414" s="18">
        <v>134806</v>
      </c>
      <c r="H2414" s="18">
        <f t="shared" si="72"/>
        <v>41896.79</v>
      </c>
      <c r="I2414" s="12"/>
    </row>
    <row r="2415" spans="1:9" s="2" customFormat="1" ht="21.75" customHeight="1" x14ac:dyDescent="0.55000000000000004">
      <c r="A2415" s="18">
        <v>24.774411600000001</v>
      </c>
      <c r="B2415" s="18">
        <v>34.793066400000001</v>
      </c>
      <c r="C2415" s="18">
        <v>681286.11</v>
      </c>
      <c r="D2415" s="18">
        <v>2741158</v>
      </c>
      <c r="E2415" s="18">
        <v>348.1</v>
      </c>
      <c r="F2415" s="18">
        <v>41930.15</v>
      </c>
      <c r="G2415" s="18">
        <v>134808</v>
      </c>
      <c r="H2415" s="18">
        <f t="shared" si="72"/>
        <v>41895.15</v>
      </c>
      <c r="I2415" s="12"/>
    </row>
    <row r="2416" spans="1:9" s="2" customFormat="1" ht="21.75" customHeight="1" x14ac:dyDescent="0.55000000000000004">
      <c r="A2416" s="18">
        <v>24.774417499999998</v>
      </c>
      <c r="B2416" s="18">
        <v>34.793040599999998</v>
      </c>
      <c r="C2416" s="18">
        <v>681283.49</v>
      </c>
      <c r="D2416" s="18">
        <v>2741158.61</v>
      </c>
      <c r="E2416" s="18">
        <v>348.22</v>
      </c>
      <c r="F2416" s="18">
        <v>41932.160000000003</v>
      </c>
      <c r="G2416" s="18">
        <v>134810</v>
      </c>
      <c r="H2416" s="18">
        <f t="shared" si="72"/>
        <v>41897.160000000003</v>
      </c>
      <c r="I2416" s="12"/>
    </row>
    <row r="2417" spans="1:9" s="2" customFormat="1" ht="21.75" customHeight="1" x14ac:dyDescent="0.55000000000000004">
      <c r="A2417" s="18">
        <v>24.774426699999999</v>
      </c>
      <c r="B2417" s="18">
        <v>34.793016299999998</v>
      </c>
      <c r="C2417" s="18">
        <v>681281.03</v>
      </c>
      <c r="D2417" s="18">
        <v>2741159.61</v>
      </c>
      <c r="E2417" s="18">
        <v>348.46</v>
      </c>
      <c r="F2417" s="18">
        <v>41931.660000000003</v>
      </c>
      <c r="G2417" s="18">
        <v>134812</v>
      </c>
      <c r="H2417" s="18">
        <f t="shared" si="72"/>
        <v>41896.660000000003</v>
      </c>
      <c r="I2417" s="12"/>
    </row>
    <row r="2418" spans="1:9" s="2" customFormat="1" ht="21.75" customHeight="1" x14ac:dyDescent="0.55000000000000004">
      <c r="A2418" s="18">
        <v>24.774436699999999</v>
      </c>
      <c r="B2418" s="18">
        <v>34.792991499999999</v>
      </c>
      <c r="C2418" s="18">
        <v>681278.5</v>
      </c>
      <c r="D2418" s="18">
        <v>2741160.68</v>
      </c>
      <c r="E2418" s="18">
        <v>348.58</v>
      </c>
      <c r="F2418" s="18">
        <v>41930.910000000003</v>
      </c>
      <c r="G2418" s="18">
        <v>134814</v>
      </c>
      <c r="H2418" s="18">
        <f t="shared" si="72"/>
        <v>41895.910000000003</v>
      </c>
      <c r="I2418" s="12"/>
    </row>
    <row r="2419" spans="1:9" s="2" customFormat="1" ht="21.75" customHeight="1" x14ac:dyDescent="0.55000000000000004">
      <c r="A2419" s="18">
        <v>24.774443399999999</v>
      </c>
      <c r="B2419" s="18">
        <v>34.792966399999997</v>
      </c>
      <c r="C2419" s="18">
        <v>681275.95</v>
      </c>
      <c r="D2419" s="18">
        <v>2741161.39</v>
      </c>
      <c r="E2419" s="18">
        <v>348.9</v>
      </c>
      <c r="F2419" s="18">
        <v>41930.129999999997</v>
      </c>
      <c r="G2419" s="18">
        <v>134816</v>
      </c>
      <c r="H2419" s="18">
        <f t="shared" si="72"/>
        <v>41895.129999999997</v>
      </c>
      <c r="I2419" s="12"/>
    </row>
    <row r="2420" spans="1:9" s="2" customFormat="1" ht="21.75" customHeight="1" x14ac:dyDescent="0.55000000000000004">
      <c r="A2420" s="18">
        <v>24.774445799999999</v>
      </c>
      <c r="B2420" s="18">
        <v>34.792940700000003</v>
      </c>
      <c r="C2420" s="18">
        <v>681273.35</v>
      </c>
      <c r="D2420" s="18">
        <v>2741161.62</v>
      </c>
      <c r="E2420" s="18">
        <v>348.98</v>
      </c>
      <c r="F2420" s="18">
        <v>41932.54</v>
      </c>
      <c r="G2420" s="18">
        <v>134818</v>
      </c>
      <c r="H2420" s="18">
        <f t="shared" si="72"/>
        <v>41897.54</v>
      </c>
      <c r="I2420" s="12"/>
    </row>
    <row r="2421" spans="1:9" s="2" customFormat="1" ht="21.75" customHeight="1" x14ac:dyDescent="0.55000000000000004">
      <c r="A2421" s="18">
        <v>24.774448899999999</v>
      </c>
      <c r="B2421" s="18">
        <v>34.792915399999998</v>
      </c>
      <c r="C2421" s="18">
        <v>681270.79</v>
      </c>
      <c r="D2421" s="18">
        <v>2741161.94</v>
      </c>
      <c r="E2421" s="18">
        <v>348.95</v>
      </c>
      <c r="F2421" s="18">
        <v>41930.31</v>
      </c>
      <c r="G2421" s="18">
        <v>134820</v>
      </c>
      <c r="H2421" s="18">
        <f t="shared" si="72"/>
        <v>41895.31</v>
      </c>
      <c r="I2421" s="12"/>
    </row>
    <row r="2422" spans="1:9" s="2" customFormat="1" ht="21.75" customHeight="1" x14ac:dyDescent="0.55000000000000004">
      <c r="A2422" s="18">
        <v>24.774456700000002</v>
      </c>
      <c r="B2422" s="18">
        <v>34.792890200000002</v>
      </c>
      <c r="C2422" s="18">
        <v>681268.23</v>
      </c>
      <c r="D2422" s="18">
        <v>2741162.76</v>
      </c>
      <c r="E2422" s="18">
        <v>348.91</v>
      </c>
      <c r="F2422" s="18">
        <v>41930.370000000003</v>
      </c>
      <c r="G2422" s="18">
        <v>134822</v>
      </c>
      <c r="H2422" s="18">
        <f t="shared" si="72"/>
        <v>41895.370000000003</v>
      </c>
      <c r="I2422" s="12"/>
    </row>
    <row r="2423" spans="1:9" s="2" customFormat="1" ht="21.75" customHeight="1" x14ac:dyDescent="0.55000000000000004">
      <c r="A2423" s="18">
        <v>24.7744602</v>
      </c>
      <c r="B2423" s="18">
        <v>34.792861799999997</v>
      </c>
      <c r="C2423" s="18">
        <v>681265.35</v>
      </c>
      <c r="D2423" s="18">
        <v>2741163.11</v>
      </c>
      <c r="E2423" s="18">
        <v>348.86</v>
      </c>
      <c r="F2423" s="18">
        <v>41932.43</v>
      </c>
      <c r="G2423" s="18">
        <v>134824</v>
      </c>
      <c r="H2423" s="18">
        <f t="shared" si="72"/>
        <v>41897.43</v>
      </c>
      <c r="I2423" s="12"/>
    </row>
    <row r="2424" spans="1:9" s="2" customFormat="1" ht="21.75" customHeight="1" x14ac:dyDescent="0.55000000000000004">
      <c r="A2424" s="18">
        <v>24.774467699999999</v>
      </c>
      <c r="B2424" s="18">
        <v>34.792836399999999</v>
      </c>
      <c r="C2424" s="18">
        <v>681262.77</v>
      </c>
      <c r="D2424" s="18">
        <v>2741163.91</v>
      </c>
      <c r="E2424" s="18">
        <v>348.96</v>
      </c>
      <c r="F2424" s="18">
        <v>41931.14</v>
      </c>
      <c r="G2424" s="18">
        <v>134826</v>
      </c>
      <c r="H2424" s="18">
        <f t="shared" si="72"/>
        <v>41896.14</v>
      </c>
      <c r="I2424" s="12"/>
    </row>
    <row r="2425" spans="1:9" s="2" customFormat="1" ht="21.75" customHeight="1" x14ac:dyDescent="0.55000000000000004">
      <c r="A2425" s="18">
        <v>24.774471999999999</v>
      </c>
      <c r="B2425" s="18">
        <v>34.792812300000001</v>
      </c>
      <c r="C2425" s="18">
        <v>681260.32</v>
      </c>
      <c r="D2425" s="18">
        <v>2741164.36</v>
      </c>
      <c r="E2425" s="18">
        <v>349.13</v>
      </c>
      <c r="F2425" s="18">
        <v>41929.279999999999</v>
      </c>
      <c r="G2425" s="18">
        <v>134828</v>
      </c>
      <c r="H2425" s="18">
        <f t="shared" si="72"/>
        <v>41894.28</v>
      </c>
      <c r="I2425" s="12"/>
    </row>
    <row r="2426" spans="1:9" s="2" customFormat="1" ht="21.75" customHeight="1" x14ac:dyDescent="0.55000000000000004">
      <c r="A2426" s="18">
        <v>24.774476199999999</v>
      </c>
      <c r="B2426" s="18">
        <v>34.792785500000001</v>
      </c>
      <c r="C2426" s="18">
        <v>681257.61</v>
      </c>
      <c r="D2426" s="18">
        <v>2741164.78</v>
      </c>
      <c r="E2426" s="18">
        <v>349.34</v>
      </c>
      <c r="F2426" s="18">
        <v>41928.15</v>
      </c>
      <c r="G2426" s="18">
        <v>134830</v>
      </c>
      <c r="H2426" s="18">
        <f t="shared" si="72"/>
        <v>41893.15</v>
      </c>
      <c r="I2426" s="12"/>
    </row>
    <row r="2427" spans="1:9" s="2" customFormat="1" ht="21.75" customHeight="1" x14ac:dyDescent="0.55000000000000004">
      <c r="A2427" s="18">
        <v>24.774480100000002</v>
      </c>
      <c r="B2427" s="18">
        <v>34.792759699999998</v>
      </c>
      <c r="C2427" s="18">
        <v>681254.99</v>
      </c>
      <c r="D2427" s="18">
        <v>2741165.18</v>
      </c>
      <c r="E2427" s="18">
        <v>349.44</v>
      </c>
      <c r="F2427" s="18">
        <v>41928.29</v>
      </c>
      <c r="G2427" s="18">
        <v>134832</v>
      </c>
      <c r="H2427" s="18">
        <f t="shared" si="72"/>
        <v>41893.29</v>
      </c>
      <c r="I2427" s="12"/>
    </row>
    <row r="2428" spans="1:9" s="2" customFormat="1" ht="21.75" customHeight="1" x14ac:dyDescent="0.55000000000000004">
      <c r="A2428" s="18">
        <v>24.774474000000001</v>
      </c>
      <c r="B2428" s="18">
        <v>34.792734000000003</v>
      </c>
      <c r="C2428" s="18">
        <v>681252.41</v>
      </c>
      <c r="D2428" s="18">
        <v>2741164.47</v>
      </c>
      <c r="E2428" s="18">
        <v>349.53</v>
      </c>
      <c r="F2428" s="18">
        <v>41932.239999999998</v>
      </c>
      <c r="G2428" s="18">
        <v>134834</v>
      </c>
      <c r="H2428" s="18">
        <f t="shared" si="72"/>
        <v>41897.24</v>
      </c>
      <c r="I2428" s="12"/>
    </row>
    <row r="2429" spans="1:9" s="2" customFormat="1" ht="21.75" customHeight="1" x14ac:dyDescent="0.55000000000000004">
      <c r="A2429" s="18">
        <v>24.774462100000001</v>
      </c>
      <c r="B2429" s="18">
        <v>34.792709199999997</v>
      </c>
      <c r="C2429" s="18">
        <v>681249.92</v>
      </c>
      <c r="D2429" s="18">
        <v>2741163.12</v>
      </c>
      <c r="E2429" s="18">
        <v>349.75</v>
      </c>
      <c r="F2429" s="18">
        <v>41928.879999999997</v>
      </c>
      <c r="G2429" s="18">
        <v>134836</v>
      </c>
      <c r="H2429" s="18">
        <f t="shared" si="72"/>
        <v>41893.879999999997</v>
      </c>
      <c r="I2429" s="12"/>
    </row>
    <row r="2430" spans="1:9" s="2" customFormat="1" ht="21.75" customHeight="1" x14ac:dyDescent="0.55000000000000004">
      <c r="A2430" s="18">
        <v>24.7744477</v>
      </c>
      <c r="B2430" s="18">
        <v>34.792687299999997</v>
      </c>
      <c r="C2430" s="18">
        <v>681247.72</v>
      </c>
      <c r="D2430" s="18">
        <v>2741161.49</v>
      </c>
      <c r="E2430" s="18">
        <v>349.93</v>
      </c>
      <c r="F2430" s="18">
        <v>41930.769999999997</v>
      </c>
      <c r="G2430" s="18">
        <v>134838</v>
      </c>
      <c r="H2430" s="18">
        <f t="shared" si="72"/>
        <v>41895.769999999997</v>
      </c>
      <c r="I2430" s="12"/>
    </row>
    <row r="2431" spans="1:9" s="2" customFormat="1" ht="21.75" customHeight="1" x14ac:dyDescent="0.55000000000000004">
      <c r="A2431" s="18">
        <v>24.774431199999999</v>
      </c>
      <c r="B2431" s="18">
        <v>34.792667100000003</v>
      </c>
      <c r="C2431" s="18">
        <v>681245.7</v>
      </c>
      <c r="D2431" s="18">
        <v>2741159.64</v>
      </c>
      <c r="E2431" s="18">
        <v>350.15</v>
      </c>
      <c r="F2431" s="18">
        <v>41930.01</v>
      </c>
      <c r="G2431" s="18">
        <v>134840</v>
      </c>
      <c r="H2431" s="18">
        <f t="shared" si="72"/>
        <v>41895.01</v>
      </c>
      <c r="I2431" s="12"/>
    </row>
    <row r="2432" spans="1:9" s="2" customFormat="1" ht="21.75" customHeight="1" x14ac:dyDescent="0.55000000000000004">
      <c r="A2432" s="18">
        <v>24.7744137</v>
      </c>
      <c r="B2432" s="18">
        <v>34.792648700000001</v>
      </c>
      <c r="C2432" s="18">
        <v>681243.87</v>
      </c>
      <c r="D2432" s="18">
        <v>2741157.68</v>
      </c>
      <c r="E2432" s="18">
        <v>350.54</v>
      </c>
      <c r="F2432" s="18">
        <v>41929.480000000003</v>
      </c>
      <c r="G2432" s="18">
        <v>134842</v>
      </c>
      <c r="H2432" s="18">
        <f t="shared" si="72"/>
        <v>41894.480000000003</v>
      </c>
      <c r="I2432" s="12"/>
    </row>
    <row r="2433" spans="1:9" s="2" customFormat="1" ht="21.75" customHeight="1" x14ac:dyDescent="0.55000000000000004">
      <c r="A2433" s="18">
        <v>24.774398699999999</v>
      </c>
      <c r="B2433" s="18">
        <v>34.792629599999998</v>
      </c>
      <c r="C2433" s="18">
        <v>681241.96</v>
      </c>
      <c r="D2433" s="18">
        <v>2741155.99</v>
      </c>
      <c r="E2433" s="18">
        <v>350.91</v>
      </c>
      <c r="F2433" s="18">
        <v>41930.080000000002</v>
      </c>
      <c r="G2433" s="18">
        <v>134844</v>
      </c>
      <c r="H2433" s="18">
        <f t="shared" si="72"/>
        <v>41895.08</v>
      </c>
      <c r="I2433" s="12"/>
    </row>
    <row r="2434" spans="1:9" s="2" customFormat="1" ht="21.75" customHeight="1" x14ac:dyDescent="0.55000000000000004">
      <c r="A2434" s="18">
        <v>24.774395899999998</v>
      </c>
      <c r="B2434" s="18">
        <v>34.792612599999998</v>
      </c>
      <c r="C2434" s="18">
        <v>681240.24</v>
      </c>
      <c r="D2434" s="18">
        <v>2741155.66</v>
      </c>
      <c r="E2434" s="18">
        <v>351.21</v>
      </c>
      <c r="F2434" s="18">
        <v>41929.79</v>
      </c>
      <c r="G2434" s="18">
        <v>134846</v>
      </c>
      <c r="H2434" s="18">
        <f t="shared" si="72"/>
        <v>41894.79</v>
      </c>
      <c r="I2434" s="12"/>
    </row>
    <row r="2435" spans="1:9" s="2" customFormat="1" ht="21.75" customHeight="1" x14ac:dyDescent="0.55000000000000004">
      <c r="A2435" s="18">
        <v>24.7743915</v>
      </c>
      <c r="B2435" s="18">
        <v>34.792588299999998</v>
      </c>
      <c r="C2435" s="18">
        <v>681237.79</v>
      </c>
      <c r="D2435" s="18">
        <v>2741155.14</v>
      </c>
      <c r="E2435" s="18">
        <v>351.49</v>
      </c>
      <c r="F2435" s="18">
        <v>41929.58</v>
      </c>
      <c r="G2435" s="18">
        <v>134848</v>
      </c>
      <c r="H2435" s="18">
        <f t="shared" si="72"/>
        <v>41894.58</v>
      </c>
      <c r="I2435" s="12"/>
    </row>
    <row r="2436" spans="1:9" s="2" customFormat="1" ht="21.75" customHeight="1" x14ac:dyDescent="0.55000000000000004">
      <c r="A2436" s="18">
        <v>24.774381200000001</v>
      </c>
      <c r="B2436" s="18">
        <v>34.792568000000003</v>
      </c>
      <c r="C2436" s="18">
        <v>681235.76</v>
      </c>
      <c r="D2436" s="18">
        <v>2741153.97</v>
      </c>
      <c r="E2436" s="18">
        <v>351.9</v>
      </c>
      <c r="F2436" s="18">
        <v>41929.910000000003</v>
      </c>
      <c r="G2436" s="18">
        <v>134850</v>
      </c>
      <c r="H2436" s="18">
        <f t="shared" si="72"/>
        <v>41894.910000000003</v>
      </c>
      <c r="I2436" s="12"/>
    </row>
    <row r="2437" spans="1:9" s="2" customFormat="1" ht="21.75" customHeight="1" x14ac:dyDescent="0.55000000000000004">
      <c r="A2437" s="18">
        <v>24.774367699999999</v>
      </c>
      <c r="B2437" s="18">
        <v>34.792546399999999</v>
      </c>
      <c r="C2437" s="18">
        <v>681233.59</v>
      </c>
      <c r="D2437" s="18">
        <v>2741152.45</v>
      </c>
      <c r="E2437" s="18">
        <v>352.22</v>
      </c>
      <c r="F2437" s="18">
        <v>41929.440000000002</v>
      </c>
      <c r="G2437" s="18">
        <v>134852</v>
      </c>
      <c r="H2437" s="18">
        <f t="shared" si="72"/>
        <v>41894.44</v>
      </c>
      <c r="I2437" s="12"/>
    </row>
    <row r="2438" spans="1:9" s="2" customFormat="1" ht="21.75" customHeight="1" x14ac:dyDescent="0.55000000000000004">
      <c r="A2438" s="18">
        <v>24.774351299999999</v>
      </c>
      <c r="B2438" s="18">
        <v>34.792525500000004</v>
      </c>
      <c r="C2438" s="18">
        <v>681231.5</v>
      </c>
      <c r="D2438" s="18">
        <v>2741150.6</v>
      </c>
      <c r="E2438" s="18">
        <v>352.45</v>
      </c>
      <c r="F2438" s="18">
        <v>41930.32</v>
      </c>
      <c r="G2438" s="18">
        <v>134854</v>
      </c>
      <c r="H2438" s="18">
        <f t="shared" si="72"/>
        <v>41895.32</v>
      </c>
      <c r="I2438" s="12"/>
    </row>
    <row r="2439" spans="1:9" s="2" customFormat="1" ht="21.75" customHeight="1" x14ac:dyDescent="0.55000000000000004">
      <c r="A2439" s="18">
        <v>24.774334499999998</v>
      </c>
      <c r="B2439" s="18">
        <v>34.792505800000001</v>
      </c>
      <c r="C2439" s="18">
        <v>681229.53</v>
      </c>
      <c r="D2439" s="18">
        <v>2741148.72</v>
      </c>
      <c r="E2439" s="18">
        <v>352.83</v>
      </c>
      <c r="F2439" s="18">
        <v>41929.339999999997</v>
      </c>
      <c r="G2439" s="18">
        <v>134856</v>
      </c>
      <c r="H2439" s="18">
        <f t="shared" si="72"/>
        <v>41894.339999999997</v>
      </c>
      <c r="I2439" s="12"/>
    </row>
    <row r="2440" spans="1:9" s="2" customFormat="1" ht="21.75" customHeight="1" x14ac:dyDescent="0.55000000000000004">
      <c r="A2440" s="18">
        <v>24.774319800000001</v>
      </c>
      <c r="B2440" s="18">
        <v>34.792486199999999</v>
      </c>
      <c r="C2440" s="18">
        <v>681227.57</v>
      </c>
      <c r="D2440" s="18">
        <v>2741147.06</v>
      </c>
      <c r="E2440" s="18">
        <v>352.91</v>
      </c>
      <c r="F2440" s="18">
        <v>41932.019999999997</v>
      </c>
      <c r="G2440" s="18">
        <v>134858</v>
      </c>
      <c r="H2440" s="18">
        <f t="shared" si="72"/>
        <v>41897.019999999997</v>
      </c>
      <c r="I2440" s="12"/>
    </row>
    <row r="2441" spans="1:9" s="2" customFormat="1" ht="21.75" customHeight="1" x14ac:dyDescent="0.55000000000000004">
      <c r="A2441" s="18">
        <v>24.774306800000002</v>
      </c>
      <c r="B2441" s="18">
        <v>34.792462200000003</v>
      </c>
      <c r="C2441" s="18">
        <v>681225.16</v>
      </c>
      <c r="D2441" s="18">
        <v>2741145.59</v>
      </c>
      <c r="E2441" s="18">
        <v>352.65</v>
      </c>
      <c r="F2441" s="18">
        <v>41932.589999999997</v>
      </c>
      <c r="G2441" s="18">
        <v>134900</v>
      </c>
      <c r="H2441" s="18">
        <f t="shared" si="72"/>
        <v>41897.589999999997</v>
      </c>
      <c r="I2441" s="12"/>
    </row>
    <row r="2442" spans="1:9" s="2" customFormat="1" ht="21.75" customHeight="1" x14ac:dyDescent="0.55000000000000004">
      <c r="A2442" s="18">
        <v>24.774294999999999</v>
      </c>
      <c r="B2442" s="18">
        <v>34.792439299999998</v>
      </c>
      <c r="C2442" s="18">
        <v>681222.87</v>
      </c>
      <c r="D2442" s="18">
        <v>2741144.25</v>
      </c>
      <c r="E2442" s="18">
        <v>352.36</v>
      </c>
      <c r="F2442" s="18">
        <v>41933.910000000003</v>
      </c>
      <c r="G2442" s="18">
        <v>134902</v>
      </c>
      <c r="H2442" s="18">
        <f t="shared" si="72"/>
        <v>41898.910000000003</v>
      </c>
      <c r="I2442" s="12"/>
    </row>
    <row r="2443" spans="1:9" s="2" customFormat="1" ht="21.75" customHeight="1" x14ac:dyDescent="0.55000000000000004">
      <c r="A2443" s="18">
        <v>24.774285500000001</v>
      </c>
      <c r="B2443" s="18">
        <v>34.792414200000003</v>
      </c>
      <c r="C2443" s="18">
        <v>681220.34</v>
      </c>
      <c r="D2443" s="18">
        <v>2741143.17</v>
      </c>
      <c r="E2443" s="18">
        <v>351.89</v>
      </c>
      <c r="F2443" s="18">
        <v>41932.54</v>
      </c>
      <c r="G2443" s="18">
        <v>134904</v>
      </c>
      <c r="H2443" s="18">
        <f t="shared" si="72"/>
        <v>41897.54</v>
      </c>
      <c r="I2443" s="12"/>
    </row>
    <row r="2444" spans="1:9" s="2" customFormat="1" ht="21.75" customHeight="1" x14ac:dyDescent="0.55000000000000004">
      <c r="A2444" s="18">
        <v>24.774270099999999</v>
      </c>
      <c r="B2444" s="18">
        <v>34.792388799999998</v>
      </c>
      <c r="C2444" s="18">
        <v>681217.79</v>
      </c>
      <c r="D2444" s="18">
        <v>2741141.42</v>
      </c>
      <c r="E2444" s="18">
        <v>351.6</v>
      </c>
      <c r="F2444" s="18">
        <v>41930.980000000003</v>
      </c>
      <c r="G2444" s="18">
        <v>134906</v>
      </c>
      <c r="H2444" s="18">
        <f t="shared" si="72"/>
        <v>41895.980000000003</v>
      </c>
      <c r="I2444" s="12"/>
    </row>
    <row r="2445" spans="1:9" s="2" customFormat="1" ht="21.75" customHeight="1" x14ac:dyDescent="0.55000000000000004">
      <c r="A2445" s="18">
        <v>24.7742547</v>
      </c>
      <c r="B2445" s="18">
        <v>34.792363000000002</v>
      </c>
      <c r="C2445" s="18">
        <v>681215.21</v>
      </c>
      <c r="D2445" s="18">
        <v>2741139.69</v>
      </c>
      <c r="E2445" s="18">
        <v>351.57</v>
      </c>
      <c r="F2445" s="18">
        <v>41931.15</v>
      </c>
      <c r="G2445" s="18">
        <v>134908</v>
      </c>
      <c r="H2445" s="18">
        <f t="shared" si="72"/>
        <v>41896.15</v>
      </c>
      <c r="I2445" s="12"/>
    </row>
    <row r="2446" spans="1:9" s="2" customFormat="1" ht="21.75" customHeight="1" x14ac:dyDescent="0.55000000000000004">
      <c r="A2446" s="18">
        <v>24.7742377</v>
      </c>
      <c r="B2446" s="18">
        <v>34.792338800000003</v>
      </c>
      <c r="C2446" s="18">
        <v>681212.79</v>
      </c>
      <c r="D2446" s="18">
        <v>2741137.77</v>
      </c>
      <c r="E2446" s="18">
        <v>351.8</v>
      </c>
      <c r="F2446" s="18">
        <v>41929.519999999997</v>
      </c>
      <c r="G2446" s="18">
        <v>134910</v>
      </c>
      <c r="H2446" s="18">
        <f t="shared" si="72"/>
        <v>41894.519999999997</v>
      </c>
      <c r="I2446" s="12"/>
    </row>
    <row r="2447" spans="1:9" s="2" customFormat="1" ht="21.75" customHeight="1" x14ac:dyDescent="0.55000000000000004">
      <c r="A2447" s="18">
        <v>24.774218699999999</v>
      </c>
      <c r="B2447" s="18">
        <v>34.792319800000001</v>
      </c>
      <c r="C2447" s="18">
        <v>681210.89</v>
      </c>
      <c r="D2447" s="18">
        <v>2741135.64</v>
      </c>
      <c r="E2447" s="18">
        <v>351.96</v>
      </c>
      <c r="F2447" s="18">
        <v>41929.269999999997</v>
      </c>
      <c r="G2447" s="18">
        <v>134912</v>
      </c>
      <c r="H2447" s="18">
        <f t="shared" si="72"/>
        <v>41894.269999999997</v>
      </c>
      <c r="I2447" s="12"/>
    </row>
    <row r="2448" spans="1:9" s="2" customFormat="1" ht="21.75" customHeight="1" x14ac:dyDescent="0.55000000000000004">
      <c r="A2448" s="18">
        <v>24.774199299999999</v>
      </c>
      <c r="B2448" s="18">
        <v>34.792306500000002</v>
      </c>
      <c r="C2448" s="18">
        <v>681209.58</v>
      </c>
      <c r="D2448" s="18">
        <v>2741133.47</v>
      </c>
      <c r="E2448" s="18">
        <v>352.21</v>
      </c>
      <c r="F2448" s="18">
        <v>41930.639999999999</v>
      </c>
      <c r="G2448" s="18">
        <v>134914</v>
      </c>
      <c r="H2448" s="18">
        <f t="shared" si="72"/>
        <v>41895.64</v>
      </c>
      <c r="I2448" s="12"/>
    </row>
    <row r="2449" spans="1:9" s="2" customFormat="1" ht="21.75" customHeight="1" x14ac:dyDescent="0.55000000000000004">
      <c r="A2449" s="18">
        <v>24.774181599999999</v>
      </c>
      <c r="B2449" s="18">
        <v>34.792290700000002</v>
      </c>
      <c r="C2449" s="18">
        <v>681208</v>
      </c>
      <c r="D2449" s="18">
        <v>2741131.49</v>
      </c>
      <c r="E2449" s="18">
        <v>352.45</v>
      </c>
      <c r="F2449" s="18">
        <v>41928.82</v>
      </c>
      <c r="G2449" s="18">
        <v>134916</v>
      </c>
      <c r="H2449" s="18">
        <f t="shared" si="72"/>
        <v>41893.82</v>
      </c>
      <c r="I2449" s="12"/>
    </row>
    <row r="2450" spans="1:9" s="2" customFormat="1" ht="21.75" customHeight="1" x14ac:dyDescent="0.55000000000000004">
      <c r="A2450" s="18">
        <v>24.774160299999998</v>
      </c>
      <c r="B2450" s="18">
        <v>34.7922765</v>
      </c>
      <c r="C2450" s="18">
        <v>681206.6</v>
      </c>
      <c r="D2450" s="18">
        <v>2741129.12</v>
      </c>
      <c r="E2450" s="18">
        <v>352.65</v>
      </c>
      <c r="F2450" s="18">
        <v>41928.93</v>
      </c>
      <c r="G2450" s="18">
        <v>134918</v>
      </c>
      <c r="H2450" s="18">
        <f t="shared" si="72"/>
        <v>41893.93</v>
      </c>
      <c r="I2450" s="12"/>
    </row>
    <row r="2451" spans="1:9" s="2" customFormat="1" ht="21.75" customHeight="1" x14ac:dyDescent="0.55000000000000004">
      <c r="A2451" s="18">
        <v>24.774139600000002</v>
      </c>
      <c r="B2451" s="18">
        <v>34.7922601</v>
      </c>
      <c r="C2451" s="18">
        <v>681204.97</v>
      </c>
      <c r="D2451" s="18">
        <v>2741126.8</v>
      </c>
      <c r="E2451" s="18">
        <v>352.81</v>
      </c>
      <c r="F2451" s="18">
        <v>41929.300000000003</v>
      </c>
      <c r="G2451" s="18">
        <v>134920</v>
      </c>
      <c r="H2451" s="18">
        <f t="shared" ref="H2451:H2514" si="73">SUM(F2451-35)</f>
        <v>41894.300000000003</v>
      </c>
      <c r="I2451" s="12"/>
    </row>
    <row r="2452" spans="1:9" s="2" customFormat="1" ht="21.75" customHeight="1" x14ac:dyDescent="0.55000000000000004">
      <c r="A2452" s="18">
        <v>24.774119599999999</v>
      </c>
      <c r="B2452" s="18">
        <v>34.792245899999998</v>
      </c>
      <c r="C2452" s="18">
        <v>681203.57</v>
      </c>
      <c r="D2452" s="18">
        <v>2741124.57</v>
      </c>
      <c r="E2452" s="18">
        <v>352.84</v>
      </c>
      <c r="F2452" s="18">
        <v>41929.99</v>
      </c>
      <c r="G2452" s="18">
        <v>134922</v>
      </c>
      <c r="H2452" s="18">
        <f t="shared" si="73"/>
        <v>41894.99</v>
      </c>
      <c r="I2452" s="12"/>
    </row>
    <row r="2453" spans="1:9" s="2" customFormat="1" ht="21.75" customHeight="1" x14ac:dyDescent="0.55000000000000004">
      <c r="A2453" s="18">
        <v>24.774100600000001</v>
      </c>
      <c r="B2453" s="18">
        <v>34.792228399999999</v>
      </c>
      <c r="C2453" s="18">
        <v>681201.82</v>
      </c>
      <c r="D2453" s="18">
        <v>2741122.44</v>
      </c>
      <c r="E2453" s="18">
        <v>353.02</v>
      </c>
      <c r="F2453" s="18">
        <v>41929.11</v>
      </c>
      <c r="G2453" s="18">
        <v>134924</v>
      </c>
      <c r="H2453" s="18">
        <f t="shared" si="73"/>
        <v>41894.11</v>
      </c>
      <c r="I2453" s="12"/>
    </row>
    <row r="2454" spans="1:9" s="2" customFormat="1" ht="21.75" customHeight="1" x14ac:dyDescent="0.55000000000000004">
      <c r="A2454" s="18">
        <v>24.774082199999999</v>
      </c>
      <c r="B2454" s="18">
        <v>34.792211399999999</v>
      </c>
      <c r="C2454" s="18">
        <v>681200.13</v>
      </c>
      <c r="D2454" s="18">
        <v>2741120.38</v>
      </c>
      <c r="E2454" s="18">
        <v>353.24</v>
      </c>
      <c r="F2454" s="18">
        <v>41926.86</v>
      </c>
      <c r="G2454" s="18">
        <v>134926</v>
      </c>
      <c r="H2454" s="18">
        <f t="shared" si="73"/>
        <v>41891.86</v>
      </c>
      <c r="I2454" s="12"/>
    </row>
    <row r="2455" spans="1:9" s="2" customFormat="1" ht="21.75" customHeight="1" x14ac:dyDescent="0.55000000000000004">
      <c r="A2455" s="18">
        <v>24.7740607</v>
      </c>
      <c r="B2455" s="18">
        <v>34.792195499999998</v>
      </c>
      <c r="C2455" s="18">
        <v>681198.55</v>
      </c>
      <c r="D2455" s="18">
        <v>2741117.97</v>
      </c>
      <c r="E2455" s="18">
        <v>353.43</v>
      </c>
      <c r="F2455" s="18">
        <v>41925.769999999997</v>
      </c>
      <c r="G2455" s="18">
        <v>134928</v>
      </c>
      <c r="H2455" s="18">
        <f t="shared" si="73"/>
        <v>41890.769999999997</v>
      </c>
      <c r="I2455" s="12"/>
    </row>
    <row r="2456" spans="1:9" s="2" customFormat="1" ht="21.75" customHeight="1" x14ac:dyDescent="0.55000000000000004">
      <c r="A2456" s="18">
        <v>24.774039299999998</v>
      </c>
      <c r="B2456" s="18">
        <v>34.792179900000001</v>
      </c>
      <c r="C2456" s="18">
        <v>681197</v>
      </c>
      <c r="D2456" s="18">
        <v>2741115.59</v>
      </c>
      <c r="E2456" s="18">
        <v>353.46</v>
      </c>
      <c r="F2456" s="18">
        <v>41925.42</v>
      </c>
      <c r="G2456" s="18">
        <v>134930</v>
      </c>
      <c r="H2456" s="18">
        <f t="shared" si="73"/>
        <v>41890.42</v>
      </c>
      <c r="I2456" s="12"/>
    </row>
    <row r="2457" spans="1:9" s="2" customFormat="1" ht="21.75" customHeight="1" x14ac:dyDescent="0.55000000000000004">
      <c r="A2457" s="18">
        <v>24.774017400000002</v>
      </c>
      <c r="B2457" s="18">
        <v>34.792165500000003</v>
      </c>
      <c r="C2457" s="18">
        <v>681195.58</v>
      </c>
      <c r="D2457" s="18">
        <v>2741113.14</v>
      </c>
      <c r="E2457" s="18">
        <v>353.59</v>
      </c>
      <c r="F2457" s="18">
        <v>41927.589999999997</v>
      </c>
      <c r="G2457" s="18">
        <v>134932</v>
      </c>
      <c r="H2457" s="18">
        <f t="shared" si="73"/>
        <v>41892.589999999997</v>
      </c>
      <c r="I2457" s="12"/>
    </row>
    <row r="2458" spans="1:9" s="2" customFormat="1" ht="21.75" customHeight="1" x14ac:dyDescent="0.55000000000000004">
      <c r="A2458" s="18">
        <v>24.773995800000002</v>
      </c>
      <c r="B2458" s="18">
        <v>34.792150999999997</v>
      </c>
      <c r="C2458" s="18">
        <v>681194.15</v>
      </c>
      <c r="D2458" s="18">
        <v>2741110.73</v>
      </c>
      <c r="E2458" s="18">
        <v>353.81</v>
      </c>
      <c r="F2458" s="18">
        <v>41927.82</v>
      </c>
      <c r="G2458" s="18">
        <v>134934</v>
      </c>
      <c r="H2458" s="18">
        <f t="shared" si="73"/>
        <v>41892.82</v>
      </c>
      <c r="I2458" s="12"/>
    </row>
    <row r="2459" spans="1:9" s="2" customFormat="1" ht="21.75" customHeight="1" x14ac:dyDescent="0.55000000000000004">
      <c r="A2459" s="18">
        <v>24.7739747</v>
      </c>
      <c r="B2459" s="18">
        <v>34.792136800000002</v>
      </c>
      <c r="C2459" s="18">
        <v>681192.74</v>
      </c>
      <c r="D2459" s="18">
        <v>2741108.38</v>
      </c>
      <c r="E2459" s="18">
        <v>354.16</v>
      </c>
      <c r="F2459" s="18">
        <v>41929.379999999997</v>
      </c>
      <c r="G2459" s="18">
        <v>134936</v>
      </c>
      <c r="H2459" s="18">
        <f t="shared" si="73"/>
        <v>41894.379999999997</v>
      </c>
      <c r="I2459" s="12"/>
    </row>
    <row r="2460" spans="1:9" s="2" customFormat="1" ht="21.75" customHeight="1" x14ac:dyDescent="0.55000000000000004">
      <c r="A2460" s="18">
        <v>24.7739534</v>
      </c>
      <c r="B2460" s="18">
        <v>34.792121799999997</v>
      </c>
      <c r="C2460" s="18">
        <v>681191.25</v>
      </c>
      <c r="D2460" s="18">
        <v>2741105.99</v>
      </c>
      <c r="E2460" s="18">
        <v>354.36</v>
      </c>
      <c r="F2460" s="18">
        <v>41930.47</v>
      </c>
      <c r="G2460" s="18">
        <v>134938</v>
      </c>
      <c r="H2460" s="18">
        <f t="shared" si="73"/>
        <v>41895.47</v>
      </c>
      <c r="I2460" s="12"/>
    </row>
    <row r="2461" spans="1:9" s="2" customFormat="1" ht="21.75" customHeight="1" x14ac:dyDescent="0.55000000000000004">
      <c r="A2461" s="18">
        <v>24.773933199999998</v>
      </c>
      <c r="B2461" s="18">
        <v>34.792107299999998</v>
      </c>
      <c r="C2461" s="18">
        <v>681189.81</v>
      </c>
      <c r="D2461" s="18">
        <v>2741103.74</v>
      </c>
      <c r="E2461" s="18">
        <v>354.55</v>
      </c>
      <c r="F2461" s="18">
        <v>41931.589999999997</v>
      </c>
      <c r="G2461" s="18">
        <v>134940</v>
      </c>
      <c r="H2461" s="18">
        <f t="shared" si="73"/>
        <v>41896.589999999997</v>
      </c>
      <c r="I2461" s="12"/>
    </row>
    <row r="2462" spans="1:9" s="2" customFormat="1" ht="21.75" customHeight="1" x14ac:dyDescent="0.55000000000000004">
      <c r="A2462" s="18">
        <v>24.773911900000002</v>
      </c>
      <c r="B2462" s="18">
        <v>34.792091599999999</v>
      </c>
      <c r="C2462" s="18">
        <v>681188.26</v>
      </c>
      <c r="D2462" s="18">
        <v>2741101.36</v>
      </c>
      <c r="E2462" s="18">
        <v>354.72</v>
      </c>
      <c r="F2462" s="18">
        <v>41931.78</v>
      </c>
      <c r="G2462" s="18">
        <v>134942</v>
      </c>
      <c r="H2462" s="18">
        <f t="shared" si="73"/>
        <v>41896.78</v>
      </c>
      <c r="I2462" s="12"/>
    </row>
    <row r="2463" spans="1:9" s="2" customFormat="1" ht="21.75" customHeight="1" x14ac:dyDescent="0.55000000000000004">
      <c r="A2463" s="18">
        <v>24.773892799999999</v>
      </c>
      <c r="B2463" s="18">
        <v>34.792076199999997</v>
      </c>
      <c r="C2463" s="18">
        <v>681186.73</v>
      </c>
      <c r="D2463" s="18">
        <v>2741099.22</v>
      </c>
      <c r="E2463" s="18">
        <v>354.72</v>
      </c>
      <c r="F2463" s="18">
        <v>41931.82</v>
      </c>
      <c r="G2463" s="18">
        <v>134944</v>
      </c>
      <c r="H2463" s="18">
        <f t="shared" si="73"/>
        <v>41896.82</v>
      </c>
      <c r="I2463" s="12"/>
    </row>
    <row r="2464" spans="1:9" s="2" customFormat="1" ht="21.75" customHeight="1" x14ac:dyDescent="0.55000000000000004">
      <c r="A2464" s="18">
        <v>24.773873300000002</v>
      </c>
      <c r="B2464" s="18">
        <v>34.792058599999997</v>
      </c>
      <c r="C2464" s="18">
        <v>681184.98</v>
      </c>
      <c r="D2464" s="18">
        <v>2741097.04</v>
      </c>
      <c r="E2464" s="18">
        <v>354.8</v>
      </c>
      <c r="F2464" s="18">
        <v>41932.379999999997</v>
      </c>
      <c r="G2464" s="18">
        <v>134946</v>
      </c>
      <c r="H2464" s="18">
        <f t="shared" si="73"/>
        <v>41897.379999999997</v>
      </c>
      <c r="I2464" s="12"/>
    </row>
    <row r="2465" spans="1:9" s="2" customFormat="1" ht="21.75" customHeight="1" x14ac:dyDescent="0.55000000000000004">
      <c r="A2465" s="18">
        <v>24.773852300000001</v>
      </c>
      <c r="B2465" s="18">
        <v>34.792042000000002</v>
      </c>
      <c r="C2465" s="18">
        <v>681183.33</v>
      </c>
      <c r="D2465" s="18">
        <v>2741094.69</v>
      </c>
      <c r="E2465" s="18">
        <v>354.82</v>
      </c>
      <c r="F2465" s="18">
        <v>41931.699999999997</v>
      </c>
      <c r="G2465" s="18">
        <v>134948</v>
      </c>
      <c r="H2465" s="18">
        <f t="shared" si="73"/>
        <v>41896.699999999997</v>
      </c>
      <c r="I2465" s="12"/>
    </row>
    <row r="2466" spans="1:9" s="2" customFormat="1" ht="21.75" customHeight="1" x14ac:dyDescent="0.55000000000000004">
      <c r="A2466" s="18">
        <v>24.773829800000001</v>
      </c>
      <c r="B2466" s="18">
        <v>34.792025600000002</v>
      </c>
      <c r="C2466" s="18">
        <v>681181.7</v>
      </c>
      <c r="D2466" s="18">
        <v>2741092.17</v>
      </c>
      <c r="E2466" s="18">
        <v>354.88</v>
      </c>
      <c r="F2466" s="18">
        <v>41931.68</v>
      </c>
      <c r="G2466" s="18">
        <v>134950</v>
      </c>
      <c r="H2466" s="18">
        <f t="shared" si="73"/>
        <v>41896.68</v>
      </c>
      <c r="I2466" s="12"/>
    </row>
    <row r="2467" spans="1:9" s="2" customFormat="1" ht="21.75" customHeight="1" x14ac:dyDescent="0.55000000000000004">
      <c r="A2467" s="18">
        <v>24.773810300000001</v>
      </c>
      <c r="B2467" s="18">
        <v>34.792007499999997</v>
      </c>
      <c r="C2467" s="18">
        <v>681179.9</v>
      </c>
      <c r="D2467" s="18">
        <v>2741089.99</v>
      </c>
      <c r="E2467" s="18">
        <v>354.85</v>
      </c>
      <c r="F2467" s="18">
        <v>41932.04</v>
      </c>
      <c r="G2467" s="18">
        <v>134952</v>
      </c>
      <c r="H2467" s="18">
        <f t="shared" si="73"/>
        <v>41897.040000000001</v>
      </c>
      <c r="I2467" s="12"/>
    </row>
    <row r="2468" spans="1:9" s="2" customFormat="1" ht="21.75" customHeight="1" x14ac:dyDescent="0.55000000000000004">
      <c r="A2468" s="18">
        <v>24.7737917</v>
      </c>
      <c r="B2468" s="18">
        <v>34.7919871</v>
      </c>
      <c r="C2468" s="18">
        <v>681177.87</v>
      </c>
      <c r="D2468" s="18">
        <v>2741087.9</v>
      </c>
      <c r="E2468" s="18">
        <v>355.03</v>
      </c>
      <c r="F2468" s="18">
        <v>41931.230000000003</v>
      </c>
      <c r="G2468" s="18">
        <v>134954</v>
      </c>
      <c r="H2468" s="18">
        <f t="shared" si="73"/>
        <v>41896.230000000003</v>
      </c>
      <c r="I2468" s="12"/>
    </row>
    <row r="2469" spans="1:9" s="2" customFormat="1" ht="21.75" customHeight="1" x14ac:dyDescent="0.55000000000000004">
      <c r="A2469" s="18">
        <v>24.773774400000001</v>
      </c>
      <c r="B2469" s="18">
        <v>34.791969100000003</v>
      </c>
      <c r="C2469" s="18">
        <v>681176.07</v>
      </c>
      <c r="D2469" s="18">
        <v>2741085.97</v>
      </c>
      <c r="E2469" s="18">
        <v>355.22</v>
      </c>
      <c r="F2469" s="18">
        <v>41927.68</v>
      </c>
      <c r="G2469" s="18">
        <v>134956</v>
      </c>
      <c r="H2469" s="18">
        <f t="shared" si="73"/>
        <v>41892.68</v>
      </c>
      <c r="I2469" s="12"/>
    </row>
    <row r="2470" spans="1:9" s="2" customFormat="1" ht="21.75" customHeight="1" x14ac:dyDescent="0.55000000000000004">
      <c r="A2470" s="18">
        <v>24.773757799999998</v>
      </c>
      <c r="B2470" s="18">
        <v>34.791952999999999</v>
      </c>
      <c r="C2470" s="18">
        <v>681174.47</v>
      </c>
      <c r="D2470" s="18">
        <v>2741084.11</v>
      </c>
      <c r="E2470" s="18">
        <v>355.33</v>
      </c>
      <c r="F2470" s="18">
        <v>41932.49</v>
      </c>
      <c r="G2470" s="18">
        <v>134958</v>
      </c>
      <c r="H2470" s="18">
        <f t="shared" si="73"/>
        <v>41897.49</v>
      </c>
      <c r="I2470" s="12"/>
    </row>
    <row r="2471" spans="1:9" s="2" customFormat="1" ht="21.75" customHeight="1" x14ac:dyDescent="0.55000000000000004">
      <c r="A2471" s="18">
        <v>24.773740499999999</v>
      </c>
      <c r="B2471" s="18">
        <v>34.791933499999999</v>
      </c>
      <c r="C2471" s="18">
        <v>681172.53</v>
      </c>
      <c r="D2471" s="18">
        <v>2741082.16</v>
      </c>
      <c r="E2471" s="18">
        <v>355.42</v>
      </c>
      <c r="F2471" s="18">
        <v>41930.17</v>
      </c>
      <c r="G2471" s="18">
        <v>135000</v>
      </c>
      <c r="H2471" s="18">
        <f t="shared" si="73"/>
        <v>41895.17</v>
      </c>
      <c r="I2471" s="12"/>
    </row>
    <row r="2472" spans="1:9" s="2" customFormat="1" ht="21.75" customHeight="1" x14ac:dyDescent="0.55000000000000004">
      <c r="A2472" s="18">
        <v>24.773722200000002</v>
      </c>
      <c r="B2472" s="18">
        <v>34.791914300000002</v>
      </c>
      <c r="C2472" s="18">
        <v>681170.61</v>
      </c>
      <c r="D2472" s="18">
        <v>2741080.12</v>
      </c>
      <c r="E2472" s="18">
        <v>355.64</v>
      </c>
      <c r="F2472" s="18">
        <v>41931.120000000003</v>
      </c>
      <c r="G2472" s="18">
        <v>135002</v>
      </c>
      <c r="H2472" s="18">
        <f t="shared" si="73"/>
        <v>41896.120000000003</v>
      </c>
      <c r="I2472" s="12"/>
    </row>
    <row r="2473" spans="1:9" s="2" customFormat="1" ht="21.75" customHeight="1" x14ac:dyDescent="0.55000000000000004">
      <c r="A2473" s="18">
        <v>24.773705199999998</v>
      </c>
      <c r="B2473" s="18">
        <v>34.7918947</v>
      </c>
      <c r="C2473" s="18">
        <v>681168.65</v>
      </c>
      <c r="D2473" s="18">
        <v>2741078.21</v>
      </c>
      <c r="E2473" s="18">
        <v>355.82</v>
      </c>
      <c r="F2473" s="18">
        <v>41931.519999999997</v>
      </c>
      <c r="G2473" s="18">
        <v>135004</v>
      </c>
      <c r="H2473" s="18">
        <f t="shared" si="73"/>
        <v>41896.519999999997</v>
      </c>
      <c r="I2473" s="12"/>
    </row>
    <row r="2474" spans="1:9" s="2" customFormat="1" ht="21.75" customHeight="1" x14ac:dyDescent="0.55000000000000004">
      <c r="A2474" s="18">
        <v>24.7736868</v>
      </c>
      <c r="B2474" s="18">
        <v>34.791874499999999</v>
      </c>
      <c r="C2474" s="18">
        <v>681166.64</v>
      </c>
      <c r="D2474" s="18">
        <v>2741076.14</v>
      </c>
      <c r="E2474" s="18">
        <v>356</v>
      </c>
      <c r="F2474" s="18">
        <v>41930.699999999997</v>
      </c>
      <c r="G2474" s="18">
        <v>135006</v>
      </c>
      <c r="H2474" s="18">
        <f t="shared" si="73"/>
        <v>41895.699999999997</v>
      </c>
      <c r="I2474" s="12"/>
    </row>
    <row r="2475" spans="1:9" s="2" customFormat="1" ht="21.75" customHeight="1" x14ac:dyDescent="0.55000000000000004">
      <c r="A2475" s="18">
        <v>24.773669000000002</v>
      </c>
      <c r="B2475" s="18">
        <v>34.791855499999997</v>
      </c>
      <c r="C2475" s="18">
        <v>681164.73</v>
      </c>
      <c r="D2475" s="18">
        <v>2741074.15</v>
      </c>
      <c r="E2475" s="18">
        <v>356.2</v>
      </c>
      <c r="F2475" s="18">
        <v>41930.879999999997</v>
      </c>
      <c r="G2475" s="18">
        <v>135008</v>
      </c>
      <c r="H2475" s="18">
        <f t="shared" si="73"/>
        <v>41895.879999999997</v>
      </c>
      <c r="I2475" s="12"/>
    </row>
    <row r="2476" spans="1:9" s="2" customFormat="1" ht="21.75" customHeight="1" x14ac:dyDescent="0.55000000000000004">
      <c r="A2476" s="18">
        <v>24.773651300000001</v>
      </c>
      <c r="B2476" s="18">
        <v>34.791836099999998</v>
      </c>
      <c r="C2476" s="18">
        <v>681162.8</v>
      </c>
      <c r="D2476" s="18">
        <v>2741072.16</v>
      </c>
      <c r="E2476" s="18">
        <v>356.42</v>
      </c>
      <c r="F2476" s="18">
        <v>41929.67</v>
      </c>
      <c r="G2476" s="18">
        <v>135010</v>
      </c>
      <c r="H2476" s="18">
        <f t="shared" si="73"/>
        <v>41894.67</v>
      </c>
      <c r="I2476" s="12"/>
    </row>
    <row r="2477" spans="1:9" s="2" customFormat="1" ht="21.75" customHeight="1" x14ac:dyDescent="0.55000000000000004">
      <c r="A2477" s="18">
        <v>24.7736321</v>
      </c>
      <c r="B2477" s="18">
        <v>34.791818800000001</v>
      </c>
      <c r="C2477" s="18">
        <v>681161.07</v>
      </c>
      <c r="D2477" s="18">
        <v>2741070.01</v>
      </c>
      <c r="E2477" s="18">
        <v>356.55</v>
      </c>
      <c r="F2477" s="18">
        <v>41929.599999999999</v>
      </c>
      <c r="G2477" s="18">
        <v>135012</v>
      </c>
      <c r="H2477" s="18">
        <f t="shared" si="73"/>
        <v>41894.6</v>
      </c>
      <c r="I2477" s="12"/>
    </row>
    <row r="2478" spans="1:9" s="2" customFormat="1" ht="21.75" customHeight="1" x14ac:dyDescent="0.55000000000000004">
      <c r="A2478" s="18">
        <v>24.773611200000001</v>
      </c>
      <c r="B2478" s="18">
        <v>34.791801499999998</v>
      </c>
      <c r="C2478" s="18">
        <v>681159.36</v>
      </c>
      <c r="D2478" s="18">
        <v>2741067.66</v>
      </c>
      <c r="E2478" s="18">
        <v>356.57</v>
      </c>
      <c r="F2478" s="18">
        <v>41930.32</v>
      </c>
      <c r="G2478" s="18">
        <v>135014</v>
      </c>
      <c r="H2478" s="18">
        <f t="shared" si="73"/>
        <v>41895.32</v>
      </c>
      <c r="I2478" s="12"/>
    </row>
    <row r="2479" spans="1:9" s="2" customFormat="1" ht="21.75" customHeight="1" x14ac:dyDescent="0.55000000000000004">
      <c r="A2479" s="18">
        <v>24.773592799999999</v>
      </c>
      <c r="B2479" s="18">
        <v>34.791781100000001</v>
      </c>
      <c r="C2479" s="18">
        <v>681157.32</v>
      </c>
      <c r="D2479" s="18">
        <v>2741065.61</v>
      </c>
      <c r="E2479" s="18">
        <v>356.68</v>
      </c>
      <c r="F2479" s="18">
        <v>41931.14</v>
      </c>
      <c r="G2479" s="18">
        <v>135016</v>
      </c>
      <c r="H2479" s="18">
        <f t="shared" si="73"/>
        <v>41896.14</v>
      </c>
      <c r="I2479" s="12"/>
    </row>
    <row r="2480" spans="1:9" s="2" customFormat="1" ht="21.75" customHeight="1" x14ac:dyDescent="0.55000000000000004">
      <c r="A2480" s="18">
        <v>24.773575900000001</v>
      </c>
      <c r="B2480" s="18">
        <v>34.791759800000001</v>
      </c>
      <c r="C2480" s="18">
        <v>681155.19</v>
      </c>
      <c r="D2480" s="18">
        <v>2741063.71</v>
      </c>
      <c r="E2480" s="18">
        <v>356.89</v>
      </c>
      <c r="F2480" s="18">
        <v>41931.360000000001</v>
      </c>
      <c r="G2480" s="18">
        <v>135018</v>
      </c>
      <c r="H2480" s="18">
        <f t="shared" si="73"/>
        <v>41896.36</v>
      </c>
      <c r="I2480" s="12"/>
    </row>
    <row r="2481" spans="1:9" s="2" customFormat="1" ht="21.75" customHeight="1" x14ac:dyDescent="0.55000000000000004">
      <c r="A2481" s="18">
        <v>24.7735588</v>
      </c>
      <c r="B2481" s="18">
        <v>34.791741600000002</v>
      </c>
      <c r="C2481" s="18">
        <v>681153.38</v>
      </c>
      <c r="D2481" s="18">
        <v>2741061.79</v>
      </c>
      <c r="E2481" s="18">
        <v>357.19</v>
      </c>
      <c r="F2481" s="18">
        <v>41932.9</v>
      </c>
      <c r="G2481" s="18">
        <v>135020</v>
      </c>
      <c r="H2481" s="18">
        <f t="shared" si="73"/>
        <v>41897.9</v>
      </c>
      <c r="I2481" s="12"/>
    </row>
    <row r="2482" spans="1:9" s="2" customFormat="1" ht="21.75" customHeight="1" x14ac:dyDescent="0.55000000000000004">
      <c r="A2482" s="18">
        <v>24.773543</v>
      </c>
      <c r="B2482" s="18">
        <v>34.791723300000001</v>
      </c>
      <c r="C2482" s="18">
        <v>681151.55</v>
      </c>
      <c r="D2482" s="18">
        <v>2741060.02</v>
      </c>
      <c r="E2482" s="18">
        <v>357.37</v>
      </c>
      <c r="F2482" s="18">
        <v>41933.68</v>
      </c>
      <c r="G2482" s="18">
        <v>135022</v>
      </c>
      <c r="H2482" s="18">
        <f t="shared" si="73"/>
        <v>41898.68</v>
      </c>
      <c r="I2482" s="12"/>
    </row>
    <row r="2483" spans="1:9" s="2" customFormat="1" ht="21.75" customHeight="1" x14ac:dyDescent="0.55000000000000004">
      <c r="A2483" s="18">
        <v>24.7735269</v>
      </c>
      <c r="B2483" s="18">
        <v>34.791706599999998</v>
      </c>
      <c r="C2483" s="18">
        <v>681149.89</v>
      </c>
      <c r="D2483" s="18">
        <v>2741058.21</v>
      </c>
      <c r="E2483" s="18">
        <v>357.44</v>
      </c>
      <c r="F2483" s="18">
        <v>41933.370000000003</v>
      </c>
      <c r="G2483" s="18">
        <v>135024</v>
      </c>
      <c r="H2483" s="18">
        <f t="shared" si="73"/>
        <v>41898.370000000003</v>
      </c>
      <c r="I2483" s="12"/>
    </row>
    <row r="2484" spans="1:9" s="2" customFormat="1" ht="21.75" customHeight="1" x14ac:dyDescent="0.55000000000000004">
      <c r="A2484" s="18">
        <v>24.773510399999999</v>
      </c>
      <c r="B2484" s="18">
        <v>34.791689499999997</v>
      </c>
      <c r="C2484" s="18">
        <v>681148.18</v>
      </c>
      <c r="D2484" s="18">
        <v>2741056.35</v>
      </c>
      <c r="E2484" s="18">
        <v>357.35</v>
      </c>
      <c r="F2484" s="18">
        <v>41933.78</v>
      </c>
      <c r="G2484" s="18">
        <v>135026</v>
      </c>
      <c r="H2484" s="18">
        <f t="shared" si="73"/>
        <v>41898.78</v>
      </c>
      <c r="I2484" s="12"/>
    </row>
    <row r="2485" spans="1:9" s="2" customFormat="1" ht="21.75" customHeight="1" x14ac:dyDescent="0.55000000000000004">
      <c r="A2485" s="18">
        <v>24.773491199999999</v>
      </c>
      <c r="B2485" s="18">
        <v>34.791671600000001</v>
      </c>
      <c r="C2485" s="18">
        <v>681146.4</v>
      </c>
      <c r="D2485" s="18">
        <v>2741054.2</v>
      </c>
      <c r="E2485" s="18">
        <v>357.02</v>
      </c>
      <c r="F2485" s="18">
        <v>41934.22</v>
      </c>
      <c r="G2485" s="18">
        <v>135028</v>
      </c>
      <c r="H2485" s="18">
        <f t="shared" si="73"/>
        <v>41899.22</v>
      </c>
      <c r="I2485" s="12"/>
    </row>
    <row r="2486" spans="1:9" s="2" customFormat="1" ht="21.75" customHeight="1" x14ac:dyDescent="0.55000000000000004">
      <c r="A2486" s="18">
        <v>24.773471300000001</v>
      </c>
      <c r="B2486" s="18">
        <v>34.791653099999998</v>
      </c>
      <c r="C2486" s="18">
        <v>681144.55</v>
      </c>
      <c r="D2486" s="18">
        <v>2741051.98</v>
      </c>
      <c r="E2486" s="18">
        <v>356.66</v>
      </c>
      <c r="F2486" s="18">
        <v>41934.400000000001</v>
      </c>
      <c r="G2486" s="18">
        <v>135030</v>
      </c>
      <c r="H2486" s="18">
        <f t="shared" si="73"/>
        <v>41899.4</v>
      </c>
      <c r="I2486" s="12"/>
    </row>
    <row r="2487" spans="1:9" s="2" customFormat="1" ht="21.75" customHeight="1" x14ac:dyDescent="0.55000000000000004">
      <c r="A2487" s="18">
        <v>24.7734533</v>
      </c>
      <c r="B2487" s="18">
        <v>34.791637700000003</v>
      </c>
      <c r="C2487" s="18">
        <v>681143.02</v>
      </c>
      <c r="D2487" s="18">
        <v>2741049.96</v>
      </c>
      <c r="E2487" s="18">
        <v>356.4</v>
      </c>
      <c r="F2487" s="18">
        <v>41933.53</v>
      </c>
      <c r="G2487" s="18">
        <v>135032</v>
      </c>
      <c r="H2487" s="18">
        <f t="shared" si="73"/>
        <v>41898.53</v>
      </c>
      <c r="I2487" s="12"/>
    </row>
    <row r="2488" spans="1:9" s="2" customFormat="1" ht="21.75" customHeight="1" x14ac:dyDescent="0.55000000000000004">
      <c r="A2488" s="18">
        <v>24.773436</v>
      </c>
      <c r="B2488" s="18">
        <v>34.791621499999998</v>
      </c>
      <c r="C2488" s="18">
        <v>681141.41</v>
      </c>
      <c r="D2488" s="18">
        <v>2741048.02</v>
      </c>
      <c r="E2488" s="18">
        <v>356.08</v>
      </c>
      <c r="F2488" s="18">
        <v>41934.25</v>
      </c>
      <c r="G2488" s="18">
        <v>135034</v>
      </c>
      <c r="H2488" s="18">
        <f t="shared" si="73"/>
        <v>41899.25</v>
      </c>
      <c r="I2488" s="12"/>
    </row>
    <row r="2489" spans="1:9" s="2" customFormat="1" ht="21.75" customHeight="1" x14ac:dyDescent="0.55000000000000004">
      <c r="A2489" s="18">
        <v>24.773418599999999</v>
      </c>
      <c r="B2489" s="18">
        <v>34.791604499999998</v>
      </c>
      <c r="C2489" s="18">
        <v>681139.72</v>
      </c>
      <c r="D2489" s="18">
        <v>2741046.08</v>
      </c>
      <c r="E2489" s="18">
        <v>355.67</v>
      </c>
      <c r="F2489" s="18">
        <v>41934</v>
      </c>
      <c r="G2489" s="18">
        <v>135036</v>
      </c>
      <c r="H2489" s="18">
        <f t="shared" si="73"/>
        <v>41899</v>
      </c>
      <c r="I2489" s="12"/>
    </row>
    <row r="2490" spans="1:9" s="2" customFormat="1" ht="21.75" customHeight="1" x14ac:dyDescent="0.55000000000000004">
      <c r="A2490" s="18">
        <v>24.773399600000001</v>
      </c>
      <c r="B2490" s="18">
        <v>34.791588599999997</v>
      </c>
      <c r="C2490" s="18">
        <v>681138.14</v>
      </c>
      <c r="D2490" s="18">
        <v>2741043.94</v>
      </c>
      <c r="E2490" s="18">
        <v>355.36</v>
      </c>
      <c r="F2490" s="18">
        <v>41935.22</v>
      </c>
      <c r="G2490" s="18">
        <v>135038</v>
      </c>
      <c r="H2490" s="18">
        <f t="shared" si="73"/>
        <v>41900.22</v>
      </c>
      <c r="I2490" s="12"/>
    </row>
    <row r="2491" spans="1:9" s="2" customFormat="1" ht="21.75" customHeight="1" x14ac:dyDescent="0.55000000000000004">
      <c r="A2491" s="18">
        <v>24.773383800000001</v>
      </c>
      <c r="B2491" s="18">
        <v>34.791569600000003</v>
      </c>
      <c r="C2491" s="18">
        <v>681136.24</v>
      </c>
      <c r="D2491" s="18">
        <v>2741042.17</v>
      </c>
      <c r="E2491" s="18">
        <v>355.01</v>
      </c>
      <c r="F2491" s="18">
        <v>41934.51</v>
      </c>
      <c r="G2491" s="18">
        <v>135040</v>
      </c>
      <c r="H2491" s="18">
        <f t="shared" si="73"/>
        <v>41899.51</v>
      </c>
      <c r="I2491" s="12"/>
    </row>
    <row r="2492" spans="1:9" s="2" customFormat="1" ht="21.75" customHeight="1" x14ac:dyDescent="0.55000000000000004">
      <c r="A2492" s="18">
        <v>24.7733679</v>
      </c>
      <c r="B2492" s="18">
        <v>34.791551800000001</v>
      </c>
      <c r="C2492" s="18">
        <v>681134.47</v>
      </c>
      <c r="D2492" s="18">
        <v>2741040.39</v>
      </c>
      <c r="E2492" s="18">
        <v>354.54</v>
      </c>
      <c r="F2492" s="18">
        <v>41935.54</v>
      </c>
      <c r="G2492" s="18">
        <v>135042</v>
      </c>
      <c r="H2492" s="18">
        <f t="shared" si="73"/>
        <v>41900.54</v>
      </c>
      <c r="I2492" s="12"/>
    </row>
    <row r="2493" spans="1:9" s="2" customFormat="1" ht="21.75" customHeight="1" x14ac:dyDescent="0.55000000000000004">
      <c r="A2493" s="18">
        <v>24.773348800000001</v>
      </c>
      <c r="B2493" s="18">
        <v>34.791535699999997</v>
      </c>
      <c r="C2493" s="18">
        <v>681132.86</v>
      </c>
      <c r="D2493" s="18">
        <v>2741038.26</v>
      </c>
      <c r="E2493" s="18">
        <v>354.08</v>
      </c>
      <c r="F2493" s="18">
        <v>41934.269999999997</v>
      </c>
      <c r="G2493" s="18">
        <v>135044</v>
      </c>
      <c r="H2493" s="18">
        <f t="shared" si="73"/>
        <v>41899.269999999997</v>
      </c>
      <c r="I2493" s="12"/>
    </row>
    <row r="2494" spans="1:9" s="2" customFormat="1" ht="21.75" customHeight="1" x14ac:dyDescent="0.55000000000000004">
      <c r="A2494" s="18">
        <v>24.7733317</v>
      </c>
      <c r="B2494" s="18">
        <v>34.791518000000003</v>
      </c>
      <c r="C2494" s="18">
        <v>681131.09</v>
      </c>
      <c r="D2494" s="18">
        <v>2741036.34</v>
      </c>
      <c r="E2494" s="18">
        <v>353.64</v>
      </c>
      <c r="F2494" s="18">
        <v>41932.99</v>
      </c>
      <c r="G2494" s="18">
        <v>135046</v>
      </c>
      <c r="H2494" s="18">
        <f t="shared" si="73"/>
        <v>41897.99</v>
      </c>
      <c r="I2494" s="12"/>
    </row>
    <row r="2495" spans="1:9" s="2" customFormat="1" ht="21.75" customHeight="1" x14ac:dyDescent="0.55000000000000004">
      <c r="A2495" s="18">
        <v>24.773316600000001</v>
      </c>
      <c r="B2495" s="18">
        <v>34.791497700000001</v>
      </c>
      <c r="C2495" s="18">
        <v>681129.07</v>
      </c>
      <c r="D2495" s="18">
        <v>2741034.64</v>
      </c>
      <c r="E2495" s="18">
        <v>353.13</v>
      </c>
      <c r="F2495" s="18">
        <v>41933.33</v>
      </c>
      <c r="G2495" s="18">
        <v>135048</v>
      </c>
      <c r="H2495" s="18">
        <f t="shared" si="73"/>
        <v>41898.33</v>
      </c>
      <c r="I2495" s="12"/>
    </row>
    <row r="2496" spans="1:9" s="2" customFormat="1" ht="21.75" customHeight="1" x14ac:dyDescent="0.55000000000000004">
      <c r="A2496" s="18">
        <v>24.773301700000001</v>
      </c>
      <c r="B2496" s="18">
        <v>34.791477700000002</v>
      </c>
      <c r="C2496" s="18">
        <v>681127.06</v>
      </c>
      <c r="D2496" s="18">
        <v>2741032.96</v>
      </c>
      <c r="E2496" s="18">
        <v>352.56</v>
      </c>
      <c r="F2496" s="18">
        <v>41933.15</v>
      </c>
      <c r="G2496" s="18">
        <v>135050</v>
      </c>
      <c r="H2496" s="18">
        <f t="shared" si="73"/>
        <v>41898.15</v>
      </c>
      <c r="I2496" s="12"/>
    </row>
    <row r="2497" spans="1:9" s="2" customFormat="1" ht="21.75" customHeight="1" x14ac:dyDescent="0.55000000000000004">
      <c r="A2497" s="18">
        <v>24.773283299999999</v>
      </c>
      <c r="B2497" s="18">
        <v>34.791459699999997</v>
      </c>
      <c r="C2497" s="18">
        <v>681125.27</v>
      </c>
      <c r="D2497" s="18">
        <v>2741030.89</v>
      </c>
      <c r="E2497" s="18">
        <v>351.95</v>
      </c>
      <c r="F2497" s="18">
        <v>41932.980000000003</v>
      </c>
      <c r="G2497" s="18">
        <v>135052</v>
      </c>
      <c r="H2497" s="18">
        <f t="shared" si="73"/>
        <v>41897.980000000003</v>
      </c>
      <c r="I2497" s="12"/>
    </row>
    <row r="2498" spans="1:9" s="2" customFormat="1" ht="21.75" customHeight="1" x14ac:dyDescent="0.55000000000000004">
      <c r="A2498" s="18">
        <v>24.773264600000001</v>
      </c>
      <c r="B2498" s="18">
        <v>34.791442099999998</v>
      </c>
      <c r="C2498" s="18">
        <v>681123.52</v>
      </c>
      <c r="D2498" s="18">
        <v>2741028.81</v>
      </c>
      <c r="E2498" s="18">
        <v>351.53</v>
      </c>
      <c r="F2498" s="18">
        <v>41933.21</v>
      </c>
      <c r="G2498" s="18">
        <v>135054</v>
      </c>
      <c r="H2498" s="18">
        <f t="shared" si="73"/>
        <v>41898.21</v>
      </c>
      <c r="I2498" s="12"/>
    </row>
    <row r="2499" spans="1:9" s="2" customFormat="1" ht="21.75" customHeight="1" x14ac:dyDescent="0.55000000000000004">
      <c r="A2499" s="18">
        <v>24.773243699999998</v>
      </c>
      <c r="B2499" s="18">
        <v>34.791427800000001</v>
      </c>
      <c r="C2499" s="18">
        <v>681122.1</v>
      </c>
      <c r="D2499" s="18">
        <v>2741026.47</v>
      </c>
      <c r="E2499" s="18">
        <v>351.26</v>
      </c>
      <c r="F2499" s="18">
        <v>41933.050000000003</v>
      </c>
      <c r="G2499" s="18">
        <v>135056</v>
      </c>
      <c r="H2499" s="18">
        <f t="shared" si="73"/>
        <v>41898.050000000003</v>
      </c>
      <c r="I2499" s="12"/>
    </row>
    <row r="2500" spans="1:9" s="2" customFormat="1" ht="21.75" customHeight="1" x14ac:dyDescent="0.55000000000000004">
      <c r="A2500" s="18">
        <v>24.773221899999999</v>
      </c>
      <c r="B2500" s="18">
        <v>34.791413900000002</v>
      </c>
      <c r="C2500" s="18">
        <v>681120.73</v>
      </c>
      <c r="D2500" s="18">
        <v>2741024.04</v>
      </c>
      <c r="E2500" s="18">
        <v>351.06</v>
      </c>
      <c r="F2500" s="18">
        <v>41934.74</v>
      </c>
      <c r="G2500" s="18">
        <v>135058</v>
      </c>
      <c r="H2500" s="18">
        <f t="shared" si="73"/>
        <v>41899.74</v>
      </c>
      <c r="I2500" s="12"/>
    </row>
    <row r="2501" spans="1:9" s="2" customFormat="1" ht="21.75" customHeight="1" x14ac:dyDescent="0.55000000000000004">
      <c r="A2501" s="18">
        <v>24.773205099999998</v>
      </c>
      <c r="B2501" s="18">
        <v>34.791397400000001</v>
      </c>
      <c r="C2501" s="18">
        <v>681119.08</v>
      </c>
      <c r="D2501" s="18">
        <v>2741022.16</v>
      </c>
      <c r="E2501" s="18">
        <v>351.09</v>
      </c>
      <c r="F2501" s="18">
        <v>41934.699999999997</v>
      </c>
      <c r="G2501" s="18">
        <v>135100</v>
      </c>
      <c r="H2501" s="18">
        <f t="shared" si="73"/>
        <v>41899.699999999997</v>
      </c>
      <c r="I2501" s="12"/>
    </row>
    <row r="2502" spans="1:9" s="2" customFormat="1" ht="21.75" customHeight="1" x14ac:dyDescent="0.55000000000000004">
      <c r="A2502" s="18">
        <v>24.773189599999998</v>
      </c>
      <c r="B2502" s="18">
        <v>34.791379399999997</v>
      </c>
      <c r="C2502" s="18">
        <v>681117.29</v>
      </c>
      <c r="D2502" s="18">
        <v>2741020.41</v>
      </c>
      <c r="E2502" s="18">
        <v>350.97</v>
      </c>
      <c r="F2502" s="18">
        <v>41937.15</v>
      </c>
      <c r="G2502" s="18">
        <v>135102</v>
      </c>
      <c r="H2502" s="18">
        <f t="shared" si="73"/>
        <v>41902.15</v>
      </c>
      <c r="I2502" s="12"/>
    </row>
    <row r="2503" spans="1:9" s="2" customFormat="1" ht="21.75" customHeight="1" x14ac:dyDescent="0.55000000000000004">
      <c r="A2503" s="18">
        <v>24.773175500000001</v>
      </c>
      <c r="B2503" s="18">
        <v>34.791359499999999</v>
      </c>
      <c r="C2503" s="18">
        <v>681115.29</v>
      </c>
      <c r="D2503" s="18">
        <v>2741018.83</v>
      </c>
      <c r="E2503" s="18">
        <v>350.96</v>
      </c>
      <c r="F2503" s="18">
        <v>41935.81</v>
      </c>
      <c r="G2503" s="18">
        <v>135104</v>
      </c>
      <c r="H2503" s="18">
        <f t="shared" si="73"/>
        <v>41900.81</v>
      </c>
      <c r="I2503" s="12"/>
    </row>
    <row r="2504" spans="1:9" s="2" customFormat="1" ht="21.75" customHeight="1" x14ac:dyDescent="0.55000000000000004">
      <c r="A2504" s="18">
        <v>24.773167600000001</v>
      </c>
      <c r="B2504" s="18">
        <v>34.791342899999997</v>
      </c>
      <c r="C2504" s="18">
        <v>681113.63</v>
      </c>
      <c r="D2504" s="18">
        <v>2741017.92</v>
      </c>
      <c r="E2504" s="18">
        <v>351</v>
      </c>
      <c r="F2504" s="18">
        <v>41933.89</v>
      </c>
      <c r="G2504" s="18">
        <v>135106</v>
      </c>
      <c r="H2504" s="18">
        <f t="shared" si="73"/>
        <v>41898.89</v>
      </c>
      <c r="I2504" s="12"/>
    </row>
    <row r="2505" spans="1:9" s="2" customFormat="1" ht="21.75" customHeight="1" x14ac:dyDescent="0.55000000000000004">
      <c r="A2505" s="18">
        <v>24.773161500000001</v>
      </c>
      <c r="B2505" s="18">
        <v>34.7913213</v>
      </c>
      <c r="C2505" s="18">
        <v>681111.46</v>
      </c>
      <c r="D2505" s="18">
        <v>2741017.22</v>
      </c>
      <c r="E2505" s="18">
        <v>350.87</v>
      </c>
      <c r="F2505" s="18">
        <v>41934.080000000002</v>
      </c>
      <c r="G2505" s="18">
        <v>135108</v>
      </c>
      <c r="H2505" s="18">
        <f t="shared" si="73"/>
        <v>41899.08</v>
      </c>
      <c r="I2505" s="12"/>
    </row>
    <row r="2506" spans="1:9" s="2" customFormat="1" ht="21.75" customHeight="1" x14ac:dyDescent="0.55000000000000004">
      <c r="A2506" s="18">
        <v>24.773155200000001</v>
      </c>
      <c r="B2506" s="18">
        <v>34.791306900000002</v>
      </c>
      <c r="C2506" s="18">
        <v>681110</v>
      </c>
      <c r="D2506" s="18">
        <v>2741016.51</v>
      </c>
      <c r="E2506" s="18">
        <v>350.9</v>
      </c>
      <c r="F2506" s="18">
        <v>41939.82</v>
      </c>
      <c r="G2506" s="18">
        <v>135110</v>
      </c>
      <c r="H2506" s="18">
        <f t="shared" si="73"/>
        <v>41904.82</v>
      </c>
      <c r="I2506" s="12"/>
    </row>
    <row r="2507" spans="1:9" s="2" customFormat="1" ht="21.75" customHeight="1" x14ac:dyDescent="0.55000000000000004">
      <c r="A2507" s="18">
        <v>24.7757392</v>
      </c>
      <c r="B2507" s="18">
        <v>34.790308400000001</v>
      </c>
      <c r="C2507" s="18">
        <v>681005.28</v>
      </c>
      <c r="D2507" s="18">
        <v>2741301.38</v>
      </c>
      <c r="E2507" s="18">
        <v>346.11</v>
      </c>
      <c r="F2507" s="18">
        <v>41944</v>
      </c>
      <c r="G2507" s="18">
        <v>135718</v>
      </c>
      <c r="H2507" s="18">
        <f t="shared" si="73"/>
        <v>41909</v>
      </c>
      <c r="I2507" s="12"/>
    </row>
    <row r="2508" spans="1:9" s="2" customFormat="1" ht="21.75" customHeight="1" x14ac:dyDescent="0.55000000000000004">
      <c r="A2508" s="18">
        <v>24.775751</v>
      </c>
      <c r="B2508" s="18">
        <v>34.790335499999998</v>
      </c>
      <c r="C2508" s="18">
        <v>681008</v>
      </c>
      <c r="D2508" s="18">
        <v>2741302.74</v>
      </c>
      <c r="E2508" s="18">
        <v>345.68</v>
      </c>
      <c r="F2508" s="18">
        <v>41942.15</v>
      </c>
      <c r="G2508" s="18">
        <v>135720</v>
      </c>
      <c r="H2508" s="18">
        <f t="shared" si="73"/>
        <v>41907.15</v>
      </c>
      <c r="I2508" s="12"/>
    </row>
    <row r="2509" spans="1:9" s="2" customFormat="1" ht="21.75" customHeight="1" x14ac:dyDescent="0.55000000000000004">
      <c r="A2509" s="18">
        <v>24.775766000000001</v>
      </c>
      <c r="B2509" s="18">
        <v>34.790360399999997</v>
      </c>
      <c r="C2509" s="18">
        <v>681010.51</v>
      </c>
      <c r="D2509" s="18">
        <v>2741304.42</v>
      </c>
      <c r="E2509" s="18">
        <v>345.21</v>
      </c>
      <c r="F2509" s="18">
        <v>41942.589999999997</v>
      </c>
      <c r="G2509" s="18">
        <v>135722</v>
      </c>
      <c r="H2509" s="18">
        <f t="shared" si="73"/>
        <v>41907.589999999997</v>
      </c>
      <c r="I2509" s="12"/>
    </row>
    <row r="2510" spans="1:9" s="2" customFormat="1" ht="21.75" customHeight="1" x14ac:dyDescent="0.55000000000000004">
      <c r="A2510" s="18">
        <v>24.7757836</v>
      </c>
      <c r="B2510" s="18">
        <v>34.7903819</v>
      </c>
      <c r="C2510" s="18">
        <v>681012.65</v>
      </c>
      <c r="D2510" s="18">
        <v>2741306.4</v>
      </c>
      <c r="E2510" s="18">
        <v>344.92</v>
      </c>
      <c r="F2510" s="18">
        <v>41943.7</v>
      </c>
      <c r="G2510" s="18">
        <v>135724</v>
      </c>
      <c r="H2510" s="18">
        <f t="shared" si="73"/>
        <v>41908.699999999997</v>
      </c>
      <c r="I2510" s="12"/>
    </row>
    <row r="2511" spans="1:9" s="2" customFormat="1" ht="21.75" customHeight="1" x14ac:dyDescent="0.55000000000000004">
      <c r="A2511" s="18">
        <v>24.775802200000001</v>
      </c>
      <c r="B2511" s="18">
        <v>34.790402399999998</v>
      </c>
      <c r="C2511" s="18">
        <v>681014.69</v>
      </c>
      <c r="D2511" s="18">
        <v>2741308.49</v>
      </c>
      <c r="E2511" s="18">
        <v>344.65</v>
      </c>
      <c r="F2511" s="18">
        <v>41944.58</v>
      </c>
      <c r="G2511" s="18">
        <v>135726</v>
      </c>
      <c r="H2511" s="18">
        <f t="shared" si="73"/>
        <v>41909.58</v>
      </c>
      <c r="I2511" s="12"/>
    </row>
    <row r="2512" spans="1:9" s="2" customFormat="1" ht="21.75" customHeight="1" x14ac:dyDescent="0.55000000000000004">
      <c r="A2512" s="18">
        <v>24.775820800000002</v>
      </c>
      <c r="B2512" s="18">
        <v>34.790421000000002</v>
      </c>
      <c r="C2512" s="18">
        <v>681016.55</v>
      </c>
      <c r="D2512" s="18">
        <v>2741310.57</v>
      </c>
      <c r="E2512" s="18">
        <v>344.2</v>
      </c>
      <c r="F2512" s="18">
        <v>41945.54</v>
      </c>
      <c r="G2512" s="18">
        <v>135728</v>
      </c>
      <c r="H2512" s="18">
        <f t="shared" si="73"/>
        <v>41910.54</v>
      </c>
      <c r="I2512" s="12"/>
    </row>
    <row r="2513" spans="1:9" s="2" customFormat="1" ht="21.75" customHeight="1" x14ac:dyDescent="0.55000000000000004">
      <c r="A2513" s="18">
        <v>24.775842999999998</v>
      </c>
      <c r="B2513" s="18">
        <v>34.790441000000001</v>
      </c>
      <c r="C2513" s="18">
        <v>681018.54</v>
      </c>
      <c r="D2513" s="18">
        <v>2741313.06</v>
      </c>
      <c r="E2513" s="18">
        <v>343.71</v>
      </c>
      <c r="F2513" s="18">
        <v>41944.86</v>
      </c>
      <c r="G2513" s="18">
        <v>135730</v>
      </c>
      <c r="H2513" s="18">
        <f t="shared" si="73"/>
        <v>41909.86</v>
      </c>
      <c r="I2513" s="12"/>
    </row>
    <row r="2514" spans="1:9" s="2" customFormat="1" ht="21.75" customHeight="1" x14ac:dyDescent="0.55000000000000004">
      <c r="A2514" s="18">
        <v>24.7758638</v>
      </c>
      <c r="B2514" s="18">
        <v>34.790462499999997</v>
      </c>
      <c r="C2514" s="18">
        <v>681020.68</v>
      </c>
      <c r="D2514" s="18">
        <v>2741315.4</v>
      </c>
      <c r="E2514" s="18">
        <v>343.47</v>
      </c>
      <c r="F2514" s="18">
        <v>41945.52</v>
      </c>
      <c r="G2514" s="18">
        <v>135732</v>
      </c>
      <c r="H2514" s="18">
        <f t="shared" si="73"/>
        <v>41910.519999999997</v>
      </c>
      <c r="I2514" s="12"/>
    </row>
    <row r="2515" spans="1:9" s="2" customFormat="1" ht="21.75" customHeight="1" x14ac:dyDescent="0.55000000000000004">
      <c r="A2515" s="18">
        <v>24.775884099999999</v>
      </c>
      <c r="B2515" s="18">
        <v>34.790484300000003</v>
      </c>
      <c r="C2515" s="18">
        <v>681022.86</v>
      </c>
      <c r="D2515" s="18">
        <v>2741317.67</v>
      </c>
      <c r="E2515" s="18">
        <v>343.2</v>
      </c>
      <c r="F2515" s="18">
        <v>41945.37</v>
      </c>
      <c r="G2515" s="18">
        <v>135734</v>
      </c>
      <c r="H2515" s="18">
        <f t="shared" ref="H2515:H2578" si="74">SUM(F2515-35)</f>
        <v>41910.370000000003</v>
      </c>
      <c r="I2515" s="12"/>
    </row>
    <row r="2516" spans="1:9" s="2" customFormat="1" ht="21.75" customHeight="1" x14ac:dyDescent="0.55000000000000004">
      <c r="A2516" s="18">
        <v>24.775906299999999</v>
      </c>
      <c r="B2516" s="18">
        <v>34.790503100000002</v>
      </c>
      <c r="C2516" s="18">
        <v>681024.73</v>
      </c>
      <c r="D2516" s="18">
        <v>2741320.16</v>
      </c>
      <c r="E2516" s="18">
        <v>343.07</v>
      </c>
      <c r="F2516" s="18">
        <v>41946.15</v>
      </c>
      <c r="G2516" s="18">
        <v>135736</v>
      </c>
      <c r="H2516" s="18">
        <f t="shared" si="74"/>
        <v>41911.15</v>
      </c>
      <c r="I2516" s="12"/>
    </row>
    <row r="2517" spans="1:9" s="2" customFormat="1" ht="21.75" customHeight="1" x14ac:dyDescent="0.55000000000000004">
      <c r="A2517" s="18">
        <v>24.775925699999998</v>
      </c>
      <c r="B2517" s="18">
        <v>34.790511700000003</v>
      </c>
      <c r="C2517" s="18">
        <v>681025.57</v>
      </c>
      <c r="D2517" s="18">
        <v>2741322.31</v>
      </c>
      <c r="E2517" s="18">
        <v>343.7</v>
      </c>
      <c r="F2517" s="18">
        <v>41947.9</v>
      </c>
      <c r="G2517" s="18">
        <v>135738</v>
      </c>
      <c r="H2517" s="18">
        <f t="shared" si="74"/>
        <v>41912.9</v>
      </c>
      <c r="I2517" s="12"/>
    </row>
    <row r="2518" spans="1:9" s="2" customFormat="1" ht="21.75" customHeight="1" x14ac:dyDescent="0.55000000000000004">
      <c r="A2518" s="18">
        <v>24.775924199999999</v>
      </c>
      <c r="B2518" s="18">
        <v>34.790518900000002</v>
      </c>
      <c r="C2518" s="18">
        <v>681026.3</v>
      </c>
      <c r="D2518" s="18">
        <v>2741322.16</v>
      </c>
      <c r="E2518" s="18">
        <v>344.25</v>
      </c>
      <c r="F2518" s="18">
        <v>41950.15</v>
      </c>
      <c r="G2518" s="18">
        <v>135740</v>
      </c>
      <c r="H2518" s="18">
        <f t="shared" si="74"/>
        <v>41915.15</v>
      </c>
      <c r="I2518" s="12"/>
    </row>
    <row r="2519" spans="1:9" s="2" customFormat="1" ht="21.75" customHeight="1" x14ac:dyDescent="0.55000000000000004">
      <c r="A2519" s="18">
        <v>24.7759307</v>
      </c>
      <c r="B2519" s="18">
        <v>34.790538900000001</v>
      </c>
      <c r="C2519" s="18">
        <v>681028.32</v>
      </c>
      <c r="D2519" s="18">
        <v>2741322.9</v>
      </c>
      <c r="E2519" s="18">
        <v>343.83</v>
      </c>
      <c r="F2519" s="18">
        <v>41945.57</v>
      </c>
      <c r="G2519" s="18">
        <v>135742</v>
      </c>
      <c r="H2519" s="18">
        <f t="shared" si="74"/>
        <v>41910.57</v>
      </c>
      <c r="I2519" s="12"/>
    </row>
    <row r="2520" spans="1:9" s="2" customFormat="1" ht="21.75" customHeight="1" x14ac:dyDescent="0.55000000000000004">
      <c r="A2520" s="18">
        <v>24.775936699999999</v>
      </c>
      <c r="B2520" s="18">
        <v>34.790565700000002</v>
      </c>
      <c r="C2520" s="18">
        <v>681031.01</v>
      </c>
      <c r="D2520" s="18">
        <v>2741323.61</v>
      </c>
      <c r="E2520" s="18">
        <v>343.88</v>
      </c>
      <c r="F2520" s="18">
        <v>41945.61</v>
      </c>
      <c r="G2520" s="18">
        <v>135744</v>
      </c>
      <c r="H2520" s="18">
        <f t="shared" si="74"/>
        <v>41910.61</v>
      </c>
      <c r="I2520" s="12"/>
    </row>
    <row r="2521" spans="1:9" s="2" customFormat="1" ht="21.75" customHeight="1" x14ac:dyDescent="0.55000000000000004">
      <c r="A2521" s="18">
        <v>24.775944299999999</v>
      </c>
      <c r="B2521" s="18">
        <v>34.790593600000001</v>
      </c>
      <c r="C2521" s="18">
        <v>681033.83</v>
      </c>
      <c r="D2521" s="18">
        <v>2741324.48</v>
      </c>
      <c r="E2521" s="18">
        <v>344.11</v>
      </c>
      <c r="F2521" s="18">
        <v>41946.89</v>
      </c>
      <c r="G2521" s="18">
        <v>135746</v>
      </c>
      <c r="H2521" s="18">
        <f t="shared" si="74"/>
        <v>41911.89</v>
      </c>
      <c r="I2521" s="12"/>
    </row>
    <row r="2522" spans="1:9" s="2" customFormat="1" ht="21.75" customHeight="1" x14ac:dyDescent="0.55000000000000004">
      <c r="A2522" s="18">
        <v>24.775949000000001</v>
      </c>
      <c r="B2522" s="18">
        <v>34.790619700000001</v>
      </c>
      <c r="C2522" s="18">
        <v>681036.46</v>
      </c>
      <c r="D2522" s="18">
        <v>2741325.04</v>
      </c>
      <c r="E2522" s="18">
        <v>344.51</v>
      </c>
      <c r="F2522" s="18">
        <v>41945.71</v>
      </c>
      <c r="G2522" s="18">
        <v>135748</v>
      </c>
      <c r="H2522" s="18">
        <f t="shared" si="74"/>
        <v>41910.71</v>
      </c>
      <c r="I2522" s="12"/>
    </row>
    <row r="2523" spans="1:9" s="2" customFormat="1" ht="21.75" customHeight="1" x14ac:dyDescent="0.55000000000000004">
      <c r="A2523" s="18">
        <v>24.775956799999999</v>
      </c>
      <c r="B2523" s="18">
        <v>34.790643099999997</v>
      </c>
      <c r="C2523" s="18">
        <v>681038.81</v>
      </c>
      <c r="D2523" s="18">
        <v>2741325.94</v>
      </c>
      <c r="E2523" s="18">
        <v>344.85</v>
      </c>
      <c r="F2523" s="18">
        <v>41942.9</v>
      </c>
      <c r="G2523" s="18">
        <v>135750</v>
      </c>
      <c r="H2523" s="18">
        <f t="shared" si="74"/>
        <v>41907.9</v>
      </c>
      <c r="I2523" s="12"/>
    </row>
    <row r="2524" spans="1:9" s="2" customFormat="1" ht="21.75" customHeight="1" x14ac:dyDescent="0.55000000000000004">
      <c r="A2524" s="18">
        <v>24.7759623</v>
      </c>
      <c r="B2524" s="18">
        <v>34.790668500000002</v>
      </c>
      <c r="C2524" s="18">
        <v>681041.38</v>
      </c>
      <c r="D2524" s="18">
        <v>2741326.57</v>
      </c>
      <c r="E2524" s="18">
        <v>345.17</v>
      </c>
      <c r="F2524" s="18">
        <v>41946.559999999998</v>
      </c>
      <c r="G2524" s="18">
        <v>135752</v>
      </c>
      <c r="H2524" s="18">
        <f t="shared" si="74"/>
        <v>41911.56</v>
      </c>
      <c r="I2524" s="12"/>
    </row>
    <row r="2525" spans="1:9" s="2" customFormat="1" ht="21.75" customHeight="1" x14ac:dyDescent="0.55000000000000004">
      <c r="A2525" s="18">
        <v>24.775964900000002</v>
      </c>
      <c r="B2525" s="18">
        <v>34.790694199999997</v>
      </c>
      <c r="C2525" s="18">
        <v>681043.97</v>
      </c>
      <c r="D2525" s="18">
        <v>2741326.9</v>
      </c>
      <c r="E2525" s="18">
        <v>345.21</v>
      </c>
      <c r="F2525" s="18">
        <v>41956.2</v>
      </c>
      <c r="G2525" s="18">
        <v>135754</v>
      </c>
      <c r="H2525" s="18">
        <f t="shared" si="74"/>
        <v>41921.199999999997</v>
      </c>
      <c r="I2525" s="12"/>
    </row>
    <row r="2526" spans="1:9" s="2" customFormat="1" ht="21.75" customHeight="1" x14ac:dyDescent="0.55000000000000004">
      <c r="A2526" s="18">
        <v>24.7759736</v>
      </c>
      <c r="B2526" s="18">
        <v>34.790720299999997</v>
      </c>
      <c r="C2526" s="18">
        <v>681046.59</v>
      </c>
      <c r="D2526" s="18">
        <v>2741327.9</v>
      </c>
      <c r="E2526" s="18">
        <v>345.23</v>
      </c>
      <c r="F2526" s="18">
        <v>41931.629999999997</v>
      </c>
      <c r="G2526" s="18">
        <v>135756</v>
      </c>
      <c r="H2526" s="18">
        <f t="shared" si="74"/>
        <v>41896.629999999997</v>
      </c>
      <c r="I2526" s="12"/>
    </row>
    <row r="2527" spans="1:9" s="2" customFormat="1" ht="21.75" customHeight="1" x14ac:dyDescent="0.55000000000000004">
      <c r="A2527" s="18">
        <v>24.7759836</v>
      </c>
      <c r="B2527" s="18">
        <v>34.790743800000001</v>
      </c>
      <c r="C2527" s="18">
        <v>681048.95</v>
      </c>
      <c r="D2527" s="18">
        <v>2741329.03</v>
      </c>
      <c r="E2527" s="18">
        <v>345.2</v>
      </c>
      <c r="F2527" s="18">
        <v>41949.64</v>
      </c>
      <c r="G2527" s="18">
        <v>135758</v>
      </c>
      <c r="H2527" s="18">
        <f t="shared" si="74"/>
        <v>41914.639999999999</v>
      </c>
      <c r="I2527" s="12"/>
    </row>
    <row r="2528" spans="1:9" s="2" customFormat="1" ht="21.75" customHeight="1" x14ac:dyDescent="0.55000000000000004">
      <c r="A2528" s="18">
        <v>24.7759976</v>
      </c>
      <c r="B2528" s="18">
        <v>34.790762000000001</v>
      </c>
      <c r="C2528" s="18">
        <v>681050.77</v>
      </c>
      <c r="D2528" s="18">
        <v>2741330.61</v>
      </c>
      <c r="E2528" s="18">
        <v>345.41</v>
      </c>
      <c r="F2528" s="18">
        <v>41952.98</v>
      </c>
      <c r="G2528" s="18">
        <v>135800</v>
      </c>
      <c r="H2528" s="18">
        <f t="shared" si="74"/>
        <v>41917.980000000003</v>
      </c>
      <c r="I2528" s="12"/>
    </row>
    <row r="2529" spans="1:9" s="2" customFormat="1" ht="21.75" customHeight="1" x14ac:dyDescent="0.55000000000000004">
      <c r="A2529" s="18">
        <v>24.776010299999999</v>
      </c>
      <c r="B2529" s="18">
        <v>34.790780699999999</v>
      </c>
      <c r="C2529" s="18">
        <v>681052.65</v>
      </c>
      <c r="D2529" s="18">
        <v>2741332.04</v>
      </c>
      <c r="E2529" s="18">
        <v>345.58</v>
      </c>
      <c r="F2529" s="18">
        <v>41939.1</v>
      </c>
      <c r="G2529" s="18">
        <v>135802</v>
      </c>
      <c r="H2529" s="18">
        <f t="shared" si="74"/>
        <v>41904.1</v>
      </c>
      <c r="I2529" s="12"/>
    </row>
    <row r="2530" spans="1:9" s="2" customFormat="1" ht="21.75" customHeight="1" x14ac:dyDescent="0.55000000000000004">
      <c r="A2530" s="18">
        <v>24.776022399999999</v>
      </c>
      <c r="B2530" s="18">
        <v>34.7908002</v>
      </c>
      <c r="C2530" s="18">
        <v>681054.6</v>
      </c>
      <c r="D2530" s="18">
        <v>2741333.41</v>
      </c>
      <c r="E2530" s="18">
        <v>345.88</v>
      </c>
      <c r="F2530" s="18">
        <v>41947.1</v>
      </c>
      <c r="G2530" s="18">
        <v>135804</v>
      </c>
      <c r="H2530" s="18">
        <f t="shared" si="74"/>
        <v>41912.1</v>
      </c>
      <c r="I2530" s="12"/>
    </row>
    <row r="2531" spans="1:9" s="2" customFormat="1" ht="21.75" customHeight="1" x14ac:dyDescent="0.55000000000000004">
      <c r="A2531" s="18">
        <v>24.776030500000001</v>
      </c>
      <c r="B2531" s="18">
        <v>34.790818700000003</v>
      </c>
      <c r="C2531" s="18">
        <v>681056.47</v>
      </c>
      <c r="D2531" s="18">
        <v>2741334.33</v>
      </c>
      <c r="E2531" s="18">
        <v>346.09</v>
      </c>
      <c r="F2531" s="18">
        <v>41946.31</v>
      </c>
      <c r="G2531" s="18">
        <v>135806</v>
      </c>
      <c r="H2531" s="18">
        <f t="shared" si="74"/>
        <v>41911.31</v>
      </c>
      <c r="I2531" s="12"/>
    </row>
    <row r="2532" spans="1:9" s="2" customFormat="1" ht="21.75" customHeight="1" x14ac:dyDescent="0.55000000000000004">
      <c r="A2532" s="18">
        <v>24.7760423</v>
      </c>
      <c r="B2532" s="18">
        <v>34.790839800000001</v>
      </c>
      <c r="C2532" s="18">
        <v>681058.58</v>
      </c>
      <c r="D2532" s="18">
        <v>2741335.66</v>
      </c>
      <c r="E2532" s="18">
        <v>346.13</v>
      </c>
      <c r="F2532" s="18">
        <v>41947.29</v>
      </c>
      <c r="G2532" s="18">
        <v>135808</v>
      </c>
      <c r="H2532" s="18">
        <f t="shared" si="74"/>
        <v>41912.29</v>
      </c>
      <c r="I2532" s="12"/>
    </row>
    <row r="2533" spans="1:9" s="2" customFormat="1" ht="21.75" customHeight="1" x14ac:dyDescent="0.55000000000000004">
      <c r="A2533" s="18">
        <v>24.776058800000001</v>
      </c>
      <c r="B2533" s="18">
        <v>34.790850399999997</v>
      </c>
      <c r="C2533" s="18">
        <v>681059.63</v>
      </c>
      <c r="D2533" s="18">
        <v>2741337.5</v>
      </c>
      <c r="E2533" s="18">
        <v>346.51</v>
      </c>
      <c r="F2533" s="18">
        <v>41948.28</v>
      </c>
      <c r="G2533" s="18">
        <v>135810</v>
      </c>
      <c r="H2533" s="18">
        <f t="shared" si="74"/>
        <v>41913.279999999999</v>
      </c>
      <c r="I2533" s="12"/>
    </row>
    <row r="2534" spans="1:9" s="2" customFormat="1" ht="21.75" customHeight="1" x14ac:dyDescent="0.55000000000000004">
      <c r="A2534" s="18">
        <v>24.7760745</v>
      </c>
      <c r="B2534" s="18">
        <v>34.790866100000002</v>
      </c>
      <c r="C2534" s="18">
        <v>681061.2</v>
      </c>
      <c r="D2534" s="18">
        <v>2741339.27</v>
      </c>
      <c r="E2534" s="18">
        <v>346.57</v>
      </c>
      <c r="F2534" s="18">
        <v>41950.44</v>
      </c>
      <c r="G2534" s="18">
        <v>135812</v>
      </c>
      <c r="H2534" s="18">
        <f t="shared" si="74"/>
        <v>41915.440000000002</v>
      </c>
      <c r="I2534" s="12"/>
    </row>
    <row r="2535" spans="1:9" s="2" customFormat="1" ht="21.75" customHeight="1" x14ac:dyDescent="0.55000000000000004">
      <c r="A2535" s="18">
        <v>24.776092299999998</v>
      </c>
      <c r="B2535" s="18">
        <v>34.790880399999999</v>
      </c>
      <c r="C2535" s="18">
        <v>681062.61</v>
      </c>
      <c r="D2535" s="18">
        <v>2741341.25</v>
      </c>
      <c r="E2535" s="18">
        <v>346.64</v>
      </c>
      <c r="F2535" s="18">
        <v>41864.5</v>
      </c>
      <c r="G2535" s="18">
        <v>135814</v>
      </c>
      <c r="H2535" s="18">
        <f t="shared" si="74"/>
        <v>41829.5</v>
      </c>
      <c r="I2535" s="12"/>
    </row>
    <row r="2536" spans="1:9" s="2" customFormat="1" ht="21.75" customHeight="1" x14ac:dyDescent="0.55000000000000004">
      <c r="A2536" s="18">
        <v>24.776110299999999</v>
      </c>
      <c r="B2536" s="18">
        <v>34.790894700000003</v>
      </c>
      <c r="C2536" s="18">
        <v>681064.03</v>
      </c>
      <c r="D2536" s="18">
        <v>2741343.27</v>
      </c>
      <c r="E2536" s="18">
        <v>346.84</v>
      </c>
      <c r="F2536" s="18">
        <v>41947.86</v>
      </c>
      <c r="G2536" s="18">
        <v>135816</v>
      </c>
      <c r="H2536" s="18">
        <f t="shared" si="74"/>
        <v>41912.86</v>
      </c>
      <c r="I2536" s="12"/>
    </row>
    <row r="2537" spans="1:9" s="2" customFormat="1" ht="21.75" customHeight="1" x14ac:dyDescent="0.55000000000000004">
      <c r="A2537" s="18">
        <v>24.776125799999999</v>
      </c>
      <c r="B2537" s="18">
        <v>34.790913600000003</v>
      </c>
      <c r="C2537" s="18">
        <v>681065.92</v>
      </c>
      <c r="D2537" s="18">
        <v>2741345.01</v>
      </c>
      <c r="E2537" s="18">
        <v>346.89</v>
      </c>
      <c r="F2537" s="18">
        <v>41925.57</v>
      </c>
      <c r="G2537" s="18">
        <v>135818</v>
      </c>
      <c r="H2537" s="18">
        <f t="shared" si="74"/>
        <v>41890.57</v>
      </c>
      <c r="I2537" s="12"/>
    </row>
    <row r="2538" spans="1:9" s="2" customFormat="1" ht="21.75" customHeight="1" x14ac:dyDescent="0.55000000000000004">
      <c r="A2538" s="18">
        <v>24.776137800000001</v>
      </c>
      <c r="B2538" s="18">
        <v>34.790938099999998</v>
      </c>
      <c r="C2538" s="18">
        <v>681068.38</v>
      </c>
      <c r="D2538" s="18">
        <v>2741346.37</v>
      </c>
      <c r="E2538" s="18">
        <v>347.18</v>
      </c>
      <c r="F2538" s="18">
        <v>41951.92</v>
      </c>
      <c r="G2538" s="18">
        <v>135820</v>
      </c>
      <c r="H2538" s="18">
        <f t="shared" si="74"/>
        <v>41916.92</v>
      </c>
      <c r="I2538" s="12"/>
    </row>
    <row r="2539" spans="1:9" s="2" customFormat="1" ht="21.75" customHeight="1" x14ac:dyDescent="0.55000000000000004">
      <c r="A2539" s="18">
        <v>24.7761472</v>
      </c>
      <c r="B2539" s="18">
        <v>34.790952599999997</v>
      </c>
      <c r="C2539" s="18">
        <v>681069.83</v>
      </c>
      <c r="D2539" s="18">
        <v>2741347.44</v>
      </c>
      <c r="E2539" s="18">
        <v>347.91</v>
      </c>
      <c r="F2539" s="18">
        <v>41944.21</v>
      </c>
      <c r="G2539" s="18">
        <v>135822</v>
      </c>
      <c r="H2539" s="18">
        <f t="shared" si="74"/>
        <v>41909.21</v>
      </c>
      <c r="I2539" s="12"/>
    </row>
    <row r="2540" spans="1:9" s="2" customFormat="1" ht="21.75" customHeight="1" x14ac:dyDescent="0.55000000000000004">
      <c r="A2540" s="18">
        <v>24.776150300000001</v>
      </c>
      <c r="B2540" s="18">
        <v>34.790968499999998</v>
      </c>
      <c r="C2540" s="18">
        <v>681071.43</v>
      </c>
      <c r="D2540" s="18">
        <v>2741347.8</v>
      </c>
      <c r="E2540" s="18">
        <v>348.06</v>
      </c>
      <c r="F2540" s="18">
        <v>41944.7</v>
      </c>
      <c r="G2540" s="18">
        <v>135824</v>
      </c>
      <c r="H2540" s="18">
        <f t="shared" si="74"/>
        <v>41909.699999999997</v>
      </c>
      <c r="I2540" s="12"/>
    </row>
    <row r="2541" spans="1:9" s="2" customFormat="1" ht="21.75" customHeight="1" x14ac:dyDescent="0.55000000000000004">
      <c r="A2541" s="18">
        <v>24.7761441</v>
      </c>
      <c r="B2541" s="18">
        <v>34.790985399999997</v>
      </c>
      <c r="C2541" s="18">
        <v>681073.16</v>
      </c>
      <c r="D2541" s="18">
        <v>2741347.13</v>
      </c>
      <c r="E2541" s="18">
        <v>348.36</v>
      </c>
      <c r="F2541" s="18">
        <v>41945.98</v>
      </c>
      <c r="G2541" s="18">
        <v>135826</v>
      </c>
      <c r="H2541" s="18">
        <f t="shared" si="74"/>
        <v>41910.980000000003</v>
      </c>
      <c r="I2541" s="12"/>
    </row>
    <row r="2542" spans="1:9" s="2" customFormat="1" ht="21.75" customHeight="1" x14ac:dyDescent="0.55000000000000004">
      <c r="A2542" s="18">
        <v>24.776135499999999</v>
      </c>
      <c r="B2542" s="18">
        <v>34.791001299999998</v>
      </c>
      <c r="C2542" s="18">
        <v>681074.78</v>
      </c>
      <c r="D2542" s="18">
        <v>2741346.2</v>
      </c>
      <c r="E2542" s="18">
        <v>348.62</v>
      </c>
      <c r="F2542" s="18">
        <v>41951.11</v>
      </c>
      <c r="G2542" s="18">
        <v>135828</v>
      </c>
      <c r="H2542" s="18">
        <f t="shared" si="74"/>
        <v>41916.11</v>
      </c>
      <c r="I2542" s="12"/>
    </row>
    <row r="2543" spans="1:9" s="2" customFormat="1" ht="21.75" customHeight="1" x14ac:dyDescent="0.55000000000000004">
      <c r="A2543" s="18">
        <v>24.776130200000001</v>
      </c>
      <c r="B2543" s="18">
        <v>34.791018200000003</v>
      </c>
      <c r="C2543" s="18">
        <v>681076.5</v>
      </c>
      <c r="D2543" s="18">
        <v>2741345.64</v>
      </c>
      <c r="E2543" s="18">
        <v>348.99</v>
      </c>
      <c r="F2543" s="18">
        <v>41949.41</v>
      </c>
      <c r="G2543" s="18">
        <v>135830</v>
      </c>
      <c r="H2543" s="18">
        <f t="shared" si="74"/>
        <v>41914.410000000003</v>
      </c>
      <c r="I2543" s="12"/>
    </row>
    <row r="2544" spans="1:9" s="2" customFormat="1" ht="21.75" customHeight="1" x14ac:dyDescent="0.55000000000000004">
      <c r="A2544" s="18">
        <v>24.776132499999999</v>
      </c>
      <c r="B2544" s="18">
        <v>34.791031599999997</v>
      </c>
      <c r="C2544" s="18">
        <v>681077.84</v>
      </c>
      <c r="D2544" s="18">
        <v>2741345.91</v>
      </c>
      <c r="E2544" s="18">
        <v>349.05</v>
      </c>
      <c r="F2544" s="18">
        <v>41948.42</v>
      </c>
      <c r="G2544" s="18">
        <v>135832</v>
      </c>
      <c r="H2544" s="18">
        <f t="shared" si="74"/>
        <v>41913.42</v>
      </c>
      <c r="I2544" s="12"/>
    </row>
    <row r="2545" spans="1:9" s="2" customFormat="1" ht="21.75" customHeight="1" x14ac:dyDescent="0.55000000000000004">
      <c r="A2545" s="18">
        <v>24.7761426</v>
      </c>
      <c r="B2545" s="18">
        <v>34.791049200000003</v>
      </c>
      <c r="C2545" s="18">
        <v>681079.61</v>
      </c>
      <c r="D2545" s="18">
        <v>2741347.05</v>
      </c>
      <c r="E2545" s="18">
        <v>349.41</v>
      </c>
      <c r="F2545" s="18">
        <v>41949.98</v>
      </c>
      <c r="G2545" s="18">
        <v>135834</v>
      </c>
      <c r="H2545" s="18">
        <f t="shared" si="74"/>
        <v>41914.980000000003</v>
      </c>
      <c r="I2545" s="12"/>
    </row>
    <row r="2546" spans="1:9" s="2" customFormat="1" ht="21.75" customHeight="1" x14ac:dyDescent="0.55000000000000004">
      <c r="A2546" s="18">
        <v>24.776146300000001</v>
      </c>
      <c r="B2546" s="18">
        <v>34.791063899999997</v>
      </c>
      <c r="C2546" s="18">
        <v>681081.09</v>
      </c>
      <c r="D2546" s="18">
        <v>2741347.48</v>
      </c>
      <c r="E2546" s="18">
        <v>349.88</v>
      </c>
      <c r="F2546" s="18">
        <v>41950.28</v>
      </c>
      <c r="G2546" s="18">
        <v>135836</v>
      </c>
      <c r="H2546" s="18">
        <f t="shared" si="74"/>
        <v>41915.279999999999</v>
      </c>
      <c r="I2546" s="12"/>
    </row>
    <row r="2547" spans="1:9" s="2" customFormat="1" ht="21.75" customHeight="1" x14ac:dyDescent="0.55000000000000004">
      <c r="A2547" s="18">
        <v>24.776155200000002</v>
      </c>
      <c r="B2547" s="18">
        <v>34.7910775</v>
      </c>
      <c r="C2547" s="18">
        <v>681082.45</v>
      </c>
      <c r="D2547" s="18">
        <v>2741348.48</v>
      </c>
      <c r="E2547" s="18">
        <v>350.33</v>
      </c>
      <c r="F2547" s="18">
        <v>41949.51</v>
      </c>
      <c r="G2547" s="18">
        <v>135838</v>
      </c>
      <c r="H2547" s="18">
        <f t="shared" si="74"/>
        <v>41914.51</v>
      </c>
      <c r="I2547" s="12"/>
    </row>
    <row r="2548" spans="1:9" s="2" customFormat="1" ht="21.75" customHeight="1" x14ac:dyDescent="0.55000000000000004">
      <c r="A2548" s="18">
        <v>24.776155800000002</v>
      </c>
      <c r="B2548" s="18">
        <v>34.791095300000002</v>
      </c>
      <c r="C2548" s="18">
        <v>681084.26</v>
      </c>
      <c r="D2548" s="18">
        <v>2741348.58</v>
      </c>
      <c r="E2548" s="18">
        <v>350.53</v>
      </c>
      <c r="F2548" s="18">
        <v>41952.42</v>
      </c>
      <c r="G2548" s="18">
        <v>135840</v>
      </c>
      <c r="H2548" s="18">
        <f t="shared" si="74"/>
        <v>41917.42</v>
      </c>
      <c r="I2548" s="12"/>
    </row>
    <row r="2549" spans="1:9" s="2" customFormat="1" ht="21.75" customHeight="1" x14ac:dyDescent="0.55000000000000004">
      <c r="A2549" s="18">
        <v>24.7761587</v>
      </c>
      <c r="B2549" s="18">
        <v>34.791109200000001</v>
      </c>
      <c r="C2549" s="18">
        <v>681085.65</v>
      </c>
      <c r="D2549" s="18">
        <v>2741348.91</v>
      </c>
      <c r="E2549" s="18">
        <v>351.02</v>
      </c>
      <c r="F2549" s="18">
        <v>41954.91</v>
      </c>
      <c r="G2549" s="18">
        <v>135842</v>
      </c>
      <c r="H2549" s="18">
        <f t="shared" si="74"/>
        <v>41919.910000000003</v>
      </c>
      <c r="I2549" s="12"/>
    </row>
    <row r="2550" spans="1:9" s="2" customFormat="1" ht="21.75" customHeight="1" x14ac:dyDescent="0.55000000000000004">
      <c r="A2550" s="18">
        <v>24.7761584</v>
      </c>
      <c r="B2550" s="18">
        <v>34.791122000000001</v>
      </c>
      <c r="C2550" s="18">
        <v>681086.95</v>
      </c>
      <c r="D2550" s="18">
        <v>2741348.9</v>
      </c>
      <c r="E2550" s="18">
        <v>351.29</v>
      </c>
      <c r="F2550" s="18">
        <v>41953.97</v>
      </c>
      <c r="G2550" s="18">
        <v>135844</v>
      </c>
      <c r="H2550" s="18">
        <f t="shared" si="74"/>
        <v>41918.97</v>
      </c>
      <c r="I2550" s="12"/>
    </row>
    <row r="2551" spans="1:9" s="2" customFormat="1" ht="21.75" customHeight="1" x14ac:dyDescent="0.55000000000000004">
      <c r="A2551" s="18">
        <v>24.776153900000001</v>
      </c>
      <c r="B2551" s="18">
        <v>34.791139100000002</v>
      </c>
      <c r="C2551" s="18">
        <v>681088.69</v>
      </c>
      <c r="D2551" s="18">
        <v>2741348.42</v>
      </c>
      <c r="E2551" s="18">
        <v>351.43</v>
      </c>
      <c r="F2551" s="18">
        <v>41947.14</v>
      </c>
      <c r="G2551" s="18">
        <v>135846</v>
      </c>
      <c r="H2551" s="18">
        <f t="shared" si="74"/>
        <v>41912.14</v>
      </c>
      <c r="I2551" s="12"/>
    </row>
    <row r="2552" spans="1:9" s="2" customFormat="1" ht="21.75" customHeight="1" x14ac:dyDescent="0.55000000000000004">
      <c r="A2552" s="18">
        <v>24.776157699999999</v>
      </c>
      <c r="B2552" s="18">
        <v>34.791155799999999</v>
      </c>
      <c r="C2552" s="18">
        <v>681090.37</v>
      </c>
      <c r="D2552" s="18">
        <v>2741348.87</v>
      </c>
      <c r="E2552" s="18">
        <v>351.94</v>
      </c>
      <c r="F2552" s="18">
        <v>41951.43</v>
      </c>
      <c r="G2552" s="18">
        <v>135848</v>
      </c>
      <c r="H2552" s="18">
        <f t="shared" si="74"/>
        <v>41916.43</v>
      </c>
      <c r="I2552" s="12"/>
    </row>
    <row r="2553" spans="1:9" s="2" customFormat="1" ht="21.75" customHeight="1" x14ac:dyDescent="0.55000000000000004">
      <c r="A2553" s="18">
        <v>24.776152700000001</v>
      </c>
      <c r="B2553" s="18">
        <v>34.791167600000001</v>
      </c>
      <c r="C2553" s="18">
        <v>681091.57</v>
      </c>
      <c r="D2553" s="18">
        <v>2741348.32</v>
      </c>
      <c r="E2553" s="18">
        <v>352.34</v>
      </c>
      <c r="F2553" s="18">
        <v>41944.3</v>
      </c>
      <c r="G2553" s="18">
        <v>135850</v>
      </c>
      <c r="H2553" s="18">
        <f t="shared" si="74"/>
        <v>41909.300000000003</v>
      </c>
      <c r="I2553" s="12"/>
    </row>
    <row r="2554" spans="1:9" s="2" customFormat="1" ht="21.75" customHeight="1" x14ac:dyDescent="0.55000000000000004">
      <c r="A2554" s="18">
        <v>24.776156799999999</v>
      </c>
      <c r="B2554" s="18">
        <v>34.791181299999998</v>
      </c>
      <c r="C2554" s="18">
        <v>681092.95</v>
      </c>
      <c r="D2554" s="18">
        <v>2741348.8</v>
      </c>
      <c r="E2554" s="18">
        <v>352.56</v>
      </c>
      <c r="F2554" s="18">
        <v>41944.63</v>
      </c>
      <c r="G2554" s="18">
        <v>135852</v>
      </c>
      <c r="H2554" s="18">
        <f t="shared" si="74"/>
        <v>41909.629999999997</v>
      </c>
      <c r="I2554" s="12"/>
    </row>
    <row r="2555" spans="1:9" s="2" customFormat="1" ht="21.75" customHeight="1" x14ac:dyDescent="0.55000000000000004">
      <c r="A2555" s="18">
        <v>24.776163400000002</v>
      </c>
      <c r="B2555" s="18">
        <v>34.791191300000001</v>
      </c>
      <c r="C2555" s="18">
        <v>681093.95</v>
      </c>
      <c r="D2555" s="18">
        <v>2741349.55</v>
      </c>
      <c r="E2555" s="18">
        <v>352.7</v>
      </c>
      <c r="F2555" s="18">
        <v>41940.550000000003</v>
      </c>
      <c r="G2555" s="18">
        <v>135854</v>
      </c>
      <c r="H2555" s="18">
        <f t="shared" si="74"/>
        <v>41905.550000000003</v>
      </c>
      <c r="I2555" s="12"/>
    </row>
    <row r="2556" spans="1:9" s="2" customFormat="1" ht="21.75" customHeight="1" x14ac:dyDescent="0.55000000000000004">
      <c r="A2556" s="18">
        <v>24.776167399999999</v>
      </c>
      <c r="B2556" s="18">
        <v>34.791201100000002</v>
      </c>
      <c r="C2556" s="18">
        <v>681094.93</v>
      </c>
      <c r="D2556" s="18">
        <v>2741350</v>
      </c>
      <c r="E2556" s="18">
        <v>352.88</v>
      </c>
      <c r="F2556" s="18">
        <v>41941.19</v>
      </c>
      <c r="G2556" s="18">
        <v>135856</v>
      </c>
      <c r="H2556" s="18">
        <f t="shared" si="74"/>
        <v>41906.19</v>
      </c>
      <c r="I2556" s="12"/>
    </row>
    <row r="2557" spans="1:9" s="2" customFormat="1" ht="21.75" customHeight="1" x14ac:dyDescent="0.55000000000000004">
      <c r="A2557" s="18">
        <v>24.776171099999999</v>
      </c>
      <c r="B2557" s="18">
        <v>34.791215399999999</v>
      </c>
      <c r="C2557" s="18">
        <v>681096.37</v>
      </c>
      <c r="D2557" s="18">
        <v>2741350.42</v>
      </c>
      <c r="E2557" s="18">
        <v>353.03</v>
      </c>
      <c r="F2557" s="18">
        <v>41938.129999999997</v>
      </c>
      <c r="G2557" s="18">
        <v>135858</v>
      </c>
      <c r="H2557" s="18">
        <f t="shared" si="74"/>
        <v>41903.129999999997</v>
      </c>
      <c r="I2557" s="12"/>
    </row>
    <row r="2558" spans="1:9" s="2" customFormat="1" ht="21.75" customHeight="1" x14ac:dyDescent="0.55000000000000004">
      <c r="A2558" s="18">
        <v>24.776169700000001</v>
      </c>
      <c r="B2558" s="18">
        <v>34.791223500000001</v>
      </c>
      <c r="C2558" s="18">
        <v>681097.19</v>
      </c>
      <c r="D2558" s="18">
        <v>2741350.29</v>
      </c>
      <c r="E2558" s="18">
        <v>353.46</v>
      </c>
      <c r="F2558" s="18">
        <v>41941.980000000003</v>
      </c>
      <c r="G2558" s="18">
        <v>135900</v>
      </c>
      <c r="H2558" s="18">
        <f t="shared" si="74"/>
        <v>41906.980000000003</v>
      </c>
      <c r="I2558" s="12"/>
    </row>
    <row r="2559" spans="1:9" s="2" customFormat="1" ht="21.75" customHeight="1" x14ac:dyDescent="0.55000000000000004">
      <c r="A2559" s="18">
        <v>24.7761703</v>
      </c>
      <c r="B2559" s="18">
        <v>34.7912392</v>
      </c>
      <c r="C2559" s="18">
        <v>681098.78</v>
      </c>
      <c r="D2559" s="18">
        <v>2741350.37</v>
      </c>
      <c r="E2559" s="18">
        <v>353.82</v>
      </c>
      <c r="F2559" s="18">
        <v>41935.769999999997</v>
      </c>
      <c r="G2559" s="18">
        <v>135902</v>
      </c>
      <c r="H2559" s="18">
        <f t="shared" si="74"/>
        <v>41900.769999999997</v>
      </c>
      <c r="I2559" s="12"/>
    </row>
    <row r="2560" spans="1:9" s="2" customFormat="1" ht="21.75" customHeight="1" x14ac:dyDescent="0.55000000000000004">
      <c r="A2560" s="18">
        <v>24.7761733</v>
      </c>
      <c r="B2560" s="18">
        <v>34.791249999999998</v>
      </c>
      <c r="C2560" s="18">
        <v>681099.87</v>
      </c>
      <c r="D2560" s="18">
        <v>2741350.72</v>
      </c>
      <c r="E2560" s="18">
        <v>354.2</v>
      </c>
      <c r="F2560" s="18">
        <v>41938.76</v>
      </c>
      <c r="G2560" s="18">
        <v>135904</v>
      </c>
      <c r="H2560" s="18">
        <f t="shared" si="74"/>
        <v>41903.760000000002</v>
      </c>
      <c r="I2560" s="12"/>
    </row>
    <row r="2561" spans="1:9" s="2" customFormat="1" ht="21.75" customHeight="1" x14ac:dyDescent="0.55000000000000004">
      <c r="A2561" s="18">
        <v>24.776173499999999</v>
      </c>
      <c r="B2561" s="18">
        <v>34.791265199999998</v>
      </c>
      <c r="C2561" s="18">
        <v>681101.41</v>
      </c>
      <c r="D2561" s="18">
        <v>2741350.76</v>
      </c>
      <c r="E2561" s="18">
        <v>354.76</v>
      </c>
      <c r="F2561" s="18">
        <v>41932.83</v>
      </c>
      <c r="G2561" s="18">
        <v>135906</v>
      </c>
      <c r="H2561" s="18">
        <f t="shared" si="74"/>
        <v>41897.83</v>
      </c>
      <c r="I2561" s="12"/>
    </row>
    <row r="2562" spans="1:9" s="2" customFormat="1" ht="21.75" customHeight="1" x14ac:dyDescent="0.55000000000000004">
      <c r="A2562" s="18">
        <v>24.776177499999999</v>
      </c>
      <c r="B2562" s="18">
        <v>34.791280899999997</v>
      </c>
      <c r="C2562" s="18">
        <v>681102.99</v>
      </c>
      <c r="D2562" s="18">
        <v>2741351.22</v>
      </c>
      <c r="E2562" s="18">
        <v>355.16</v>
      </c>
      <c r="F2562" s="18">
        <v>41942.879999999997</v>
      </c>
      <c r="G2562" s="18">
        <v>135908</v>
      </c>
      <c r="H2562" s="18">
        <f t="shared" si="74"/>
        <v>41907.879999999997</v>
      </c>
      <c r="I2562" s="12"/>
    </row>
    <row r="2563" spans="1:9" s="2" customFormat="1" ht="21.75" customHeight="1" x14ac:dyDescent="0.55000000000000004">
      <c r="A2563" s="18">
        <v>24.776172800000001</v>
      </c>
      <c r="B2563" s="18">
        <v>34.791293899999999</v>
      </c>
      <c r="C2563" s="18">
        <v>681104.31</v>
      </c>
      <c r="D2563" s="18">
        <v>2741350.72</v>
      </c>
      <c r="E2563" s="18">
        <v>355.73</v>
      </c>
      <c r="F2563" s="18">
        <v>41934.26</v>
      </c>
      <c r="G2563" s="18">
        <v>135910</v>
      </c>
      <c r="H2563" s="18">
        <f t="shared" si="74"/>
        <v>41899.26</v>
      </c>
      <c r="I2563" s="12"/>
    </row>
    <row r="2564" spans="1:9" s="2" customFormat="1" ht="21.75" customHeight="1" x14ac:dyDescent="0.55000000000000004">
      <c r="A2564" s="18">
        <v>24.776176899999999</v>
      </c>
      <c r="B2564" s="18">
        <v>34.791309300000002</v>
      </c>
      <c r="C2564" s="18">
        <v>681105.87</v>
      </c>
      <c r="D2564" s="18">
        <v>2741351.19</v>
      </c>
      <c r="E2564" s="18">
        <v>356.11</v>
      </c>
      <c r="F2564" s="18">
        <v>41933.31</v>
      </c>
      <c r="G2564" s="18">
        <v>135912</v>
      </c>
      <c r="H2564" s="18">
        <f t="shared" si="74"/>
        <v>41898.31</v>
      </c>
      <c r="I2564" s="12"/>
    </row>
    <row r="2565" spans="1:9" s="2" customFormat="1" ht="21.75" customHeight="1" x14ac:dyDescent="0.55000000000000004">
      <c r="A2565" s="18">
        <v>24.776184199999999</v>
      </c>
      <c r="B2565" s="18">
        <v>34.791323900000002</v>
      </c>
      <c r="C2565" s="18">
        <v>681107.32</v>
      </c>
      <c r="D2565" s="18">
        <v>2741352.03</v>
      </c>
      <c r="E2565" s="18">
        <v>356.54</v>
      </c>
      <c r="F2565" s="18">
        <v>41934.35</v>
      </c>
      <c r="G2565" s="18">
        <v>135914</v>
      </c>
      <c r="H2565" s="18">
        <f t="shared" si="74"/>
        <v>41899.35</v>
      </c>
      <c r="I2565" s="12"/>
    </row>
    <row r="2566" spans="1:9" s="2" customFormat="1" ht="21.75" customHeight="1" x14ac:dyDescent="0.55000000000000004">
      <c r="A2566" s="18">
        <v>24.7761833</v>
      </c>
      <c r="B2566" s="18">
        <v>34.7913365</v>
      </c>
      <c r="C2566" s="18">
        <v>681108.61</v>
      </c>
      <c r="D2566" s="18">
        <v>2741351.94</v>
      </c>
      <c r="E2566" s="18">
        <v>357.05</v>
      </c>
      <c r="F2566" s="18">
        <v>41938.15</v>
      </c>
      <c r="G2566" s="18">
        <v>135916</v>
      </c>
      <c r="H2566" s="18">
        <f t="shared" si="74"/>
        <v>41903.15</v>
      </c>
      <c r="I2566" s="12"/>
    </row>
    <row r="2567" spans="1:9" s="2" customFormat="1" ht="21.75" customHeight="1" x14ac:dyDescent="0.55000000000000004">
      <c r="A2567" s="18">
        <v>24.776176800000002</v>
      </c>
      <c r="B2567" s="18">
        <v>34.791347999999999</v>
      </c>
      <c r="C2567" s="18">
        <v>681109.77</v>
      </c>
      <c r="D2567" s="18">
        <v>2741351.23</v>
      </c>
      <c r="E2567" s="18">
        <v>357.72</v>
      </c>
      <c r="F2567" s="18">
        <v>41933.58</v>
      </c>
      <c r="G2567" s="18">
        <v>135918</v>
      </c>
      <c r="H2567" s="18">
        <f t="shared" si="74"/>
        <v>41898.58</v>
      </c>
      <c r="I2567" s="12"/>
    </row>
    <row r="2568" spans="1:9" s="2" customFormat="1" ht="21.75" customHeight="1" x14ac:dyDescent="0.55000000000000004">
      <c r="A2568" s="18">
        <v>24.776177499999999</v>
      </c>
      <c r="B2568" s="18">
        <v>34.791358099999997</v>
      </c>
      <c r="C2568" s="18">
        <v>681110.79</v>
      </c>
      <c r="D2568" s="18">
        <v>2741351.33</v>
      </c>
      <c r="E2568" s="18">
        <v>358.15</v>
      </c>
      <c r="F2568" s="18">
        <v>41930.76</v>
      </c>
      <c r="G2568" s="18">
        <v>135920</v>
      </c>
      <c r="H2568" s="18">
        <f t="shared" si="74"/>
        <v>41895.760000000002</v>
      </c>
      <c r="I2568" s="12"/>
    </row>
    <row r="2569" spans="1:9" s="2" customFormat="1" ht="21.75" customHeight="1" x14ac:dyDescent="0.55000000000000004">
      <c r="A2569" s="18">
        <v>24.7761855</v>
      </c>
      <c r="B2569" s="18">
        <v>34.791370800000003</v>
      </c>
      <c r="C2569" s="18">
        <v>681112.07</v>
      </c>
      <c r="D2569" s="18">
        <v>2741352.23</v>
      </c>
      <c r="E2569" s="18">
        <v>358.48</v>
      </c>
      <c r="F2569" s="18">
        <v>41936</v>
      </c>
      <c r="G2569" s="18">
        <v>135922</v>
      </c>
      <c r="H2569" s="18">
        <f t="shared" si="74"/>
        <v>41901</v>
      </c>
      <c r="I2569" s="12"/>
    </row>
    <row r="2570" spans="1:9" s="2" customFormat="1" ht="21.75" customHeight="1" x14ac:dyDescent="0.55000000000000004">
      <c r="A2570" s="18">
        <v>24.776192399999999</v>
      </c>
      <c r="B2570" s="18">
        <v>34.791378100000003</v>
      </c>
      <c r="C2570" s="18">
        <v>681112.8</v>
      </c>
      <c r="D2570" s="18">
        <v>2741353</v>
      </c>
      <c r="E2570" s="18">
        <v>359.13</v>
      </c>
      <c r="F2570" s="18">
        <v>41939.03</v>
      </c>
      <c r="G2570" s="18">
        <v>135924</v>
      </c>
      <c r="H2570" s="18">
        <f t="shared" si="74"/>
        <v>41904.03</v>
      </c>
      <c r="I2570" s="12"/>
    </row>
    <row r="2571" spans="1:9" s="2" customFormat="1" ht="21.75" customHeight="1" x14ac:dyDescent="0.55000000000000004">
      <c r="A2571" s="18">
        <v>24.776188600000001</v>
      </c>
      <c r="B2571" s="18">
        <v>34.791392799999997</v>
      </c>
      <c r="C2571" s="18">
        <v>681114.29</v>
      </c>
      <c r="D2571" s="18">
        <v>2741352.6</v>
      </c>
      <c r="E2571" s="18">
        <v>359.42</v>
      </c>
      <c r="F2571" s="18">
        <v>41936.980000000003</v>
      </c>
      <c r="G2571" s="18">
        <v>135926</v>
      </c>
      <c r="H2571" s="18">
        <f t="shared" si="74"/>
        <v>41901.980000000003</v>
      </c>
      <c r="I2571" s="12"/>
    </row>
    <row r="2572" spans="1:9" s="2" customFormat="1" ht="21.75" customHeight="1" x14ac:dyDescent="0.55000000000000004">
      <c r="A2572" s="18">
        <v>24.776186800000001</v>
      </c>
      <c r="B2572" s="18">
        <v>34.791402300000001</v>
      </c>
      <c r="C2572" s="18">
        <v>681115.26</v>
      </c>
      <c r="D2572" s="18">
        <v>2741352.41</v>
      </c>
      <c r="E2572" s="18">
        <v>359.89</v>
      </c>
      <c r="F2572" s="18">
        <v>41943.51</v>
      </c>
      <c r="G2572" s="18">
        <v>135928</v>
      </c>
      <c r="H2572" s="18">
        <f t="shared" si="74"/>
        <v>41908.51</v>
      </c>
      <c r="I2572" s="12"/>
    </row>
    <row r="2573" spans="1:9" s="2" customFormat="1" ht="21.75" customHeight="1" x14ac:dyDescent="0.55000000000000004">
      <c r="A2573" s="18">
        <v>24.776181900000001</v>
      </c>
      <c r="B2573" s="18">
        <v>34.791406799999997</v>
      </c>
      <c r="C2573" s="18">
        <v>681115.71</v>
      </c>
      <c r="D2573" s="18">
        <v>2741351.88</v>
      </c>
      <c r="E2573" s="18">
        <v>359.82</v>
      </c>
      <c r="F2573" s="18">
        <v>41935.57</v>
      </c>
      <c r="G2573" s="18">
        <v>135930</v>
      </c>
      <c r="H2573" s="18">
        <f t="shared" si="74"/>
        <v>41900.57</v>
      </c>
      <c r="I2573" s="12"/>
    </row>
    <row r="2574" spans="1:9" s="2" customFormat="1" ht="21.75" customHeight="1" x14ac:dyDescent="0.55000000000000004">
      <c r="A2574" s="18">
        <v>24.776182800000001</v>
      </c>
      <c r="B2574" s="18">
        <v>34.791422099999998</v>
      </c>
      <c r="C2574" s="18">
        <v>681117.26</v>
      </c>
      <c r="D2574" s="18">
        <v>2741351.99</v>
      </c>
      <c r="E2574" s="18">
        <v>360.19</v>
      </c>
      <c r="F2574" s="18">
        <v>41934.800000000003</v>
      </c>
      <c r="G2574" s="18">
        <v>135932</v>
      </c>
      <c r="H2574" s="18">
        <f t="shared" si="74"/>
        <v>41899.800000000003</v>
      </c>
      <c r="I2574" s="12"/>
    </row>
    <row r="2575" spans="1:9" s="2" customFormat="1" ht="21.75" customHeight="1" x14ac:dyDescent="0.55000000000000004">
      <c r="A2575" s="18">
        <v>24.776175899999998</v>
      </c>
      <c r="B2575" s="18">
        <v>34.791436400000002</v>
      </c>
      <c r="C2575" s="18">
        <v>681118.71999999997</v>
      </c>
      <c r="D2575" s="18">
        <v>2741351.26</v>
      </c>
      <c r="E2575" s="18">
        <v>360.89</v>
      </c>
      <c r="F2575" s="18">
        <v>41938.68</v>
      </c>
      <c r="G2575" s="18">
        <v>135934</v>
      </c>
      <c r="H2575" s="18">
        <f t="shared" si="74"/>
        <v>41903.68</v>
      </c>
      <c r="I2575" s="12"/>
    </row>
    <row r="2576" spans="1:9" s="2" customFormat="1" ht="21.75" customHeight="1" x14ac:dyDescent="0.55000000000000004">
      <c r="A2576" s="18">
        <v>24.776168999999999</v>
      </c>
      <c r="B2576" s="18">
        <v>34.791447699999999</v>
      </c>
      <c r="C2576" s="18">
        <v>681119.87</v>
      </c>
      <c r="D2576" s="18">
        <v>2741350.5</v>
      </c>
      <c r="E2576" s="18">
        <v>361.24</v>
      </c>
      <c r="F2576" s="18">
        <v>41935.25</v>
      </c>
      <c r="G2576" s="18">
        <v>135936</v>
      </c>
      <c r="H2576" s="18">
        <f t="shared" si="74"/>
        <v>41900.25</v>
      </c>
      <c r="I2576" s="12"/>
    </row>
    <row r="2577" spans="1:9" s="2" customFormat="1" ht="21.75" customHeight="1" x14ac:dyDescent="0.55000000000000004">
      <c r="A2577" s="18">
        <v>24.7761684</v>
      </c>
      <c r="B2577" s="18">
        <v>34.791465000000002</v>
      </c>
      <c r="C2577" s="18">
        <v>681121.61</v>
      </c>
      <c r="D2577" s="18">
        <v>2741350.46</v>
      </c>
      <c r="E2577" s="18">
        <v>361.82</v>
      </c>
      <c r="F2577" s="18">
        <v>41937.11</v>
      </c>
      <c r="G2577" s="18">
        <v>135938</v>
      </c>
      <c r="H2577" s="18">
        <f t="shared" si="74"/>
        <v>41902.11</v>
      </c>
      <c r="I2577" s="12"/>
    </row>
    <row r="2578" spans="1:9" s="2" customFormat="1" ht="21.75" customHeight="1" x14ac:dyDescent="0.55000000000000004">
      <c r="A2578" s="18">
        <v>24.776163100000002</v>
      </c>
      <c r="B2578" s="18">
        <v>34.791476500000002</v>
      </c>
      <c r="C2578" s="18">
        <v>681122.79</v>
      </c>
      <c r="D2578" s="18">
        <v>2741349.89</v>
      </c>
      <c r="E2578" s="18">
        <v>362.31</v>
      </c>
      <c r="F2578" s="18">
        <v>41939.26</v>
      </c>
      <c r="G2578" s="18">
        <v>135940</v>
      </c>
      <c r="H2578" s="18">
        <f t="shared" si="74"/>
        <v>41904.26</v>
      </c>
      <c r="I2578" s="12"/>
    </row>
    <row r="2579" spans="1:9" s="2" customFormat="1" ht="21.75" customHeight="1" x14ac:dyDescent="0.55000000000000004">
      <c r="A2579" s="18">
        <v>24.776159499999999</v>
      </c>
      <c r="B2579" s="18">
        <v>34.791488999999999</v>
      </c>
      <c r="C2579" s="18">
        <v>681124.06</v>
      </c>
      <c r="D2579" s="18">
        <v>2741349.5</v>
      </c>
      <c r="E2579" s="18">
        <v>362.65</v>
      </c>
      <c r="F2579" s="18">
        <v>41933.58</v>
      </c>
      <c r="G2579" s="18">
        <v>135942</v>
      </c>
      <c r="H2579" s="18">
        <f t="shared" ref="H2579:H2588" si="75">SUM(F2579-35)</f>
        <v>41898.58</v>
      </c>
      <c r="I2579" s="12"/>
    </row>
    <row r="2580" spans="1:9" s="2" customFormat="1" ht="21.75" customHeight="1" x14ac:dyDescent="0.55000000000000004">
      <c r="A2580" s="18">
        <v>24.776155599999999</v>
      </c>
      <c r="B2580" s="18">
        <v>34.791499899999998</v>
      </c>
      <c r="C2580" s="18">
        <v>681125.16</v>
      </c>
      <c r="D2580" s="18">
        <v>2741349.09</v>
      </c>
      <c r="E2580" s="18">
        <v>363.34</v>
      </c>
      <c r="F2580" s="18">
        <v>41941.53</v>
      </c>
      <c r="G2580" s="18">
        <v>135944</v>
      </c>
      <c r="H2580" s="18">
        <f t="shared" si="75"/>
        <v>41906.53</v>
      </c>
      <c r="I2580" s="12"/>
    </row>
    <row r="2581" spans="1:9" s="2" customFormat="1" ht="21.75" customHeight="1" x14ac:dyDescent="0.55000000000000004">
      <c r="A2581" s="18">
        <v>24.776148299999999</v>
      </c>
      <c r="B2581" s="18">
        <v>34.791508499999999</v>
      </c>
      <c r="C2581" s="18">
        <v>681126.05</v>
      </c>
      <c r="D2581" s="18">
        <v>2741348.3</v>
      </c>
      <c r="E2581" s="18">
        <v>363.64</v>
      </c>
      <c r="F2581" s="18">
        <v>41935.03</v>
      </c>
      <c r="G2581" s="18">
        <v>135946</v>
      </c>
      <c r="H2581" s="18">
        <f t="shared" si="75"/>
        <v>41900.03</v>
      </c>
      <c r="I2581" s="12"/>
    </row>
    <row r="2582" spans="1:9" s="2" customFormat="1" ht="21.75" customHeight="1" x14ac:dyDescent="0.55000000000000004">
      <c r="A2582" s="18">
        <v>24.776146300000001</v>
      </c>
      <c r="B2582" s="18">
        <v>34.791518600000003</v>
      </c>
      <c r="C2582" s="18">
        <v>681127.07</v>
      </c>
      <c r="D2582" s="18">
        <v>2741348.09</v>
      </c>
      <c r="E2582" s="18">
        <v>363.83</v>
      </c>
      <c r="F2582" s="18">
        <v>41936.15</v>
      </c>
      <c r="G2582" s="18">
        <v>135948</v>
      </c>
      <c r="H2582" s="18">
        <f t="shared" si="75"/>
        <v>41901.15</v>
      </c>
      <c r="I2582" s="12"/>
    </row>
    <row r="2583" spans="1:9" s="2" customFormat="1" ht="21.75" customHeight="1" x14ac:dyDescent="0.55000000000000004">
      <c r="A2583" s="18">
        <v>24.776139100000002</v>
      </c>
      <c r="B2583" s="18">
        <v>34.791530299999998</v>
      </c>
      <c r="C2583" s="18">
        <v>681128.26</v>
      </c>
      <c r="D2583" s="18">
        <v>2741347.3</v>
      </c>
      <c r="E2583" s="18">
        <v>364.32</v>
      </c>
      <c r="F2583" s="18">
        <v>41938.129999999997</v>
      </c>
      <c r="G2583" s="18">
        <v>135950</v>
      </c>
      <c r="H2583" s="18">
        <f t="shared" si="75"/>
        <v>41903.129999999997</v>
      </c>
      <c r="I2583" s="12"/>
    </row>
    <row r="2584" spans="1:9" s="2" customFormat="1" ht="21.75" customHeight="1" x14ac:dyDescent="0.55000000000000004">
      <c r="A2584" s="18">
        <v>24.7761353</v>
      </c>
      <c r="B2584" s="18">
        <v>34.7915396</v>
      </c>
      <c r="C2584" s="18">
        <v>681129.21</v>
      </c>
      <c r="D2584" s="18">
        <v>2741346.89</v>
      </c>
      <c r="E2584" s="18">
        <v>364.72</v>
      </c>
      <c r="F2584" s="18">
        <v>41932.51</v>
      </c>
      <c r="G2584" s="18">
        <v>135952</v>
      </c>
      <c r="H2584" s="18">
        <f t="shared" si="75"/>
        <v>41897.51</v>
      </c>
      <c r="I2584" s="12"/>
    </row>
    <row r="2585" spans="1:9" s="2" customFormat="1" ht="21.75" customHeight="1" x14ac:dyDescent="0.55000000000000004">
      <c r="A2585" s="18">
        <v>24.776133999999999</v>
      </c>
      <c r="B2585" s="18">
        <v>34.791549600000003</v>
      </c>
      <c r="C2585" s="18">
        <v>681130.22</v>
      </c>
      <c r="D2585" s="18">
        <v>2741346.77</v>
      </c>
      <c r="E2585" s="18">
        <v>365.43</v>
      </c>
      <c r="F2585" s="18">
        <v>41939.050000000003</v>
      </c>
      <c r="G2585" s="18">
        <v>135954</v>
      </c>
      <c r="H2585" s="18">
        <f t="shared" si="75"/>
        <v>41904.050000000003</v>
      </c>
      <c r="I2585" s="12"/>
    </row>
    <row r="2586" spans="1:9" s="2" customFormat="1" ht="21.75" customHeight="1" x14ac:dyDescent="0.55000000000000004">
      <c r="A2586" s="18">
        <v>24.776131199999998</v>
      </c>
      <c r="B2586" s="18">
        <v>34.791564899999997</v>
      </c>
      <c r="C2586" s="18">
        <v>681131.78</v>
      </c>
      <c r="D2586" s="18">
        <v>2741346.48</v>
      </c>
      <c r="E2586" s="18">
        <v>365.92</v>
      </c>
      <c r="F2586" s="18">
        <v>41939.43</v>
      </c>
      <c r="G2586" s="18">
        <v>135956</v>
      </c>
      <c r="H2586" s="18">
        <f t="shared" si="75"/>
        <v>41904.43</v>
      </c>
      <c r="I2586" s="12"/>
    </row>
    <row r="2587" spans="1:9" s="2" customFormat="1" ht="21.75" customHeight="1" x14ac:dyDescent="0.55000000000000004">
      <c r="A2587" s="18">
        <v>24.776125799999999</v>
      </c>
      <c r="B2587" s="18">
        <v>34.7915755</v>
      </c>
      <c r="C2587" s="18">
        <v>681132.85</v>
      </c>
      <c r="D2587" s="18">
        <v>2741345.88</v>
      </c>
      <c r="E2587" s="18">
        <v>366.57</v>
      </c>
      <c r="F2587" s="18">
        <v>41935.54</v>
      </c>
      <c r="G2587" s="18">
        <v>135958</v>
      </c>
      <c r="H2587" s="18">
        <f t="shared" si="75"/>
        <v>41900.54</v>
      </c>
      <c r="I2587" s="12"/>
    </row>
    <row r="2588" spans="1:9" s="2" customFormat="1" ht="21.75" customHeight="1" x14ac:dyDescent="0.55000000000000004">
      <c r="A2588" s="18">
        <v>24.776123900000002</v>
      </c>
      <c r="B2588" s="18">
        <v>34.791588300000001</v>
      </c>
      <c r="C2588" s="18">
        <v>681134.15</v>
      </c>
      <c r="D2588" s="18">
        <v>2741345.69</v>
      </c>
      <c r="E2588" s="18">
        <v>367.39</v>
      </c>
      <c r="F2588" s="18">
        <v>41935.67</v>
      </c>
      <c r="G2588" s="18">
        <v>140000</v>
      </c>
      <c r="H2588" s="18">
        <f t="shared" si="75"/>
        <v>41900.67</v>
      </c>
      <c r="I2588" s="12"/>
    </row>
    <row r="2589" spans="1:9" s="2" customFormat="1" ht="21.75" customHeight="1" x14ac:dyDescent="0.55000000000000004">
      <c r="A2589" s="18">
        <v>24.7761301</v>
      </c>
      <c r="B2589" s="18">
        <v>34.791604599999999</v>
      </c>
      <c r="C2589" s="18">
        <v>681135.79</v>
      </c>
      <c r="D2589" s="18">
        <v>2741346.4</v>
      </c>
      <c r="E2589" s="18">
        <v>367.76</v>
      </c>
      <c r="F2589" s="18">
        <v>41935.97</v>
      </c>
      <c r="G2589" s="18">
        <v>140002</v>
      </c>
      <c r="H2589" s="18">
        <f>SUM(F2589-34)</f>
        <v>41901.97</v>
      </c>
      <c r="I2589" s="12"/>
    </row>
    <row r="2590" spans="1:9" s="2" customFormat="1" ht="21.75" customHeight="1" x14ac:dyDescent="0.55000000000000004">
      <c r="A2590" s="18">
        <v>24.776120200000001</v>
      </c>
      <c r="B2590" s="18">
        <v>34.791611899999999</v>
      </c>
      <c r="C2590" s="18">
        <v>681136.55</v>
      </c>
      <c r="D2590" s="18">
        <v>2741345.31</v>
      </c>
      <c r="E2590" s="18">
        <v>368.24</v>
      </c>
      <c r="F2590" s="18">
        <v>41937.160000000003</v>
      </c>
      <c r="G2590" s="18">
        <v>140004</v>
      </c>
      <c r="H2590" s="18">
        <f t="shared" ref="H2590:H2653" si="76">SUM(F2590-34)</f>
        <v>41903.160000000003</v>
      </c>
      <c r="I2590" s="12"/>
    </row>
    <row r="2591" spans="1:9" s="2" customFormat="1" ht="21.75" customHeight="1" x14ac:dyDescent="0.55000000000000004">
      <c r="A2591" s="18">
        <v>24.776111100000001</v>
      </c>
      <c r="B2591" s="18">
        <v>34.791622799999999</v>
      </c>
      <c r="C2591" s="18">
        <v>681137.66</v>
      </c>
      <c r="D2591" s="18">
        <v>2741344.32</v>
      </c>
      <c r="E2591" s="18">
        <v>368.64</v>
      </c>
      <c r="F2591" s="18">
        <v>41935.51</v>
      </c>
      <c r="G2591" s="18">
        <v>140006</v>
      </c>
      <c r="H2591" s="18">
        <f t="shared" si="76"/>
        <v>41901.51</v>
      </c>
      <c r="I2591" s="12"/>
    </row>
    <row r="2592" spans="1:9" s="2" customFormat="1" ht="21.75" customHeight="1" x14ac:dyDescent="0.55000000000000004">
      <c r="A2592" s="18">
        <v>24.7761043</v>
      </c>
      <c r="B2592" s="18">
        <v>34.791635599999999</v>
      </c>
      <c r="C2592" s="18">
        <v>681138.96</v>
      </c>
      <c r="D2592" s="18">
        <v>2741343.59</v>
      </c>
      <c r="E2592" s="18">
        <v>369.33</v>
      </c>
      <c r="F2592" s="18">
        <v>41934.42</v>
      </c>
      <c r="G2592" s="18">
        <v>140008</v>
      </c>
      <c r="H2592" s="18">
        <f t="shared" si="76"/>
        <v>41900.42</v>
      </c>
      <c r="I2592" s="12"/>
    </row>
    <row r="2593" spans="1:9" s="2" customFormat="1" ht="21.75" customHeight="1" x14ac:dyDescent="0.55000000000000004">
      <c r="A2593" s="18">
        <v>24.776095900000001</v>
      </c>
      <c r="B2593" s="18">
        <v>34.791647400000002</v>
      </c>
      <c r="C2593" s="18">
        <v>681140.17</v>
      </c>
      <c r="D2593" s="18">
        <v>2741342.67</v>
      </c>
      <c r="E2593" s="18">
        <v>370.16</v>
      </c>
      <c r="F2593" s="18">
        <v>41936.800000000003</v>
      </c>
      <c r="G2593" s="18">
        <v>140010</v>
      </c>
      <c r="H2593" s="18">
        <f t="shared" si="76"/>
        <v>41902.800000000003</v>
      </c>
      <c r="I2593" s="12"/>
    </row>
    <row r="2594" spans="1:9" s="2" customFormat="1" ht="21.75" customHeight="1" x14ac:dyDescent="0.55000000000000004">
      <c r="A2594" s="18">
        <v>24.776094100000002</v>
      </c>
      <c r="B2594" s="18">
        <v>34.791654100000002</v>
      </c>
      <c r="C2594" s="18">
        <v>681140.85</v>
      </c>
      <c r="D2594" s="18">
        <v>2741342.48</v>
      </c>
      <c r="E2594" s="18">
        <v>370.47</v>
      </c>
      <c r="F2594" s="18">
        <v>41933.64</v>
      </c>
      <c r="G2594" s="18">
        <v>140012</v>
      </c>
      <c r="H2594" s="18">
        <f t="shared" si="76"/>
        <v>41899.64</v>
      </c>
      <c r="I2594" s="12"/>
    </row>
    <row r="2595" spans="1:9" s="2" customFormat="1" ht="21.75" customHeight="1" x14ac:dyDescent="0.55000000000000004">
      <c r="A2595" s="18">
        <v>24.776092899999998</v>
      </c>
      <c r="B2595" s="18">
        <v>34.791652499999998</v>
      </c>
      <c r="C2595" s="18">
        <v>681140.69</v>
      </c>
      <c r="D2595" s="18">
        <v>2741342.35</v>
      </c>
      <c r="E2595" s="18">
        <v>370.45</v>
      </c>
      <c r="F2595" s="18">
        <v>41935.56</v>
      </c>
      <c r="G2595" s="18">
        <v>140014</v>
      </c>
      <c r="H2595" s="18">
        <f t="shared" si="76"/>
        <v>41901.56</v>
      </c>
      <c r="I2595" s="12"/>
    </row>
    <row r="2596" spans="1:9" s="2" customFormat="1" ht="21.75" customHeight="1" x14ac:dyDescent="0.55000000000000004">
      <c r="A2596" s="18">
        <v>24.776090199999999</v>
      </c>
      <c r="B2596" s="18">
        <v>34.7916624</v>
      </c>
      <c r="C2596" s="18">
        <v>681141.69</v>
      </c>
      <c r="D2596" s="18">
        <v>2741342.05</v>
      </c>
      <c r="E2596" s="18">
        <v>370.62</v>
      </c>
      <c r="F2596" s="18">
        <v>41936.639999999999</v>
      </c>
      <c r="G2596" s="18">
        <v>140016</v>
      </c>
      <c r="H2596" s="18">
        <f t="shared" si="76"/>
        <v>41902.639999999999</v>
      </c>
      <c r="I2596" s="12"/>
    </row>
    <row r="2597" spans="1:9" s="2" customFormat="1" ht="21.75" customHeight="1" x14ac:dyDescent="0.55000000000000004">
      <c r="A2597" s="18">
        <v>24.776090799999999</v>
      </c>
      <c r="B2597" s="18">
        <v>34.791674499999999</v>
      </c>
      <c r="C2597" s="18">
        <v>681142.92</v>
      </c>
      <c r="D2597" s="18">
        <v>2741342.14</v>
      </c>
      <c r="E2597" s="18">
        <v>371.09</v>
      </c>
      <c r="F2597" s="18">
        <v>41932.65</v>
      </c>
      <c r="G2597" s="18">
        <v>140018</v>
      </c>
      <c r="H2597" s="18">
        <f t="shared" si="76"/>
        <v>41898.65</v>
      </c>
      <c r="I2597" s="12"/>
    </row>
    <row r="2598" spans="1:9" s="2" customFormat="1" ht="21.75" customHeight="1" x14ac:dyDescent="0.55000000000000004">
      <c r="A2598" s="18">
        <v>24.776090499999999</v>
      </c>
      <c r="B2598" s="18">
        <v>34.791684199999999</v>
      </c>
      <c r="C2598" s="18">
        <v>681143.9</v>
      </c>
      <c r="D2598" s="18">
        <v>2741342.12</v>
      </c>
      <c r="E2598" s="18">
        <v>371.57</v>
      </c>
      <c r="F2598" s="18">
        <v>41937.4</v>
      </c>
      <c r="G2598" s="18">
        <v>140020</v>
      </c>
      <c r="H2598" s="18">
        <f t="shared" si="76"/>
        <v>41903.4</v>
      </c>
      <c r="I2598" s="12"/>
    </row>
    <row r="2599" spans="1:9" s="2" customFormat="1" ht="21.75" customHeight="1" x14ac:dyDescent="0.55000000000000004">
      <c r="A2599" s="18">
        <v>24.776084600000001</v>
      </c>
      <c r="B2599" s="18">
        <v>34.791699399999999</v>
      </c>
      <c r="C2599" s="18">
        <v>681145.44</v>
      </c>
      <c r="D2599" s="18">
        <v>2741341.49</v>
      </c>
      <c r="E2599" s="18">
        <v>371.92</v>
      </c>
      <c r="F2599" s="18">
        <v>41933.980000000003</v>
      </c>
      <c r="G2599" s="18">
        <v>140022</v>
      </c>
      <c r="H2599" s="18">
        <f t="shared" si="76"/>
        <v>41899.980000000003</v>
      </c>
      <c r="I2599" s="12"/>
    </row>
    <row r="2600" spans="1:9" s="2" customFormat="1" ht="21.75" customHeight="1" x14ac:dyDescent="0.55000000000000004">
      <c r="A2600" s="18">
        <v>24.7760873</v>
      </c>
      <c r="B2600" s="18">
        <v>34.791713299999998</v>
      </c>
      <c r="C2600" s="18">
        <v>681146.85</v>
      </c>
      <c r="D2600" s="18">
        <v>2741341.81</v>
      </c>
      <c r="E2600" s="18">
        <v>372.4</v>
      </c>
      <c r="F2600" s="18">
        <v>41940.54</v>
      </c>
      <c r="G2600" s="18">
        <v>140024</v>
      </c>
      <c r="H2600" s="18">
        <f t="shared" si="76"/>
        <v>41906.54</v>
      </c>
      <c r="I2600" s="12"/>
    </row>
    <row r="2601" spans="1:9" s="2" customFormat="1" ht="21.75" customHeight="1" x14ac:dyDescent="0.55000000000000004">
      <c r="A2601" s="18">
        <v>24.776086800000002</v>
      </c>
      <c r="B2601" s="18">
        <v>34.791725499999998</v>
      </c>
      <c r="C2601" s="18">
        <v>681148.08</v>
      </c>
      <c r="D2601" s="18">
        <v>2741341.76</v>
      </c>
      <c r="E2601" s="18">
        <v>372.75</v>
      </c>
      <c r="F2601" s="18">
        <v>41936.6</v>
      </c>
      <c r="G2601" s="18">
        <v>140026</v>
      </c>
      <c r="H2601" s="18">
        <f t="shared" si="76"/>
        <v>41902.6</v>
      </c>
      <c r="I2601" s="12"/>
    </row>
    <row r="2602" spans="1:9" s="2" customFormat="1" ht="21.75" customHeight="1" x14ac:dyDescent="0.55000000000000004">
      <c r="A2602" s="18">
        <v>24.776093599999999</v>
      </c>
      <c r="B2602" s="18">
        <v>34.791736100000001</v>
      </c>
      <c r="C2602" s="18">
        <v>681149.14</v>
      </c>
      <c r="D2602" s="18">
        <v>2741342.53</v>
      </c>
      <c r="E2602" s="18">
        <v>373.27</v>
      </c>
      <c r="F2602" s="18">
        <v>41936.81</v>
      </c>
      <c r="G2602" s="18">
        <v>140028</v>
      </c>
      <c r="H2602" s="18">
        <f t="shared" si="76"/>
        <v>41902.81</v>
      </c>
      <c r="I2602" s="12"/>
    </row>
    <row r="2603" spans="1:9" s="2" customFormat="1" ht="21.75" customHeight="1" x14ac:dyDescent="0.55000000000000004">
      <c r="A2603" s="18">
        <v>24.776094700000002</v>
      </c>
      <c r="B2603" s="18">
        <v>34.791742800000002</v>
      </c>
      <c r="C2603" s="18">
        <v>681149.81</v>
      </c>
      <c r="D2603" s="18">
        <v>2741342.67</v>
      </c>
      <c r="E2603" s="18">
        <v>373.79</v>
      </c>
      <c r="F2603" s="18">
        <v>41940.21</v>
      </c>
      <c r="G2603" s="18">
        <v>140030</v>
      </c>
      <c r="H2603" s="18">
        <f t="shared" si="76"/>
        <v>41906.21</v>
      </c>
      <c r="I2603" s="12"/>
    </row>
    <row r="2604" spans="1:9" s="2" customFormat="1" ht="21.75" customHeight="1" x14ac:dyDescent="0.55000000000000004">
      <c r="A2604" s="18">
        <v>24.776088699999999</v>
      </c>
      <c r="B2604" s="18">
        <v>34.791752600000002</v>
      </c>
      <c r="C2604" s="18">
        <v>681150.82</v>
      </c>
      <c r="D2604" s="18">
        <v>2741342.01</v>
      </c>
      <c r="E2604" s="18">
        <v>374.11</v>
      </c>
      <c r="F2604" s="18">
        <v>41942.04</v>
      </c>
      <c r="G2604" s="18">
        <v>140032</v>
      </c>
      <c r="H2604" s="18">
        <f t="shared" si="76"/>
        <v>41908.04</v>
      </c>
      <c r="I2604" s="12"/>
    </row>
    <row r="2605" spans="1:9" s="2" customFormat="1" ht="21.75" customHeight="1" x14ac:dyDescent="0.55000000000000004">
      <c r="A2605" s="18">
        <v>24.776084099999999</v>
      </c>
      <c r="B2605" s="18">
        <v>34.791763099999997</v>
      </c>
      <c r="C2605" s="18">
        <v>681151.88</v>
      </c>
      <c r="D2605" s="18">
        <v>2741341.52</v>
      </c>
      <c r="E2605" s="18">
        <v>374.5</v>
      </c>
      <c r="F2605" s="18">
        <v>41939.800000000003</v>
      </c>
      <c r="G2605" s="18">
        <v>140034</v>
      </c>
      <c r="H2605" s="18">
        <f t="shared" si="76"/>
        <v>41905.800000000003</v>
      </c>
      <c r="I2605" s="12"/>
    </row>
    <row r="2606" spans="1:9" s="2" customFormat="1" ht="21.75" customHeight="1" x14ac:dyDescent="0.55000000000000004">
      <c r="A2606" s="18">
        <v>24.776079899999999</v>
      </c>
      <c r="B2606" s="18">
        <v>34.791775399999999</v>
      </c>
      <c r="C2606" s="18">
        <v>681153.13</v>
      </c>
      <c r="D2606" s="18">
        <v>2741341.07</v>
      </c>
      <c r="E2606" s="18">
        <v>374.9</v>
      </c>
      <c r="F2606" s="18">
        <v>41938.39</v>
      </c>
      <c r="G2606" s="18">
        <v>140036</v>
      </c>
      <c r="H2606" s="18">
        <f t="shared" si="76"/>
        <v>41904.39</v>
      </c>
      <c r="I2606" s="12"/>
    </row>
    <row r="2607" spans="1:9" s="2" customFormat="1" ht="21.75" customHeight="1" x14ac:dyDescent="0.55000000000000004">
      <c r="A2607" s="18">
        <v>24.776071000000002</v>
      </c>
      <c r="B2607" s="18">
        <v>34.791787300000003</v>
      </c>
      <c r="C2607" s="18">
        <v>681154.35</v>
      </c>
      <c r="D2607" s="18">
        <v>2741340.09</v>
      </c>
      <c r="E2607" s="18">
        <v>375.19</v>
      </c>
      <c r="F2607" s="18">
        <v>41937.879999999997</v>
      </c>
      <c r="G2607" s="18">
        <v>140038</v>
      </c>
      <c r="H2607" s="18">
        <f t="shared" si="76"/>
        <v>41903.879999999997</v>
      </c>
      <c r="I2607" s="12"/>
    </row>
    <row r="2608" spans="1:9" s="2" customFormat="1" ht="21.75" customHeight="1" x14ac:dyDescent="0.55000000000000004">
      <c r="A2608" s="18">
        <v>24.776061899999998</v>
      </c>
      <c r="B2608" s="18">
        <v>34.791800100000003</v>
      </c>
      <c r="C2608" s="18">
        <v>681155.66</v>
      </c>
      <c r="D2608" s="18">
        <v>2741339.11</v>
      </c>
      <c r="E2608" s="18">
        <v>375.41</v>
      </c>
      <c r="F2608" s="18">
        <v>41934.370000000003</v>
      </c>
      <c r="G2608" s="18">
        <v>140040</v>
      </c>
      <c r="H2608" s="18">
        <f t="shared" si="76"/>
        <v>41900.370000000003</v>
      </c>
      <c r="I2608" s="12"/>
    </row>
    <row r="2609" spans="1:9" s="2" customFormat="1" ht="21.75" customHeight="1" x14ac:dyDescent="0.55000000000000004">
      <c r="A2609" s="18">
        <v>24.7760566</v>
      </c>
      <c r="B2609" s="18">
        <v>34.7918156</v>
      </c>
      <c r="C2609" s="18">
        <v>681157.24</v>
      </c>
      <c r="D2609" s="18">
        <v>2741338.54</v>
      </c>
      <c r="E2609" s="18">
        <v>375.57</v>
      </c>
      <c r="F2609" s="18">
        <v>41935.800000000003</v>
      </c>
      <c r="G2609" s="18">
        <v>140042</v>
      </c>
      <c r="H2609" s="18">
        <f t="shared" si="76"/>
        <v>41901.800000000003</v>
      </c>
      <c r="I2609" s="12"/>
    </row>
    <row r="2610" spans="1:9" s="2" customFormat="1" ht="21.75" customHeight="1" x14ac:dyDescent="0.55000000000000004">
      <c r="A2610" s="18">
        <v>24.7760496</v>
      </c>
      <c r="B2610" s="18">
        <v>34.791828199999998</v>
      </c>
      <c r="C2610" s="18">
        <v>681158.52</v>
      </c>
      <c r="D2610" s="18">
        <v>2741337.78</v>
      </c>
      <c r="E2610" s="18">
        <v>375.7</v>
      </c>
      <c r="F2610" s="18">
        <v>41934.050000000003</v>
      </c>
      <c r="G2610" s="18">
        <v>140044</v>
      </c>
      <c r="H2610" s="18">
        <f t="shared" si="76"/>
        <v>41900.050000000003</v>
      </c>
      <c r="I2610" s="12"/>
    </row>
    <row r="2611" spans="1:9" s="2" customFormat="1" ht="21.75" customHeight="1" x14ac:dyDescent="0.55000000000000004">
      <c r="A2611" s="18">
        <v>24.776045799999999</v>
      </c>
      <c r="B2611" s="18">
        <v>34.791843399999998</v>
      </c>
      <c r="C2611" s="18">
        <v>681160.07</v>
      </c>
      <c r="D2611" s="18">
        <v>2741337.39</v>
      </c>
      <c r="E2611" s="18">
        <v>375.77</v>
      </c>
      <c r="F2611" s="18">
        <v>41933.800000000003</v>
      </c>
      <c r="G2611" s="18">
        <v>140046</v>
      </c>
      <c r="H2611" s="18">
        <f t="shared" si="76"/>
        <v>41899.800000000003</v>
      </c>
      <c r="I2611" s="12"/>
    </row>
    <row r="2612" spans="1:9" s="2" customFormat="1" ht="21.75" customHeight="1" x14ac:dyDescent="0.55000000000000004">
      <c r="A2612" s="18">
        <v>24.776038100000001</v>
      </c>
      <c r="B2612" s="18">
        <v>34.791855400000003</v>
      </c>
      <c r="C2612" s="18">
        <v>681161.29</v>
      </c>
      <c r="D2612" s="18">
        <v>2741336.55</v>
      </c>
      <c r="E2612" s="18">
        <v>375.79</v>
      </c>
      <c r="F2612" s="18">
        <v>41935.040000000001</v>
      </c>
      <c r="G2612" s="18">
        <v>140048</v>
      </c>
      <c r="H2612" s="18">
        <f t="shared" si="76"/>
        <v>41901.040000000001</v>
      </c>
      <c r="I2612" s="12"/>
    </row>
    <row r="2613" spans="1:9" s="2" customFormat="1" ht="21.75" customHeight="1" x14ac:dyDescent="0.55000000000000004">
      <c r="A2613" s="18">
        <v>24.776033699999999</v>
      </c>
      <c r="B2613" s="18">
        <v>34.7918649</v>
      </c>
      <c r="C2613" s="18">
        <v>681162.26</v>
      </c>
      <c r="D2613" s="18">
        <v>2741336.07</v>
      </c>
      <c r="E2613" s="18">
        <v>375.62</v>
      </c>
      <c r="F2613" s="18">
        <v>41931.910000000003</v>
      </c>
      <c r="G2613" s="18">
        <v>140050</v>
      </c>
      <c r="H2613" s="18">
        <f t="shared" si="76"/>
        <v>41897.910000000003</v>
      </c>
      <c r="I2613" s="12"/>
    </row>
    <row r="2614" spans="1:9" s="2" customFormat="1" ht="21.75" customHeight="1" x14ac:dyDescent="0.55000000000000004">
      <c r="A2614" s="18">
        <v>24.776032300000001</v>
      </c>
      <c r="B2614" s="18">
        <v>34.7918679</v>
      </c>
      <c r="C2614" s="18">
        <v>681162.56</v>
      </c>
      <c r="D2614" s="18">
        <v>2741335.92</v>
      </c>
      <c r="E2614" s="18">
        <v>375.5</v>
      </c>
      <c r="F2614" s="18">
        <v>41932.699999999997</v>
      </c>
      <c r="G2614" s="18">
        <v>140052</v>
      </c>
      <c r="H2614" s="18">
        <f t="shared" si="76"/>
        <v>41898.699999999997</v>
      </c>
      <c r="I2614" s="12"/>
    </row>
    <row r="2615" spans="1:9" s="2" customFormat="1" ht="21.75" customHeight="1" x14ac:dyDescent="0.55000000000000004">
      <c r="A2615" s="18">
        <v>24.776032300000001</v>
      </c>
      <c r="B2615" s="18">
        <v>34.791867699999997</v>
      </c>
      <c r="C2615" s="18">
        <v>681162.53</v>
      </c>
      <c r="D2615" s="18">
        <v>2741335.92</v>
      </c>
      <c r="E2615" s="18">
        <v>375.4</v>
      </c>
      <c r="F2615" s="18">
        <v>41933.29</v>
      </c>
      <c r="G2615" s="18">
        <v>140054</v>
      </c>
      <c r="H2615" s="18">
        <f t="shared" si="76"/>
        <v>41899.29</v>
      </c>
      <c r="I2615" s="12"/>
    </row>
    <row r="2616" spans="1:9" s="2" customFormat="1" ht="21.75" customHeight="1" x14ac:dyDescent="0.55000000000000004">
      <c r="A2616" s="18">
        <v>24.776032699999998</v>
      </c>
      <c r="B2616" s="18">
        <v>34.791867199999999</v>
      </c>
      <c r="C2616" s="18">
        <v>681162.48</v>
      </c>
      <c r="D2616" s="18">
        <v>2741335.96</v>
      </c>
      <c r="E2616" s="18">
        <v>375.29</v>
      </c>
      <c r="F2616" s="18">
        <v>41933.69</v>
      </c>
      <c r="G2616" s="18">
        <v>140056</v>
      </c>
      <c r="H2616" s="18">
        <f t="shared" si="76"/>
        <v>41899.69</v>
      </c>
      <c r="I2616" s="12"/>
    </row>
    <row r="2617" spans="1:9" s="2" customFormat="1" ht="21.75" customHeight="1" x14ac:dyDescent="0.55000000000000004">
      <c r="A2617" s="18">
        <v>24.776033999999999</v>
      </c>
      <c r="B2617" s="18">
        <v>34.791867400000001</v>
      </c>
      <c r="C2617" s="18">
        <v>681162.51</v>
      </c>
      <c r="D2617" s="18">
        <v>2741336.11</v>
      </c>
      <c r="E2617" s="18">
        <v>375.17</v>
      </c>
      <c r="F2617" s="18">
        <v>41928.39</v>
      </c>
      <c r="G2617" s="18">
        <v>140058</v>
      </c>
      <c r="H2617" s="18">
        <f t="shared" si="76"/>
        <v>41894.39</v>
      </c>
      <c r="I2617" s="12"/>
    </row>
    <row r="2618" spans="1:9" s="2" customFormat="1" ht="21.75" customHeight="1" x14ac:dyDescent="0.55000000000000004">
      <c r="A2618" s="18">
        <v>24.776032000000001</v>
      </c>
      <c r="B2618" s="18">
        <v>34.791874999999997</v>
      </c>
      <c r="C2618" s="18">
        <v>681163.27</v>
      </c>
      <c r="D2618" s="18">
        <v>2741335.89</v>
      </c>
      <c r="E2618" s="18">
        <v>374.87</v>
      </c>
      <c r="F2618" s="18">
        <v>41932.61</v>
      </c>
      <c r="G2618" s="18">
        <v>140100</v>
      </c>
      <c r="H2618" s="18">
        <f t="shared" si="76"/>
        <v>41898.61</v>
      </c>
      <c r="I2618" s="12"/>
    </row>
    <row r="2619" spans="1:9" s="2" customFormat="1" ht="21.75" customHeight="1" x14ac:dyDescent="0.55000000000000004">
      <c r="A2619" s="18">
        <v>24.776031</v>
      </c>
      <c r="B2619" s="18">
        <v>34.791893299999998</v>
      </c>
      <c r="C2619" s="18">
        <v>681165.13</v>
      </c>
      <c r="D2619" s="18">
        <v>2741335.81</v>
      </c>
      <c r="E2619" s="18">
        <v>374.49</v>
      </c>
      <c r="F2619" s="18">
        <v>41934.6</v>
      </c>
      <c r="G2619" s="18">
        <v>140102</v>
      </c>
      <c r="H2619" s="18">
        <f t="shared" si="76"/>
        <v>41900.6</v>
      </c>
      <c r="I2619" s="12"/>
    </row>
    <row r="2620" spans="1:9" s="2" customFormat="1" ht="21.75" customHeight="1" x14ac:dyDescent="0.55000000000000004">
      <c r="A2620" s="18">
        <v>24.776021400000001</v>
      </c>
      <c r="B2620" s="18">
        <v>34.791909599999997</v>
      </c>
      <c r="C2620" s="18">
        <v>681166.79</v>
      </c>
      <c r="D2620" s="18">
        <v>2741334.77</v>
      </c>
      <c r="E2620" s="18">
        <v>374.02</v>
      </c>
      <c r="F2620" s="18">
        <v>41933.370000000003</v>
      </c>
      <c r="G2620" s="18">
        <v>140104</v>
      </c>
      <c r="H2620" s="18">
        <f t="shared" si="76"/>
        <v>41899.370000000003</v>
      </c>
      <c r="I2620" s="12"/>
    </row>
    <row r="2621" spans="1:9" s="2" customFormat="1" ht="21.75" customHeight="1" x14ac:dyDescent="0.55000000000000004">
      <c r="A2621" s="18">
        <v>24.776013200000001</v>
      </c>
      <c r="B2621" s="18">
        <v>34.791925300000003</v>
      </c>
      <c r="C2621" s="18">
        <v>681168.39</v>
      </c>
      <c r="D2621" s="18">
        <v>2741333.88</v>
      </c>
      <c r="E2621" s="18">
        <v>373.53</v>
      </c>
      <c r="F2621" s="18">
        <v>41931.46</v>
      </c>
      <c r="G2621" s="18">
        <v>140106</v>
      </c>
      <c r="H2621" s="18">
        <f t="shared" si="76"/>
        <v>41897.46</v>
      </c>
      <c r="I2621" s="12"/>
    </row>
    <row r="2622" spans="1:9" s="2" customFormat="1" ht="21.75" customHeight="1" x14ac:dyDescent="0.55000000000000004">
      <c r="A2622" s="18">
        <v>24.776007</v>
      </c>
      <c r="B2622" s="18">
        <v>34.791942900000002</v>
      </c>
      <c r="C2622" s="18">
        <v>681170.18</v>
      </c>
      <c r="D2622" s="18">
        <v>2741333.21</v>
      </c>
      <c r="E2622" s="18">
        <v>372.84</v>
      </c>
      <c r="F2622" s="18">
        <v>41935.26</v>
      </c>
      <c r="G2622" s="18">
        <v>140108</v>
      </c>
      <c r="H2622" s="18">
        <f t="shared" si="76"/>
        <v>41901.26</v>
      </c>
      <c r="I2622" s="12"/>
    </row>
    <row r="2623" spans="1:9" s="2" customFormat="1" ht="21.75" customHeight="1" x14ac:dyDescent="0.55000000000000004">
      <c r="A2623" s="18">
        <v>24.776002399999999</v>
      </c>
      <c r="B2623" s="18">
        <v>34.7919518</v>
      </c>
      <c r="C2623" s="18">
        <v>681171.08</v>
      </c>
      <c r="D2623" s="18">
        <v>2741332.72</v>
      </c>
      <c r="E2623" s="18">
        <v>372.65</v>
      </c>
      <c r="F2623" s="18">
        <v>41933.64</v>
      </c>
      <c r="G2623" s="18">
        <v>140110</v>
      </c>
      <c r="H2623" s="18">
        <f t="shared" si="76"/>
        <v>41899.64</v>
      </c>
      <c r="I2623" s="12"/>
    </row>
    <row r="2624" spans="1:9" s="2" customFormat="1" ht="21.75" customHeight="1" x14ac:dyDescent="0.55000000000000004">
      <c r="A2624" s="18">
        <v>24.776002800000001</v>
      </c>
      <c r="B2624" s="18">
        <v>34.791951300000001</v>
      </c>
      <c r="C2624" s="18">
        <v>681171.04</v>
      </c>
      <c r="D2624" s="18">
        <v>2741332.76</v>
      </c>
      <c r="E2624" s="18">
        <v>372.61</v>
      </c>
      <c r="F2624" s="18">
        <v>41933.14</v>
      </c>
      <c r="G2624" s="18">
        <v>140112</v>
      </c>
      <c r="H2624" s="18">
        <f t="shared" si="76"/>
        <v>41899.14</v>
      </c>
      <c r="I2624" s="12"/>
    </row>
    <row r="2625" spans="1:9" s="2" customFormat="1" ht="21.75" customHeight="1" x14ac:dyDescent="0.55000000000000004">
      <c r="A2625" s="18">
        <v>24.776002500000001</v>
      </c>
      <c r="B2625" s="18">
        <v>34.791950800000002</v>
      </c>
      <c r="C2625" s="18">
        <v>681170.98</v>
      </c>
      <c r="D2625" s="18">
        <v>2741332.73</v>
      </c>
      <c r="E2625" s="18">
        <v>372.57</v>
      </c>
      <c r="F2625" s="18">
        <v>41932.769999999997</v>
      </c>
      <c r="G2625" s="18">
        <v>140114</v>
      </c>
      <c r="H2625" s="18">
        <f t="shared" si="76"/>
        <v>41898.769999999997</v>
      </c>
      <c r="I2625" s="12"/>
    </row>
    <row r="2626" spans="1:9" s="2" customFormat="1" ht="21.75" customHeight="1" x14ac:dyDescent="0.55000000000000004">
      <c r="A2626" s="18">
        <v>24.775999899999999</v>
      </c>
      <c r="B2626" s="18">
        <v>34.791955399999999</v>
      </c>
      <c r="C2626" s="18">
        <v>681171.46</v>
      </c>
      <c r="D2626" s="18">
        <v>2741332.45</v>
      </c>
      <c r="E2626" s="18">
        <v>372.32</v>
      </c>
      <c r="F2626" s="18">
        <v>41932.99</v>
      </c>
      <c r="G2626" s="18">
        <v>140116</v>
      </c>
      <c r="H2626" s="18">
        <f t="shared" si="76"/>
        <v>41898.99</v>
      </c>
      <c r="I2626" s="12"/>
    </row>
    <row r="2627" spans="1:9" s="2" customFormat="1" ht="21.75" customHeight="1" x14ac:dyDescent="0.55000000000000004">
      <c r="A2627" s="18">
        <v>24.775992599999999</v>
      </c>
      <c r="B2627" s="18">
        <v>34.7919713</v>
      </c>
      <c r="C2627" s="18">
        <v>681173.07</v>
      </c>
      <c r="D2627" s="18">
        <v>2741331.66</v>
      </c>
      <c r="E2627" s="18">
        <v>371.57</v>
      </c>
      <c r="F2627" s="18">
        <v>41936.53</v>
      </c>
      <c r="G2627" s="18">
        <v>140118</v>
      </c>
      <c r="H2627" s="18">
        <f t="shared" si="76"/>
        <v>41902.53</v>
      </c>
      <c r="I2627" s="12"/>
    </row>
    <row r="2628" spans="1:9" s="2" customFormat="1" ht="21.75" customHeight="1" x14ac:dyDescent="0.55000000000000004">
      <c r="A2628" s="18">
        <v>24.775987900000001</v>
      </c>
      <c r="B2628" s="18">
        <v>34.791978800000003</v>
      </c>
      <c r="C2628" s="18">
        <v>681173.84</v>
      </c>
      <c r="D2628" s="18">
        <v>2741331.15</v>
      </c>
      <c r="E2628" s="18">
        <v>371.2</v>
      </c>
      <c r="F2628" s="18">
        <v>41932.85</v>
      </c>
      <c r="G2628" s="18">
        <v>140120</v>
      </c>
      <c r="H2628" s="18">
        <f t="shared" si="76"/>
        <v>41898.85</v>
      </c>
      <c r="I2628" s="12"/>
    </row>
    <row r="2629" spans="1:9" s="2" customFormat="1" ht="21.75" customHeight="1" x14ac:dyDescent="0.55000000000000004">
      <c r="A2629" s="18">
        <v>24.7759809</v>
      </c>
      <c r="B2629" s="18">
        <v>34.791984599999999</v>
      </c>
      <c r="C2629" s="18">
        <v>681174.44</v>
      </c>
      <c r="D2629" s="18">
        <v>2741330.38</v>
      </c>
      <c r="E2629" s="18">
        <v>370.97</v>
      </c>
      <c r="F2629" s="18">
        <v>41932.5</v>
      </c>
      <c r="G2629" s="18">
        <v>140122</v>
      </c>
      <c r="H2629" s="18">
        <f t="shared" si="76"/>
        <v>41898.5</v>
      </c>
      <c r="I2629" s="12"/>
    </row>
    <row r="2630" spans="1:9" s="2" customFormat="1" ht="21.75" customHeight="1" x14ac:dyDescent="0.55000000000000004">
      <c r="A2630" s="18">
        <v>24.775973199999999</v>
      </c>
      <c r="B2630" s="18">
        <v>34.7919859</v>
      </c>
      <c r="C2630" s="18">
        <v>681174.58</v>
      </c>
      <c r="D2630" s="18">
        <v>2741329.53</v>
      </c>
      <c r="E2630" s="18">
        <v>370.67</v>
      </c>
      <c r="F2630" s="18">
        <v>41931.550000000003</v>
      </c>
      <c r="G2630" s="18">
        <v>140124</v>
      </c>
      <c r="H2630" s="18">
        <f t="shared" si="76"/>
        <v>41897.550000000003</v>
      </c>
      <c r="I2630" s="12"/>
    </row>
    <row r="2631" spans="1:9" s="2" customFormat="1" ht="21.75" customHeight="1" x14ac:dyDescent="0.55000000000000004">
      <c r="A2631" s="18">
        <v>24.775963399999998</v>
      </c>
      <c r="B2631" s="18">
        <v>34.792001999999997</v>
      </c>
      <c r="C2631" s="18">
        <v>681176.22</v>
      </c>
      <c r="D2631" s="18">
        <v>2741328.47</v>
      </c>
      <c r="E2631" s="18">
        <v>369.82</v>
      </c>
      <c r="F2631" s="18">
        <v>41931.65</v>
      </c>
      <c r="G2631" s="18">
        <v>140126</v>
      </c>
      <c r="H2631" s="18">
        <f t="shared" si="76"/>
        <v>41897.65</v>
      </c>
      <c r="I2631" s="12"/>
    </row>
    <row r="2632" spans="1:9" s="2" customFormat="1" ht="21.75" customHeight="1" x14ac:dyDescent="0.55000000000000004">
      <c r="A2632" s="18">
        <v>24.775953399999999</v>
      </c>
      <c r="B2632" s="18">
        <v>34.792012900000003</v>
      </c>
      <c r="C2632" s="18">
        <v>681177.34</v>
      </c>
      <c r="D2632" s="18">
        <v>2741327.37</v>
      </c>
      <c r="E2632" s="18">
        <v>369.53</v>
      </c>
      <c r="F2632" s="18">
        <v>41930.36</v>
      </c>
      <c r="G2632" s="18">
        <v>140128</v>
      </c>
      <c r="H2632" s="18">
        <f t="shared" si="76"/>
        <v>41896.36</v>
      </c>
      <c r="I2632" s="12"/>
    </row>
    <row r="2633" spans="1:9" s="2" customFormat="1" ht="21.75" customHeight="1" x14ac:dyDescent="0.55000000000000004">
      <c r="A2633" s="18">
        <v>24.775944500000001</v>
      </c>
      <c r="B2633" s="18">
        <v>34.792026999999997</v>
      </c>
      <c r="C2633" s="18">
        <v>681178.78</v>
      </c>
      <c r="D2633" s="18">
        <v>2741326.41</v>
      </c>
      <c r="E2633" s="18">
        <v>369.3</v>
      </c>
      <c r="F2633" s="18">
        <v>41927.96</v>
      </c>
      <c r="G2633" s="18">
        <v>140130</v>
      </c>
      <c r="H2633" s="18">
        <f t="shared" si="76"/>
        <v>41893.96</v>
      </c>
      <c r="I2633" s="12"/>
    </row>
    <row r="2634" spans="1:9" s="2" customFormat="1" ht="21.75" customHeight="1" x14ac:dyDescent="0.55000000000000004">
      <c r="A2634" s="18">
        <v>24.775935100000002</v>
      </c>
      <c r="B2634" s="18">
        <v>34.792040999999998</v>
      </c>
      <c r="C2634" s="18">
        <v>681180.21</v>
      </c>
      <c r="D2634" s="18">
        <v>2741325.39</v>
      </c>
      <c r="E2634" s="18">
        <v>368.95</v>
      </c>
      <c r="F2634" s="18">
        <v>41929.9</v>
      </c>
      <c r="G2634" s="18">
        <v>140132</v>
      </c>
      <c r="H2634" s="18">
        <f t="shared" si="76"/>
        <v>41895.9</v>
      </c>
      <c r="I2634" s="12"/>
    </row>
    <row r="2635" spans="1:9" s="2" customFormat="1" ht="21.75" customHeight="1" x14ac:dyDescent="0.55000000000000004">
      <c r="A2635" s="18">
        <v>24.775922099999999</v>
      </c>
      <c r="B2635" s="18">
        <v>34.792054100000001</v>
      </c>
      <c r="C2635" s="18">
        <v>681181.54</v>
      </c>
      <c r="D2635" s="18">
        <v>2741323.97</v>
      </c>
      <c r="E2635" s="18">
        <v>368.66</v>
      </c>
      <c r="F2635" s="18">
        <v>41929.74</v>
      </c>
      <c r="G2635" s="18">
        <v>140134</v>
      </c>
      <c r="H2635" s="18">
        <f t="shared" si="76"/>
        <v>41895.74</v>
      </c>
      <c r="I2635" s="12"/>
    </row>
    <row r="2636" spans="1:9" s="2" customFormat="1" ht="21.75" customHeight="1" x14ac:dyDescent="0.55000000000000004">
      <c r="A2636" s="18">
        <v>24.7759103</v>
      </c>
      <c r="B2636" s="18">
        <v>34.792069400000003</v>
      </c>
      <c r="C2636" s="18">
        <v>681183.11</v>
      </c>
      <c r="D2636" s="18">
        <v>2741322.67</v>
      </c>
      <c r="E2636" s="18">
        <v>368.02</v>
      </c>
      <c r="F2636" s="18">
        <v>41927.81</v>
      </c>
      <c r="G2636" s="18">
        <v>140136</v>
      </c>
      <c r="H2636" s="18">
        <f t="shared" si="76"/>
        <v>41893.81</v>
      </c>
      <c r="I2636" s="12"/>
    </row>
    <row r="2637" spans="1:9" s="2" customFormat="1" ht="21.75" customHeight="1" x14ac:dyDescent="0.55000000000000004">
      <c r="A2637" s="18">
        <v>24.775907700000001</v>
      </c>
      <c r="B2637" s="18">
        <v>34.792074599999999</v>
      </c>
      <c r="C2637" s="18">
        <v>681183.64</v>
      </c>
      <c r="D2637" s="18">
        <v>2741322.39</v>
      </c>
      <c r="E2637" s="18">
        <v>367.97</v>
      </c>
      <c r="F2637" s="18">
        <v>41927.279999999999</v>
      </c>
      <c r="G2637" s="18">
        <v>140138</v>
      </c>
      <c r="H2637" s="18">
        <f t="shared" si="76"/>
        <v>41893.279999999999</v>
      </c>
      <c r="I2637" s="12"/>
    </row>
    <row r="2638" spans="1:9" s="2" customFormat="1" ht="21.75" customHeight="1" x14ac:dyDescent="0.55000000000000004">
      <c r="A2638" s="18">
        <v>24.775907499999999</v>
      </c>
      <c r="B2638" s="18">
        <v>34.792074200000002</v>
      </c>
      <c r="C2638" s="18">
        <v>681183.61</v>
      </c>
      <c r="D2638" s="18">
        <v>2741322.37</v>
      </c>
      <c r="E2638" s="18">
        <v>367.97</v>
      </c>
      <c r="F2638" s="18">
        <v>41928.94</v>
      </c>
      <c r="G2638" s="18">
        <v>140140</v>
      </c>
      <c r="H2638" s="18">
        <f t="shared" si="76"/>
        <v>41894.94</v>
      </c>
      <c r="I2638" s="12"/>
    </row>
    <row r="2639" spans="1:9" s="2" customFormat="1" ht="21.75" customHeight="1" x14ac:dyDescent="0.55000000000000004">
      <c r="A2639" s="18">
        <v>24.775907400000001</v>
      </c>
      <c r="B2639" s="18">
        <v>34.792074999999997</v>
      </c>
      <c r="C2639" s="18">
        <v>681183.68</v>
      </c>
      <c r="D2639" s="18">
        <v>2741322.36</v>
      </c>
      <c r="E2639" s="18">
        <v>367.96</v>
      </c>
      <c r="F2639" s="18">
        <v>41928.83</v>
      </c>
      <c r="G2639" s="18">
        <v>140142</v>
      </c>
      <c r="H2639" s="18">
        <f t="shared" si="76"/>
        <v>41894.83</v>
      </c>
      <c r="I2639" s="12"/>
    </row>
    <row r="2640" spans="1:9" s="2" customFormat="1" ht="21.75" customHeight="1" x14ac:dyDescent="0.55000000000000004">
      <c r="A2640" s="18">
        <v>24.775905900000001</v>
      </c>
      <c r="B2640" s="18">
        <v>34.792078400000001</v>
      </c>
      <c r="C2640" s="18">
        <v>681184.03</v>
      </c>
      <c r="D2640" s="18">
        <v>2741322.2</v>
      </c>
      <c r="E2640" s="18">
        <v>367.87</v>
      </c>
      <c r="F2640" s="18">
        <v>41930.93</v>
      </c>
      <c r="G2640" s="18">
        <v>140144</v>
      </c>
      <c r="H2640" s="18">
        <f t="shared" si="76"/>
        <v>41896.93</v>
      </c>
      <c r="I2640" s="12"/>
    </row>
    <row r="2641" spans="1:9" s="2" customFormat="1" ht="21.75" customHeight="1" x14ac:dyDescent="0.55000000000000004">
      <c r="A2641" s="18">
        <v>24.775903400000001</v>
      </c>
      <c r="B2641" s="18">
        <v>34.792089699999998</v>
      </c>
      <c r="C2641" s="18">
        <v>681185.17</v>
      </c>
      <c r="D2641" s="18">
        <v>2741321.94</v>
      </c>
      <c r="E2641" s="18">
        <v>367.34</v>
      </c>
      <c r="F2641" s="18">
        <v>41928.660000000003</v>
      </c>
      <c r="G2641" s="18">
        <v>140146</v>
      </c>
      <c r="H2641" s="18">
        <f t="shared" si="76"/>
        <v>41894.660000000003</v>
      </c>
      <c r="I2641" s="12"/>
    </row>
    <row r="2642" spans="1:9" s="2" customFormat="1" ht="21.75" customHeight="1" x14ac:dyDescent="0.55000000000000004">
      <c r="A2642" s="18">
        <v>24.775901600000001</v>
      </c>
      <c r="B2642" s="18">
        <v>34.792096600000001</v>
      </c>
      <c r="C2642" s="18">
        <v>681185.87</v>
      </c>
      <c r="D2642" s="18">
        <v>2741321.75</v>
      </c>
      <c r="E2642" s="18">
        <v>367.11</v>
      </c>
      <c r="F2642" s="18">
        <v>41929.230000000003</v>
      </c>
      <c r="G2642" s="18">
        <v>140148</v>
      </c>
      <c r="H2642" s="18">
        <f t="shared" si="76"/>
        <v>41895.230000000003</v>
      </c>
      <c r="I2642" s="12"/>
    </row>
    <row r="2643" spans="1:9" s="2" customFormat="1" ht="21.75" customHeight="1" x14ac:dyDescent="0.55000000000000004">
      <c r="A2643" s="18">
        <v>24.775897700000002</v>
      </c>
      <c r="B2643" s="18">
        <v>34.792100499999997</v>
      </c>
      <c r="C2643" s="18">
        <v>681186.28</v>
      </c>
      <c r="D2643" s="18">
        <v>2741321.32</v>
      </c>
      <c r="E2643" s="18">
        <v>366.79</v>
      </c>
      <c r="F2643" s="18">
        <v>41931.54</v>
      </c>
      <c r="G2643" s="18">
        <v>140150</v>
      </c>
      <c r="H2643" s="18">
        <f t="shared" si="76"/>
        <v>41897.54</v>
      </c>
      <c r="I2643" s="12"/>
    </row>
    <row r="2644" spans="1:9" s="2" customFormat="1" ht="21.75" customHeight="1" x14ac:dyDescent="0.55000000000000004">
      <c r="A2644" s="18">
        <v>24.775898600000001</v>
      </c>
      <c r="B2644" s="18">
        <v>34.792110700000002</v>
      </c>
      <c r="C2644" s="18">
        <v>681187.31</v>
      </c>
      <c r="D2644" s="18">
        <v>2741321.44</v>
      </c>
      <c r="E2644" s="18">
        <v>366.19</v>
      </c>
      <c r="F2644" s="18">
        <v>41931.089999999997</v>
      </c>
      <c r="G2644" s="18">
        <v>140152</v>
      </c>
      <c r="H2644" s="18">
        <f t="shared" si="76"/>
        <v>41897.089999999997</v>
      </c>
      <c r="I2644" s="12"/>
    </row>
    <row r="2645" spans="1:9" s="2" customFormat="1" ht="21.75" customHeight="1" x14ac:dyDescent="0.55000000000000004">
      <c r="A2645" s="18">
        <v>24.7759033</v>
      </c>
      <c r="B2645" s="18">
        <v>34.792126500000002</v>
      </c>
      <c r="C2645" s="18">
        <v>681188.9</v>
      </c>
      <c r="D2645" s="18">
        <v>2741321.97</v>
      </c>
      <c r="E2645" s="18">
        <v>365.69</v>
      </c>
      <c r="F2645" s="18">
        <v>41930.32</v>
      </c>
      <c r="G2645" s="18">
        <v>140154</v>
      </c>
      <c r="H2645" s="18">
        <f t="shared" si="76"/>
        <v>41896.32</v>
      </c>
      <c r="I2645" s="12"/>
    </row>
    <row r="2646" spans="1:9" s="2" customFormat="1" ht="21.75" customHeight="1" x14ac:dyDescent="0.55000000000000004">
      <c r="A2646" s="18">
        <v>24.7759018</v>
      </c>
      <c r="B2646" s="18">
        <v>34.792127299999997</v>
      </c>
      <c r="C2646" s="18">
        <v>681188.98</v>
      </c>
      <c r="D2646" s="18">
        <v>2741321.81</v>
      </c>
      <c r="E2646" s="18">
        <v>365.65</v>
      </c>
      <c r="F2646" s="18">
        <v>41934.28</v>
      </c>
      <c r="G2646" s="18">
        <v>140156</v>
      </c>
      <c r="H2646" s="18">
        <f t="shared" si="76"/>
        <v>41900.28</v>
      </c>
      <c r="I2646" s="12"/>
    </row>
    <row r="2647" spans="1:9" s="2" customFormat="1" ht="21.75" customHeight="1" x14ac:dyDescent="0.55000000000000004">
      <c r="A2647" s="18">
        <v>24.775898999999999</v>
      </c>
      <c r="B2647" s="18">
        <v>34.792138399999999</v>
      </c>
      <c r="C2647" s="18">
        <v>681190.11</v>
      </c>
      <c r="D2647" s="18">
        <v>2741321.52</v>
      </c>
      <c r="E2647" s="18">
        <v>364.73</v>
      </c>
      <c r="F2647" s="18">
        <v>41933.08</v>
      </c>
      <c r="G2647" s="18">
        <v>140158</v>
      </c>
      <c r="H2647" s="18">
        <f t="shared" si="76"/>
        <v>41899.08</v>
      </c>
      <c r="I2647" s="12"/>
    </row>
    <row r="2648" spans="1:9" s="2" customFormat="1" ht="21.75" customHeight="1" x14ac:dyDescent="0.55000000000000004">
      <c r="A2648" s="18">
        <v>24.7758985</v>
      </c>
      <c r="B2648" s="18">
        <v>34.792140199999999</v>
      </c>
      <c r="C2648" s="18">
        <v>681190.29</v>
      </c>
      <c r="D2648" s="18">
        <v>2741321.46</v>
      </c>
      <c r="E2648" s="18">
        <v>364.47</v>
      </c>
      <c r="F2648" s="18">
        <v>41929.85</v>
      </c>
      <c r="G2648" s="18">
        <v>140200</v>
      </c>
      <c r="H2648" s="18">
        <f t="shared" si="76"/>
        <v>41895.85</v>
      </c>
      <c r="I2648" s="12"/>
    </row>
    <row r="2649" spans="1:9" s="2" customFormat="1" ht="21.75" customHeight="1" x14ac:dyDescent="0.55000000000000004">
      <c r="A2649" s="18">
        <v>24.7758976</v>
      </c>
      <c r="B2649" s="18">
        <v>34.792140600000003</v>
      </c>
      <c r="C2649" s="18">
        <v>681190.34</v>
      </c>
      <c r="D2649" s="18">
        <v>2741321.36</v>
      </c>
      <c r="E2649" s="18">
        <v>364.48</v>
      </c>
      <c r="F2649" s="18">
        <v>41934.620000000003</v>
      </c>
      <c r="G2649" s="18">
        <v>140202</v>
      </c>
      <c r="H2649" s="18">
        <f t="shared" si="76"/>
        <v>41900.620000000003</v>
      </c>
      <c r="I2649" s="12"/>
    </row>
    <row r="2650" spans="1:9" s="2" customFormat="1" ht="21.75" customHeight="1" x14ac:dyDescent="0.55000000000000004">
      <c r="A2650" s="18">
        <v>24.775896500000002</v>
      </c>
      <c r="B2650" s="18">
        <v>34.792140500000002</v>
      </c>
      <c r="C2650" s="18">
        <v>681190.32</v>
      </c>
      <c r="D2650" s="18">
        <v>2741321.24</v>
      </c>
      <c r="E2650" s="18">
        <v>364.49</v>
      </c>
      <c r="F2650" s="18">
        <v>41934.519999999997</v>
      </c>
      <c r="G2650" s="18">
        <v>140204</v>
      </c>
      <c r="H2650" s="18">
        <f t="shared" si="76"/>
        <v>41900.519999999997</v>
      </c>
      <c r="I2650" s="12"/>
    </row>
    <row r="2651" spans="1:9" s="2" customFormat="1" ht="21.75" customHeight="1" x14ac:dyDescent="0.55000000000000004">
      <c r="A2651" s="18">
        <v>24.775896100000001</v>
      </c>
      <c r="B2651" s="18">
        <v>34.7921403</v>
      </c>
      <c r="C2651" s="18">
        <v>681190.3</v>
      </c>
      <c r="D2651" s="18">
        <v>2741321.2</v>
      </c>
      <c r="E2651" s="18">
        <v>364.51</v>
      </c>
      <c r="F2651" s="18">
        <v>41934.47</v>
      </c>
      <c r="G2651" s="18">
        <v>140206</v>
      </c>
      <c r="H2651" s="18">
        <f t="shared" si="76"/>
        <v>41900.47</v>
      </c>
      <c r="I2651" s="12"/>
    </row>
    <row r="2652" spans="1:9" s="2" customFormat="1" ht="21.75" customHeight="1" x14ac:dyDescent="0.55000000000000004">
      <c r="A2652" s="18">
        <v>24.775895599999998</v>
      </c>
      <c r="B2652" s="18">
        <v>34.792140699999997</v>
      </c>
      <c r="C2652" s="18">
        <v>681190.35</v>
      </c>
      <c r="D2652" s="18">
        <v>2741321.14</v>
      </c>
      <c r="E2652" s="18">
        <v>364.54</v>
      </c>
      <c r="F2652" s="18">
        <v>41934.339999999997</v>
      </c>
      <c r="G2652" s="18">
        <v>140208</v>
      </c>
      <c r="H2652" s="18">
        <f t="shared" si="76"/>
        <v>41900.339999999997</v>
      </c>
      <c r="I2652" s="12"/>
    </row>
    <row r="2653" spans="1:9" s="2" customFormat="1" ht="21.75" customHeight="1" x14ac:dyDescent="0.55000000000000004">
      <c r="A2653" s="18">
        <v>24.775896800000002</v>
      </c>
      <c r="B2653" s="18">
        <v>34.792146199999998</v>
      </c>
      <c r="C2653" s="18">
        <v>681190.9</v>
      </c>
      <c r="D2653" s="18">
        <v>2741321.28</v>
      </c>
      <c r="E2653" s="18">
        <v>364.09</v>
      </c>
      <c r="F2653" s="18">
        <v>41937.879999999997</v>
      </c>
      <c r="G2653" s="18">
        <v>140210</v>
      </c>
      <c r="H2653" s="18">
        <f t="shared" si="76"/>
        <v>41903.879999999997</v>
      </c>
      <c r="I2653" s="12"/>
    </row>
    <row r="2654" spans="1:9" s="2" customFormat="1" ht="21.75" customHeight="1" x14ac:dyDescent="0.55000000000000004">
      <c r="A2654" s="18">
        <v>24.7758994</v>
      </c>
      <c r="B2654" s="18">
        <v>34.792159599999998</v>
      </c>
      <c r="C2654" s="18">
        <v>681192.25</v>
      </c>
      <c r="D2654" s="18">
        <v>2741321.59</v>
      </c>
      <c r="E2654" s="18">
        <v>363.63</v>
      </c>
      <c r="F2654" s="18">
        <v>41930.85</v>
      </c>
      <c r="G2654" s="18">
        <v>140212</v>
      </c>
      <c r="H2654" s="18">
        <f t="shared" ref="H2654:H2717" si="77">SUM(F2654-34)</f>
        <v>41896.85</v>
      </c>
      <c r="I2654" s="12"/>
    </row>
    <row r="2655" spans="1:9" s="2" customFormat="1" ht="21.75" customHeight="1" x14ac:dyDescent="0.55000000000000004">
      <c r="A2655" s="18">
        <v>24.775906200000001</v>
      </c>
      <c r="B2655" s="18">
        <v>34.792171099999997</v>
      </c>
      <c r="C2655" s="18">
        <v>681193.4</v>
      </c>
      <c r="D2655" s="18">
        <v>2741322.35</v>
      </c>
      <c r="E2655" s="18">
        <v>362.92</v>
      </c>
      <c r="F2655" s="18">
        <v>41932.79</v>
      </c>
      <c r="G2655" s="18">
        <v>140214</v>
      </c>
      <c r="H2655" s="18">
        <f t="shared" si="77"/>
        <v>41898.79</v>
      </c>
      <c r="I2655" s="12"/>
    </row>
    <row r="2656" spans="1:9" s="2" customFormat="1" ht="21.75" customHeight="1" x14ac:dyDescent="0.55000000000000004">
      <c r="A2656" s="18">
        <v>24.7759131</v>
      </c>
      <c r="B2656" s="18">
        <v>34.792183799999997</v>
      </c>
      <c r="C2656" s="18">
        <v>681194.68</v>
      </c>
      <c r="D2656" s="18">
        <v>2741323.13</v>
      </c>
      <c r="E2656" s="18">
        <v>362.55</v>
      </c>
      <c r="F2656" s="18">
        <v>41936.33</v>
      </c>
      <c r="G2656" s="18">
        <v>140216</v>
      </c>
      <c r="H2656" s="18">
        <f t="shared" si="77"/>
        <v>41902.33</v>
      </c>
      <c r="I2656" s="12"/>
    </row>
    <row r="2657" spans="1:9" s="2" customFormat="1" ht="21.75" customHeight="1" x14ac:dyDescent="0.55000000000000004">
      <c r="A2657" s="18">
        <v>24.775914700000001</v>
      </c>
      <c r="B2657" s="18">
        <v>34.792196699999998</v>
      </c>
      <c r="C2657" s="18">
        <v>681195.98</v>
      </c>
      <c r="D2657" s="18">
        <v>2741323.33</v>
      </c>
      <c r="E2657" s="18">
        <v>362.02</v>
      </c>
      <c r="F2657" s="18">
        <v>41932.04</v>
      </c>
      <c r="G2657" s="18">
        <v>140218</v>
      </c>
      <c r="H2657" s="18">
        <f t="shared" si="77"/>
        <v>41898.04</v>
      </c>
      <c r="I2657" s="12"/>
    </row>
    <row r="2658" spans="1:9" s="2" customFormat="1" ht="21.75" customHeight="1" x14ac:dyDescent="0.55000000000000004">
      <c r="A2658" s="18">
        <v>24.775922600000001</v>
      </c>
      <c r="B2658" s="18">
        <v>34.792207699999999</v>
      </c>
      <c r="C2658" s="18">
        <v>681197.08</v>
      </c>
      <c r="D2658" s="18">
        <v>2741324.22</v>
      </c>
      <c r="E2658" s="18">
        <v>361.69</v>
      </c>
      <c r="F2658" s="18">
        <v>41933.22</v>
      </c>
      <c r="G2658" s="18">
        <v>140220</v>
      </c>
      <c r="H2658" s="18">
        <f t="shared" si="77"/>
        <v>41899.22</v>
      </c>
      <c r="I2658" s="12"/>
    </row>
    <row r="2659" spans="1:9" s="2" customFormat="1" ht="21.75" customHeight="1" x14ac:dyDescent="0.55000000000000004">
      <c r="A2659" s="18">
        <v>24.775920800000002</v>
      </c>
      <c r="B2659" s="18">
        <v>34.792210599999997</v>
      </c>
      <c r="C2659" s="18">
        <v>681197.37</v>
      </c>
      <c r="D2659" s="18">
        <v>2741324.02</v>
      </c>
      <c r="E2659" s="18">
        <v>361.43</v>
      </c>
      <c r="F2659" s="18">
        <v>41930.83</v>
      </c>
      <c r="G2659" s="18">
        <v>140222</v>
      </c>
      <c r="H2659" s="18">
        <f t="shared" si="77"/>
        <v>41896.83</v>
      </c>
      <c r="I2659" s="12"/>
    </row>
    <row r="2660" spans="1:9" s="2" customFormat="1" ht="21.75" customHeight="1" x14ac:dyDescent="0.55000000000000004">
      <c r="A2660" s="18">
        <v>24.775921199999999</v>
      </c>
      <c r="B2660" s="18">
        <v>34.792222000000002</v>
      </c>
      <c r="C2660" s="18">
        <v>681198.53</v>
      </c>
      <c r="D2660" s="18">
        <v>2741324.09</v>
      </c>
      <c r="E2660" s="18">
        <v>360.93</v>
      </c>
      <c r="F2660" s="18">
        <v>41935.49</v>
      </c>
      <c r="G2660" s="18">
        <v>140224</v>
      </c>
      <c r="H2660" s="18">
        <f t="shared" si="77"/>
        <v>41901.49</v>
      </c>
      <c r="I2660" s="12"/>
    </row>
    <row r="2661" spans="1:9" s="2" customFormat="1" ht="21.75" customHeight="1" x14ac:dyDescent="0.55000000000000004">
      <c r="A2661" s="18">
        <v>24.775922999999999</v>
      </c>
      <c r="B2661" s="18">
        <v>34.792228100000003</v>
      </c>
      <c r="C2661" s="18">
        <v>681199.15</v>
      </c>
      <c r="D2661" s="18">
        <v>2741324.29</v>
      </c>
      <c r="E2661" s="18">
        <v>360.8</v>
      </c>
      <c r="F2661" s="18">
        <v>41929.99</v>
      </c>
      <c r="G2661" s="18">
        <v>140226</v>
      </c>
      <c r="H2661" s="18">
        <f t="shared" si="77"/>
        <v>41895.99</v>
      </c>
      <c r="I2661" s="12"/>
    </row>
    <row r="2662" spans="1:9" s="2" customFormat="1" ht="21.75" customHeight="1" x14ac:dyDescent="0.55000000000000004">
      <c r="A2662" s="18">
        <v>24.7759231</v>
      </c>
      <c r="B2662" s="18">
        <v>34.792229800000001</v>
      </c>
      <c r="C2662" s="18">
        <v>681199.31</v>
      </c>
      <c r="D2662" s="18">
        <v>2741324.3</v>
      </c>
      <c r="E2662" s="18">
        <v>360.82</v>
      </c>
      <c r="F2662" s="18">
        <v>41932.410000000003</v>
      </c>
      <c r="G2662" s="18">
        <v>140228</v>
      </c>
      <c r="H2662" s="18">
        <f t="shared" si="77"/>
        <v>41898.410000000003</v>
      </c>
      <c r="I2662" s="12"/>
    </row>
    <row r="2663" spans="1:9" s="2" customFormat="1" ht="21.75" customHeight="1" x14ac:dyDescent="0.55000000000000004">
      <c r="A2663" s="18">
        <v>24.7759222</v>
      </c>
      <c r="B2663" s="18">
        <v>34.7922291</v>
      </c>
      <c r="C2663" s="18">
        <v>681199.25</v>
      </c>
      <c r="D2663" s="18">
        <v>2741324.2</v>
      </c>
      <c r="E2663" s="18">
        <v>360.79</v>
      </c>
      <c r="F2663" s="18">
        <v>41932.68</v>
      </c>
      <c r="G2663" s="18">
        <v>140230</v>
      </c>
      <c r="H2663" s="18">
        <f t="shared" si="77"/>
        <v>41898.68</v>
      </c>
      <c r="I2663" s="12"/>
    </row>
    <row r="2664" spans="1:9" s="2" customFormat="1" ht="21.75" customHeight="1" x14ac:dyDescent="0.55000000000000004">
      <c r="A2664" s="18">
        <v>24.7759225</v>
      </c>
      <c r="B2664" s="18">
        <v>34.792229300000002</v>
      </c>
      <c r="C2664" s="18">
        <v>681199.27</v>
      </c>
      <c r="D2664" s="18">
        <v>2741324.24</v>
      </c>
      <c r="E2664" s="18">
        <v>360.76</v>
      </c>
      <c r="F2664" s="18">
        <v>41932.6</v>
      </c>
      <c r="G2664" s="18">
        <v>140232</v>
      </c>
      <c r="H2664" s="18">
        <f t="shared" si="77"/>
        <v>41898.6</v>
      </c>
      <c r="I2664" s="12"/>
    </row>
    <row r="2665" spans="1:9" s="2" customFormat="1" ht="21.75" customHeight="1" x14ac:dyDescent="0.55000000000000004">
      <c r="A2665" s="18">
        <v>24.775922600000001</v>
      </c>
      <c r="B2665" s="18">
        <v>34.792229399999997</v>
      </c>
      <c r="C2665" s="18">
        <v>681199.28</v>
      </c>
      <c r="D2665" s="18">
        <v>2741324.25</v>
      </c>
      <c r="E2665" s="18">
        <v>360.72</v>
      </c>
      <c r="F2665" s="18">
        <v>41933.410000000003</v>
      </c>
      <c r="G2665" s="18">
        <v>140234</v>
      </c>
      <c r="H2665" s="18">
        <f t="shared" si="77"/>
        <v>41899.410000000003</v>
      </c>
      <c r="I2665" s="12"/>
    </row>
    <row r="2666" spans="1:9" s="2" customFormat="1" ht="21.75" customHeight="1" x14ac:dyDescent="0.55000000000000004">
      <c r="A2666" s="18">
        <v>24.775924</v>
      </c>
      <c r="B2666" s="18">
        <v>34.792232499999997</v>
      </c>
      <c r="C2666" s="18">
        <v>681199.58</v>
      </c>
      <c r="D2666" s="18">
        <v>2741324.41</v>
      </c>
      <c r="E2666" s="18">
        <v>360.36</v>
      </c>
      <c r="F2666" s="18">
        <v>41934.660000000003</v>
      </c>
      <c r="G2666" s="18">
        <v>140236</v>
      </c>
      <c r="H2666" s="18">
        <f t="shared" si="77"/>
        <v>41900.660000000003</v>
      </c>
      <c r="I2666" s="12"/>
    </row>
    <row r="2667" spans="1:9" s="2" customFormat="1" ht="21.75" customHeight="1" x14ac:dyDescent="0.55000000000000004">
      <c r="A2667" s="18">
        <v>24.775934700000001</v>
      </c>
      <c r="B2667" s="18">
        <v>34.792242700000003</v>
      </c>
      <c r="C2667" s="18">
        <v>681200.6</v>
      </c>
      <c r="D2667" s="18">
        <v>2741325.61</v>
      </c>
      <c r="E2667" s="18">
        <v>360.1</v>
      </c>
      <c r="F2667" s="18">
        <v>41930.6</v>
      </c>
      <c r="G2667" s="18">
        <v>140238</v>
      </c>
      <c r="H2667" s="18">
        <f t="shared" si="77"/>
        <v>41896.6</v>
      </c>
      <c r="I2667" s="12"/>
    </row>
    <row r="2668" spans="1:9" s="2" customFormat="1" ht="21.75" customHeight="1" x14ac:dyDescent="0.55000000000000004">
      <c r="A2668" s="18">
        <v>24.775939000000001</v>
      </c>
      <c r="B2668" s="18">
        <v>34.792251</v>
      </c>
      <c r="C2668" s="18">
        <v>681201.43</v>
      </c>
      <c r="D2668" s="18">
        <v>2741326.09</v>
      </c>
      <c r="E2668" s="18">
        <v>359.62</v>
      </c>
      <c r="F2668" s="18">
        <v>41932.29</v>
      </c>
      <c r="G2668" s="18">
        <v>140240</v>
      </c>
      <c r="H2668" s="18">
        <f t="shared" si="77"/>
        <v>41898.29</v>
      </c>
      <c r="I2668" s="12"/>
    </row>
    <row r="2669" spans="1:9" s="2" customFormat="1" ht="21.75" customHeight="1" x14ac:dyDescent="0.55000000000000004">
      <c r="A2669" s="18">
        <v>24.7759386</v>
      </c>
      <c r="B2669" s="18">
        <v>34.792262200000003</v>
      </c>
      <c r="C2669" s="18">
        <v>681202.56</v>
      </c>
      <c r="D2669" s="18">
        <v>2741326.06</v>
      </c>
      <c r="E2669" s="18">
        <v>359.44</v>
      </c>
      <c r="F2669" s="18">
        <v>41941.800000000003</v>
      </c>
      <c r="G2669" s="18">
        <v>140242</v>
      </c>
      <c r="H2669" s="18">
        <f t="shared" si="77"/>
        <v>41907.800000000003</v>
      </c>
      <c r="I2669" s="12"/>
    </row>
    <row r="2670" spans="1:9" s="2" customFormat="1" ht="21.75" customHeight="1" x14ac:dyDescent="0.55000000000000004">
      <c r="A2670" s="18">
        <v>24.775939000000001</v>
      </c>
      <c r="B2670" s="18">
        <v>34.792263699999999</v>
      </c>
      <c r="C2670" s="18">
        <v>681202.72</v>
      </c>
      <c r="D2670" s="18">
        <v>2741326.11</v>
      </c>
      <c r="E2670" s="18">
        <v>359.48</v>
      </c>
      <c r="F2670" s="18">
        <v>41934.36</v>
      </c>
      <c r="G2670" s="18">
        <v>140244</v>
      </c>
      <c r="H2670" s="18">
        <f t="shared" si="77"/>
        <v>41900.36</v>
      </c>
      <c r="I2670" s="12"/>
    </row>
    <row r="2671" spans="1:9" s="2" customFormat="1" ht="21.75" customHeight="1" x14ac:dyDescent="0.55000000000000004">
      <c r="A2671" s="18">
        <v>24.775940800000001</v>
      </c>
      <c r="B2671" s="18">
        <v>34.792263300000002</v>
      </c>
      <c r="C2671" s="18">
        <v>681202.67</v>
      </c>
      <c r="D2671" s="18">
        <v>2741326.31</v>
      </c>
      <c r="E2671" s="18">
        <v>359.62</v>
      </c>
      <c r="F2671" s="18">
        <v>41934.120000000003</v>
      </c>
      <c r="G2671" s="18">
        <v>140246</v>
      </c>
      <c r="H2671" s="18">
        <f t="shared" si="77"/>
        <v>41900.120000000003</v>
      </c>
      <c r="I2671" s="12"/>
    </row>
    <row r="2672" spans="1:9" s="2" customFormat="1" ht="21.75" customHeight="1" x14ac:dyDescent="0.55000000000000004">
      <c r="A2672" s="18">
        <v>24.775942300000001</v>
      </c>
      <c r="B2672" s="18">
        <v>34.7922631</v>
      </c>
      <c r="C2672" s="18">
        <v>681202.65</v>
      </c>
      <c r="D2672" s="18">
        <v>2741326.48</v>
      </c>
      <c r="E2672" s="18">
        <v>359.77</v>
      </c>
      <c r="F2672" s="18">
        <v>41934.559999999998</v>
      </c>
      <c r="G2672" s="18">
        <v>140248</v>
      </c>
      <c r="H2672" s="18">
        <f t="shared" si="77"/>
        <v>41900.559999999998</v>
      </c>
      <c r="I2672" s="12"/>
    </row>
    <row r="2673" spans="1:9" s="2" customFormat="1" ht="21.75" customHeight="1" x14ac:dyDescent="0.55000000000000004">
      <c r="A2673" s="18">
        <v>24.7759438</v>
      </c>
      <c r="B2673" s="18">
        <v>34.792262999999998</v>
      </c>
      <c r="C2673" s="18">
        <v>681202.64</v>
      </c>
      <c r="D2673" s="18">
        <v>2741326.64</v>
      </c>
      <c r="E2673" s="18">
        <v>359.92</v>
      </c>
      <c r="F2673" s="18">
        <v>41934.61</v>
      </c>
      <c r="G2673" s="18">
        <v>140250</v>
      </c>
      <c r="H2673" s="18">
        <f t="shared" si="77"/>
        <v>41900.61</v>
      </c>
      <c r="I2673" s="12"/>
    </row>
    <row r="2674" spans="1:9" s="2" customFormat="1" ht="21.75" customHeight="1" x14ac:dyDescent="0.55000000000000004">
      <c r="A2674" s="18">
        <v>24.775944800000001</v>
      </c>
      <c r="B2674" s="18">
        <v>34.792262899999997</v>
      </c>
      <c r="C2674" s="18">
        <v>681202.64</v>
      </c>
      <c r="D2674" s="18">
        <v>2741326.75</v>
      </c>
      <c r="E2674" s="18">
        <v>360.04</v>
      </c>
      <c r="F2674" s="18">
        <v>41934.620000000003</v>
      </c>
      <c r="G2674" s="18">
        <v>140252</v>
      </c>
      <c r="H2674" s="18">
        <f t="shared" si="77"/>
        <v>41900.620000000003</v>
      </c>
      <c r="I2674" s="12"/>
    </row>
    <row r="2675" spans="1:9" s="2" customFormat="1" ht="21.75" customHeight="1" x14ac:dyDescent="0.55000000000000004">
      <c r="A2675" s="18">
        <v>24.775945100000001</v>
      </c>
      <c r="B2675" s="18">
        <v>34.792262899999997</v>
      </c>
      <c r="C2675" s="18">
        <v>681202.63</v>
      </c>
      <c r="D2675" s="18">
        <v>2741326.79</v>
      </c>
      <c r="E2675" s="18">
        <v>360.16</v>
      </c>
      <c r="F2675" s="18">
        <v>41931.96</v>
      </c>
      <c r="G2675" s="18">
        <v>140254</v>
      </c>
      <c r="H2675" s="18">
        <f t="shared" si="77"/>
        <v>41897.96</v>
      </c>
      <c r="I2675" s="12"/>
    </row>
    <row r="2676" spans="1:9" s="2" customFormat="1" ht="21.75" customHeight="1" x14ac:dyDescent="0.55000000000000004">
      <c r="A2676" s="18">
        <v>24.775942000000001</v>
      </c>
      <c r="B2676" s="18">
        <v>34.792264799999998</v>
      </c>
      <c r="C2676" s="18">
        <v>681202.83</v>
      </c>
      <c r="D2676" s="18">
        <v>2741326.44</v>
      </c>
      <c r="E2676" s="18">
        <v>360.11</v>
      </c>
      <c r="F2676" s="18">
        <v>41930.54</v>
      </c>
      <c r="G2676" s="18">
        <v>140256</v>
      </c>
      <c r="H2676" s="18">
        <f t="shared" si="77"/>
        <v>41896.54</v>
      </c>
      <c r="I2676" s="12"/>
    </row>
    <row r="2677" spans="1:9" s="2" customFormat="1" ht="21.75" customHeight="1" x14ac:dyDescent="0.55000000000000004">
      <c r="A2677" s="18">
        <v>24.775941799999998</v>
      </c>
      <c r="B2677" s="18">
        <v>34.792264299999999</v>
      </c>
      <c r="C2677" s="18">
        <v>681202.77</v>
      </c>
      <c r="D2677" s="18">
        <v>2741326.42</v>
      </c>
      <c r="E2677" s="18">
        <v>360.07</v>
      </c>
      <c r="F2677" s="18">
        <v>41934.03</v>
      </c>
      <c r="G2677" s="18">
        <v>140258</v>
      </c>
      <c r="H2677" s="18">
        <f t="shared" si="77"/>
        <v>41900.03</v>
      </c>
      <c r="I2677" s="12"/>
    </row>
    <row r="2678" spans="1:9" s="2" customFormat="1" ht="21.75" customHeight="1" x14ac:dyDescent="0.55000000000000004">
      <c r="A2678" s="18">
        <v>24.775941499999998</v>
      </c>
      <c r="B2678" s="18">
        <v>34.792264099999997</v>
      </c>
      <c r="C2678" s="18">
        <v>681202.76</v>
      </c>
      <c r="D2678" s="18">
        <v>2741326.39</v>
      </c>
      <c r="E2678" s="18">
        <v>360.04</v>
      </c>
      <c r="F2678" s="18">
        <v>41933.620000000003</v>
      </c>
      <c r="G2678" s="18">
        <v>140300</v>
      </c>
      <c r="H2678" s="18">
        <f t="shared" si="77"/>
        <v>41899.620000000003</v>
      </c>
      <c r="I2678" s="12"/>
    </row>
    <row r="2679" spans="1:9" s="2" customFormat="1" ht="21.75" customHeight="1" x14ac:dyDescent="0.55000000000000004">
      <c r="A2679" s="18">
        <v>24.7759413</v>
      </c>
      <c r="B2679" s="18">
        <v>34.792264199999998</v>
      </c>
      <c r="C2679" s="18">
        <v>681202.77</v>
      </c>
      <c r="D2679" s="18">
        <v>2741326.36</v>
      </c>
      <c r="E2679" s="18">
        <v>360.01</v>
      </c>
      <c r="F2679" s="18">
        <v>41933.769999999997</v>
      </c>
      <c r="G2679" s="18">
        <v>140302</v>
      </c>
      <c r="H2679" s="18">
        <f t="shared" si="77"/>
        <v>41899.769999999997</v>
      </c>
      <c r="I2679" s="12"/>
    </row>
    <row r="2680" spans="1:9" s="2" customFormat="1" ht="21.75" customHeight="1" x14ac:dyDescent="0.55000000000000004">
      <c r="A2680" s="18">
        <v>24.7759413</v>
      </c>
      <c r="B2680" s="18">
        <v>34.792263900000002</v>
      </c>
      <c r="C2680" s="18">
        <v>681202.73</v>
      </c>
      <c r="D2680" s="18">
        <v>2741326.37</v>
      </c>
      <c r="E2680" s="18">
        <v>359.98</v>
      </c>
      <c r="F2680" s="18">
        <v>41933.800000000003</v>
      </c>
      <c r="G2680" s="18">
        <v>140304</v>
      </c>
      <c r="H2680" s="18">
        <f t="shared" si="77"/>
        <v>41899.800000000003</v>
      </c>
      <c r="I2680" s="12"/>
    </row>
    <row r="2681" spans="1:9" s="2" customFormat="1" ht="21.75" customHeight="1" x14ac:dyDescent="0.55000000000000004">
      <c r="A2681" s="18">
        <v>24.775940899999998</v>
      </c>
      <c r="B2681" s="18">
        <v>34.792264500000002</v>
      </c>
      <c r="C2681" s="18">
        <v>681202.79</v>
      </c>
      <c r="D2681" s="18">
        <v>2741326.32</v>
      </c>
      <c r="E2681" s="18">
        <v>359.95</v>
      </c>
      <c r="F2681" s="18">
        <v>41933.089999999997</v>
      </c>
      <c r="G2681" s="18">
        <v>140306</v>
      </c>
      <c r="H2681" s="18">
        <f t="shared" si="77"/>
        <v>41899.089999999997</v>
      </c>
      <c r="I2681" s="12"/>
    </row>
    <row r="2682" spans="1:9" s="2" customFormat="1" ht="21.75" customHeight="1" x14ac:dyDescent="0.55000000000000004">
      <c r="A2682" s="18">
        <v>24.775944299999999</v>
      </c>
      <c r="B2682" s="18">
        <v>34.792265499999999</v>
      </c>
      <c r="C2682" s="18">
        <v>681202.9</v>
      </c>
      <c r="D2682" s="18">
        <v>2741326.7</v>
      </c>
      <c r="E2682" s="18">
        <v>359.97</v>
      </c>
      <c r="F2682" s="18">
        <v>41929.980000000003</v>
      </c>
      <c r="G2682" s="18">
        <v>140308</v>
      </c>
      <c r="H2682" s="18">
        <f t="shared" si="77"/>
        <v>41895.980000000003</v>
      </c>
      <c r="I2682" s="12"/>
    </row>
    <row r="2683" spans="1:9" s="2" customFormat="1" ht="21.75" customHeight="1" x14ac:dyDescent="0.55000000000000004">
      <c r="A2683" s="18">
        <v>24.775944200000001</v>
      </c>
      <c r="B2683" s="18">
        <v>34.792265700000002</v>
      </c>
      <c r="C2683" s="18">
        <v>681202.91</v>
      </c>
      <c r="D2683" s="18">
        <v>2741326.69</v>
      </c>
      <c r="E2683" s="18">
        <v>359.93</v>
      </c>
      <c r="F2683" s="18">
        <v>41933.65</v>
      </c>
      <c r="G2683" s="18">
        <v>140310</v>
      </c>
      <c r="H2683" s="18">
        <f t="shared" si="77"/>
        <v>41899.65</v>
      </c>
      <c r="I2683" s="12"/>
    </row>
    <row r="2684" spans="1:9" s="2" customFormat="1" ht="21.75" customHeight="1" x14ac:dyDescent="0.55000000000000004">
      <c r="A2684" s="18">
        <v>24.7759438</v>
      </c>
      <c r="B2684" s="18">
        <v>34.792264799999998</v>
      </c>
      <c r="C2684" s="18">
        <v>681202.83</v>
      </c>
      <c r="D2684" s="18">
        <v>2741326.64</v>
      </c>
      <c r="E2684" s="18">
        <v>359.92</v>
      </c>
      <c r="F2684" s="18">
        <v>41934.04</v>
      </c>
      <c r="G2684" s="18">
        <v>140312</v>
      </c>
      <c r="H2684" s="18">
        <f t="shared" si="77"/>
        <v>41900.04</v>
      </c>
      <c r="I2684" s="12"/>
    </row>
    <row r="2685" spans="1:9" s="2" customFormat="1" ht="21.75" customHeight="1" x14ac:dyDescent="0.55000000000000004">
      <c r="A2685" s="18">
        <v>24.775943399999999</v>
      </c>
      <c r="B2685" s="18">
        <v>34.792265</v>
      </c>
      <c r="C2685" s="18">
        <v>681202.85</v>
      </c>
      <c r="D2685" s="18">
        <v>2741326.6</v>
      </c>
      <c r="E2685" s="18">
        <v>359.89</v>
      </c>
      <c r="F2685" s="18">
        <v>41933.82</v>
      </c>
      <c r="G2685" s="18">
        <v>140314</v>
      </c>
      <c r="H2685" s="18">
        <f t="shared" si="77"/>
        <v>41899.82</v>
      </c>
      <c r="I2685" s="12"/>
    </row>
    <row r="2686" spans="1:9" s="2" customFormat="1" ht="21.75" customHeight="1" x14ac:dyDescent="0.55000000000000004">
      <c r="A2686" s="18">
        <v>24.7759432</v>
      </c>
      <c r="B2686" s="18">
        <v>34.792265</v>
      </c>
      <c r="C2686" s="18">
        <v>681202.85</v>
      </c>
      <c r="D2686" s="18">
        <v>2741326.58</v>
      </c>
      <c r="E2686" s="18">
        <v>359.88</v>
      </c>
      <c r="F2686" s="18">
        <v>41933.82</v>
      </c>
      <c r="G2686" s="18">
        <v>140316</v>
      </c>
      <c r="H2686" s="18">
        <f t="shared" si="77"/>
        <v>41899.82</v>
      </c>
      <c r="I2686" s="12"/>
    </row>
    <row r="2687" spans="1:9" s="2" customFormat="1" ht="21.75" customHeight="1" x14ac:dyDescent="0.55000000000000004">
      <c r="A2687" s="18">
        <v>24.7759432</v>
      </c>
      <c r="B2687" s="18">
        <v>34.792265</v>
      </c>
      <c r="C2687" s="18">
        <v>681202.85</v>
      </c>
      <c r="D2687" s="18">
        <v>2741326.58</v>
      </c>
      <c r="E2687" s="18">
        <v>359.88</v>
      </c>
      <c r="F2687" s="18">
        <v>41933.83</v>
      </c>
      <c r="G2687" s="18">
        <v>140318</v>
      </c>
      <c r="H2687" s="18">
        <f t="shared" si="77"/>
        <v>41899.83</v>
      </c>
      <c r="I2687" s="12"/>
    </row>
    <row r="2688" spans="1:9" s="2" customFormat="1" ht="21.75" customHeight="1" x14ac:dyDescent="0.55000000000000004">
      <c r="A2688" s="18">
        <v>24.775943300000002</v>
      </c>
      <c r="B2688" s="18">
        <v>34.792265100000002</v>
      </c>
      <c r="C2688" s="18">
        <v>681202.86</v>
      </c>
      <c r="D2688" s="18">
        <v>2741326.59</v>
      </c>
      <c r="E2688" s="18">
        <v>359.86</v>
      </c>
      <c r="F2688" s="18">
        <v>41933.760000000002</v>
      </c>
      <c r="G2688" s="18">
        <v>140320</v>
      </c>
      <c r="H2688" s="18">
        <f t="shared" si="77"/>
        <v>41899.760000000002</v>
      </c>
      <c r="I2688" s="12"/>
    </row>
    <row r="2689" spans="1:9" s="2" customFormat="1" ht="21.75" customHeight="1" x14ac:dyDescent="0.55000000000000004">
      <c r="A2689" s="18">
        <v>24.7759447</v>
      </c>
      <c r="B2689" s="18">
        <v>34.792265800000003</v>
      </c>
      <c r="C2689" s="18">
        <v>681202.92</v>
      </c>
      <c r="D2689" s="18">
        <v>2741326.74</v>
      </c>
      <c r="E2689" s="18">
        <v>359.84</v>
      </c>
      <c r="F2689" s="18">
        <v>41932.22</v>
      </c>
      <c r="G2689" s="18">
        <v>140322</v>
      </c>
      <c r="H2689" s="18">
        <f t="shared" si="77"/>
        <v>41898.22</v>
      </c>
      <c r="I2689" s="12"/>
    </row>
    <row r="2690" spans="1:9" s="2" customFormat="1" ht="21.75" customHeight="1" x14ac:dyDescent="0.55000000000000004">
      <c r="A2690" s="18">
        <v>24.775943699999999</v>
      </c>
      <c r="B2690" s="18">
        <v>34.792266099999999</v>
      </c>
      <c r="C2690" s="18">
        <v>681202.95</v>
      </c>
      <c r="D2690" s="18">
        <v>2741326.64</v>
      </c>
      <c r="E2690" s="18">
        <v>359.81</v>
      </c>
      <c r="F2690" s="18">
        <v>41933.980000000003</v>
      </c>
      <c r="G2690" s="18">
        <v>140324</v>
      </c>
      <c r="H2690" s="18">
        <f t="shared" si="77"/>
        <v>41899.980000000003</v>
      </c>
      <c r="I2690" s="12"/>
    </row>
    <row r="2691" spans="1:9" s="2" customFormat="1" ht="21.75" customHeight="1" x14ac:dyDescent="0.55000000000000004">
      <c r="A2691" s="18">
        <v>24.7759435</v>
      </c>
      <c r="B2691" s="18">
        <v>34.792265999999998</v>
      </c>
      <c r="C2691" s="18">
        <v>681202.95</v>
      </c>
      <c r="D2691" s="18">
        <v>2741326.62</v>
      </c>
      <c r="E2691" s="18">
        <v>359.8</v>
      </c>
      <c r="F2691" s="18">
        <v>41933.96</v>
      </c>
      <c r="G2691" s="18">
        <v>140326</v>
      </c>
      <c r="H2691" s="18">
        <f t="shared" si="77"/>
        <v>41899.96</v>
      </c>
      <c r="I2691" s="12"/>
    </row>
    <row r="2692" spans="1:9" s="2" customFormat="1" ht="21.75" customHeight="1" x14ac:dyDescent="0.55000000000000004">
      <c r="A2692" s="18">
        <v>24.7759426</v>
      </c>
      <c r="B2692" s="18">
        <v>34.792265700000002</v>
      </c>
      <c r="C2692" s="18">
        <v>681202.92</v>
      </c>
      <c r="D2692" s="18">
        <v>2741326.51</v>
      </c>
      <c r="E2692" s="18">
        <v>359.77</v>
      </c>
      <c r="F2692" s="18">
        <v>41934.559999999998</v>
      </c>
      <c r="G2692" s="18">
        <v>140328</v>
      </c>
      <c r="H2692" s="18">
        <f t="shared" si="77"/>
        <v>41900.559999999998</v>
      </c>
      <c r="I2692" s="12"/>
    </row>
    <row r="2693" spans="1:9" s="2" customFormat="1" ht="21.75" customHeight="1" x14ac:dyDescent="0.55000000000000004">
      <c r="A2693" s="18">
        <v>24.7759426</v>
      </c>
      <c r="B2693" s="18">
        <v>34.792266300000001</v>
      </c>
      <c r="C2693" s="18">
        <v>681202.97</v>
      </c>
      <c r="D2693" s="18">
        <v>2741326.52</v>
      </c>
      <c r="E2693" s="18">
        <v>359.73</v>
      </c>
      <c r="F2693" s="18">
        <v>41933.75</v>
      </c>
      <c r="G2693" s="18">
        <v>140330</v>
      </c>
      <c r="H2693" s="18">
        <f t="shared" si="77"/>
        <v>41899.75</v>
      </c>
      <c r="I2693" s="12"/>
    </row>
    <row r="2694" spans="1:9" s="2" customFormat="1" ht="21.75" customHeight="1" x14ac:dyDescent="0.55000000000000004">
      <c r="A2694" s="18">
        <v>24.775944899999999</v>
      </c>
      <c r="B2694" s="18">
        <v>34.7922668</v>
      </c>
      <c r="C2694" s="18">
        <v>681203.03</v>
      </c>
      <c r="D2694" s="18">
        <v>2741326.77</v>
      </c>
      <c r="E2694" s="18">
        <v>359.69</v>
      </c>
      <c r="F2694" s="18">
        <v>41933.74</v>
      </c>
      <c r="G2694" s="18">
        <v>140332</v>
      </c>
      <c r="H2694" s="18">
        <f t="shared" si="77"/>
        <v>41899.74</v>
      </c>
      <c r="I2694" s="12"/>
    </row>
    <row r="2695" spans="1:9" s="2" customFormat="1" ht="21.75" customHeight="1" x14ac:dyDescent="0.55000000000000004">
      <c r="A2695" s="18">
        <v>24.775952</v>
      </c>
      <c r="B2695" s="18">
        <v>34.792276100000002</v>
      </c>
      <c r="C2695" s="18">
        <v>681203.96</v>
      </c>
      <c r="D2695" s="18">
        <v>2741327.57</v>
      </c>
      <c r="E2695" s="18">
        <v>359.32</v>
      </c>
      <c r="F2695" s="18">
        <v>41933.160000000003</v>
      </c>
      <c r="G2695" s="18">
        <v>140334</v>
      </c>
      <c r="H2695" s="18">
        <f t="shared" si="77"/>
        <v>41899.160000000003</v>
      </c>
      <c r="I2695" s="12"/>
    </row>
    <row r="2696" spans="1:9" s="2" customFormat="1" ht="21.75" customHeight="1" x14ac:dyDescent="0.55000000000000004">
      <c r="A2696" s="18">
        <v>24.775959199999999</v>
      </c>
      <c r="B2696" s="18">
        <v>34.792287600000002</v>
      </c>
      <c r="C2696" s="18">
        <v>681205.1</v>
      </c>
      <c r="D2696" s="18">
        <v>2741328.37</v>
      </c>
      <c r="E2696" s="18">
        <v>358.84</v>
      </c>
      <c r="F2696" s="18">
        <v>41931.67</v>
      </c>
      <c r="G2696" s="18">
        <v>140336</v>
      </c>
      <c r="H2696" s="18">
        <f t="shared" si="77"/>
        <v>41897.67</v>
      </c>
      <c r="I2696" s="12"/>
    </row>
    <row r="2697" spans="1:9" s="2" customFormat="1" ht="21.75" customHeight="1" x14ac:dyDescent="0.55000000000000004">
      <c r="A2697" s="18">
        <v>24.775968500000001</v>
      </c>
      <c r="B2697" s="18">
        <v>34.792296</v>
      </c>
      <c r="C2697" s="18">
        <v>681205.95</v>
      </c>
      <c r="D2697" s="18">
        <v>2741329.42</v>
      </c>
      <c r="E2697" s="18">
        <v>358.08</v>
      </c>
      <c r="F2697" s="18">
        <v>41933.26</v>
      </c>
      <c r="G2697" s="18">
        <v>140338</v>
      </c>
      <c r="H2697" s="18">
        <f t="shared" si="77"/>
        <v>41899.26</v>
      </c>
      <c r="I2697" s="12"/>
    </row>
    <row r="2698" spans="1:9" s="2" customFormat="1" ht="21.75" customHeight="1" x14ac:dyDescent="0.55000000000000004">
      <c r="A2698" s="18">
        <v>24.775978200000001</v>
      </c>
      <c r="B2698" s="18">
        <v>34.792312299999999</v>
      </c>
      <c r="C2698" s="18">
        <v>681207.58</v>
      </c>
      <c r="D2698" s="18">
        <v>2741330.52</v>
      </c>
      <c r="E2698" s="18">
        <v>357.55</v>
      </c>
      <c r="F2698" s="18">
        <v>41933.620000000003</v>
      </c>
      <c r="G2698" s="18">
        <v>140340</v>
      </c>
      <c r="H2698" s="18">
        <f t="shared" si="77"/>
        <v>41899.620000000003</v>
      </c>
      <c r="I2698" s="12"/>
    </row>
    <row r="2699" spans="1:9" s="2" customFormat="1" ht="21.75" customHeight="1" x14ac:dyDescent="0.55000000000000004">
      <c r="A2699" s="18">
        <v>24.775986799999998</v>
      </c>
      <c r="B2699" s="18">
        <v>34.792324499999999</v>
      </c>
      <c r="C2699" s="18">
        <v>681208.8</v>
      </c>
      <c r="D2699" s="18">
        <v>2741331.48</v>
      </c>
      <c r="E2699" s="18">
        <v>357.27</v>
      </c>
      <c r="F2699" s="18">
        <v>41934.71</v>
      </c>
      <c r="G2699" s="18">
        <v>140342</v>
      </c>
      <c r="H2699" s="18">
        <f t="shared" si="77"/>
        <v>41900.71</v>
      </c>
      <c r="I2699" s="12"/>
    </row>
    <row r="2700" spans="1:9" s="2" customFormat="1" ht="21.75" customHeight="1" x14ac:dyDescent="0.55000000000000004">
      <c r="A2700" s="18">
        <v>24.775992599999999</v>
      </c>
      <c r="B2700" s="18">
        <v>34.792342900000001</v>
      </c>
      <c r="C2700" s="18">
        <v>681210.65</v>
      </c>
      <c r="D2700" s="18">
        <v>2741332.15</v>
      </c>
      <c r="E2700" s="18">
        <v>356.92</v>
      </c>
      <c r="F2700" s="18">
        <v>41933.42</v>
      </c>
      <c r="G2700" s="18">
        <v>140344</v>
      </c>
      <c r="H2700" s="18">
        <f t="shared" si="77"/>
        <v>41899.42</v>
      </c>
      <c r="I2700" s="12"/>
    </row>
    <row r="2701" spans="1:9" s="2" customFormat="1" ht="21.75" customHeight="1" x14ac:dyDescent="0.55000000000000004">
      <c r="A2701" s="18">
        <v>24.775998000000001</v>
      </c>
      <c r="B2701" s="18">
        <v>34.7923525</v>
      </c>
      <c r="C2701" s="18">
        <v>681211.62</v>
      </c>
      <c r="D2701" s="18">
        <v>2741332.77</v>
      </c>
      <c r="E2701" s="18">
        <v>356.55</v>
      </c>
      <c r="F2701" s="18">
        <v>41934.629999999997</v>
      </c>
      <c r="G2701" s="18">
        <v>140346</v>
      </c>
      <c r="H2701" s="18">
        <f t="shared" si="77"/>
        <v>41900.629999999997</v>
      </c>
      <c r="I2701" s="12"/>
    </row>
    <row r="2702" spans="1:9" s="2" customFormat="1" ht="21.75" customHeight="1" x14ac:dyDescent="0.55000000000000004">
      <c r="A2702" s="18">
        <v>24.776005000000001</v>
      </c>
      <c r="B2702" s="18">
        <v>34.792360299999999</v>
      </c>
      <c r="C2702" s="18">
        <v>681212.39</v>
      </c>
      <c r="D2702" s="18">
        <v>2741333.54</v>
      </c>
      <c r="E2702" s="18">
        <v>356.36</v>
      </c>
      <c r="F2702" s="18">
        <v>41933.230000000003</v>
      </c>
      <c r="G2702" s="18">
        <v>140348</v>
      </c>
      <c r="H2702" s="18">
        <f t="shared" si="77"/>
        <v>41899.230000000003</v>
      </c>
      <c r="I2702" s="12"/>
    </row>
    <row r="2703" spans="1:9" s="2" customFormat="1" ht="21.75" customHeight="1" x14ac:dyDescent="0.55000000000000004">
      <c r="A2703" s="18">
        <v>24.776002900000002</v>
      </c>
      <c r="B2703" s="18">
        <v>34.792360799999997</v>
      </c>
      <c r="C2703" s="18">
        <v>681212.45</v>
      </c>
      <c r="D2703" s="18">
        <v>2741333.32</v>
      </c>
      <c r="E2703" s="18">
        <v>356.31</v>
      </c>
      <c r="F2703" s="18">
        <v>41933.279999999999</v>
      </c>
      <c r="G2703" s="18">
        <v>140350</v>
      </c>
      <c r="H2703" s="18">
        <f t="shared" si="77"/>
        <v>41899.279999999999</v>
      </c>
      <c r="I2703" s="12"/>
    </row>
    <row r="2704" spans="1:9" s="2" customFormat="1" ht="21.75" customHeight="1" x14ac:dyDescent="0.55000000000000004">
      <c r="A2704" s="18">
        <v>24.776002399999999</v>
      </c>
      <c r="B2704" s="18">
        <v>34.792359900000001</v>
      </c>
      <c r="C2704" s="18">
        <v>681212.35</v>
      </c>
      <c r="D2704" s="18">
        <v>2741333.26</v>
      </c>
      <c r="E2704" s="18">
        <v>356.3</v>
      </c>
      <c r="F2704" s="18">
        <v>41932.910000000003</v>
      </c>
      <c r="G2704" s="18">
        <v>140352</v>
      </c>
      <c r="H2704" s="18">
        <f t="shared" si="77"/>
        <v>41898.910000000003</v>
      </c>
      <c r="I2704" s="12"/>
    </row>
    <row r="2705" spans="1:9" s="2" customFormat="1" ht="21.75" customHeight="1" x14ac:dyDescent="0.55000000000000004">
      <c r="A2705" s="18">
        <v>24.776010800000002</v>
      </c>
      <c r="B2705" s="18">
        <v>34.792363999999999</v>
      </c>
      <c r="C2705" s="18">
        <v>681212.76</v>
      </c>
      <c r="D2705" s="18">
        <v>2741334.19</v>
      </c>
      <c r="E2705" s="18">
        <v>355.91</v>
      </c>
      <c r="F2705" s="18">
        <v>41932.33</v>
      </c>
      <c r="G2705" s="18">
        <v>140354</v>
      </c>
      <c r="H2705" s="18">
        <f t="shared" si="77"/>
        <v>41898.33</v>
      </c>
      <c r="I2705" s="12"/>
    </row>
    <row r="2706" spans="1:9" s="2" customFormat="1" ht="21.75" customHeight="1" x14ac:dyDescent="0.55000000000000004">
      <c r="A2706" s="18">
        <v>24.7760195</v>
      </c>
      <c r="B2706" s="18">
        <v>34.792369399999998</v>
      </c>
      <c r="C2706" s="18">
        <v>681213.29</v>
      </c>
      <c r="D2706" s="18">
        <v>2741335.17</v>
      </c>
      <c r="E2706" s="18">
        <v>355.81</v>
      </c>
      <c r="F2706" s="18">
        <v>41938.239999999998</v>
      </c>
      <c r="G2706" s="18">
        <v>140356</v>
      </c>
      <c r="H2706" s="18">
        <f t="shared" si="77"/>
        <v>41904.239999999998</v>
      </c>
      <c r="I2706" s="12"/>
    </row>
    <row r="2707" spans="1:9" s="2" customFormat="1" ht="21.75" customHeight="1" x14ac:dyDescent="0.55000000000000004">
      <c r="A2707" s="18">
        <v>24.776020899999999</v>
      </c>
      <c r="B2707" s="18">
        <v>34.792369000000001</v>
      </c>
      <c r="C2707" s="18">
        <v>681213.25</v>
      </c>
      <c r="D2707" s="18">
        <v>2741335.32</v>
      </c>
      <c r="E2707" s="18">
        <v>355.79</v>
      </c>
      <c r="F2707" s="18">
        <v>41933.379999999997</v>
      </c>
      <c r="G2707" s="18">
        <v>140358</v>
      </c>
      <c r="H2707" s="18">
        <f t="shared" si="77"/>
        <v>41899.379999999997</v>
      </c>
      <c r="I2707" s="12"/>
    </row>
    <row r="2708" spans="1:9" s="2" customFormat="1" ht="21.75" customHeight="1" x14ac:dyDescent="0.55000000000000004">
      <c r="A2708" s="18">
        <v>24.776021</v>
      </c>
      <c r="B2708" s="18">
        <v>34.792369399999998</v>
      </c>
      <c r="C2708" s="18">
        <v>681213.29</v>
      </c>
      <c r="D2708" s="18">
        <v>2741335.33</v>
      </c>
      <c r="E2708" s="18">
        <v>355.77</v>
      </c>
      <c r="F2708" s="18">
        <v>41933.5</v>
      </c>
      <c r="G2708" s="18">
        <v>140400</v>
      </c>
      <c r="H2708" s="18">
        <f t="shared" si="77"/>
        <v>41899.5</v>
      </c>
      <c r="I2708" s="12"/>
    </row>
    <row r="2709" spans="1:9" s="2" customFormat="1" ht="21.75" customHeight="1" x14ac:dyDescent="0.55000000000000004">
      <c r="A2709" s="18">
        <v>24.776021</v>
      </c>
      <c r="B2709" s="18">
        <v>34.792369700000002</v>
      </c>
      <c r="C2709" s="18">
        <v>681213.32</v>
      </c>
      <c r="D2709" s="18">
        <v>2741335.33</v>
      </c>
      <c r="E2709" s="18">
        <v>355.75</v>
      </c>
      <c r="F2709" s="18">
        <v>41933.78</v>
      </c>
      <c r="G2709" s="18">
        <v>140402</v>
      </c>
      <c r="H2709" s="18">
        <f t="shared" si="77"/>
        <v>41899.78</v>
      </c>
      <c r="I2709" s="12"/>
    </row>
    <row r="2710" spans="1:9" s="2" customFormat="1" ht="21.75" customHeight="1" x14ac:dyDescent="0.55000000000000004">
      <c r="A2710" s="18">
        <v>24.776020899999999</v>
      </c>
      <c r="B2710" s="18">
        <v>34.792369700000002</v>
      </c>
      <c r="C2710" s="18">
        <v>681213.32</v>
      </c>
      <c r="D2710" s="18">
        <v>2741335.33</v>
      </c>
      <c r="E2710" s="18">
        <v>355.75</v>
      </c>
      <c r="F2710" s="18">
        <v>41933.83</v>
      </c>
      <c r="G2710" s="18">
        <v>140404</v>
      </c>
      <c r="H2710" s="18">
        <f t="shared" si="77"/>
        <v>41899.83</v>
      </c>
      <c r="I2710" s="12"/>
    </row>
    <row r="2711" spans="1:9" s="2" customFormat="1" ht="21.75" customHeight="1" x14ac:dyDescent="0.55000000000000004">
      <c r="A2711" s="18">
        <v>24.776020899999999</v>
      </c>
      <c r="B2711" s="18">
        <v>34.792369700000002</v>
      </c>
      <c r="C2711" s="18">
        <v>681213.32</v>
      </c>
      <c r="D2711" s="18">
        <v>2741335.33</v>
      </c>
      <c r="E2711" s="18">
        <v>355.74</v>
      </c>
      <c r="F2711" s="18">
        <v>41933.9</v>
      </c>
      <c r="G2711" s="18">
        <v>140406</v>
      </c>
      <c r="H2711" s="18">
        <f t="shared" si="77"/>
        <v>41899.9</v>
      </c>
      <c r="I2711" s="12"/>
    </row>
    <row r="2712" spans="1:9" s="2" customFormat="1" ht="21.75" customHeight="1" x14ac:dyDescent="0.55000000000000004">
      <c r="A2712" s="18">
        <v>24.7760207</v>
      </c>
      <c r="B2712" s="18">
        <v>34.792370300000002</v>
      </c>
      <c r="C2712" s="18">
        <v>681213.38</v>
      </c>
      <c r="D2712" s="18">
        <v>2741335.3</v>
      </c>
      <c r="E2712" s="18">
        <v>355.72</v>
      </c>
      <c r="F2712" s="18">
        <v>41929.08</v>
      </c>
      <c r="G2712" s="18">
        <v>140408</v>
      </c>
      <c r="H2712" s="18">
        <f t="shared" si="77"/>
        <v>41895.08</v>
      </c>
      <c r="I2712" s="12"/>
    </row>
    <row r="2713" spans="1:9" s="2" customFormat="1" ht="21.75" customHeight="1" x14ac:dyDescent="0.55000000000000004">
      <c r="A2713" s="18">
        <v>24.7760213</v>
      </c>
      <c r="B2713" s="18">
        <v>34.792379799999999</v>
      </c>
      <c r="C2713" s="18">
        <v>681214.34</v>
      </c>
      <c r="D2713" s="18">
        <v>2741335.38</v>
      </c>
      <c r="E2713" s="18">
        <v>355.6</v>
      </c>
      <c r="F2713" s="18">
        <v>41931.879999999997</v>
      </c>
      <c r="G2713" s="18">
        <v>140410</v>
      </c>
      <c r="H2713" s="18">
        <f t="shared" si="77"/>
        <v>41897.879999999997</v>
      </c>
      <c r="I2713" s="12"/>
    </row>
    <row r="2714" spans="1:9" s="2" customFormat="1" ht="21.75" customHeight="1" x14ac:dyDescent="0.55000000000000004">
      <c r="A2714" s="18">
        <v>24.7760271</v>
      </c>
      <c r="B2714" s="18">
        <v>34.792397000000001</v>
      </c>
      <c r="C2714" s="18">
        <v>681216.07</v>
      </c>
      <c r="D2714" s="18">
        <v>2741336.04</v>
      </c>
      <c r="E2714" s="18">
        <v>355.31</v>
      </c>
      <c r="F2714" s="18">
        <v>41931.64</v>
      </c>
      <c r="G2714" s="18">
        <v>140412</v>
      </c>
      <c r="H2714" s="18">
        <f t="shared" si="77"/>
        <v>41897.64</v>
      </c>
      <c r="I2714" s="12"/>
    </row>
    <row r="2715" spans="1:9" s="2" customFormat="1" ht="21.75" customHeight="1" x14ac:dyDescent="0.55000000000000004">
      <c r="A2715" s="18">
        <v>24.776033999999999</v>
      </c>
      <c r="B2715" s="18">
        <v>34.792411399999999</v>
      </c>
      <c r="C2715" s="18">
        <v>681217.52</v>
      </c>
      <c r="D2715" s="18">
        <v>2741336.82</v>
      </c>
      <c r="E2715" s="18">
        <v>355.08</v>
      </c>
      <c r="F2715" s="18">
        <v>41935.93</v>
      </c>
      <c r="G2715" s="18">
        <v>140414</v>
      </c>
      <c r="H2715" s="18">
        <f t="shared" si="77"/>
        <v>41901.93</v>
      </c>
      <c r="I2715" s="12"/>
    </row>
    <row r="2716" spans="1:9" s="2" customFormat="1" ht="21.75" customHeight="1" x14ac:dyDescent="0.55000000000000004">
      <c r="A2716" s="18">
        <v>24.776039399999998</v>
      </c>
      <c r="B2716" s="18">
        <v>34.792427600000003</v>
      </c>
      <c r="C2716" s="18">
        <v>681219.15</v>
      </c>
      <c r="D2716" s="18">
        <v>2741337.45</v>
      </c>
      <c r="E2716" s="18">
        <v>354.82</v>
      </c>
      <c r="F2716" s="18">
        <v>41935</v>
      </c>
      <c r="G2716" s="18">
        <v>140416</v>
      </c>
      <c r="H2716" s="18">
        <f t="shared" si="77"/>
        <v>41901</v>
      </c>
      <c r="I2716" s="12"/>
    </row>
    <row r="2717" spans="1:9" s="2" customFormat="1" ht="21.75" customHeight="1" x14ac:dyDescent="0.55000000000000004">
      <c r="A2717" s="18">
        <v>24.776043600000001</v>
      </c>
      <c r="B2717" s="18">
        <v>34.792447299999999</v>
      </c>
      <c r="C2717" s="18">
        <v>681221.13</v>
      </c>
      <c r="D2717" s="18">
        <v>2741337.94</v>
      </c>
      <c r="E2717" s="18">
        <v>354.51</v>
      </c>
      <c r="F2717" s="18">
        <v>41933.040000000001</v>
      </c>
      <c r="G2717" s="18">
        <v>140418</v>
      </c>
      <c r="H2717" s="18">
        <f t="shared" si="77"/>
        <v>41899.040000000001</v>
      </c>
      <c r="I2717" s="12"/>
    </row>
    <row r="2718" spans="1:9" s="2" customFormat="1" ht="21.75" customHeight="1" x14ac:dyDescent="0.55000000000000004">
      <c r="A2718" s="18">
        <v>24.776047500000001</v>
      </c>
      <c r="B2718" s="18">
        <v>34.792467000000002</v>
      </c>
      <c r="C2718" s="18">
        <v>681223.12</v>
      </c>
      <c r="D2718" s="18">
        <v>2741338.39</v>
      </c>
      <c r="E2718" s="18">
        <v>354.13</v>
      </c>
      <c r="F2718" s="18">
        <v>41933.74</v>
      </c>
      <c r="G2718" s="18">
        <v>140420</v>
      </c>
      <c r="H2718" s="18">
        <f t="shared" ref="H2718:H2781" si="78">SUM(F2718-34)</f>
        <v>41899.74</v>
      </c>
      <c r="I2718" s="12"/>
    </row>
    <row r="2719" spans="1:9" s="2" customFormat="1" ht="21.75" customHeight="1" x14ac:dyDescent="0.55000000000000004">
      <c r="A2719" s="18">
        <v>24.7760517</v>
      </c>
      <c r="B2719" s="18">
        <v>34.792484000000002</v>
      </c>
      <c r="C2719" s="18">
        <v>681224.84</v>
      </c>
      <c r="D2719" s="18">
        <v>2741338.88</v>
      </c>
      <c r="E2719" s="18">
        <v>353.77</v>
      </c>
      <c r="F2719" s="18">
        <v>41935.660000000003</v>
      </c>
      <c r="G2719" s="18">
        <v>140422</v>
      </c>
      <c r="H2719" s="18">
        <f t="shared" si="78"/>
        <v>41901.660000000003</v>
      </c>
      <c r="I2719" s="12"/>
    </row>
    <row r="2720" spans="1:9" s="2" customFormat="1" ht="21.75" customHeight="1" x14ac:dyDescent="0.55000000000000004">
      <c r="A2720" s="18">
        <v>24.7760572</v>
      </c>
      <c r="B2720" s="18">
        <v>34.792501999999999</v>
      </c>
      <c r="C2720" s="18">
        <v>681226.65</v>
      </c>
      <c r="D2720" s="18">
        <v>2741339.52</v>
      </c>
      <c r="E2720" s="18">
        <v>353.58</v>
      </c>
      <c r="F2720" s="18">
        <v>41938.339999999997</v>
      </c>
      <c r="G2720" s="18">
        <v>140424</v>
      </c>
      <c r="H2720" s="18">
        <f t="shared" si="78"/>
        <v>41904.339999999997</v>
      </c>
      <c r="I2720" s="12"/>
    </row>
    <row r="2721" spans="1:9" s="2" customFormat="1" ht="21.75" customHeight="1" x14ac:dyDescent="0.55000000000000004">
      <c r="A2721" s="18">
        <v>24.776060000000001</v>
      </c>
      <c r="B2721" s="18">
        <v>34.792519599999999</v>
      </c>
      <c r="C2721" s="18">
        <v>681228.42</v>
      </c>
      <c r="D2721" s="18">
        <v>2741339.85</v>
      </c>
      <c r="E2721" s="18">
        <v>353.33</v>
      </c>
      <c r="F2721" s="18">
        <v>41934.800000000003</v>
      </c>
      <c r="G2721" s="18">
        <v>140426</v>
      </c>
      <c r="H2721" s="18">
        <f t="shared" si="78"/>
        <v>41900.800000000003</v>
      </c>
      <c r="I2721" s="12"/>
    </row>
    <row r="2722" spans="1:9" s="2" customFormat="1" ht="21.75" customHeight="1" x14ac:dyDescent="0.55000000000000004">
      <c r="A2722" s="18">
        <v>24.776063600000001</v>
      </c>
      <c r="B2722" s="18">
        <v>34.792535299999997</v>
      </c>
      <c r="C2722" s="18">
        <v>681230.01</v>
      </c>
      <c r="D2722" s="18">
        <v>2741340.27</v>
      </c>
      <c r="E2722" s="18">
        <v>353.03</v>
      </c>
      <c r="F2722" s="18">
        <v>41934.35</v>
      </c>
      <c r="G2722" s="18">
        <v>140428</v>
      </c>
      <c r="H2722" s="18">
        <f t="shared" si="78"/>
        <v>41900.35</v>
      </c>
      <c r="I2722" s="12"/>
    </row>
    <row r="2723" spans="1:9" s="2" customFormat="1" ht="21.75" customHeight="1" x14ac:dyDescent="0.55000000000000004">
      <c r="A2723" s="18">
        <v>24.776061299999999</v>
      </c>
      <c r="B2723" s="18">
        <v>34.7925568</v>
      </c>
      <c r="C2723" s="18">
        <v>681232.18</v>
      </c>
      <c r="D2723" s="18">
        <v>2741340.04</v>
      </c>
      <c r="E2723" s="18">
        <v>352.79</v>
      </c>
      <c r="F2723" s="18">
        <v>41929.550000000003</v>
      </c>
      <c r="G2723" s="18">
        <v>140430</v>
      </c>
      <c r="H2723" s="18">
        <f t="shared" si="78"/>
        <v>41895.550000000003</v>
      </c>
      <c r="I2723" s="12"/>
    </row>
    <row r="2724" spans="1:9" s="2" customFormat="1" ht="21.75" customHeight="1" x14ac:dyDescent="0.55000000000000004">
      <c r="A2724" s="18">
        <v>24.776066</v>
      </c>
      <c r="B2724" s="18">
        <v>34.792573500000003</v>
      </c>
      <c r="C2724" s="18">
        <v>681233.86</v>
      </c>
      <c r="D2724" s="18">
        <v>2741340.58</v>
      </c>
      <c r="E2724" s="18">
        <v>352.51</v>
      </c>
      <c r="F2724" s="18">
        <v>41933.97</v>
      </c>
      <c r="G2724" s="18">
        <v>140432</v>
      </c>
      <c r="H2724" s="18">
        <f t="shared" si="78"/>
        <v>41899.97</v>
      </c>
      <c r="I2724" s="12"/>
    </row>
    <row r="2725" spans="1:9" s="2" customFormat="1" ht="21.75" customHeight="1" x14ac:dyDescent="0.55000000000000004">
      <c r="A2725" s="18">
        <v>24.7760696</v>
      </c>
      <c r="B2725" s="18">
        <v>34.792589999999997</v>
      </c>
      <c r="C2725" s="18">
        <v>681235.53</v>
      </c>
      <c r="D2725" s="18">
        <v>2741341.01</v>
      </c>
      <c r="E2725" s="18">
        <v>352.65</v>
      </c>
      <c r="F2725" s="18">
        <v>41931.65</v>
      </c>
      <c r="G2725" s="18">
        <v>140434</v>
      </c>
      <c r="H2725" s="18">
        <f t="shared" si="78"/>
        <v>41897.65</v>
      </c>
      <c r="I2725" s="12"/>
    </row>
    <row r="2726" spans="1:9" s="2" customFormat="1" ht="21.75" customHeight="1" x14ac:dyDescent="0.55000000000000004">
      <c r="A2726" s="18">
        <v>24.776081000000001</v>
      </c>
      <c r="B2726" s="18">
        <v>34.792604599999997</v>
      </c>
      <c r="C2726" s="18">
        <v>681236.99</v>
      </c>
      <c r="D2726" s="18">
        <v>2741342.29</v>
      </c>
      <c r="E2726" s="18">
        <v>352.57</v>
      </c>
      <c r="F2726" s="18">
        <v>41930.71</v>
      </c>
      <c r="G2726" s="18">
        <v>140436</v>
      </c>
      <c r="H2726" s="18">
        <f t="shared" si="78"/>
        <v>41896.71</v>
      </c>
      <c r="I2726" s="12"/>
    </row>
    <row r="2727" spans="1:9" s="2" customFormat="1" ht="21.75" customHeight="1" x14ac:dyDescent="0.55000000000000004">
      <c r="A2727" s="18">
        <v>24.776093100000001</v>
      </c>
      <c r="B2727" s="18">
        <v>34.792614499999999</v>
      </c>
      <c r="C2727" s="18">
        <v>681237.97</v>
      </c>
      <c r="D2727" s="18">
        <v>2741343.64</v>
      </c>
      <c r="E2727" s="18">
        <v>352.51</v>
      </c>
      <c r="F2727" s="18">
        <v>41931.65</v>
      </c>
      <c r="G2727" s="18">
        <v>140438</v>
      </c>
      <c r="H2727" s="18">
        <f t="shared" si="78"/>
        <v>41897.65</v>
      </c>
      <c r="I2727" s="12"/>
    </row>
    <row r="2728" spans="1:9" s="2" customFormat="1" ht="21.75" customHeight="1" x14ac:dyDescent="0.55000000000000004">
      <c r="A2728" s="18">
        <v>24.776103200000001</v>
      </c>
      <c r="B2728" s="18">
        <v>34.792630699999997</v>
      </c>
      <c r="C2728" s="18">
        <v>681239.59</v>
      </c>
      <c r="D2728" s="18">
        <v>2741344.78</v>
      </c>
      <c r="E2728" s="18">
        <v>352.56</v>
      </c>
      <c r="F2728" s="18">
        <v>41932.730000000003</v>
      </c>
      <c r="G2728" s="18">
        <v>140440</v>
      </c>
      <c r="H2728" s="18">
        <f t="shared" si="78"/>
        <v>41898.730000000003</v>
      </c>
      <c r="I2728" s="12"/>
    </row>
    <row r="2729" spans="1:9" s="2" customFormat="1" ht="21.75" customHeight="1" x14ac:dyDescent="0.55000000000000004">
      <c r="A2729" s="18">
        <v>24.7761116</v>
      </c>
      <c r="B2729" s="18">
        <v>34.792648499999999</v>
      </c>
      <c r="C2729" s="18">
        <v>681241.38</v>
      </c>
      <c r="D2729" s="18">
        <v>2741345.73</v>
      </c>
      <c r="E2729" s="18">
        <v>352.43</v>
      </c>
      <c r="F2729" s="18">
        <v>41930.85</v>
      </c>
      <c r="G2729" s="18">
        <v>140442</v>
      </c>
      <c r="H2729" s="18">
        <f t="shared" si="78"/>
        <v>41896.85</v>
      </c>
      <c r="I2729" s="12"/>
    </row>
    <row r="2730" spans="1:9" s="2" customFormat="1" ht="21.75" customHeight="1" x14ac:dyDescent="0.55000000000000004">
      <c r="A2730" s="18">
        <v>24.776116099999999</v>
      </c>
      <c r="B2730" s="18">
        <v>34.7926675</v>
      </c>
      <c r="C2730" s="18">
        <v>681243.3</v>
      </c>
      <c r="D2730" s="18">
        <v>2741346.26</v>
      </c>
      <c r="E2730" s="18">
        <v>352.36</v>
      </c>
      <c r="F2730" s="18">
        <v>41930.160000000003</v>
      </c>
      <c r="G2730" s="18">
        <v>140444</v>
      </c>
      <c r="H2730" s="18">
        <f t="shared" si="78"/>
        <v>41896.160000000003</v>
      </c>
      <c r="I2730" s="12"/>
    </row>
    <row r="2731" spans="1:9" s="2" customFormat="1" ht="21.75" customHeight="1" x14ac:dyDescent="0.55000000000000004">
      <c r="A2731" s="18">
        <v>24.7761228</v>
      </c>
      <c r="B2731" s="18">
        <v>34.7926857</v>
      </c>
      <c r="C2731" s="18">
        <v>681245.13</v>
      </c>
      <c r="D2731" s="18">
        <v>2741347.03</v>
      </c>
      <c r="E2731" s="18">
        <v>352.19</v>
      </c>
      <c r="F2731" s="18">
        <v>41930.15</v>
      </c>
      <c r="G2731" s="18">
        <v>140446</v>
      </c>
      <c r="H2731" s="18">
        <f t="shared" si="78"/>
        <v>41896.15</v>
      </c>
      <c r="I2731" s="12"/>
    </row>
    <row r="2732" spans="1:9" s="2" customFormat="1" ht="21.75" customHeight="1" x14ac:dyDescent="0.55000000000000004">
      <c r="A2732" s="18">
        <v>24.776129600000001</v>
      </c>
      <c r="B2732" s="18">
        <v>34.792702499999997</v>
      </c>
      <c r="C2732" s="18">
        <v>681246.82</v>
      </c>
      <c r="D2732" s="18">
        <v>2741347.8</v>
      </c>
      <c r="E2732" s="18">
        <v>351.96</v>
      </c>
      <c r="F2732" s="18">
        <v>41928.68</v>
      </c>
      <c r="G2732" s="18">
        <v>140448</v>
      </c>
      <c r="H2732" s="18">
        <f t="shared" si="78"/>
        <v>41894.68</v>
      </c>
      <c r="I2732" s="12"/>
    </row>
    <row r="2733" spans="1:9" s="2" customFormat="1" ht="21.75" customHeight="1" x14ac:dyDescent="0.55000000000000004">
      <c r="A2733" s="18">
        <v>24.776137899999998</v>
      </c>
      <c r="B2733" s="18">
        <v>34.792720799999998</v>
      </c>
      <c r="C2733" s="18">
        <v>681248.66</v>
      </c>
      <c r="D2733" s="18">
        <v>2741348.74</v>
      </c>
      <c r="E2733" s="18">
        <v>351.82</v>
      </c>
      <c r="F2733" s="18">
        <v>41928.730000000003</v>
      </c>
      <c r="G2733" s="18">
        <v>140450</v>
      </c>
      <c r="H2733" s="18">
        <f t="shared" si="78"/>
        <v>41894.730000000003</v>
      </c>
      <c r="I2733" s="12"/>
    </row>
    <row r="2734" spans="1:9" s="2" customFormat="1" ht="21.75" customHeight="1" x14ac:dyDescent="0.55000000000000004">
      <c r="A2734" s="18">
        <v>24.776146900000001</v>
      </c>
      <c r="B2734" s="18">
        <v>34.7927398</v>
      </c>
      <c r="C2734" s="18">
        <v>681250.56</v>
      </c>
      <c r="D2734" s="18">
        <v>2741349.77</v>
      </c>
      <c r="E2734" s="18">
        <v>351.71</v>
      </c>
      <c r="F2734" s="18">
        <v>41925.54</v>
      </c>
      <c r="G2734" s="18">
        <v>140452</v>
      </c>
      <c r="H2734" s="18">
        <f t="shared" si="78"/>
        <v>41891.54</v>
      </c>
      <c r="I2734" s="12"/>
    </row>
    <row r="2735" spans="1:9" s="2" customFormat="1" ht="21.75" customHeight="1" x14ac:dyDescent="0.55000000000000004">
      <c r="A2735" s="18">
        <v>24.776156199999999</v>
      </c>
      <c r="B2735" s="18">
        <v>34.792757299999998</v>
      </c>
      <c r="C2735" s="18">
        <v>681252.32</v>
      </c>
      <c r="D2735" s="18">
        <v>2741350.82</v>
      </c>
      <c r="E2735" s="18">
        <v>351.5</v>
      </c>
      <c r="F2735" s="18">
        <v>41913.42</v>
      </c>
      <c r="G2735" s="18">
        <v>140454</v>
      </c>
      <c r="H2735" s="18">
        <f t="shared" si="78"/>
        <v>41879.42</v>
      </c>
      <c r="I2735" s="12"/>
    </row>
    <row r="2736" spans="1:9" s="2" customFormat="1" ht="21.75" customHeight="1" x14ac:dyDescent="0.55000000000000004">
      <c r="A2736" s="18">
        <v>24.776166799999999</v>
      </c>
      <c r="B2736" s="18">
        <v>34.792775599999999</v>
      </c>
      <c r="C2736" s="18">
        <v>681254.16</v>
      </c>
      <c r="D2736" s="18">
        <v>2741352.02</v>
      </c>
      <c r="E2736" s="18">
        <v>351.65</v>
      </c>
      <c r="F2736" s="18">
        <v>41999.81</v>
      </c>
      <c r="G2736" s="18">
        <v>140456</v>
      </c>
      <c r="H2736" s="18">
        <f t="shared" si="78"/>
        <v>41965.81</v>
      </c>
      <c r="I2736" s="12"/>
    </row>
    <row r="2737" spans="1:9" s="2" customFormat="1" ht="21.75" customHeight="1" x14ac:dyDescent="0.55000000000000004">
      <c r="A2737" s="18">
        <v>24.776178600000001</v>
      </c>
      <c r="B2737" s="18">
        <v>34.792789399999997</v>
      </c>
      <c r="C2737" s="18">
        <v>681255.53</v>
      </c>
      <c r="D2737" s="18">
        <v>2741353.35</v>
      </c>
      <c r="E2737" s="18">
        <v>351.52</v>
      </c>
      <c r="F2737" s="18">
        <v>41920.6</v>
      </c>
      <c r="G2737" s="18">
        <v>140458</v>
      </c>
      <c r="H2737" s="18">
        <f t="shared" si="78"/>
        <v>41886.6</v>
      </c>
      <c r="I2737" s="12"/>
    </row>
    <row r="2738" spans="1:9" s="2" customFormat="1" ht="21.75" customHeight="1" x14ac:dyDescent="0.55000000000000004">
      <c r="A2738" s="18">
        <v>24.776183</v>
      </c>
      <c r="B2738" s="18">
        <v>34.792794700000002</v>
      </c>
      <c r="C2738" s="18">
        <v>681256.06</v>
      </c>
      <c r="D2738" s="18">
        <v>2741353.84</v>
      </c>
      <c r="E2738" s="18">
        <v>351.61</v>
      </c>
      <c r="F2738" s="18">
        <v>41930.550000000003</v>
      </c>
      <c r="G2738" s="18">
        <v>140500</v>
      </c>
      <c r="H2738" s="18">
        <f t="shared" si="78"/>
        <v>41896.550000000003</v>
      </c>
      <c r="I2738" s="12"/>
    </row>
    <row r="2739" spans="1:9" s="2" customFormat="1" ht="21.75" customHeight="1" x14ac:dyDescent="0.55000000000000004">
      <c r="A2739" s="18">
        <v>24.776185699999999</v>
      </c>
      <c r="B2739" s="18">
        <v>34.792800700000001</v>
      </c>
      <c r="C2739" s="18">
        <v>681256.66</v>
      </c>
      <c r="D2739" s="18">
        <v>2741354.15</v>
      </c>
      <c r="E2739" s="18">
        <v>351.34</v>
      </c>
      <c r="F2739" s="18">
        <v>41934.949999999997</v>
      </c>
      <c r="G2739" s="18">
        <v>140502</v>
      </c>
      <c r="H2739" s="18">
        <f t="shared" si="78"/>
        <v>41900.949999999997</v>
      </c>
      <c r="I2739" s="12"/>
    </row>
    <row r="2740" spans="1:9" s="2" customFormat="1" ht="21.75" customHeight="1" x14ac:dyDescent="0.55000000000000004">
      <c r="A2740" s="18">
        <v>24.7761973</v>
      </c>
      <c r="B2740" s="18">
        <v>34.792819799999997</v>
      </c>
      <c r="C2740" s="18">
        <v>681258.58</v>
      </c>
      <c r="D2740" s="18">
        <v>2741355.45</v>
      </c>
      <c r="E2740" s="18">
        <v>350.73</v>
      </c>
      <c r="F2740" s="18">
        <v>41933.870000000003</v>
      </c>
      <c r="G2740" s="18">
        <v>140504</v>
      </c>
      <c r="H2740" s="18">
        <f t="shared" si="78"/>
        <v>41899.870000000003</v>
      </c>
      <c r="I2740" s="12"/>
    </row>
    <row r="2741" spans="1:9" s="2" customFormat="1" ht="21.75" customHeight="1" x14ac:dyDescent="0.55000000000000004">
      <c r="A2741" s="18">
        <v>24.7762064</v>
      </c>
      <c r="B2741" s="18">
        <v>34.792843900000001</v>
      </c>
      <c r="C2741" s="18">
        <v>681261</v>
      </c>
      <c r="D2741" s="18">
        <v>2741356.5</v>
      </c>
      <c r="E2741" s="18">
        <v>350.52</v>
      </c>
      <c r="F2741" s="18">
        <v>41931</v>
      </c>
      <c r="G2741" s="18">
        <v>140506</v>
      </c>
      <c r="H2741" s="18">
        <f t="shared" si="78"/>
        <v>41897</v>
      </c>
      <c r="I2741" s="12"/>
    </row>
    <row r="2742" spans="1:9" s="2" customFormat="1" ht="21.75" customHeight="1" x14ac:dyDescent="0.55000000000000004">
      <c r="A2742" s="18">
        <v>24.776212600000001</v>
      </c>
      <c r="B2742" s="18">
        <v>34.792866699999998</v>
      </c>
      <c r="C2742" s="18">
        <v>681263.3</v>
      </c>
      <c r="D2742" s="18">
        <v>2741357.22</v>
      </c>
      <c r="E2742" s="18">
        <v>350.25</v>
      </c>
      <c r="F2742" s="18">
        <v>41927.99</v>
      </c>
      <c r="G2742" s="18">
        <v>140508</v>
      </c>
      <c r="H2742" s="18">
        <f t="shared" si="78"/>
        <v>41893.99</v>
      </c>
      <c r="I2742" s="12"/>
    </row>
    <row r="2743" spans="1:9" s="2" customFormat="1" ht="21.75" customHeight="1" x14ac:dyDescent="0.55000000000000004">
      <c r="A2743" s="18">
        <v>24.776219000000001</v>
      </c>
      <c r="B2743" s="18">
        <v>34.792891500000003</v>
      </c>
      <c r="C2743" s="18">
        <v>681265.8</v>
      </c>
      <c r="D2743" s="18">
        <v>2741357.95</v>
      </c>
      <c r="E2743" s="18">
        <v>350.08</v>
      </c>
      <c r="F2743" s="18">
        <v>41923.279999999999</v>
      </c>
      <c r="G2743" s="18">
        <v>140510</v>
      </c>
      <c r="H2743" s="18">
        <f t="shared" si="78"/>
        <v>41889.279999999999</v>
      </c>
      <c r="I2743" s="12"/>
    </row>
    <row r="2744" spans="1:9" s="2" customFormat="1" ht="21.75" customHeight="1" x14ac:dyDescent="0.55000000000000004">
      <c r="A2744" s="18">
        <v>24.776225</v>
      </c>
      <c r="B2744" s="18">
        <v>34.792914500000002</v>
      </c>
      <c r="C2744" s="18">
        <v>681268.12</v>
      </c>
      <c r="D2744" s="18">
        <v>2741358.65</v>
      </c>
      <c r="E2744" s="18">
        <v>350.1</v>
      </c>
      <c r="F2744" s="18">
        <v>41930.53</v>
      </c>
      <c r="G2744" s="18">
        <v>140512</v>
      </c>
      <c r="H2744" s="18">
        <f t="shared" si="78"/>
        <v>41896.53</v>
      </c>
      <c r="I2744" s="12"/>
    </row>
    <row r="2745" spans="1:9" s="2" customFormat="1" ht="21.75" customHeight="1" x14ac:dyDescent="0.55000000000000004">
      <c r="A2745" s="18">
        <v>24.776225400000001</v>
      </c>
      <c r="B2745" s="18">
        <v>34.792940999999999</v>
      </c>
      <c r="C2745" s="18">
        <v>681270.79</v>
      </c>
      <c r="D2745" s="18">
        <v>2741358.73</v>
      </c>
      <c r="E2745" s="18">
        <v>349.82</v>
      </c>
      <c r="F2745" s="18">
        <v>41933.620000000003</v>
      </c>
      <c r="G2745" s="18">
        <v>140514</v>
      </c>
      <c r="H2745" s="18">
        <f t="shared" si="78"/>
        <v>41899.620000000003</v>
      </c>
      <c r="I2745" s="12"/>
    </row>
    <row r="2746" spans="1:9" s="2" customFormat="1" ht="21.75" customHeight="1" x14ac:dyDescent="0.55000000000000004">
      <c r="A2746" s="18">
        <v>24.7762247</v>
      </c>
      <c r="B2746" s="18">
        <v>34.792966100000001</v>
      </c>
      <c r="C2746" s="18">
        <v>681273.33</v>
      </c>
      <c r="D2746" s="18">
        <v>2741358.69</v>
      </c>
      <c r="E2746" s="18">
        <v>349.8</v>
      </c>
      <c r="F2746" s="18">
        <v>41937.519999999997</v>
      </c>
      <c r="G2746" s="18">
        <v>140516</v>
      </c>
      <c r="H2746" s="18">
        <f t="shared" si="78"/>
        <v>41903.519999999997</v>
      </c>
      <c r="I2746" s="12"/>
    </row>
    <row r="2747" spans="1:9" s="2" customFormat="1" ht="21.75" customHeight="1" x14ac:dyDescent="0.55000000000000004">
      <c r="A2747" s="18">
        <v>24.776224299999999</v>
      </c>
      <c r="B2747" s="18">
        <v>34.792991499999999</v>
      </c>
      <c r="C2747" s="18">
        <v>681275.9</v>
      </c>
      <c r="D2747" s="18">
        <v>2741358.68</v>
      </c>
      <c r="E2747" s="18">
        <v>349.57</v>
      </c>
      <c r="F2747" s="18">
        <v>41935.89</v>
      </c>
      <c r="G2747" s="18">
        <v>140518</v>
      </c>
      <c r="H2747" s="18">
        <f t="shared" si="78"/>
        <v>41901.89</v>
      </c>
      <c r="I2747" s="12"/>
    </row>
    <row r="2748" spans="1:9" s="2" customFormat="1" ht="21.75" customHeight="1" x14ac:dyDescent="0.55000000000000004">
      <c r="A2748" s="18">
        <v>24.776224200000001</v>
      </c>
      <c r="B2748" s="18">
        <v>34.793018000000004</v>
      </c>
      <c r="C2748" s="18">
        <v>681278.58</v>
      </c>
      <c r="D2748" s="18">
        <v>2741358.69</v>
      </c>
      <c r="E2748" s="18">
        <v>349.47</v>
      </c>
      <c r="F2748" s="18">
        <v>41934.46</v>
      </c>
      <c r="G2748" s="18">
        <v>140520</v>
      </c>
      <c r="H2748" s="18">
        <f t="shared" si="78"/>
        <v>41900.46</v>
      </c>
      <c r="I2748" s="12"/>
    </row>
    <row r="2749" spans="1:9" s="2" customFormat="1" ht="21.75" customHeight="1" x14ac:dyDescent="0.55000000000000004">
      <c r="A2749" s="18">
        <v>24.776222199999999</v>
      </c>
      <c r="B2749" s="18">
        <v>34.793043300000001</v>
      </c>
      <c r="C2749" s="18">
        <v>681281.14</v>
      </c>
      <c r="D2749" s="18">
        <v>2741358.51</v>
      </c>
      <c r="E2749" s="18">
        <v>349.29</v>
      </c>
      <c r="F2749" s="18">
        <v>41932.04</v>
      </c>
      <c r="G2749" s="18">
        <v>140522</v>
      </c>
      <c r="H2749" s="18">
        <f t="shared" si="78"/>
        <v>41898.04</v>
      </c>
      <c r="I2749" s="12"/>
    </row>
    <row r="2750" spans="1:9" s="2" customFormat="1" ht="21.75" customHeight="1" x14ac:dyDescent="0.55000000000000004">
      <c r="A2750" s="18">
        <v>24.776217800000001</v>
      </c>
      <c r="B2750" s="18">
        <v>34.793069600000003</v>
      </c>
      <c r="C2750" s="18">
        <v>681283.81</v>
      </c>
      <c r="D2750" s="18">
        <v>2741358.05</v>
      </c>
      <c r="E2750" s="18">
        <v>349.13</v>
      </c>
      <c r="F2750" s="18">
        <v>41928.58</v>
      </c>
      <c r="G2750" s="18">
        <v>140524</v>
      </c>
      <c r="H2750" s="18">
        <f t="shared" si="78"/>
        <v>41894.58</v>
      </c>
      <c r="I2750" s="12"/>
    </row>
    <row r="2751" spans="1:9" s="2" customFormat="1" ht="21.75" customHeight="1" x14ac:dyDescent="0.55000000000000004">
      <c r="A2751" s="18">
        <v>24.776210500000001</v>
      </c>
      <c r="B2751" s="18">
        <v>34.7930943</v>
      </c>
      <c r="C2751" s="18">
        <v>681286.32</v>
      </c>
      <c r="D2751" s="18">
        <v>2741357.28</v>
      </c>
      <c r="E2751" s="18">
        <v>349.05</v>
      </c>
      <c r="F2751" s="18">
        <v>41927.96</v>
      </c>
      <c r="G2751" s="18">
        <v>140526</v>
      </c>
      <c r="H2751" s="18">
        <f t="shared" si="78"/>
        <v>41893.96</v>
      </c>
      <c r="I2751" s="12"/>
    </row>
    <row r="2752" spans="1:9" s="2" customFormat="1" ht="21.75" customHeight="1" x14ac:dyDescent="0.55000000000000004">
      <c r="A2752" s="18">
        <v>24.776202099999999</v>
      </c>
      <c r="B2752" s="18">
        <v>34.7931168</v>
      </c>
      <c r="C2752" s="18">
        <v>681288.61</v>
      </c>
      <c r="D2752" s="18">
        <v>2741356.38</v>
      </c>
      <c r="E2752" s="18">
        <v>348.99</v>
      </c>
      <c r="F2752" s="18">
        <v>41929.230000000003</v>
      </c>
      <c r="G2752" s="18">
        <v>140528</v>
      </c>
      <c r="H2752" s="18">
        <f t="shared" si="78"/>
        <v>41895.230000000003</v>
      </c>
      <c r="I2752" s="12"/>
    </row>
    <row r="2753" spans="1:9" s="2" customFormat="1" ht="21.75" customHeight="1" x14ac:dyDescent="0.55000000000000004">
      <c r="A2753" s="18">
        <v>24.776191600000001</v>
      </c>
      <c r="B2753" s="18">
        <v>34.793139600000003</v>
      </c>
      <c r="C2753" s="18">
        <v>681290.92</v>
      </c>
      <c r="D2753" s="18">
        <v>2741355.25</v>
      </c>
      <c r="E2753" s="18">
        <v>349.12</v>
      </c>
      <c r="F2753" s="18">
        <v>41926.879999999997</v>
      </c>
      <c r="G2753" s="18">
        <v>140530</v>
      </c>
      <c r="H2753" s="18">
        <f t="shared" si="78"/>
        <v>41892.879999999997</v>
      </c>
      <c r="I2753" s="12"/>
    </row>
    <row r="2754" spans="1:9" s="2" customFormat="1" ht="21.75" customHeight="1" x14ac:dyDescent="0.55000000000000004">
      <c r="A2754" s="18">
        <v>24.776192500000001</v>
      </c>
      <c r="B2754" s="18">
        <v>34.793161900000001</v>
      </c>
      <c r="C2754" s="18">
        <v>681293.18</v>
      </c>
      <c r="D2754" s="18">
        <v>2741355.38</v>
      </c>
      <c r="E2754" s="18">
        <v>349.21</v>
      </c>
      <c r="F2754" s="18">
        <v>41922.620000000003</v>
      </c>
      <c r="G2754" s="18">
        <v>140532</v>
      </c>
      <c r="H2754" s="18">
        <f t="shared" si="78"/>
        <v>41888.620000000003</v>
      </c>
      <c r="I2754" s="12"/>
    </row>
    <row r="2755" spans="1:9" s="2" customFormat="1" ht="21.75" customHeight="1" x14ac:dyDescent="0.55000000000000004">
      <c r="A2755" s="18">
        <v>24.776194799999999</v>
      </c>
      <c r="B2755" s="18">
        <v>34.793186200000001</v>
      </c>
      <c r="C2755" s="18">
        <v>681295.63</v>
      </c>
      <c r="D2755" s="18">
        <v>2741355.67</v>
      </c>
      <c r="E2755" s="18">
        <v>349.29</v>
      </c>
      <c r="F2755" s="18">
        <v>41926.550000000003</v>
      </c>
      <c r="G2755" s="18">
        <v>140534</v>
      </c>
      <c r="H2755" s="18">
        <f t="shared" si="78"/>
        <v>41892.550000000003</v>
      </c>
      <c r="I2755" s="12"/>
    </row>
    <row r="2756" spans="1:9" s="2" customFormat="1" ht="21.75" customHeight="1" x14ac:dyDescent="0.55000000000000004">
      <c r="A2756" s="18">
        <v>24.776198699999998</v>
      </c>
      <c r="B2756" s="18">
        <v>34.793209699999998</v>
      </c>
      <c r="C2756" s="18">
        <v>681298.01</v>
      </c>
      <c r="D2756" s="18">
        <v>2741356.12</v>
      </c>
      <c r="E2756" s="18">
        <v>349.2</v>
      </c>
      <c r="F2756" s="18">
        <v>41926.35</v>
      </c>
      <c r="G2756" s="18">
        <v>140536</v>
      </c>
      <c r="H2756" s="18">
        <f t="shared" si="78"/>
        <v>41892.35</v>
      </c>
      <c r="I2756" s="12"/>
    </row>
    <row r="2757" spans="1:9" s="2" customFormat="1" ht="21.75" customHeight="1" x14ac:dyDescent="0.55000000000000004">
      <c r="A2757" s="18">
        <v>24.776203299999999</v>
      </c>
      <c r="B2757" s="18">
        <v>34.793234900000002</v>
      </c>
      <c r="C2757" s="18">
        <v>681300.55</v>
      </c>
      <c r="D2757" s="18">
        <v>2741356.67</v>
      </c>
      <c r="E2757" s="18">
        <v>349.33</v>
      </c>
      <c r="F2757" s="18">
        <v>41929.85</v>
      </c>
      <c r="G2757" s="18">
        <v>140538</v>
      </c>
      <c r="H2757" s="18">
        <f t="shared" si="78"/>
        <v>41895.85</v>
      </c>
      <c r="I2757" s="12"/>
    </row>
    <row r="2758" spans="1:9" s="2" customFormat="1" ht="21.75" customHeight="1" x14ac:dyDescent="0.55000000000000004">
      <c r="A2758" s="18">
        <v>24.776208</v>
      </c>
      <c r="B2758" s="18">
        <v>34.793255500000001</v>
      </c>
      <c r="C2758" s="18">
        <v>681302.62</v>
      </c>
      <c r="D2758" s="18">
        <v>2741357.23</v>
      </c>
      <c r="E2758" s="18">
        <v>349.41</v>
      </c>
      <c r="F2758" s="18">
        <v>41930.300000000003</v>
      </c>
      <c r="G2758" s="18">
        <v>140540</v>
      </c>
      <c r="H2758" s="18">
        <f t="shared" si="78"/>
        <v>41896.300000000003</v>
      </c>
      <c r="I2758" s="12"/>
    </row>
    <row r="2759" spans="1:9" s="2" customFormat="1" ht="21.75" customHeight="1" x14ac:dyDescent="0.55000000000000004">
      <c r="A2759" s="18">
        <v>24.776208700000002</v>
      </c>
      <c r="B2759" s="18">
        <v>34.793280299999999</v>
      </c>
      <c r="C2759" s="18">
        <v>681305.13</v>
      </c>
      <c r="D2759" s="18">
        <v>2741357.33</v>
      </c>
      <c r="E2759" s="18">
        <v>349.27</v>
      </c>
      <c r="F2759" s="18">
        <v>41927.339999999997</v>
      </c>
      <c r="G2759" s="18">
        <v>140542</v>
      </c>
      <c r="H2759" s="18">
        <f t="shared" si="78"/>
        <v>41893.339999999997</v>
      </c>
      <c r="I2759" s="12"/>
    </row>
    <row r="2760" spans="1:9" s="2" customFormat="1" ht="21.75" customHeight="1" x14ac:dyDescent="0.55000000000000004">
      <c r="A2760" s="18">
        <v>24.7762107</v>
      </c>
      <c r="B2760" s="18">
        <v>34.7933059</v>
      </c>
      <c r="C2760" s="18">
        <v>681307.72</v>
      </c>
      <c r="D2760" s="18">
        <v>2741357.59</v>
      </c>
      <c r="E2760" s="18">
        <v>349.33</v>
      </c>
      <c r="F2760" s="18">
        <v>41927.629999999997</v>
      </c>
      <c r="G2760" s="18">
        <v>140544</v>
      </c>
      <c r="H2760" s="18">
        <f t="shared" si="78"/>
        <v>41893.629999999997</v>
      </c>
      <c r="I2760" s="12"/>
    </row>
    <row r="2761" spans="1:9" s="2" customFormat="1" ht="21.75" customHeight="1" x14ac:dyDescent="0.55000000000000004">
      <c r="A2761" s="18">
        <v>24.776213200000001</v>
      </c>
      <c r="B2761" s="18">
        <v>34.793329200000002</v>
      </c>
      <c r="C2761" s="18">
        <v>681310.07</v>
      </c>
      <c r="D2761" s="18">
        <v>2741357.89</v>
      </c>
      <c r="E2761" s="18">
        <v>349.37</v>
      </c>
      <c r="F2761" s="18">
        <v>41927.279999999999</v>
      </c>
      <c r="G2761" s="18">
        <v>140546</v>
      </c>
      <c r="H2761" s="18">
        <f t="shared" si="78"/>
        <v>41893.279999999999</v>
      </c>
      <c r="I2761" s="12"/>
    </row>
    <row r="2762" spans="1:9" s="2" customFormat="1" ht="21.75" customHeight="1" x14ac:dyDescent="0.55000000000000004">
      <c r="A2762" s="18">
        <v>24.776213500000001</v>
      </c>
      <c r="B2762" s="18">
        <v>34.793353199999999</v>
      </c>
      <c r="C2762" s="18">
        <v>681312.49</v>
      </c>
      <c r="D2762" s="18">
        <v>2741357.96</v>
      </c>
      <c r="E2762" s="18">
        <v>349.41</v>
      </c>
      <c r="F2762" s="18">
        <v>41928.019999999997</v>
      </c>
      <c r="G2762" s="18">
        <v>140548</v>
      </c>
      <c r="H2762" s="18">
        <f t="shared" si="78"/>
        <v>41894.019999999997</v>
      </c>
      <c r="I2762" s="12"/>
    </row>
    <row r="2763" spans="1:9" s="2" customFormat="1" ht="21.75" customHeight="1" x14ac:dyDescent="0.55000000000000004">
      <c r="A2763" s="18">
        <v>24.776214199999998</v>
      </c>
      <c r="B2763" s="18">
        <v>34.793379899999998</v>
      </c>
      <c r="C2763" s="18">
        <v>681315.2</v>
      </c>
      <c r="D2763" s="18">
        <v>2741358.08</v>
      </c>
      <c r="E2763" s="18">
        <v>349.25</v>
      </c>
      <c r="F2763" s="18">
        <v>41926.65</v>
      </c>
      <c r="G2763" s="18">
        <v>140550</v>
      </c>
      <c r="H2763" s="18">
        <f t="shared" si="78"/>
        <v>41892.65</v>
      </c>
      <c r="I2763" s="12"/>
    </row>
    <row r="2764" spans="1:9" s="2" customFormat="1" ht="21.75" customHeight="1" x14ac:dyDescent="0.55000000000000004">
      <c r="A2764" s="18">
        <v>24.7762131</v>
      </c>
      <c r="B2764" s="18">
        <v>34.793406599999997</v>
      </c>
      <c r="C2764" s="18">
        <v>681317.9</v>
      </c>
      <c r="D2764" s="18">
        <v>2741357.98</v>
      </c>
      <c r="E2764" s="18">
        <v>349.58</v>
      </c>
      <c r="F2764" s="18">
        <v>41926.589999999997</v>
      </c>
      <c r="G2764" s="18">
        <v>140552</v>
      </c>
      <c r="H2764" s="18">
        <f t="shared" si="78"/>
        <v>41892.589999999997</v>
      </c>
      <c r="I2764" s="12"/>
    </row>
    <row r="2765" spans="1:9" s="2" customFormat="1" ht="21.75" customHeight="1" x14ac:dyDescent="0.55000000000000004">
      <c r="A2765" s="18">
        <v>24.776213500000001</v>
      </c>
      <c r="B2765" s="18">
        <v>34.793412199999999</v>
      </c>
      <c r="C2765" s="18">
        <v>681318.46</v>
      </c>
      <c r="D2765" s="18">
        <v>2741358.04</v>
      </c>
      <c r="E2765" s="18">
        <v>349.85</v>
      </c>
      <c r="F2765" s="18">
        <v>41930.49</v>
      </c>
      <c r="G2765" s="18">
        <v>140554</v>
      </c>
      <c r="H2765" s="18">
        <f t="shared" si="78"/>
        <v>41896.49</v>
      </c>
      <c r="I2765" s="12"/>
    </row>
    <row r="2766" spans="1:9" s="2" customFormat="1" ht="21.75" customHeight="1" x14ac:dyDescent="0.55000000000000004">
      <c r="A2766" s="18">
        <v>24.776221700000001</v>
      </c>
      <c r="B2766" s="18">
        <v>34.793417599999998</v>
      </c>
      <c r="C2766" s="18">
        <v>681318.99</v>
      </c>
      <c r="D2766" s="18">
        <v>2741358.95</v>
      </c>
      <c r="E2766" s="18">
        <v>349.94</v>
      </c>
      <c r="F2766" s="18">
        <v>41920.71</v>
      </c>
      <c r="G2766" s="18">
        <v>140556</v>
      </c>
      <c r="H2766" s="18">
        <f t="shared" si="78"/>
        <v>41886.71</v>
      </c>
      <c r="I2766" s="12"/>
    </row>
    <row r="2767" spans="1:9" s="2" customFormat="1" ht="21.75" customHeight="1" x14ac:dyDescent="0.55000000000000004">
      <c r="A2767" s="18">
        <v>24.776233399999999</v>
      </c>
      <c r="B2767" s="18">
        <v>34.793421700000003</v>
      </c>
      <c r="C2767" s="18">
        <v>681319.4</v>
      </c>
      <c r="D2767" s="18">
        <v>2741360.26</v>
      </c>
      <c r="E2767" s="18">
        <v>350.3</v>
      </c>
      <c r="F2767" s="18">
        <v>41927.730000000003</v>
      </c>
      <c r="G2767" s="18">
        <v>140558</v>
      </c>
      <c r="H2767" s="18">
        <f t="shared" si="78"/>
        <v>41893.730000000003</v>
      </c>
      <c r="I2767" s="12"/>
    </row>
    <row r="2768" spans="1:9" s="2" customFormat="1" ht="21.75" customHeight="1" x14ac:dyDescent="0.55000000000000004">
      <c r="A2768" s="18">
        <v>24.776244899999998</v>
      </c>
      <c r="B2768" s="18">
        <v>34.793428400000003</v>
      </c>
      <c r="C2768" s="18">
        <v>681320.05</v>
      </c>
      <c r="D2768" s="18">
        <v>2741361.54</v>
      </c>
      <c r="E2768" s="18">
        <v>350.51</v>
      </c>
      <c r="F2768" s="18">
        <v>41925.71</v>
      </c>
      <c r="G2768" s="18">
        <v>140600</v>
      </c>
      <c r="H2768" s="18">
        <f t="shared" si="78"/>
        <v>41891.71</v>
      </c>
      <c r="I2768" s="12"/>
    </row>
    <row r="2769" spans="1:9" s="2" customFormat="1" ht="21.75" customHeight="1" x14ac:dyDescent="0.55000000000000004">
      <c r="A2769" s="18">
        <v>24.7762502</v>
      </c>
      <c r="B2769" s="18">
        <v>34.793431599999998</v>
      </c>
      <c r="C2769" s="18">
        <v>681320.37</v>
      </c>
      <c r="D2769" s="18">
        <v>2741362.13</v>
      </c>
      <c r="E2769" s="18">
        <v>350.62</v>
      </c>
      <c r="F2769" s="18">
        <v>41931.01</v>
      </c>
      <c r="G2769" s="18">
        <v>140602</v>
      </c>
      <c r="H2769" s="18">
        <f t="shared" si="78"/>
        <v>41897.01</v>
      </c>
      <c r="I2769" s="12"/>
    </row>
    <row r="2770" spans="1:9" s="2" customFormat="1" ht="21.75" customHeight="1" x14ac:dyDescent="0.55000000000000004">
      <c r="A2770" s="18">
        <v>24.776252299999999</v>
      </c>
      <c r="B2770" s="18">
        <v>34.793447899999997</v>
      </c>
      <c r="C2770" s="18">
        <v>681322.02</v>
      </c>
      <c r="D2770" s="18">
        <v>2741362.38</v>
      </c>
      <c r="E2770" s="18">
        <v>351.13</v>
      </c>
      <c r="F2770" s="18">
        <v>41928.230000000003</v>
      </c>
      <c r="G2770" s="18">
        <v>140604</v>
      </c>
      <c r="H2770" s="18">
        <f t="shared" si="78"/>
        <v>41894.230000000003</v>
      </c>
      <c r="I2770" s="12"/>
    </row>
    <row r="2771" spans="1:9" s="2" customFormat="1" ht="21.75" customHeight="1" x14ac:dyDescent="0.55000000000000004">
      <c r="A2771" s="18">
        <v>24.7762441</v>
      </c>
      <c r="B2771" s="18">
        <v>34.793465900000001</v>
      </c>
      <c r="C2771" s="18">
        <v>681323.85</v>
      </c>
      <c r="D2771" s="18">
        <v>2741361.49</v>
      </c>
      <c r="E2771" s="18">
        <v>351.53</v>
      </c>
      <c r="F2771" s="18">
        <v>41930.31</v>
      </c>
      <c r="G2771" s="18">
        <v>140606</v>
      </c>
      <c r="H2771" s="18">
        <f t="shared" si="78"/>
        <v>41896.31</v>
      </c>
      <c r="I2771" s="12"/>
    </row>
    <row r="2772" spans="1:9" s="2" customFormat="1" ht="21.75" customHeight="1" x14ac:dyDescent="0.55000000000000004">
      <c r="A2772" s="18">
        <v>24.776232400000001</v>
      </c>
      <c r="B2772" s="18">
        <v>34.793484499999998</v>
      </c>
      <c r="C2772" s="18">
        <v>681325.75</v>
      </c>
      <c r="D2772" s="18">
        <v>2741360.23</v>
      </c>
      <c r="E2772" s="18">
        <v>352.11</v>
      </c>
      <c r="F2772" s="18">
        <v>41933.980000000003</v>
      </c>
      <c r="G2772" s="18">
        <v>140608</v>
      </c>
      <c r="H2772" s="18">
        <f t="shared" si="78"/>
        <v>41899.980000000003</v>
      </c>
      <c r="I2772" s="12"/>
    </row>
    <row r="2773" spans="1:9" s="2" customFormat="1" ht="21.75" customHeight="1" x14ac:dyDescent="0.55000000000000004">
      <c r="A2773" s="18">
        <v>24.776232</v>
      </c>
      <c r="B2773" s="18">
        <v>34.7935041</v>
      </c>
      <c r="C2773" s="18">
        <v>681327.73</v>
      </c>
      <c r="D2773" s="18">
        <v>2741360.21</v>
      </c>
      <c r="E2773" s="18">
        <v>352.72</v>
      </c>
      <c r="F2773" s="18">
        <v>41931.660000000003</v>
      </c>
      <c r="G2773" s="18">
        <v>140610</v>
      </c>
      <c r="H2773" s="18">
        <f t="shared" si="78"/>
        <v>41897.660000000003</v>
      </c>
      <c r="I2773" s="12"/>
    </row>
    <row r="2774" spans="1:9" s="2" customFormat="1" ht="21.75" customHeight="1" x14ac:dyDescent="0.55000000000000004">
      <c r="A2774" s="18">
        <v>24.776230900000002</v>
      </c>
      <c r="B2774" s="18">
        <v>34.793521699999999</v>
      </c>
      <c r="C2774" s="18">
        <v>681329.51</v>
      </c>
      <c r="D2774" s="18">
        <v>2741360.11</v>
      </c>
      <c r="E2774" s="18">
        <v>353.4</v>
      </c>
      <c r="F2774" s="18">
        <v>41932.370000000003</v>
      </c>
      <c r="G2774" s="18">
        <v>140612</v>
      </c>
      <c r="H2774" s="18">
        <f t="shared" si="78"/>
        <v>41898.370000000003</v>
      </c>
      <c r="I2774" s="12"/>
    </row>
    <row r="2775" spans="1:9" s="2" customFormat="1" ht="21.75" customHeight="1" x14ac:dyDescent="0.55000000000000004">
      <c r="A2775" s="18">
        <v>24.776230999999999</v>
      </c>
      <c r="B2775" s="18">
        <v>34.793540999999998</v>
      </c>
      <c r="C2775" s="18">
        <v>681331.46</v>
      </c>
      <c r="D2775" s="18">
        <v>2741360.15</v>
      </c>
      <c r="E2775" s="18">
        <v>353.97</v>
      </c>
      <c r="F2775" s="18">
        <v>41931.26</v>
      </c>
      <c r="G2775" s="18">
        <v>140614</v>
      </c>
      <c r="H2775" s="18">
        <f t="shared" si="78"/>
        <v>41897.26</v>
      </c>
      <c r="I2775" s="12"/>
    </row>
    <row r="2776" spans="1:9" s="2" customFormat="1" ht="21.75" customHeight="1" x14ac:dyDescent="0.55000000000000004">
      <c r="A2776" s="18">
        <v>24.7762314</v>
      </c>
      <c r="B2776" s="18">
        <v>34.793553899999999</v>
      </c>
      <c r="C2776" s="18">
        <v>681332.76</v>
      </c>
      <c r="D2776" s="18">
        <v>2741360.2</v>
      </c>
      <c r="E2776" s="18">
        <v>354.7</v>
      </c>
      <c r="F2776" s="18">
        <v>41931.54</v>
      </c>
      <c r="G2776" s="18">
        <v>140616</v>
      </c>
      <c r="H2776" s="18">
        <f t="shared" si="78"/>
        <v>41897.54</v>
      </c>
      <c r="I2776" s="12"/>
    </row>
    <row r="2777" spans="1:9" s="2" customFormat="1" ht="21.75" customHeight="1" x14ac:dyDescent="0.55000000000000004">
      <c r="A2777" s="18">
        <v>24.776234599999999</v>
      </c>
      <c r="B2777" s="18">
        <v>34.793571900000003</v>
      </c>
      <c r="C2777" s="18">
        <v>681334.58</v>
      </c>
      <c r="D2777" s="18">
        <v>2741360.59</v>
      </c>
      <c r="E2777" s="18">
        <v>355.23</v>
      </c>
      <c r="F2777" s="18">
        <v>41927.949999999997</v>
      </c>
      <c r="G2777" s="18">
        <v>140618</v>
      </c>
      <c r="H2777" s="18">
        <f t="shared" si="78"/>
        <v>41893.949999999997</v>
      </c>
      <c r="I2777" s="12"/>
    </row>
    <row r="2778" spans="1:9" s="2" customFormat="1" ht="21.75" customHeight="1" x14ac:dyDescent="0.55000000000000004">
      <c r="A2778" s="18">
        <v>24.776235700000001</v>
      </c>
      <c r="B2778" s="18">
        <v>34.793585200000003</v>
      </c>
      <c r="C2778" s="18">
        <v>681335.92</v>
      </c>
      <c r="D2778" s="18">
        <v>2741360.73</v>
      </c>
      <c r="E2778" s="18">
        <v>355.97</v>
      </c>
      <c r="F2778" s="18">
        <v>41930.67</v>
      </c>
      <c r="G2778" s="18">
        <v>140620</v>
      </c>
      <c r="H2778" s="18">
        <f t="shared" si="78"/>
        <v>41896.67</v>
      </c>
      <c r="I2778" s="12"/>
    </row>
    <row r="2779" spans="1:9" s="2" customFormat="1" ht="21.75" customHeight="1" x14ac:dyDescent="0.55000000000000004">
      <c r="A2779" s="18">
        <v>24.7762329</v>
      </c>
      <c r="B2779" s="18">
        <v>34.793599499999999</v>
      </c>
      <c r="C2779" s="18">
        <v>681337.38</v>
      </c>
      <c r="D2779" s="18">
        <v>2741360.43</v>
      </c>
      <c r="E2779" s="18">
        <v>356.78</v>
      </c>
      <c r="F2779" s="18">
        <v>41930.18</v>
      </c>
      <c r="G2779" s="18">
        <v>140622</v>
      </c>
      <c r="H2779" s="18">
        <f t="shared" si="78"/>
        <v>41896.18</v>
      </c>
      <c r="I2779" s="12"/>
    </row>
    <row r="2780" spans="1:9" s="2" customFormat="1" ht="21.75" customHeight="1" x14ac:dyDescent="0.55000000000000004">
      <c r="A2780" s="18">
        <v>24.776236300000001</v>
      </c>
      <c r="B2780" s="18">
        <v>34.793614300000002</v>
      </c>
      <c r="C2780" s="18">
        <v>681338.87</v>
      </c>
      <c r="D2780" s="18">
        <v>2741360.83</v>
      </c>
      <c r="E2780" s="18">
        <v>357.41</v>
      </c>
      <c r="F2780" s="18">
        <v>41930.28</v>
      </c>
      <c r="G2780" s="18">
        <v>140624</v>
      </c>
      <c r="H2780" s="18">
        <f t="shared" si="78"/>
        <v>41896.28</v>
      </c>
      <c r="I2780" s="12"/>
    </row>
    <row r="2781" spans="1:9" s="2" customFormat="1" ht="21.75" customHeight="1" x14ac:dyDescent="0.55000000000000004">
      <c r="A2781" s="18">
        <v>24.776230699999999</v>
      </c>
      <c r="B2781" s="18">
        <v>34.793627700000002</v>
      </c>
      <c r="C2781" s="18">
        <v>681340.23</v>
      </c>
      <c r="D2781" s="18">
        <v>2741360.23</v>
      </c>
      <c r="E2781" s="18">
        <v>357.99</v>
      </c>
      <c r="F2781" s="18">
        <v>41930.300000000003</v>
      </c>
      <c r="G2781" s="18">
        <v>140626</v>
      </c>
      <c r="H2781" s="18">
        <f t="shared" si="78"/>
        <v>41896.300000000003</v>
      </c>
      <c r="I2781" s="12"/>
    </row>
    <row r="2782" spans="1:9" s="2" customFormat="1" ht="21.75" customHeight="1" x14ac:dyDescent="0.55000000000000004">
      <c r="A2782" s="18">
        <v>24.776230999999999</v>
      </c>
      <c r="B2782" s="18">
        <v>34.793635500000001</v>
      </c>
      <c r="C2782" s="18">
        <v>681341.02</v>
      </c>
      <c r="D2782" s="18">
        <v>2741360.28</v>
      </c>
      <c r="E2782" s="18">
        <v>358.75</v>
      </c>
      <c r="F2782" s="18">
        <v>41933.589999999997</v>
      </c>
      <c r="G2782" s="18">
        <v>140628</v>
      </c>
      <c r="H2782" s="18">
        <f t="shared" ref="H2782:H2838" si="79">SUM(F2782-34)</f>
        <v>41899.589999999997</v>
      </c>
      <c r="I2782" s="12"/>
    </row>
    <row r="2783" spans="1:9" s="2" customFormat="1" ht="21.75" customHeight="1" x14ac:dyDescent="0.55000000000000004">
      <c r="A2783" s="18">
        <v>24.7762256</v>
      </c>
      <c r="B2783" s="18">
        <v>34.793645099999999</v>
      </c>
      <c r="C2783" s="18">
        <v>681341.99</v>
      </c>
      <c r="D2783" s="18">
        <v>2741359.69</v>
      </c>
      <c r="E2783" s="18">
        <v>359.21</v>
      </c>
      <c r="F2783" s="18">
        <v>41934.379999999997</v>
      </c>
      <c r="G2783" s="18">
        <v>140630</v>
      </c>
      <c r="H2783" s="18">
        <f t="shared" si="79"/>
        <v>41900.379999999997</v>
      </c>
      <c r="I2783" s="12"/>
    </row>
    <row r="2784" spans="1:9" s="2" customFormat="1" ht="21.75" customHeight="1" x14ac:dyDescent="0.55000000000000004">
      <c r="A2784" s="18">
        <v>24.776225799999999</v>
      </c>
      <c r="B2784" s="18">
        <v>34.793653599999999</v>
      </c>
      <c r="C2784" s="18">
        <v>681342.86</v>
      </c>
      <c r="D2784" s="18">
        <v>2741359.72</v>
      </c>
      <c r="E2784" s="18">
        <v>359.77</v>
      </c>
      <c r="F2784" s="18">
        <v>41932.120000000003</v>
      </c>
      <c r="G2784" s="18">
        <v>140632</v>
      </c>
      <c r="H2784" s="18">
        <f t="shared" si="79"/>
        <v>41898.120000000003</v>
      </c>
      <c r="I2784" s="12"/>
    </row>
    <row r="2785" spans="1:9" s="2" customFormat="1" ht="21.75" customHeight="1" x14ac:dyDescent="0.55000000000000004">
      <c r="A2785" s="18">
        <v>24.7762201</v>
      </c>
      <c r="B2785" s="18">
        <v>34.793661800000002</v>
      </c>
      <c r="C2785" s="18">
        <v>681343.7</v>
      </c>
      <c r="D2785" s="18">
        <v>2741359.1</v>
      </c>
      <c r="E2785" s="18">
        <v>360.47</v>
      </c>
      <c r="F2785" s="18">
        <v>41931.1</v>
      </c>
      <c r="G2785" s="18">
        <v>140634</v>
      </c>
      <c r="H2785" s="18">
        <f t="shared" si="79"/>
        <v>41897.1</v>
      </c>
      <c r="I2785" s="12"/>
    </row>
    <row r="2786" spans="1:9" s="2" customFormat="1" ht="21.75" customHeight="1" x14ac:dyDescent="0.55000000000000004">
      <c r="A2786" s="18">
        <v>24.7762216</v>
      </c>
      <c r="B2786" s="18">
        <v>34.793671699999997</v>
      </c>
      <c r="C2786" s="18">
        <v>681344.69</v>
      </c>
      <c r="D2786" s="18">
        <v>2741359.28</v>
      </c>
      <c r="E2786" s="18">
        <v>361.17</v>
      </c>
      <c r="F2786" s="18">
        <v>41928.53</v>
      </c>
      <c r="G2786" s="18">
        <v>140636</v>
      </c>
      <c r="H2786" s="18">
        <f t="shared" si="79"/>
        <v>41894.53</v>
      </c>
      <c r="I2786" s="12"/>
    </row>
    <row r="2787" spans="1:9" s="2" customFormat="1" ht="21.75" customHeight="1" x14ac:dyDescent="0.55000000000000004">
      <c r="A2787" s="18">
        <v>24.776219699999999</v>
      </c>
      <c r="B2787" s="18">
        <v>34.7936847</v>
      </c>
      <c r="C2787" s="18">
        <v>681346.01</v>
      </c>
      <c r="D2787" s="18">
        <v>2741359.09</v>
      </c>
      <c r="E2787" s="18">
        <v>361.57</v>
      </c>
      <c r="F2787" s="18">
        <v>41930.39</v>
      </c>
      <c r="G2787" s="18">
        <v>140638</v>
      </c>
      <c r="H2787" s="18">
        <f t="shared" si="79"/>
        <v>41896.39</v>
      </c>
      <c r="I2787" s="12"/>
    </row>
    <row r="2788" spans="1:9" s="2" customFormat="1" ht="21.75" customHeight="1" x14ac:dyDescent="0.55000000000000004">
      <c r="A2788" s="18">
        <v>24.776213500000001</v>
      </c>
      <c r="B2788" s="18">
        <v>34.793700299999998</v>
      </c>
      <c r="C2788" s="18">
        <v>681347.59</v>
      </c>
      <c r="D2788" s="18">
        <v>2741358.41</v>
      </c>
      <c r="E2788" s="18">
        <v>361.91</v>
      </c>
      <c r="F2788" s="18">
        <v>41928.839999999997</v>
      </c>
      <c r="G2788" s="18">
        <v>140640</v>
      </c>
      <c r="H2788" s="18">
        <f t="shared" si="79"/>
        <v>41894.839999999997</v>
      </c>
      <c r="I2788" s="12"/>
    </row>
    <row r="2789" spans="1:9" s="2" customFormat="1" ht="21.75" customHeight="1" x14ac:dyDescent="0.55000000000000004">
      <c r="A2789" s="18">
        <v>24.776209300000001</v>
      </c>
      <c r="B2789" s="18">
        <v>34.793713799999999</v>
      </c>
      <c r="C2789" s="18">
        <v>681348.97</v>
      </c>
      <c r="D2789" s="18">
        <v>2741357.97</v>
      </c>
      <c r="E2789" s="18">
        <v>362.28</v>
      </c>
      <c r="F2789" s="18">
        <v>41927.75</v>
      </c>
      <c r="G2789" s="18">
        <v>140642</v>
      </c>
      <c r="H2789" s="18">
        <f t="shared" si="79"/>
        <v>41893.75</v>
      </c>
      <c r="I2789" s="12"/>
    </row>
    <row r="2790" spans="1:9" s="2" customFormat="1" ht="21.75" customHeight="1" x14ac:dyDescent="0.55000000000000004">
      <c r="A2790" s="18">
        <v>24.776198699999998</v>
      </c>
      <c r="B2790" s="18">
        <v>34.793724699999999</v>
      </c>
      <c r="C2790" s="18">
        <v>681350.08</v>
      </c>
      <c r="D2790" s="18">
        <v>2741356.81</v>
      </c>
      <c r="E2790" s="18">
        <v>362.44</v>
      </c>
      <c r="F2790" s="18">
        <v>41925.480000000003</v>
      </c>
      <c r="G2790" s="18">
        <v>140644</v>
      </c>
      <c r="H2790" s="18">
        <f t="shared" si="79"/>
        <v>41891.480000000003</v>
      </c>
      <c r="I2790" s="12"/>
    </row>
    <row r="2791" spans="1:9" s="2" customFormat="1" ht="21.75" customHeight="1" x14ac:dyDescent="0.55000000000000004">
      <c r="A2791" s="18">
        <v>24.7761858</v>
      </c>
      <c r="B2791" s="18">
        <v>34.793732599999998</v>
      </c>
      <c r="C2791" s="18">
        <v>681350.91</v>
      </c>
      <c r="D2791" s="18">
        <v>2741355.4</v>
      </c>
      <c r="E2791" s="18">
        <v>362.51</v>
      </c>
      <c r="F2791" s="18">
        <v>41926.620000000003</v>
      </c>
      <c r="G2791" s="18">
        <v>140646</v>
      </c>
      <c r="H2791" s="18">
        <f t="shared" si="79"/>
        <v>41892.620000000003</v>
      </c>
      <c r="I2791" s="12"/>
    </row>
    <row r="2792" spans="1:9" s="2" customFormat="1" ht="21.75" customHeight="1" x14ac:dyDescent="0.55000000000000004">
      <c r="A2792" s="18">
        <v>24.7761712</v>
      </c>
      <c r="B2792" s="18">
        <v>34.793743300000003</v>
      </c>
      <c r="C2792" s="18">
        <v>681352</v>
      </c>
      <c r="D2792" s="18">
        <v>2741353.79</v>
      </c>
      <c r="E2792" s="18">
        <v>362.52</v>
      </c>
      <c r="F2792" s="18">
        <v>41926.35</v>
      </c>
      <c r="G2792" s="18">
        <v>140648</v>
      </c>
      <c r="H2792" s="18">
        <f t="shared" si="79"/>
        <v>41892.35</v>
      </c>
      <c r="I2792" s="12"/>
    </row>
    <row r="2793" spans="1:9" s="2" customFormat="1" ht="21.75" customHeight="1" x14ac:dyDescent="0.55000000000000004">
      <c r="A2793" s="18">
        <v>24.7761605</v>
      </c>
      <c r="B2793" s="18">
        <v>34.793757499999998</v>
      </c>
      <c r="C2793" s="18">
        <v>681353.46</v>
      </c>
      <c r="D2793" s="18">
        <v>2741352.62</v>
      </c>
      <c r="E2793" s="18">
        <v>362.53</v>
      </c>
      <c r="F2793" s="18">
        <v>41924.910000000003</v>
      </c>
      <c r="G2793" s="18">
        <v>140650</v>
      </c>
      <c r="H2793" s="18">
        <f t="shared" si="79"/>
        <v>41890.910000000003</v>
      </c>
      <c r="I2793" s="12"/>
    </row>
    <row r="2794" spans="1:9" s="2" customFormat="1" ht="21.75" customHeight="1" x14ac:dyDescent="0.55000000000000004">
      <c r="A2794" s="18">
        <v>24.776152</v>
      </c>
      <c r="B2794" s="18">
        <v>34.793770199999997</v>
      </c>
      <c r="C2794" s="18">
        <v>681354.75</v>
      </c>
      <c r="D2794" s="18">
        <v>2741351.7</v>
      </c>
      <c r="E2794" s="18">
        <v>362.45</v>
      </c>
      <c r="F2794" s="18">
        <v>41925.620000000003</v>
      </c>
      <c r="G2794" s="18">
        <v>140652</v>
      </c>
      <c r="H2794" s="18">
        <f t="shared" si="79"/>
        <v>41891.620000000003</v>
      </c>
      <c r="I2794" s="12"/>
    </row>
    <row r="2795" spans="1:9" s="2" customFormat="1" ht="21.75" customHeight="1" x14ac:dyDescent="0.55000000000000004">
      <c r="A2795" s="18">
        <v>24.7761481</v>
      </c>
      <c r="B2795" s="18">
        <v>34.793781299999999</v>
      </c>
      <c r="C2795" s="18">
        <v>681355.88</v>
      </c>
      <c r="D2795" s="18">
        <v>2741351.28</v>
      </c>
      <c r="E2795" s="18">
        <v>362.36</v>
      </c>
      <c r="F2795" s="18">
        <v>41928.980000000003</v>
      </c>
      <c r="G2795" s="18">
        <v>140654</v>
      </c>
      <c r="H2795" s="18">
        <f t="shared" si="79"/>
        <v>41894.980000000003</v>
      </c>
      <c r="I2795" s="12"/>
    </row>
    <row r="2796" spans="1:9" s="2" customFormat="1" ht="21.75" customHeight="1" x14ac:dyDescent="0.55000000000000004">
      <c r="A2796" s="18">
        <v>24.776139000000001</v>
      </c>
      <c r="B2796" s="18">
        <v>34.793793800000003</v>
      </c>
      <c r="C2796" s="18">
        <v>681357.15</v>
      </c>
      <c r="D2796" s="18">
        <v>2741350.29</v>
      </c>
      <c r="E2796" s="18">
        <v>362.12</v>
      </c>
      <c r="F2796" s="18">
        <v>41925.300000000003</v>
      </c>
      <c r="G2796" s="18">
        <v>140656</v>
      </c>
      <c r="H2796" s="18">
        <f t="shared" si="79"/>
        <v>41891.300000000003</v>
      </c>
      <c r="I2796" s="12"/>
    </row>
    <row r="2797" spans="1:9" s="2" customFormat="1" ht="21.75" customHeight="1" x14ac:dyDescent="0.55000000000000004">
      <c r="A2797" s="18">
        <v>24.776132400000002</v>
      </c>
      <c r="B2797" s="18">
        <v>34.7938081</v>
      </c>
      <c r="C2797" s="18">
        <v>681358.61</v>
      </c>
      <c r="D2797" s="18">
        <v>2741349.58</v>
      </c>
      <c r="E2797" s="18">
        <v>361.74</v>
      </c>
      <c r="F2797" s="18">
        <v>41927.019999999997</v>
      </c>
      <c r="G2797" s="18">
        <v>140658</v>
      </c>
      <c r="H2797" s="18">
        <f t="shared" si="79"/>
        <v>41893.019999999997</v>
      </c>
      <c r="I2797" s="12"/>
    </row>
    <row r="2798" spans="1:9" s="2" customFormat="1" ht="21.75" customHeight="1" x14ac:dyDescent="0.55000000000000004">
      <c r="A2798" s="18">
        <v>24.7761256</v>
      </c>
      <c r="B2798" s="18">
        <v>34.793822599999999</v>
      </c>
      <c r="C2798" s="18">
        <v>681360.09</v>
      </c>
      <c r="D2798" s="18">
        <v>2741348.85</v>
      </c>
      <c r="E2798" s="18">
        <v>361.28</v>
      </c>
      <c r="F2798" s="18">
        <v>41925.089999999997</v>
      </c>
      <c r="G2798" s="18">
        <v>140700</v>
      </c>
      <c r="H2798" s="18">
        <f t="shared" si="79"/>
        <v>41891.089999999997</v>
      </c>
      <c r="I2798" s="12"/>
    </row>
    <row r="2799" spans="1:9" s="2" customFormat="1" ht="21.75" customHeight="1" x14ac:dyDescent="0.55000000000000004">
      <c r="A2799" s="18">
        <v>24.776114199999999</v>
      </c>
      <c r="B2799" s="18">
        <v>34.793835100000003</v>
      </c>
      <c r="C2799" s="18">
        <v>681361.37</v>
      </c>
      <c r="D2799" s="18">
        <v>2741347.6</v>
      </c>
      <c r="E2799" s="18">
        <v>360.98</v>
      </c>
      <c r="F2799" s="18">
        <v>41925.65</v>
      </c>
      <c r="G2799" s="18">
        <v>140702</v>
      </c>
      <c r="H2799" s="18">
        <f t="shared" si="79"/>
        <v>41891.65</v>
      </c>
      <c r="I2799" s="12"/>
    </row>
    <row r="2800" spans="1:9" s="2" customFormat="1" ht="21.75" customHeight="1" x14ac:dyDescent="0.55000000000000004">
      <c r="A2800" s="18">
        <v>24.776102900000001</v>
      </c>
      <c r="B2800" s="18">
        <v>34.793848799999999</v>
      </c>
      <c r="C2800" s="18">
        <v>681362.77</v>
      </c>
      <c r="D2800" s="18">
        <v>2741346.36</v>
      </c>
      <c r="E2800" s="18">
        <v>360.96</v>
      </c>
      <c r="F2800" s="18">
        <v>41924.46</v>
      </c>
      <c r="G2800" s="18">
        <v>140704</v>
      </c>
      <c r="H2800" s="18">
        <f t="shared" si="79"/>
        <v>41890.46</v>
      </c>
      <c r="I2800" s="12"/>
    </row>
    <row r="2801" spans="1:9" s="2" customFormat="1" ht="21.75" customHeight="1" x14ac:dyDescent="0.55000000000000004">
      <c r="A2801" s="18">
        <v>24.7760994</v>
      </c>
      <c r="B2801" s="18">
        <v>34.793858700000001</v>
      </c>
      <c r="C2801" s="18">
        <v>681363.78</v>
      </c>
      <c r="D2801" s="18">
        <v>2741346</v>
      </c>
      <c r="E2801" s="18">
        <v>360.75</v>
      </c>
      <c r="F2801" s="18">
        <v>41924.620000000003</v>
      </c>
      <c r="G2801" s="18">
        <v>140706</v>
      </c>
      <c r="H2801" s="18">
        <f t="shared" si="79"/>
        <v>41890.620000000003</v>
      </c>
      <c r="I2801" s="12"/>
    </row>
    <row r="2802" spans="1:9" s="2" customFormat="1" ht="21.75" customHeight="1" x14ac:dyDescent="0.55000000000000004">
      <c r="A2802" s="18">
        <v>24.776097700000001</v>
      </c>
      <c r="B2802" s="18">
        <v>34.793873300000001</v>
      </c>
      <c r="C2802" s="18">
        <v>681365.26</v>
      </c>
      <c r="D2802" s="18">
        <v>2741345.83</v>
      </c>
      <c r="E2802" s="18">
        <v>360.11</v>
      </c>
      <c r="F2802" s="18">
        <v>41920.74</v>
      </c>
      <c r="G2802" s="18">
        <v>140708</v>
      </c>
      <c r="H2802" s="18">
        <f t="shared" si="79"/>
        <v>41886.74</v>
      </c>
      <c r="I2802" s="12"/>
    </row>
    <row r="2803" spans="1:9" s="2" customFormat="1" ht="21.75" customHeight="1" x14ac:dyDescent="0.55000000000000004">
      <c r="A2803" s="18">
        <v>24.776103599999999</v>
      </c>
      <c r="B2803" s="18">
        <v>34.793883299999997</v>
      </c>
      <c r="C2803" s="18">
        <v>681366.26</v>
      </c>
      <c r="D2803" s="18">
        <v>2741346.49</v>
      </c>
      <c r="E2803" s="18">
        <v>359.57</v>
      </c>
      <c r="F2803" s="18">
        <v>41923.5</v>
      </c>
      <c r="G2803" s="18">
        <v>140710</v>
      </c>
      <c r="H2803" s="18">
        <f t="shared" si="79"/>
        <v>41889.5</v>
      </c>
      <c r="I2803" s="12"/>
    </row>
    <row r="2804" spans="1:9" s="2" customFormat="1" ht="21.75" customHeight="1" x14ac:dyDescent="0.55000000000000004">
      <c r="A2804" s="18">
        <v>24.776116399999999</v>
      </c>
      <c r="B2804" s="18">
        <v>34.793884400000003</v>
      </c>
      <c r="C2804" s="18">
        <v>681366.35</v>
      </c>
      <c r="D2804" s="18">
        <v>2741347.9</v>
      </c>
      <c r="E2804" s="18">
        <v>359.14</v>
      </c>
      <c r="F2804" s="18">
        <v>41924.76</v>
      </c>
      <c r="G2804" s="18">
        <v>140712</v>
      </c>
      <c r="H2804" s="18">
        <f t="shared" si="79"/>
        <v>41890.76</v>
      </c>
      <c r="I2804" s="12"/>
    </row>
    <row r="2805" spans="1:9" s="2" customFormat="1" ht="21.75" customHeight="1" x14ac:dyDescent="0.55000000000000004">
      <c r="A2805" s="18">
        <v>24.776127599999999</v>
      </c>
      <c r="B2805" s="18">
        <v>34.793895800000001</v>
      </c>
      <c r="C2805" s="18">
        <v>681367.49</v>
      </c>
      <c r="D2805" s="18">
        <v>2741349.17</v>
      </c>
      <c r="E2805" s="18">
        <v>358.56</v>
      </c>
      <c r="F2805" s="18">
        <v>41926.43</v>
      </c>
      <c r="G2805" s="18">
        <v>140714</v>
      </c>
      <c r="H2805" s="18">
        <f t="shared" si="79"/>
        <v>41892.43</v>
      </c>
      <c r="I2805" s="12"/>
    </row>
    <row r="2806" spans="1:9" s="2" customFormat="1" ht="21.75" customHeight="1" x14ac:dyDescent="0.55000000000000004">
      <c r="A2806" s="18">
        <v>24.776133900000001</v>
      </c>
      <c r="B2806" s="18">
        <v>34.793903999999998</v>
      </c>
      <c r="C2806" s="18">
        <v>681368.31</v>
      </c>
      <c r="D2806" s="18">
        <v>2741349.88</v>
      </c>
      <c r="E2806" s="18">
        <v>358.44</v>
      </c>
      <c r="F2806" s="18">
        <v>41925.99</v>
      </c>
      <c r="G2806" s="18">
        <v>140716</v>
      </c>
      <c r="H2806" s="18">
        <f t="shared" si="79"/>
        <v>41891.99</v>
      </c>
      <c r="I2806" s="12"/>
    </row>
    <row r="2807" spans="1:9" s="2" customFormat="1" ht="21.75" customHeight="1" x14ac:dyDescent="0.55000000000000004">
      <c r="A2807" s="18">
        <v>24.776135400000001</v>
      </c>
      <c r="B2807" s="18">
        <v>34.793912800000001</v>
      </c>
      <c r="C2807" s="18">
        <v>681369.2</v>
      </c>
      <c r="D2807" s="18">
        <v>2741350.05</v>
      </c>
      <c r="E2807" s="18">
        <v>358.14</v>
      </c>
      <c r="F2807" s="18">
        <v>41924.83</v>
      </c>
      <c r="G2807" s="18">
        <v>140718</v>
      </c>
      <c r="H2807" s="18">
        <f t="shared" si="79"/>
        <v>41890.83</v>
      </c>
      <c r="I2807" s="12"/>
    </row>
    <row r="2808" spans="1:9" s="2" customFormat="1" ht="21.75" customHeight="1" x14ac:dyDescent="0.55000000000000004">
      <c r="A2808" s="18">
        <v>24.776136399999999</v>
      </c>
      <c r="B2808" s="18">
        <v>34.793914800000003</v>
      </c>
      <c r="C2808" s="18">
        <v>681369.4</v>
      </c>
      <c r="D2808" s="18">
        <v>2741350.16</v>
      </c>
      <c r="E2808" s="18">
        <v>357.95</v>
      </c>
      <c r="F2808" s="18">
        <v>41923.339999999997</v>
      </c>
      <c r="G2808" s="18">
        <v>140720</v>
      </c>
      <c r="H2808" s="18">
        <f t="shared" si="79"/>
        <v>41889.339999999997</v>
      </c>
      <c r="I2808" s="12"/>
    </row>
    <row r="2809" spans="1:9" s="2" customFormat="1" ht="21.75" customHeight="1" x14ac:dyDescent="0.55000000000000004">
      <c r="A2809" s="18">
        <v>24.776138199999998</v>
      </c>
      <c r="B2809" s="18">
        <v>34.793919199999998</v>
      </c>
      <c r="C2809" s="18">
        <v>681369.84</v>
      </c>
      <c r="D2809" s="18">
        <v>2741350.37</v>
      </c>
      <c r="E2809" s="18">
        <v>357.83</v>
      </c>
      <c r="F2809" s="18">
        <v>41922.68</v>
      </c>
      <c r="G2809" s="18">
        <v>140722</v>
      </c>
      <c r="H2809" s="18">
        <f t="shared" si="79"/>
        <v>41888.68</v>
      </c>
      <c r="I2809" s="12"/>
    </row>
    <row r="2810" spans="1:9" s="2" customFormat="1" ht="21.75" customHeight="1" x14ac:dyDescent="0.55000000000000004">
      <c r="A2810" s="18">
        <v>24.776147699999999</v>
      </c>
      <c r="B2810" s="18">
        <v>34.793919600000002</v>
      </c>
      <c r="C2810" s="18">
        <v>681369.87</v>
      </c>
      <c r="D2810" s="18">
        <v>2741351.42</v>
      </c>
      <c r="E2810" s="18">
        <v>357.73</v>
      </c>
      <c r="F2810" s="18">
        <v>41925.129999999997</v>
      </c>
      <c r="G2810" s="18">
        <v>140724</v>
      </c>
      <c r="H2810" s="18">
        <f t="shared" si="79"/>
        <v>41891.129999999997</v>
      </c>
      <c r="I2810" s="12"/>
    </row>
    <row r="2811" spans="1:9" s="2" customFormat="1" ht="21.75" customHeight="1" x14ac:dyDescent="0.55000000000000004">
      <c r="A2811" s="18">
        <v>24.776151500000001</v>
      </c>
      <c r="B2811" s="18">
        <v>34.793921599999997</v>
      </c>
      <c r="C2811" s="18">
        <v>681370.06</v>
      </c>
      <c r="D2811" s="18">
        <v>2741351.84</v>
      </c>
      <c r="E2811" s="18">
        <v>357.61</v>
      </c>
      <c r="F2811" s="18">
        <v>41924.370000000003</v>
      </c>
      <c r="G2811" s="18">
        <v>140726</v>
      </c>
      <c r="H2811" s="18">
        <f t="shared" si="79"/>
        <v>41890.370000000003</v>
      </c>
      <c r="I2811" s="12"/>
    </row>
    <row r="2812" spans="1:9" s="2" customFormat="1" ht="21.75" customHeight="1" x14ac:dyDescent="0.55000000000000004">
      <c r="A2812" s="18">
        <v>24.7761511</v>
      </c>
      <c r="B2812" s="18">
        <v>34.793921400000002</v>
      </c>
      <c r="C2812" s="18">
        <v>681370.05</v>
      </c>
      <c r="D2812" s="18">
        <v>2741351.8</v>
      </c>
      <c r="E2812" s="18">
        <v>357.62</v>
      </c>
      <c r="F2812" s="18">
        <v>41922.620000000003</v>
      </c>
      <c r="G2812" s="18">
        <v>140728</v>
      </c>
      <c r="H2812" s="18">
        <f t="shared" si="79"/>
        <v>41888.620000000003</v>
      </c>
      <c r="I2812" s="12"/>
    </row>
    <row r="2813" spans="1:9" s="2" customFormat="1" ht="21.75" customHeight="1" x14ac:dyDescent="0.55000000000000004">
      <c r="A2813" s="18">
        <v>24.776150999999999</v>
      </c>
      <c r="B2813" s="18">
        <v>34.793920800000002</v>
      </c>
      <c r="C2813" s="18">
        <v>681369.99</v>
      </c>
      <c r="D2813" s="18">
        <v>2741351.79</v>
      </c>
      <c r="E2813" s="18">
        <v>357.64</v>
      </c>
      <c r="F2813" s="18">
        <v>41923.26</v>
      </c>
      <c r="G2813" s="18">
        <v>140730</v>
      </c>
      <c r="H2813" s="18">
        <f t="shared" si="79"/>
        <v>41889.26</v>
      </c>
      <c r="I2813" s="12"/>
    </row>
    <row r="2814" spans="1:9" s="2" customFormat="1" ht="21.75" customHeight="1" x14ac:dyDescent="0.55000000000000004">
      <c r="A2814" s="18">
        <v>24.7761508</v>
      </c>
      <c r="B2814" s="18">
        <v>34.793920200000002</v>
      </c>
      <c r="C2814" s="18">
        <v>681369.92</v>
      </c>
      <c r="D2814" s="18">
        <v>2741351.77</v>
      </c>
      <c r="E2814" s="18">
        <v>357.65</v>
      </c>
      <c r="F2814" s="18">
        <v>41925.040000000001</v>
      </c>
      <c r="G2814" s="18">
        <v>140732</v>
      </c>
      <c r="H2814" s="18">
        <f t="shared" si="79"/>
        <v>41891.040000000001</v>
      </c>
      <c r="I2814" s="12"/>
    </row>
    <row r="2815" spans="1:9" s="2" customFormat="1" ht="21.75" customHeight="1" x14ac:dyDescent="0.55000000000000004">
      <c r="A2815" s="18">
        <v>24.776150699999999</v>
      </c>
      <c r="B2815" s="18">
        <v>34.7939206</v>
      </c>
      <c r="C2815" s="18">
        <v>681369.96</v>
      </c>
      <c r="D2815" s="18">
        <v>2741351.75</v>
      </c>
      <c r="E2815" s="18">
        <v>357.65</v>
      </c>
      <c r="F2815" s="18">
        <v>41923.71</v>
      </c>
      <c r="G2815" s="18">
        <v>140734</v>
      </c>
      <c r="H2815" s="18">
        <f t="shared" si="79"/>
        <v>41889.71</v>
      </c>
      <c r="I2815" s="12"/>
    </row>
    <row r="2816" spans="1:9" s="2" customFormat="1" ht="21.75" customHeight="1" x14ac:dyDescent="0.55000000000000004">
      <c r="A2816" s="18">
        <v>24.776150900000001</v>
      </c>
      <c r="B2816" s="18">
        <v>34.793920700000001</v>
      </c>
      <c r="C2816" s="18">
        <v>681369.97</v>
      </c>
      <c r="D2816" s="18">
        <v>2741351.77</v>
      </c>
      <c r="E2816" s="18">
        <v>357.66</v>
      </c>
      <c r="F2816" s="18">
        <v>41923.53</v>
      </c>
      <c r="G2816" s="18">
        <v>140736</v>
      </c>
      <c r="H2816" s="18">
        <f t="shared" si="79"/>
        <v>41889.53</v>
      </c>
      <c r="I2816" s="12"/>
    </row>
    <row r="2817" spans="1:9" s="2" customFormat="1" ht="21.75" customHeight="1" x14ac:dyDescent="0.55000000000000004">
      <c r="A2817" s="18">
        <v>24.7761523</v>
      </c>
      <c r="B2817" s="18">
        <v>34.7939206</v>
      </c>
      <c r="C2817" s="18">
        <v>681369.97</v>
      </c>
      <c r="D2817" s="18">
        <v>2741351.94</v>
      </c>
      <c r="E2817" s="18">
        <v>357.66</v>
      </c>
      <c r="F2817" s="18">
        <v>41923.93</v>
      </c>
      <c r="G2817" s="18">
        <v>140738</v>
      </c>
      <c r="H2817" s="18">
        <f t="shared" si="79"/>
        <v>41889.93</v>
      </c>
      <c r="I2817" s="12"/>
    </row>
    <row r="2818" spans="1:9" s="2" customFormat="1" ht="21.75" customHeight="1" x14ac:dyDescent="0.55000000000000004">
      <c r="A2818" s="18">
        <v>24.776150300000001</v>
      </c>
      <c r="B2818" s="18">
        <v>34.793920999999997</v>
      </c>
      <c r="C2818" s="18">
        <v>681370.01</v>
      </c>
      <c r="D2818" s="18">
        <v>2741351.71</v>
      </c>
      <c r="E2818" s="18">
        <v>357.69</v>
      </c>
      <c r="F2818" s="18">
        <v>41923.07</v>
      </c>
      <c r="G2818" s="18">
        <v>140740</v>
      </c>
      <c r="H2818" s="18">
        <f t="shared" si="79"/>
        <v>41889.07</v>
      </c>
      <c r="I2818" s="12"/>
    </row>
    <row r="2819" spans="1:9" s="2" customFormat="1" ht="21.75" customHeight="1" x14ac:dyDescent="0.55000000000000004">
      <c r="A2819" s="18">
        <v>24.776145400000001</v>
      </c>
      <c r="B2819" s="18">
        <v>34.793921300000001</v>
      </c>
      <c r="C2819" s="18">
        <v>681370.04</v>
      </c>
      <c r="D2819" s="18">
        <v>2741351.17</v>
      </c>
      <c r="E2819" s="18">
        <v>357.65</v>
      </c>
      <c r="F2819" s="18">
        <v>41926.47</v>
      </c>
      <c r="G2819" s="18">
        <v>140742</v>
      </c>
      <c r="H2819" s="18">
        <f t="shared" si="79"/>
        <v>41892.47</v>
      </c>
      <c r="I2819" s="12"/>
    </row>
    <row r="2820" spans="1:9" s="2" customFormat="1" ht="21.75" customHeight="1" x14ac:dyDescent="0.55000000000000004">
      <c r="A2820" s="18">
        <v>24.776136099999999</v>
      </c>
      <c r="B2820" s="18">
        <v>34.793918499999997</v>
      </c>
      <c r="C2820" s="18">
        <v>681369.78</v>
      </c>
      <c r="D2820" s="18">
        <v>2741350.14</v>
      </c>
      <c r="E2820" s="18">
        <v>357.72</v>
      </c>
      <c r="F2820" s="18">
        <v>41926.730000000003</v>
      </c>
      <c r="G2820" s="18">
        <v>140744</v>
      </c>
      <c r="H2820" s="18">
        <f t="shared" si="79"/>
        <v>41892.730000000003</v>
      </c>
      <c r="I2820" s="12"/>
    </row>
    <row r="2821" spans="1:9" s="2" customFormat="1" ht="21.75" customHeight="1" x14ac:dyDescent="0.55000000000000004">
      <c r="A2821" s="18">
        <v>24.7761289</v>
      </c>
      <c r="B2821" s="18">
        <v>34.793913600000003</v>
      </c>
      <c r="C2821" s="18">
        <v>681369.29</v>
      </c>
      <c r="D2821" s="18">
        <v>2741349.33</v>
      </c>
      <c r="E2821" s="18">
        <v>358.08</v>
      </c>
      <c r="F2821" s="18">
        <v>41923.51</v>
      </c>
      <c r="G2821" s="18">
        <v>140746</v>
      </c>
      <c r="H2821" s="18">
        <f t="shared" si="79"/>
        <v>41889.51</v>
      </c>
      <c r="I2821" s="12"/>
    </row>
    <row r="2822" spans="1:9" s="2" customFormat="1" ht="21.75" customHeight="1" x14ac:dyDescent="0.55000000000000004">
      <c r="A2822" s="18">
        <v>24.776123800000001</v>
      </c>
      <c r="B2822" s="18">
        <v>34.793909300000003</v>
      </c>
      <c r="C2822" s="18">
        <v>681368.86</v>
      </c>
      <c r="D2822" s="18">
        <v>2741348.76</v>
      </c>
      <c r="E2822" s="18">
        <v>358.18</v>
      </c>
      <c r="F2822" s="18">
        <v>41925.97</v>
      </c>
      <c r="G2822" s="18">
        <v>140748</v>
      </c>
      <c r="H2822" s="18">
        <f t="shared" si="79"/>
        <v>41891.97</v>
      </c>
      <c r="I2822" s="12"/>
    </row>
    <row r="2823" spans="1:9" s="2" customFormat="1" ht="21.75" customHeight="1" x14ac:dyDescent="0.55000000000000004">
      <c r="A2823" s="18">
        <v>24.776119300000001</v>
      </c>
      <c r="B2823" s="18">
        <v>34.793891799999997</v>
      </c>
      <c r="C2823" s="18">
        <v>681367.1</v>
      </c>
      <c r="D2823" s="18">
        <v>2741348.24</v>
      </c>
      <c r="E2823" s="18">
        <v>358.67</v>
      </c>
      <c r="F2823" s="18">
        <v>41928.129999999997</v>
      </c>
      <c r="G2823" s="18">
        <v>140750</v>
      </c>
      <c r="H2823" s="18">
        <f t="shared" si="79"/>
        <v>41894.129999999997</v>
      </c>
      <c r="I2823" s="12"/>
    </row>
    <row r="2824" spans="1:9" s="2" customFormat="1" ht="21.75" customHeight="1" x14ac:dyDescent="0.55000000000000004">
      <c r="A2824" s="18">
        <v>24.7761201</v>
      </c>
      <c r="B2824" s="18">
        <v>34.793875200000002</v>
      </c>
      <c r="C2824" s="18">
        <v>681365.42</v>
      </c>
      <c r="D2824" s="18">
        <v>2741348.31</v>
      </c>
      <c r="E2824" s="18">
        <v>359.25</v>
      </c>
      <c r="F2824" s="18">
        <v>41923.949999999997</v>
      </c>
      <c r="G2824" s="18">
        <v>140752</v>
      </c>
      <c r="H2824" s="18">
        <f t="shared" si="79"/>
        <v>41889.949999999997</v>
      </c>
      <c r="I2824" s="12"/>
    </row>
    <row r="2825" spans="1:9" s="2" customFormat="1" ht="21.75" customHeight="1" x14ac:dyDescent="0.55000000000000004">
      <c r="A2825" s="18">
        <v>24.776117500000002</v>
      </c>
      <c r="B2825" s="18">
        <v>34.793855399999998</v>
      </c>
      <c r="C2825" s="18">
        <v>681363.42</v>
      </c>
      <c r="D2825" s="18">
        <v>2741347.99</v>
      </c>
      <c r="E2825" s="18">
        <v>359.88</v>
      </c>
      <c r="F2825" s="18">
        <v>41928.629999999997</v>
      </c>
      <c r="G2825" s="18">
        <v>140754</v>
      </c>
      <c r="H2825" s="18">
        <f t="shared" si="79"/>
        <v>41894.629999999997</v>
      </c>
      <c r="I2825" s="12"/>
    </row>
    <row r="2826" spans="1:9" s="2" customFormat="1" ht="21.75" customHeight="1" x14ac:dyDescent="0.55000000000000004">
      <c r="A2826" s="18">
        <v>24.7761271</v>
      </c>
      <c r="B2826" s="18">
        <v>34.793842400000003</v>
      </c>
      <c r="C2826" s="18">
        <v>681362.09</v>
      </c>
      <c r="D2826" s="18">
        <v>2741349.04</v>
      </c>
      <c r="E2826" s="18">
        <v>360.78</v>
      </c>
      <c r="F2826" s="18">
        <v>41928.43</v>
      </c>
      <c r="G2826" s="18">
        <v>140756</v>
      </c>
      <c r="H2826" s="18">
        <f t="shared" si="79"/>
        <v>41894.43</v>
      </c>
      <c r="I2826" s="12"/>
    </row>
    <row r="2827" spans="1:9" s="2" customFormat="1" ht="21.75" customHeight="1" x14ac:dyDescent="0.55000000000000004">
      <c r="A2827" s="18">
        <v>24.7761359</v>
      </c>
      <c r="B2827" s="18">
        <v>34.793830100000001</v>
      </c>
      <c r="C2827" s="18">
        <v>681360.83</v>
      </c>
      <c r="D2827" s="18">
        <v>2741350</v>
      </c>
      <c r="E2827" s="18">
        <v>361.33</v>
      </c>
      <c r="F2827" s="18">
        <v>41926.58</v>
      </c>
      <c r="G2827" s="18">
        <v>140758</v>
      </c>
      <c r="H2827" s="18">
        <f t="shared" si="79"/>
        <v>41892.58</v>
      </c>
      <c r="I2827" s="12"/>
    </row>
    <row r="2828" spans="1:9" s="2" customFormat="1" ht="21.75" customHeight="1" x14ac:dyDescent="0.55000000000000004">
      <c r="A2828" s="18">
        <v>24.7761499</v>
      </c>
      <c r="B2828" s="18">
        <v>34.793818100000003</v>
      </c>
      <c r="C2828" s="18">
        <v>681359.6</v>
      </c>
      <c r="D2828" s="18">
        <v>2741351.54</v>
      </c>
      <c r="E2828" s="18">
        <v>361.79</v>
      </c>
      <c r="F2828" s="18">
        <v>41925.480000000003</v>
      </c>
      <c r="G2828" s="18">
        <v>140800</v>
      </c>
      <c r="H2828" s="18">
        <f t="shared" si="79"/>
        <v>41891.480000000003</v>
      </c>
      <c r="I2828" s="12"/>
    </row>
    <row r="2829" spans="1:9" s="2" customFormat="1" ht="21.75" customHeight="1" x14ac:dyDescent="0.55000000000000004">
      <c r="A2829" s="18">
        <v>24.776163499999999</v>
      </c>
      <c r="B2829" s="18">
        <v>34.793804700000003</v>
      </c>
      <c r="C2829" s="18">
        <v>681358.22</v>
      </c>
      <c r="D2829" s="18">
        <v>2741353.02</v>
      </c>
      <c r="E2829" s="18">
        <v>362.25</v>
      </c>
      <c r="F2829" s="18">
        <v>41926.42</v>
      </c>
      <c r="G2829" s="18">
        <v>140802</v>
      </c>
      <c r="H2829" s="18">
        <f t="shared" si="79"/>
        <v>41892.42</v>
      </c>
      <c r="I2829" s="12"/>
    </row>
    <row r="2830" spans="1:9" s="2" customFormat="1" ht="21.75" customHeight="1" x14ac:dyDescent="0.55000000000000004">
      <c r="A2830" s="18">
        <v>24.776176499999998</v>
      </c>
      <c r="B2830" s="18">
        <v>34.793793800000003</v>
      </c>
      <c r="C2830" s="18">
        <v>681357.1</v>
      </c>
      <c r="D2830" s="18">
        <v>2741354.45</v>
      </c>
      <c r="E2830" s="18">
        <v>362.87</v>
      </c>
      <c r="F2830" s="18">
        <v>41925.599999999999</v>
      </c>
      <c r="G2830" s="18">
        <v>140804</v>
      </c>
      <c r="H2830" s="18">
        <f t="shared" si="79"/>
        <v>41891.599999999999</v>
      </c>
      <c r="I2830" s="12"/>
    </row>
    <row r="2831" spans="1:9" s="2" customFormat="1" ht="21.75" customHeight="1" x14ac:dyDescent="0.55000000000000004">
      <c r="A2831" s="18">
        <v>24.7761937</v>
      </c>
      <c r="B2831" s="18">
        <v>34.793785999999997</v>
      </c>
      <c r="C2831" s="18">
        <v>681356.29</v>
      </c>
      <c r="D2831" s="18">
        <v>2741356.34</v>
      </c>
      <c r="E2831" s="18">
        <v>363.13</v>
      </c>
      <c r="F2831" s="18">
        <v>41926.76</v>
      </c>
      <c r="G2831" s="18">
        <v>140806</v>
      </c>
      <c r="H2831" s="18">
        <f t="shared" si="79"/>
        <v>41892.76</v>
      </c>
      <c r="I2831" s="12"/>
    </row>
    <row r="2832" spans="1:9" s="2" customFormat="1" ht="21.75" customHeight="1" x14ac:dyDescent="0.55000000000000004">
      <c r="A2832" s="18">
        <v>24.7762052</v>
      </c>
      <c r="B2832" s="18">
        <v>34.793779000000001</v>
      </c>
      <c r="C2832" s="18">
        <v>681355.57</v>
      </c>
      <c r="D2832" s="18">
        <v>2741357.61</v>
      </c>
      <c r="E2832" s="18">
        <v>363.33</v>
      </c>
      <c r="F2832" s="18">
        <v>41926.21</v>
      </c>
      <c r="G2832" s="18">
        <v>140808</v>
      </c>
      <c r="H2832" s="18">
        <f t="shared" si="79"/>
        <v>41892.21</v>
      </c>
      <c r="I2832" s="12"/>
    </row>
    <row r="2833" spans="1:9" s="2" customFormat="1" ht="21.75" customHeight="1" x14ac:dyDescent="0.55000000000000004">
      <c r="A2833" s="18">
        <v>24.776210500000001</v>
      </c>
      <c r="B2833" s="18">
        <v>34.793778099999997</v>
      </c>
      <c r="C2833" s="18">
        <v>681355.47</v>
      </c>
      <c r="D2833" s="18">
        <v>2741358.19</v>
      </c>
      <c r="E2833" s="18">
        <v>363.39</v>
      </c>
      <c r="F2833" s="18">
        <v>41926.69</v>
      </c>
      <c r="G2833" s="18">
        <v>140810</v>
      </c>
      <c r="H2833" s="18">
        <f t="shared" si="79"/>
        <v>41892.69</v>
      </c>
      <c r="I2833" s="12"/>
    </row>
    <row r="2834" spans="1:9" s="2" customFormat="1" ht="21.75" customHeight="1" x14ac:dyDescent="0.55000000000000004">
      <c r="A2834" s="18">
        <v>24.7762159</v>
      </c>
      <c r="B2834" s="18">
        <v>34.793779100000002</v>
      </c>
      <c r="C2834" s="18">
        <v>681355.56</v>
      </c>
      <c r="D2834" s="18">
        <v>2741358.79</v>
      </c>
      <c r="E2834" s="18">
        <v>363.51</v>
      </c>
      <c r="F2834" s="18">
        <v>41927.93</v>
      </c>
      <c r="G2834" s="18">
        <v>140812</v>
      </c>
      <c r="H2834" s="18">
        <f t="shared" si="79"/>
        <v>41893.93</v>
      </c>
      <c r="I2834" s="12"/>
    </row>
    <row r="2835" spans="1:9" s="2" customFormat="1" ht="21.75" customHeight="1" x14ac:dyDescent="0.55000000000000004">
      <c r="A2835" s="18">
        <v>24.776216699999999</v>
      </c>
      <c r="B2835" s="18">
        <v>34.793779700000002</v>
      </c>
      <c r="C2835" s="18">
        <v>681355.62</v>
      </c>
      <c r="D2835" s="18">
        <v>2741358.88</v>
      </c>
      <c r="E2835" s="18">
        <v>363.5</v>
      </c>
      <c r="F2835" s="18">
        <v>41925.43</v>
      </c>
      <c r="G2835" s="18">
        <v>140814</v>
      </c>
      <c r="H2835" s="18">
        <f t="shared" si="79"/>
        <v>41891.43</v>
      </c>
      <c r="I2835" s="12"/>
    </row>
    <row r="2836" spans="1:9" s="2" customFormat="1" ht="21.75" customHeight="1" x14ac:dyDescent="0.55000000000000004">
      <c r="A2836" s="18">
        <v>24.776216999999999</v>
      </c>
      <c r="B2836" s="18">
        <v>34.7937802</v>
      </c>
      <c r="C2836" s="18">
        <v>681355.67</v>
      </c>
      <c r="D2836" s="18">
        <v>2741358.92</v>
      </c>
      <c r="E2836" s="18">
        <v>363.5</v>
      </c>
      <c r="F2836" s="18">
        <v>41926.839999999997</v>
      </c>
      <c r="G2836" s="18">
        <v>140816</v>
      </c>
      <c r="H2836" s="18">
        <f t="shared" si="79"/>
        <v>41892.839999999997</v>
      </c>
      <c r="I2836" s="12"/>
    </row>
    <row r="2837" spans="1:9" s="2" customFormat="1" ht="21.75" customHeight="1" x14ac:dyDescent="0.55000000000000004">
      <c r="A2837" s="18">
        <v>24.776214</v>
      </c>
      <c r="B2837" s="18">
        <v>34.793776200000003</v>
      </c>
      <c r="C2837" s="18">
        <v>681355.27</v>
      </c>
      <c r="D2837" s="18">
        <v>2741358.57</v>
      </c>
      <c r="E2837" s="18">
        <v>363.5</v>
      </c>
      <c r="F2837" s="18">
        <v>41929.17</v>
      </c>
      <c r="G2837" s="18">
        <v>140818</v>
      </c>
      <c r="H2837" s="18">
        <f t="shared" si="79"/>
        <v>41895.17</v>
      </c>
      <c r="I2837" s="12"/>
    </row>
    <row r="2838" spans="1:9" s="2" customFormat="1" ht="21.75" customHeight="1" x14ac:dyDescent="0.55000000000000004">
      <c r="A2838" s="18">
        <v>24.776209300000001</v>
      </c>
      <c r="B2838" s="18">
        <v>34.793776700000002</v>
      </c>
      <c r="C2838" s="18">
        <v>681355.33</v>
      </c>
      <c r="D2838" s="18">
        <v>2741358.06</v>
      </c>
      <c r="E2838" s="18">
        <v>363.38</v>
      </c>
      <c r="F2838" s="18">
        <v>41926.57</v>
      </c>
      <c r="G2838" s="18">
        <v>140820</v>
      </c>
      <c r="H2838" s="18">
        <f t="shared" si="79"/>
        <v>41892.57</v>
      </c>
      <c r="I2838" s="12"/>
    </row>
    <row r="2839" spans="1:9" s="5" customFormat="1" ht="18.3" x14ac:dyDescent="0.55000000000000004">
      <c r="A2839" s="19">
        <v>24.752955499999999</v>
      </c>
      <c r="B2839" s="19">
        <v>34.793596600000001</v>
      </c>
      <c r="C2839" s="19">
        <v>681370.9</v>
      </c>
      <c r="D2839" s="19">
        <v>2738782.21</v>
      </c>
      <c r="E2839" s="19">
        <v>338.94</v>
      </c>
      <c r="F2839" s="19">
        <v>41829.279999999999</v>
      </c>
      <c r="G2839" s="19">
        <v>101452</v>
      </c>
      <c r="H2839" s="19">
        <f>SUM(F2839-3)</f>
        <v>41826.28</v>
      </c>
      <c r="I2839" s="13"/>
    </row>
    <row r="2840" spans="1:9" s="5" customFormat="1" ht="18.3" x14ac:dyDescent="0.55000000000000004">
      <c r="A2840" s="19">
        <v>24.752956399999999</v>
      </c>
      <c r="B2840" s="19">
        <v>34.7935965</v>
      </c>
      <c r="C2840" s="19">
        <v>681370.89</v>
      </c>
      <c r="D2840" s="19">
        <v>2738782.32</v>
      </c>
      <c r="E2840" s="19">
        <v>339.03</v>
      </c>
      <c r="F2840" s="19">
        <v>41829.040000000001</v>
      </c>
      <c r="G2840" s="19">
        <v>101507</v>
      </c>
      <c r="H2840" s="19">
        <f t="shared" ref="H2840:H2874" si="80">SUM(F2840-3)</f>
        <v>41826.04</v>
      </c>
      <c r="I2840" s="13"/>
    </row>
    <row r="2841" spans="1:9" s="5" customFormat="1" ht="18.3" x14ac:dyDescent="0.55000000000000004">
      <c r="A2841" s="19">
        <v>24.751300100000002</v>
      </c>
      <c r="B2841" s="19">
        <v>34.794575100000003</v>
      </c>
      <c r="C2841" s="19">
        <v>681472.27</v>
      </c>
      <c r="D2841" s="19">
        <v>2738600.16</v>
      </c>
      <c r="E2841" s="19">
        <v>341.53</v>
      </c>
      <c r="F2841" s="19">
        <v>41810.080000000002</v>
      </c>
      <c r="G2841" s="19">
        <v>101701</v>
      </c>
      <c r="H2841" s="19">
        <f t="shared" si="80"/>
        <v>41807.08</v>
      </c>
      <c r="I2841" s="13"/>
    </row>
    <row r="2842" spans="1:9" s="5" customFormat="1" ht="18.3" x14ac:dyDescent="0.55000000000000004">
      <c r="A2842" s="19">
        <v>24.751299899999999</v>
      </c>
      <c r="B2842" s="19">
        <v>34.794575199999997</v>
      </c>
      <c r="C2842" s="19">
        <v>681472.28</v>
      </c>
      <c r="D2842" s="19">
        <v>2738600.14</v>
      </c>
      <c r="E2842" s="19">
        <v>341.51</v>
      </c>
      <c r="F2842" s="19">
        <v>41810.129999999997</v>
      </c>
      <c r="G2842" s="19">
        <v>101710</v>
      </c>
      <c r="H2842" s="19">
        <f t="shared" si="80"/>
        <v>41807.129999999997</v>
      </c>
      <c r="I2842" s="13"/>
    </row>
    <row r="2843" spans="1:9" s="5" customFormat="1" ht="18.3" x14ac:dyDescent="0.55000000000000004">
      <c r="A2843" s="19">
        <v>24.749514399999999</v>
      </c>
      <c r="B2843" s="19">
        <v>34.794718899999999</v>
      </c>
      <c r="C2843" s="19">
        <v>681489.42</v>
      </c>
      <c r="D2843" s="19">
        <v>2738402.56</v>
      </c>
      <c r="E2843" s="19">
        <v>345.44</v>
      </c>
      <c r="F2843" s="19">
        <v>41922.449999999997</v>
      </c>
      <c r="G2843" s="19">
        <v>101846</v>
      </c>
      <c r="H2843" s="19">
        <f t="shared" si="80"/>
        <v>41919.449999999997</v>
      </c>
      <c r="I2843" s="13"/>
    </row>
    <row r="2844" spans="1:9" s="5" customFormat="1" ht="18.3" x14ac:dyDescent="0.55000000000000004">
      <c r="A2844" s="19">
        <v>24.749513400000001</v>
      </c>
      <c r="B2844" s="19">
        <v>34.794720599999998</v>
      </c>
      <c r="C2844" s="19">
        <v>681489.58</v>
      </c>
      <c r="D2844" s="19">
        <v>2738402.46</v>
      </c>
      <c r="E2844" s="19">
        <v>345.82</v>
      </c>
      <c r="F2844" s="19">
        <v>41922.300000000003</v>
      </c>
      <c r="G2844" s="19">
        <v>101858</v>
      </c>
      <c r="H2844" s="19">
        <f t="shared" si="80"/>
        <v>41919.300000000003</v>
      </c>
      <c r="I2844" s="13"/>
    </row>
    <row r="2845" spans="1:9" s="5" customFormat="1" ht="18.3" x14ac:dyDescent="0.55000000000000004">
      <c r="A2845" s="19">
        <v>24.7481349</v>
      </c>
      <c r="B2845" s="19">
        <v>34.793500399999999</v>
      </c>
      <c r="C2845" s="19">
        <v>681368.17</v>
      </c>
      <c r="D2845" s="19">
        <v>2738248.16</v>
      </c>
      <c r="E2845" s="19">
        <v>348.35</v>
      </c>
      <c r="F2845" s="19">
        <v>41881.160000000003</v>
      </c>
      <c r="G2845" s="19">
        <v>102031</v>
      </c>
      <c r="H2845" s="19">
        <f t="shared" si="80"/>
        <v>41878.160000000003</v>
      </c>
      <c r="I2845" s="13"/>
    </row>
    <row r="2846" spans="1:9" s="5" customFormat="1" ht="18.3" x14ac:dyDescent="0.55000000000000004">
      <c r="A2846" s="19">
        <v>24.7466735</v>
      </c>
      <c r="B2846" s="19">
        <v>34.7924267</v>
      </c>
      <c r="C2846" s="19">
        <v>681261.69</v>
      </c>
      <c r="D2846" s="19">
        <v>2738084.87</v>
      </c>
      <c r="E2846" s="19">
        <v>350.85</v>
      </c>
      <c r="F2846" s="19">
        <v>41877.919999999998</v>
      </c>
      <c r="G2846" s="19">
        <v>102158</v>
      </c>
      <c r="H2846" s="19">
        <f t="shared" si="80"/>
        <v>41874.92</v>
      </c>
      <c r="I2846" s="13"/>
    </row>
    <row r="2847" spans="1:9" s="5" customFormat="1" ht="18.3" x14ac:dyDescent="0.55000000000000004">
      <c r="A2847" s="19">
        <v>24.746672499999999</v>
      </c>
      <c r="B2847" s="19">
        <v>34.792427099999998</v>
      </c>
      <c r="C2847" s="19">
        <v>681261.73</v>
      </c>
      <c r="D2847" s="19">
        <v>2738084.76</v>
      </c>
      <c r="E2847" s="19">
        <v>350.79</v>
      </c>
      <c r="F2847" s="19">
        <v>41876.33</v>
      </c>
      <c r="G2847" s="19">
        <v>102207</v>
      </c>
      <c r="H2847" s="19">
        <f t="shared" si="80"/>
        <v>41873.33</v>
      </c>
      <c r="I2847" s="13"/>
    </row>
    <row r="2848" spans="1:9" s="5" customFormat="1" ht="18.3" x14ac:dyDescent="0.55000000000000004">
      <c r="A2848" s="19">
        <v>24.745882900000002</v>
      </c>
      <c r="B2848" s="19">
        <v>34.790900299999997</v>
      </c>
      <c r="C2848" s="19">
        <v>681108.44</v>
      </c>
      <c r="D2848" s="19">
        <v>2737995.28</v>
      </c>
      <c r="E2848" s="19">
        <v>353.62</v>
      </c>
      <c r="F2848" s="19">
        <v>41867.69</v>
      </c>
      <c r="G2848" s="19">
        <v>102358</v>
      </c>
      <c r="H2848" s="19">
        <f t="shared" si="80"/>
        <v>41864.69</v>
      </c>
      <c r="I2848" s="13"/>
    </row>
    <row r="2849" spans="1:9" s="5" customFormat="1" ht="18.3" x14ac:dyDescent="0.55000000000000004">
      <c r="A2849" s="19">
        <v>24.745882600000002</v>
      </c>
      <c r="B2849" s="19">
        <v>34.790900299999997</v>
      </c>
      <c r="C2849" s="19">
        <v>681108.45</v>
      </c>
      <c r="D2849" s="19">
        <v>2737995.24</v>
      </c>
      <c r="E2849" s="19">
        <v>353.6</v>
      </c>
      <c r="F2849" s="19">
        <v>41867.22</v>
      </c>
      <c r="G2849" s="19">
        <v>102407</v>
      </c>
      <c r="H2849" s="19">
        <f t="shared" si="80"/>
        <v>41864.22</v>
      </c>
      <c r="I2849" s="13"/>
    </row>
    <row r="2850" spans="1:9" s="5" customFormat="1" ht="18.3" x14ac:dyDescent="0.55000000000000004">
      <c r="A2850" s="19">
        <v>24.744371999999998</v>
      </c>
      <c r="B2850" s="19">
        <v>34.789761900000002</v>
      </c>
      <c r="C2850" s="19">
        <v>680995.49</v>
      </c>
      <c r="D2850" s="19">
        <v>2737826.42</v>
      </c>
      <c r="E2850" s="19">
        <v>355.8</v>
      </c>
      <c r="F2850" s="19">
        <v>41842.410000000003</v>
      </c>
      <c r="G2850" s="19">
        <v>102537</v>
      </c>
      <c r="H2850" s="19">
        <f t="shared" si="80"/>
        <v>41839.410000000003</v>
      </c>
      <c r="I2850" s="13"/>
    </row>
    <row r="2851" spans="1:9" s="5" customFormat="1" ht="18.3" x14ac:dyDescent="0.55000000000000004">
      <c r="A2851" s="19">
        <v>24.744372299999998</v>
      </c>
      <c r="B2851" s="19">
        <v>34.789762000000003</v>
      </c>
      <c r="C2851" s="19">
        <v>680995.5</v>
      </c>
      <c r="D2851" s="19">
        <v>2737826.46</v>
      </c>
      <c r="E2851" s="19">
        <v>355.86</v>
      </c>
      <c r="F2851" s="19">
        <v>41842.61</v>
      </c>
      <c r="G2851" s="19">
        <v>102546</v>
      </c>
      <c r="H2851" s="19">
        <f t="shared" si="80"/>
        <v>41839.61</v>
      </c>
      <c r="I2851" s="13"/>
    </row>
    <row r="2852" spans="1:9" s="5" customFormat="1" ht="18.3" x14ac:dyDescent="0.55000000000000004">
      <c r="A2852" s="19">
        <v>24.7433716</v>
      </c>
      <c r="B2852" s="19">
        <v>34.788050800000001</v>
      </c>
      <c r="C2852" s="19">
        <v>680823.86</v>
      </c>
      <c r="D2852" s="19">
        <v>2737713.36</v>
      </c>
      <c r="E2852" s="19">
        <v>358.12</v>
      </c>
      <c r="F2852" s="19">
        <v>41822.129999999997</v>
      </c>
      <c r="G2852" s="19">
        <v>102716</v>
      </c>
      <c r="H2852" s="19">
        <f t="shared" si="80"/>
        <v>41819.129999999997</v>
      </c>
      <c r="I2852" s="13"/>
    </row>
    <row r="2853" spans="1:9" s="5" customFormat="1" ht="18.3" x14ac:dyDescent="0.55000000000000004">
      <c r="A2853" s="19">
        <v>24.7417646</v>
      </c>
      <c r="B2853" s="19">
        <v>34.787296900000001</v>
      </c>
      <c r="C2853" s="19">
        <v>680749.93</v>
      </c>
      <c r="D2853" s="19">
        <v>2737534.37</v>
      </c>
      <c r="E2853" s="19">
        <v>361.26</v>
      </c>
      <c r="F2853" s="19">
        <v>41826.53</v>
      </c>
      <c r="G2853" s="19">
        <v>102846</v>
      </c>
      <c r="H2853" s="19">
        <f t="shared" si="80"/>
        <v>41823.53</v>
      </c>
      <c r="I2853" s="13"/>
    </row>
    <row r="2854" spans="1:9" s="5" customFormat="1" ht="18.3" x14ac:dyDescent="0.55000000000000004">
      <c r="A2854" s="19">
        <v>24.740113000000001</v>
      </c>
      <c r="B2854" s="19">
        <v>34.7875832</v>
      </c>
      <c r="C2854" s="19">
        <v>680781.27</v>
      </c>
      <c r="D2854" s="19">
        <v>2737351.82</v>
      </c>
      <c r="E2854" s="19">
        <v>365.06</v>
      </c>
      <c r="F2854" s="19">
        <v>41847.949999999997</v>
      </c>
      <c r="G2854" s="19">
        <v>103004</v>
      </c>
      <c r="H2854" s="19">
        <f t="shared" si="80"/>
        <v>41844.949999999997</v>
      </c>
      <c r="I2854" s="13"/>
    </row>
    <row r="2855" spans="1:9" s="5" customFormat="1" ht="18.3" x14ac:dyDescent="0.55000000000000004">
      <c r="A2855" s="19">
        <v>24.740111899999999</v>
      </c>
      <c r="B2855" s="19">
        <v>34.787583400000003</v>
      </c>
      <c r="C2855" s="19">
        <v>680781.29</v>
      </c>
      <c r="D2855" s="19">
        <v>2737351.69</v>
      </c>
      <c r="E2855" s="19">
        <v>365.18</v>
      </c>
      <c r="F2855" s="19">
        <v>41847.96</v>
      </c>
      <c r="G2855" s="19">
        <v>103013</v>
      </c>
      <c r="H2855" s="19">
        <f t="shared" si="80"/>
        <v>41844.959999999999</v>
      </c>
      <c r="I2855" s="13"/>
    </row>
    <row r="2856" spans="1:9" s="5" customFormat="1" ht="18.3" x14ac:dyDescent="0.55000000000000004">
      <c r="A2856" s="19">
        <v>24.738887299999998</v>
      </c>
      <c r="B2856" s="19">
        <v>34.789027699999998</v>
      </c>
      <c r="C2856" s="19">
        <v>680929.17</v>
      </c>
      <c r="D2856" s="19">
        <v>2737217.97</v>
      </c>
      <c r="E2856" s="19">
        <v>366.99</v>
      </c>
      <c r="F2856" s="19">
        <v>41879.410000000003</v>
      </c>
      <c r="G2856" s="19">
        <v>103155</v>
      </c>
      <c r="H2856" s="19">
        <f t="shared" si="80"/>
        <v>41876.410000000003</v>
      </c>
      <c r="I2856" s="13"/>
    </row>
    <row r="2857" spans="1:9" s="5" customFormat="1" ht="18.3" x14ac:dyDescent="0.55000000000000004">
      <c r="A2857" s="19">
        <v>24.738886900000001</v>
      </c>
      <c r="B2857" s="19">
        <v>34.789026900000003</v>
      </c>
      <c r="C2857" s="19">
        <v>680929.09</v>
      </c>
      <c r="D2857" s="19">
        <v>2737217.92</v>
      </c>
      <c r="E2857" s="19">
        <v>367.09</v>
      </c>
      <c r="F2857" s="19">
        <v>41879.11</v>
      </c>
      <c r="G2857" s="19">
        <v>103207</v>
      </c>
      <c r="H2857" s="19">
        <f t="shared" si="80"/>
        <v>41876.11</v>
      </c>
      <c r="I2857" s="13"/>
    </row>
    <row r="2858" spans="1:9" s="5" customFormat="1" ht="18.3" x14ac:dyDescent="0.55000000000000004">
      <c r="A2858" s="19">
        <v>24.737331399999999</v>
      </c>
      <c r="B2858" s="19">
        <v>34.789771999999999</v>
      </c>
      <c r="C2858" s="19">
        <v>681006.71</v>
      </c>
      <c r="D2858" s="19">
        <v>2737046.62</v>
      </c>
      <c r="E2858" s="19">
        <v>369.03</v>
      </c>
      <c r="F2858" s="19">
        <v>41877.58</v>
      </c>
      <c r="G2858" s="19">
        <v>103340</v>
      </c>
      <c r="H2858" s="19">
        <f t="shared" si="80"/>
        <v>41874.58</v>
      </c>
      <c r="I2858" s="13"/>
    </row>
    <row r="2859" spans="1:9" s="5" customFormat="1" ht="18.3" x14ac:dyDescent="0.55000000000000004">
      <c r="A2859" s="19">
        <v>24.7355421</v>
      </c>
      <c r="B2859" s="19">
        <v>34.790088099999998</v>
      </c>
      <c r="C2859" s="19">
        <v>681041.27</v>
      </c>
      <c r="D2859" s="19">
        <v>2736848.85</v>
      </c>
      <c r="E2859" s="19">
        <v>372.21</v>
      </c>
      <c r="F2859" s="19">
        <v>41869.760000000002</v>
      </c>
      <c r="G2859" s="19">
        <v>103513</v>
      </c>
      <c r="H2859" s="19">
        <f t="shared" si="80"/>
        <v>41866.76</v>
      </c>
      <c r="I2859" s="13"/>
    </row>
    <row r="2860" spans="1:9" s="5" customFormat="1" ht="18.3" x14ac:dyDescent="0.55000000000000004">
      <c r="A2860" s="19">
        <v>24.735542599999999</v>
      </c>
      <c r="B2860" s="19">
        <v>34.790087200000002</v>
      </c>
      <c r="C2860" s="19">
        <v>681041.18</v>
      </c>
      <c r="D2860" s="19">
        <v>2736848.91</v>
      </c>
      <c r="E2860" s="19">
        <v>372.18</v>
      </c>
      <c r="F2860" s="19">
        <v>41870.44</v>
      </c>
      <c r="G2860" s="19">
        <v>103525</v>
      </c>
      <c r="H2860" s="19">
        <f t="shared" si="80"/>
        <v>41867.440000000002</v>
      </c>
      <c r="I2860" s="13"/>
    </row>
    <row r="2861" spans="1:9" s="5" customFormat="1" ht="18.3" x14ac:dyDescent="0.55000000000000004">
      <c r="A2861" s="19">
        <v>24.7333143</v>
      </c>
      <c r="B2861" s="19">
        <v>34.790236700000001</v>
      </c>
      <c r="C2861" s="19">
        <v>681059.53</v>
      </c>
      <c r="D2861" s="19">
        <v>2736602.31</v>
      </c>
      <c r="E2861" s="19">
        <v>375.42</v>
      </c>
      <c r="F2861" s="19">
        <v>41879.58</v>
      </c>
      <c r="G2861" s="19">
        <v>103704</v>
      </c>
      <c r="H2861" s="19">
        <f t="shared" si="80"/>
        <v>41876.58</v>
      </c>
      <c r="I2861" s="13"/>
    </row>
    <row r="2862" spans="1:9" s="5" customFormat="1" ht="18.3" x14ac:dyDescent="0.55000000000000004">
      <c r="A2862" s="19">
        <v>24.733314199999999</v>
      </c>
      <c r="B2862" s="19">
        <v>34.790235500000001</v>
      </c>
      <c r="C2862" s="19">
        <v>681059.41</v>
      </c>
      <c r="D2862" s="19">
        <v>2736602.28</v>
      </c>
      <c r="E2862" s="19">
        <v>375.44</v>
      </c>
      <c r="F2862" s="19">
        <v>41879.760000000002</v>
      </c>
      <c r="G2862" s="19">
        <v>103713</v>
      </c>
      <c r="H2862" s="19">
        <f t="shared" si="80"/>
        <v>41876.76</v>
      </c>
      <c r="I2862" s="13"/>
    </row>
    <row r="2863" spans="1:9" s="5" customFormat="1" ht="18.3" x14ac:dyDescent="0.55000000000000004">
      <c r="A2863" s="19">
        <v>24.731881699999999</v>
      </c>
      <c r="B2863" s="19">
        <v>34.789898600000001</v>
      </c>
      <c r="C2863" s="19">
        <v>681027.41</v>
      </c>
      <c r="D2863" s="19">
        <v>2736443.18</v>
      </c>
      <c r="E2863" s="19">
        <v>377.66</v>
      </c>
      <c r="F2863" s="19">
        <v>41856.129999999997</v>
      </c>
      <c r="G2863" s="19">
        <v>103834</v>
      </c>
      <c r="H2863" s="19">
        <f t="shared" si="80"/>
        <v>41853.129999999997</v>
      </c>
      <c r="I2863" s="13"/>
    </row>
    <row r="2864" spans="1:9" s="5" customFormat="1" ht="18.3" x14ac:dyDescent="0.55000000000000004">
      <c r="A2864" s="19">
        <v>24.730789999999999</v>
      </c>
      <c r="B2864" s="19">
        <v>34.789930699999999</v>
      </c>
      <c r="C2864" s="19">
        <v>681032.23</v>
      </c>
      <c r="D2864" s="19">
        <v>2736322.3</v>
      </c>
      <c r="E2864" s="19">
        <v>378.56</v>
      </c>
      <c r="F2864" s="19">
        <v>41854.639999999999</v>
      </c>
      <c r="G2864" s="19">
        <v>104113</v>
      </c>
      <c r="H2864" s="19">
        <f t="shared" si="80"/>
        <v>41851.64</v>
      </c>
      <c r="I2864" s="13"/>
    </row>
    <row r="2865" spans="1:9" s="5" customFormat="1" ht="18.3" x14ac:dyDescent="0.55000000000000004">
      <c r="A2865" s="19">
        <v>24.730798400000001</v>
      </c>
      <c r="B2865" s="19">
        <v>34.789935399999997</v>
      </c>
      <c r="C2865" s="19">
        <v>681032.69</v>
      </c>
      <c r="D2865" s="19">
        <v>2736323.24</v>
      </c>
      <c r="E2865" s="19">
        <v>378.12</v>
      </c>
      <c r="F2865" s="19">
        <v>41855.43</v>
      </c>
      <c r="G2865" s="19">
        <v>104510</v>
      </c>
      <c r="H2865" s="19">
        <f t="shared" si="80"/>
        <v>41852.43</v>
      </c>
      <c r="I2865" s="13"/>
    </row>
    <row r="2866" spans="1:9" s="5" customFormat="1" ht="18.3" x14ac:dyDescent="0.55000000000000004">
      <c r="A2866" s="19">
        <v>24.730365200000001</v>
      </c>
      <c r="B2866" s="19">
        <v>34.790064200000003</v>
      </c>
      <c r="C2866" s="19">
        <v>681046.35</v>
      </c>
      <c r="D2866" s="19">
        <v>2736275.43</v>
      </c>
      <c r="E2866" s="19">
        <v>378.53</v>
      </c>
      <c r="F2866" s="19">
        <v>41861.160000000003</v>
      </c>
      <c r="G2866" s="19">
        <v>104652</v>
      </c>
      <c r="H2866" s="19">
        <f t="shared" si="80"/>
        <v>41858.160000000003</v>
      </c>
      <c r="I2866" s="13"/>
    </row>
    <row r="2867" spans="1:9" s="5" customFormat="1" ht="18.3" x14ac:dyDescent="0.55000000000000004">
      <c r="A2867" s="19">
        <v>24.729458699999999</v>
      </c>
      <c r="B2867" s="19">
        <v>34.790768999999997</v>
      </c>
      <c r="C2867" s="19">
        <v>681118.97</v>
      </c>
      <c r="D2867" s="19">
        <v>2736175.96</v>
      </c>
      <c r="E2867" s="19">
        <v>380.87</v>
      </c>
      <c r="F2867" s="19">
        <v>41861.14</v>
      </c>
      <c r="G2867" s="19">
        <v>104819</v>
      </c>
      <c r="H2867" s="19">
        <f t="shared" si="80"/>
        <v>41858.14</v>
      </c>
      <c r="I2867" s="13"/>
    </row>
    <row r="2868" spans="1:9" s="5" customFormat="1" ht="18.3" x14ac:dyDescent="0.55000000000000004">
      <c r="A2868" s="19">
        <v>24.728125500000001</v>
      </c>
      <c r="B2868" s="19">
        <v>34.791917400000003</v>
      </c>
      <c r="C2868" s="19">
        <v>681237.07</v>
      </c>
      <c r="D2868" s="19">
        <v>2736029.81</v>
      </c>
      <c r="E2868" s="19">
        <v>385.2</v>
      </c>
      <c r="F2868" s="19">
        <v>41890.080000000002</v>
      </c>
      <c r="G2868" s="19">
        <v>104946</v>
      </c>
      <c r="H2868" s="19">
        <f t="shared" si="80"/>
        <v>41887.08</v>
      </c>
      <c r="I2868" s="13"/>
    </row>
    <row r="2869" spans="1:9" s="5" customFormat="1" ht="18.3" x14ac:dyDescent="0.55000000000000004">
      <c r="A2869" s="19">
        <v>24.728124600000001</v>
      </c>
      <c r="B2869" s="19">
        <v>34.791916999999998</v>
      </c>
      <c r="C2869" s="19">
        <v>681237.04</v>
      </c>
      <c r="D2869" s="19">
        <v>2736029.71</v>
      </c>
      <c r="E2869" s="19">
        <v>385.01</v>
      </c>
      <c r="F2869" s="19">
        <v>41890.28</v>
      </c>
      <c r="G2869" s="19">
        <v>104955</v>
      </c>
      <c r="H2869" s="19">
        <f t="shared" si="80"/>
        <v>41887.279999999999</v>
      </c>
      <c r="I2869" s="13"/>
    </row>
    <row r="2870" spans="1:9" s="5" customFormat="1" ht="18.3" x14ac:dyDescent="0.55000000000000004">
      <c r="A2870" s="19">
        <v>24.7270997</v>
      </c>
      <c r="B2870" s="19">
        <v>34.793511100000003</v>
      </c>
      <c r="C2870" s="19">
        <v>681399.78</v>
      </c>
      <c r="D2870" s="19">
        <v>2735918.31</v>
      </c>
      <c r="E2870" s="19">
        <v>389.34</v>
      </c>
      <c r="F2870" s="19">
        <v>41906.089999999997</v>
      </c>
      <c r="G2870" s="19">
        <v>105134</v>
      </c>
      <c r="H2870" s="19">
        <f t="shared" si="80"/>
        <v>41903.089999999997</v>
      </c>
      <c r="I2870" s="13"/>
    </row>
    <row r="2871" spans="1:9" s="5" customFormat="1" ht="18.3" x14ac:dyDescent="0.55000000000000004">
      <c r="A2871" s="19">
        <v>24.7270988</v>
      </c>
      <c r="B2871" s="19">
        <v>34.7935108</v>
      </c>
      <c r="C2871" s="19">
        <v>681399.75</v>
      </c>
      <c r="D2871" s="19">
        <v>2735918.21</v>
      </c>
      <c r="E2871" s="19">
        <v>389.23</v>
      </c>
      <c r="F2871" s="19">
        <v>41906.46</v>
      </c>
      <c r="G2871" s="19">
        <v>105143</v>
      </c>
      <c r="H2871" s="19">
        <f t="shared" si="80"/>
        <v>41903.46</v>
      </c>
      <c r="I2871" s="13"/>
    </row>
    <row r="2872" spans="1:9" s="5" customFormat="1" ht="18.3" x14ac:dyDescent="0.55000000000000004">
      <c r="A2872" s="19">
        <v>24.7254626</v>
      </c>
      <c r="B2872" s="19">
        <v>34.794420600000002</v>
      </c>
      <c r="C2872" s="19">
        <v>681494.17</v>
      </c>
      <c r="D2872" s="19">
        <v>2735738.18</v>
      </c>
      <c r="E2872" s="19">
        <v>393.97</v>
      </c>
      <c r="F2872" s="19">
        <v>41903.550000000003</v>
      </c>
      <c r="G2872" s="19">
        <v>105316</v>
      </c>
      <c r="H2872" s="19">
        <f t="shared" si="80"/>
        <v>41900.550000000003</v>
      </c>
      <c r="I2872" s="13"/>
    </row>
    <row r="2873" spans="1:9" s="5" customFormat="1" ht="18.3" x14ac:dyDescent="0.55000000000000004">
      <c r="A2873" s="19">
        <v>24.724194499999999</v>
      </c>
      <c r="B2873" s="19">
        <v>34.795580299999997</v>
      </c>
      <c r="C2873" s="19">
        <v>681613.33</v>
      </c>
      <c r="D2873" s="19">
        <v>2735599.26</v>
      </c>
      <c r="E2873" s="19">
        <v>397.91</v>
      </c>
      <c r="F2873" s="19">
        <v>41794.78</v>
      </c>
      <c r="G2873" s="19">
        <v>105458</v>
      </c>
      <c r="H2873" s="19">
        <f t="shared" si="80"/>
        <v>41791.78</v>
      </c>
      <c r="I2873" s="13"/>
    </row>
    <row r="2874" spans="1:9" s="5" customFormat="1" ht="18.3" x14ac:dyDescent="0.55000000000000004">
      <c r="A2874" s="19">
        <v>24.724195999999999</v>
      </c>
      <c r="B2874" s="19">
        <v>34.795580100000002</v>
      </c>
      <c r="C2874" s="19">
        <v>681613.31</v>
      </c>
      <c r="D2874" s="19">
        <v>2735599.43</v>
      </c>
      <c r="E2874" s="19">
        <v>398.13</v>
      </c>
      <c r="F2874" s="19">
        <v>41794.99</v>
      </c>
      <c r="G2874" s="19">
        <v>105510</v>
      </c>
      <c r="H2874" s="19">
        <f t="shared" si="80"/>
        <v>41791.99</v>
      </c>
      <c r="I2874" s="13"/>
    </row>
    <row r="2875" spans="1:9" s="5" customFormat="1" ht="18.3" x14ac:dyDescent="0.55000000000000004">
      <c r="A2875" s="19">
        <v>24.729681100000001</v>
      </c>
      <c r="B2875" s="19">
        <v>34.789664000000002</v>
      </c>
      <c r="C2875" s="19">
        <v>681006.86</v>
      </c>
      <c r="D2875" s="19">
        <v>2736199.13</v>
      </c>
      <c r="E2875" s="19">
        <v>377.51</v>
      </c>
      <c r="F2875" s="19">
        <v>41870.49</v>
      </c>
      <c r="G2875" s="19">
        <v>110649</v>
      </c>
      <c r="H2875" s="19">
        <f>SUM(F2875-4)</f>
        <v>41866.49</v>
      </c>
      <c r="I2875" s="13"/>
    </row>
    <row r="2876" spans="1:9" s="5" customFormat="1" ht="18.3" x14ac:dyDescent="0.55000000000000004">
      <c r="A2876" s="19">
        <v>24.729680500000001</v>
      </c>
      <c r="B2876" s="19">
        <v>34.789661500000001</v>
      </c>
      <c r="C2876" s="19">
        <v>681006.61</v>
      </c>
      <c r="D2876" s="19">
        <v>2736199.06</v>
      </c>
      <c r="E2876" s="19">
        <v>377.37</v>
      </c>
      <c r="F2876" s="19">
        <v>41863.99</v>
      </c>
      <c r="G2876" s="19">
        <v>110701</v>
      </c>
      <c r="H2876" s="19">
        <f t="shared" ref="H2876:H2885" si="81">SUM(F2876-4)</f>
        <v>41859.99</v>
      </c>
      <c r="I2876" s="13"/>
    </row>
    <row r="2877" spans="1:9" s="5" customFormat="1" ht="18.3" x14ac:dyDescent="0.55000000000000004">
      <c r="A2877" s="19">
        <v>24.7279208</v>
      </c>
      <c r="B2877" s="19">
        <v>34.789148599999997</v>
      </c>
      <c r="C2877" s="19">
        <v>680957.27</v>
      </c>
      <c r="D2877" s="19">
        <v>2736003.48</v>
      </c>
      <c r="E2877" s="19">
        <v>379.31</v>
      </c>
      <c r="F2877" s="19">
        <v>41886.300000000003</v>
      </c>
      <c r="G2877" s="19">
        <v>110825</v>
      </c>
      <c r="H2877" s="19">
        <f t="shared" si="81"/>
        <v>41882.300000000003</v>
      </c>
      <c r="I2877" s="13"/>
    </row>
    <row r="2878" spans="1:9" s="5" customFormat="1" ht="18.3" x14ac:dyDescent="0.55000000000000004">
      <c r="A2878" s="19">
        <v>24.727919400000001</v>
      </c>
      <c r="B2878" s="19">
        <v>34.789149299999998</v>
      </c>
      <c r="C2878" s="19">
        <v>680957.34</v>
      </c>
      <c r="D2878" s="19">
        <v>2736003.33</v>
      </c>
      <c r="E2878" s="19">
        <v>379.08</v>
      </c>
      <c r="F2878" s="19">
        <v>41884.379999999997</v>
      </c>
      <c r="G2878" s="19">
        <v>110837</v>
      </c>
      <c r="H2878" s="19">
        <f t="shared" si="81"/>
        <v>41880.379999999997</v>
      </c>
      <c r="I2878" s="13"/>
    </row>
    <row r="2879" spans="1:9" s="5" customFormat="1" ht="18.3" x14ac:dyDescent="0.55000000000000004">
      <c r="A2879" s="19">
        <v>24.726273599999999</v>
      </c>
      <c r="B2879" s="19">
        <v>34.7900791</v>
      </c>
      <c r="C2879" s="19">
        <v>681053.79</v>
      </c>
      <c r="D2879" s="19">
        <v>2735822.26</v>
      </c>
      <c r="E2879" s="19">
        <v>381.59</v>
      </c>
      <c r="F2879" s="19">
        <v>41877.410000000003</v>
      </c>
      <c r="G2879" s="19">
        <v>111010</v>
      </c>
      <c r="H2879" s="19">
        <f t="shared" si="81"/>
        <v>41873.410000000003</v>
      </c>
      <c r="I2879" s="13"/>
    </row>
    <row r="2880" spans="1:9" s="5" customFormat="1" ht="18.3" x14ac:dyDescent="0.55000000000000004">
      <c r="A2880" s="19">
        <v>24.726253199999999</v>
      </c>
      <c r="B2880" s="19">
        <v>34.790083899999999</v>
      </c>
      <c r="C2880" s="19">
        <v>681054.29</v>
      </c>
      <c r="D2880" s="19">
        <v>2735820.01</v>
      </c>
      <c r="E2880" s="19">
        <v>381.71</v>
      </c>
      <c r="F2880" s="19">
        <v>41885.629999999997</v>
      </c>
      <c r="G2880" s="19">
        <v>111022</v>
      </c>
      <c r="H2880" s="19">
        <f t="shared" si="81"/>
        <v>41881.629999999997</v>
      </c>
      <c r="I2880" s="13"/>
    </row>
    <row r="2881" spans="1:9" s="5" customFormat="1" ht="18.3" x14ac:dyDescent="0.55000000000000004">
      <c r="A2881" s="19">
        <v>24.724548599999999</v>
      </c>
      <c r="B2881" s="19">
        <v>34.789543000000002</v>
      </c>
      <c r="C2881" s="19">
        <v>681002.04</v>
      </c>
      <c r="D2881" s="19">
        <v>2735630.49</v>
      </c>
      <c r="E2881" s="19">
        <v>385.01</v>
      </c>
      <c r="F2881" s="19">
        <v>41885.61</v>
      </c>
      <c r="G2881" s="19">
        <v>111149</v>
      </c>
      <c r="H2881" s="19">
        <f t="shared" si="81"/>
        <v>41881.61</v>
      </c>
      <c r="I2881" s="13"/>
    </row>
    <row r="2882" spans="1:9" s="5" customFormat="1" ht="18.3" x14ac:dyDescent="0.55000000000000004">
      <c r="A2882" s="19">
        <v>24.7245487</v>
      </c>
      <c r="B2882" s="19">
        <v>34.789544900000003</v>
      </c>
      <c r="C2882" s="19">
        <v>681002.24</v>
      </c>
      <c r="D2882" s="19">
        <v>2735630.51</v>
      </c>
      <c r="E2882" s="19">
        <v>385.02</v>
      </c>
      <c r="F2882" s="19">
        <v>41885.589999999997</v>
      </c>
      <c r="G2882" s="19">
        <v>111158</v>
      </c>
      <c r="H2882" s="19">
        <f t="shared" si="81"/>
        <v>41881.589999999997</v>
      </c>
      <c r="I2882" s="13"/>
    </row>
    <row r="2883" spans="1:9" s="5" customFormat="1" ht="18.3" x14ac:dyDescent="0.55000000000000004">
      <c r="A2883" s="19">
        <v>24.723231299999998</v>
      </c>
      <c r="B2883" s="19">
        <v>34.7886053</v>
      </c>
      <c r="C2883" s="19">
        <v>680909.09</v>
      </c>
      <c r="D2883" s="19">
        <v>2735483.35</v>
      </c>
      <c r="E2883" s="19">
        <v>387.12</v>
      </c>
      <c r="F2883" s="19">
        <v>41868.19</v>
      </c>
      <c r="G2883" s="19">
        <v>111346</v>
      </c>
      <c r="H2883" s="19">
        <f t="shared" si="81"/>
        <v>41864.19</v>
      </c>
      <c r="I2883" s="13"/>
    </row>
    <row r="2884" spans="1:9" s="5" customFormat="1" ht="18.3" x14ac:dyDescent="0.55000000000000004">
      <c r="A2884" s="19">
        <v>24.723229199999999</v>
      </c>
      <c r="B2884" s="19">
        <v>34.7886059</v>
      </c>
      <c r="C2884" s="19">
        <v>680909.15</v>
      </c>
      <c r="D2884" s="19">
        <v>2735483.12</v>
      </c>
      <c r="E2884" s="19">
        <v>386.78</v>
      </c>
      <c r="F2884" s="19">
        <v>41870.54</v>
      </c>
      <c r="G2884" s="19">
        <v>111358</v>
      </c>
      <c r="H2884" s="19">
        <f t="shared" si="81"/>
        <v>41866.54</v>
      </c>
      <c r="I2884" s="13"/>
    </row>
    <row r="2885" spans="1:9" s="5" customFormat="1" ht="18.3" x14ac:dyDescent="0.55000000000000004">
      <c r="A2885" s="19">
        <v>24.723171300000001</v>
      </c>
      <c r="B2885" s="19">
        <v>34.786503400000001</v>
      </c>
      <c r="C2885" s="19">
        <v>680696.54</v>
      </c>
      <c r="D2885" s="19">
        <v>2735473.93</v>
      </c>
      <c r="E2885" s="19">
        <v>390.92</v>
      </c>
      <c r="F2885" s="19">
        <v>41862.69</v>
      </c>
      <c r="G2885" s="19">
        <v>111543</v>
      </c>
      <c r="H2885" s="19">
        <f t="shared" si="81"/>
        <v>41858.69</v>
      </c>
      <c r="I2885" s="13"/>
    </row>
    <row r="2886" spans="1:9" s="5" customFormat="1" ht="18.3" x14ac:dyDescent="0.55000000000000004">
      <c r="A2886" s="19">
        <v>24.7230153</v>
      </c>
      <c r="B2886" s="19">
        <v>34.784789400000001</v>
      </c>
      <c r="C2886" s="19">
        <v>680523.35</v>
      </c>
      <c r="D2886" s="19">
        <v>2735454.39</v>
      </c>
      <c r="E2886" s="19">
        <v>392.91</v>
      </c>
      <c r="F2886" s="19">
        <v>41871.440000000002</v>
      </c>
      <c r="G2886" s="19">
        <v>111719</v>
      </c>
      <c r="H2886" s="19">
        <f>SUM(F2886-2)</f>
        <v>41869.440000000002</v>
      </c>
      <c r="I2886" s="13"/>
    </row>
    <row r="2887" spans="1:9" s="5" customFormat="1" ht="18.3" x14ac:dyDescent="0.55000000000000004">
      <c r="A2887" s="19">
        <v>24.721769200000001</v>
      </c>
      <c r="B2887" s="19">
        <v>34.783582000000003</v>
      </c>
      <c r="C2887" s="19">
        <v>680403</v>
      </c>
      <c r="D2887" s="19">
        <v>2735314.79</v>
      </c>
      <c r="E2887" s="19">
        <v>396.35</v>
      </c>
      <c r="F2887" s="19">
        <v>41862.519999999997</v>
      </c>
      <c r="G2887" s="19">
        <v>111904</v>
      </c>
      <c r="H2887" s="19">
        <f t="shared" ref="H2887:H2900" si="82">SUM(F2887-2)</f>
        <v>41860.519999999997</v>
      </c>
      <c r="I2887" s="13"/>
    </row>
    <row r="2888" spans="1:9" s="5" customFormat="1" ht="18.3" x14ac:dyDescent="0.55000000000000004">
      <c r="A2888" s="19">
        <v>24.721769299999998</v>
      </c>
      <c r="B2888" s="19">
        <v>34.783583399999998</v>
      </c>
      <c r="C2888" s="19">
        <v>680403.15</v>
      </c>
      <c r="D2888" s="19">
        <v>2735314.8</v>
      </c>
      <c r="E2888" s="19">
        <v>396.26</v>
      </c>
      <c r="F2888" s="19">
        <v>41863.79</v>
      </c>
      <c r="G2888" s="19">
        <v>111913</v>
      </c>
      <c r="H2888" s="19">
        <f t="shared" si="82"/>
        <v>41861.79</v>
      </c>
      <c r="I2888" s="13"/>
    </row>
    <row r="2889" spans="1:9" s="5" customFormat="1" ht="18.3" x14ac:dyDescent="0.55000000000000004">
      <c r="A2889" s="19">
        <v>24.7198289</v>
      </c>
      <c r="B2889" s="19">
        <v>34.783446900000001</v>
      </c>
      <c r="C2889" s="19">
        <v>680392.14</v>
      </c>
      <c r="D2889" s="19">
        <v>2735099.7</v>
      </c>
      <c r="E2889" s="19">
        <v>400.02</v>
      </c>
      <c r="F2889" s="19">
        <v>41878.199999999997</v>
      </c>
      <c r="G2889" s="19">
        <v>112052</v>
      </c>
      <c r="H2889" s="19">
        <f t="shared" si="82"/>
        <v>41876.199999999997</v>
      </c>
      <c r="I2889" s="13"/>
    </row>
    <row r="2890" spans="1:9" s="5" customFormat="1" ht="18.3" x14ac:dyDescent="0.55000000000000004">
      <c r="A2890" s="19">
        <v>24.719828199999998</v>
      </c>
      <c r="B2890" s="19">
        <v>34.783445800000003</v>
      </c>
      <c r="C2890" s="19">
        <v>680392.02</v>
      </c>
      <c r="D2890" s="19">
        <v>2735099.62</v>
      </c>
      <c r="E2890" s="19">
        <v>400.09</v>
      </c>
      <c r="F2890" s="19">
        <v>41871.550000000003</v>
      </c>
      <c r="G2890" s="19">
        <v>112101</v>
      </c>
      <c r="H2890" s="19">
        <f t="shared" si="82"/>
        <v>41869.550000000003</v>
      </c>
      <c r="I2890" s="13"/>
    </row>
    <row r="2891" spans="1:9" s="5" customFormat="1" ht="18.3" x14ac:dyDescent="0.55000000000000004">
      <c r="A2891" s="19">
        <v>24.718424899999999</v>
      </c>
      <c r="B2891" s="19">
        <v>34.784308099999997</v>
      </c>
      <c r="C2891" s="19">
        <v>680481.29</v>
      </c>
      <c r="D2891" s="19">
        <v>2734945.32</v>
      </c>
      <c r="E2891" s="19">
        <v>402.88</v>
      </c>
      <c r="F2891" s="19">
        <v>41846.6</v>
      </c>
      <c r="G2891" s="19">
        <v>112222</v>
      </c>
      <c r="H2891" s="19">
        <f t="shared" si="82"/>
        <v>41844.6</v>
      </c>
      <c r="I2891" s="13"/>
    </row>
    <row r="2892" spans="1:9" s="5" customFormat="1" ht="18.3" x14ac:dyDescent="0.55000000000000004">
      <c r="A2892" s="19">
        <v>24.7184244</v>
      </c>
      <c r="B2892" s="19">
        <v>34.784308899999999</v>
      </c>
      <c r="C2892" s="19">
        <v>680481.37</v>
      </c>
      <c r="D2892" s="19">
        <v>2734945.27</v>
      </c>
      <c r="E2892" s="19">
        <v>402.77</v>
      </c>
      <c r="F2892" s="19">
        <v>41841.58</v>
      </c>
      <c r="G2892" s="19">
        <v>112231</v>
      </c>
      <c r="H2892" s="19">
        <f t="shared" si="82"/>
        <v>41839.58</v>
      </c>
      <c r="I2892" s="13"/>
    </row>
    <row r="2893" spans="1:9" s="5" customFormat="1" ht="18.3" x14ac:dyDescent="0.55000000000000004">
      <c r="A2893" s="19">
        <v>24.717009900000001</v>
      </c>
      <c r="B2893" s="19">
        <v>34.784841499999999</v>
      </c>
      <c r="C2893" s="19">
        <v>680537.3</v>
      </c>
      <c r="D2893" s="19">
        <v>2734789.3</v>
      </c>
      <c r="E2893" s="19">
        <v>404.79</v>
      </c>
      <c r="F2893" s="19">
        <v>41859.01</v>
      </c>
      <c r="G2893" s="19">
        <v>112413</v>
      </c>
      <c r="H2893" s="19">
        <f t="shared" si="82"/>
        <v>41857.01</v>
      </c>
      <c r="I2893" s="13"/>
    </row>
    <row r="2894" spans="1:9" s="5" customFormat="1" ht="18.3" x14ac:dyDescent="0.55000000000000004">
      <c r="A2894" s="19">
        <v>24.717009399999998</v>
      </c>
      <c r="B2894" s="19">
        <v>34.784843100000003</v>
      </c>
      <c r="C2894" s="19">
        <v>680537.46</v>
      </c>
      <c r="D2894" s="19">
        <v>2734789.25</v>
      </c>
      <c r="E2894" s="19">
        <v>404.64</v>
      </c>
      <c r="F2894" s="19">
        <v>41861.019999999997</v>
      </c>
      <c r="G2894" s="19">
        <v>112425</v>
      </c>
      <c r="H2894" s="19">
        <f t="shared" si="82"/>
        <v>41859.019999999997</v>
      </c>
      <c r="I2894" s="13"/>
    </row>
    <row r="2895" spans="1:9" s="5" customFormat="1" ht="18.3" x14ac:dyDescent="0.55000000000000004">
      <c r="A2895" s="19">
        <v>24.7156631</v>
      </c>
      <c r="B2895" s="19">
        <v>34.7837399</v>
      </c>
      <c r="C2895" s="19">
        <v>680427.79</v>
      </c>
      <c r="D2895" s="19">
        <v>2734638.68</v>
      </c>
      <c r="E2895" s="19">
        <v>409.71</v>
      </c>
      <c r="F2895" s="19">
        <v>41859.050000000003</v>
      </c>
      <c r="G2895" s="19">
        <v>112558</v>
      </c>
      <c r="H2895" s="19">
        <f t="shared" si="82"/>
        <v>41857.050000000003</v>
      </c>
      <c r="I2895" s="13"/>
    </row>
    <row r="2896" spans="1:9" s="5" customFormat="1" ht="18.3" x14ac:dyDescent="0.55000000000000004">
      <c r="A2896" s="19">
        <v>24.715663599999999</v>
      </c>
      <c r="B2896" s="19">
        <v>34.783739400000002</v>
      </c>
      <c r="C2896" s="19">
        <v>680427.74</v>
      </c>
      <c r="D2896" s="19">
        <v>2734638.74</v>
      </c>
      <c r="E2896" s="19">
        <v>410.06</v>
      </c>
      <c r="F2896" s="19">
        <v>41855.81</v>
      </c>
      <c r="G2896" s="19">
        <v>112610</v>
      </c>
      <c r="H2896" s="19">
        <f t="shared" si="82"/>
        <v>41853.81</v>
      </c>
      <c r="I2896" s="13"/>
    </row>
    <row r="2897" spans="1:9" s="5" customFormat="1" ht="18.3" x14ac:dyDescent="0.55000000000000004">
      <c r="A2897" s="19">
        <v>24.714298400000001</v>
      </c>
      <c r="B2897" s="19">
        <v>34.784883700000002</v>
      </c>
      <c r="C2897" s="19">
        <v>680545.48</v>
      </c>
      <c r="D2897" s="19">
        <v>2734489.04</v>
      </c>
      <c r="E2897" s="19">
        <v>413.86</v>
      </c>
      <c r="F2897" s="19">
        <v>41845.5</v>
      </c>
      <c r="G2897" s="19">
        <v>112810</v>
      </c>
      <c r="H2897" s="19">
        <f t="shared" si="82"/>
        <v>41843.5</v>
      </c>
      <c r="I2897" s="13"/>
    </row>
    <row r="2898" spans="1:9" s="5" customFormat="1" ht="18.3" x14ac:dyDescent="0.55000000000000004">
      <c r="A2898" s="19">
        <v>24.714297800000001</v>
      </c>
      <c r="B2898" s="19">
        <v>34.784883200000003</v>
      </c>
      <c r="C2898" s="19">
        <v>680545.43</v>
      </c>
      <c r="D2898" s="19">
        <v>2734488.97</v>
      </c>
      <c r="E2898" s="19">
        <v>413.92</v>
      </c>
      <c r="F2898" s="19">
        <v>41845.01</v>
      </c>
      <c r="G2898" s="19">
        <v>112819</v>
      </c>
      <c r="H2898" s="19">
        <f t="shared" si="82"/>
        <v>41843.01</v>
      </c>
      <c r="I2898" s="13"/>
    </row>
    <row r="2899" spans="1:9" s="5" customFormat="1" ht="18.3" x14ac:dyDescent="0.55000000000000004">
      <c r="A2899" s="19">
        <v>24.712594299999999</v>
      </c>
      <c r="B2899" s="19">
        <v>34.786102</v>
      </c>
      <c r="C2899" s="19">
        <v>680671.2</v>
      </c>
      <c r="D2899" s="19">
        <v>2734301.89</v>
      </c>
      <c r="E2899" s="19">
        <v>415.56</v>
      </c>
      <c r="F2899" s="19">
        <v>41853.89</v>
      </c>
      <c r="G2899" s="19">
        <v>113001</v>
      </c>
      <c r="H2899" s="19">
        <f t="shared" si="82"/>
        <v>41851.89</v>
      </c>
      <c r="I2899" s="13"/>
    </row>
    <row r="2900" spans="1:9" s="5" customFormat="1" ht="18.3" x14ac:dyDescent="0.55000000000000004">
      <c r="A2900" s="19">
        <v>24.712594800000002</v>
      </c>
      <c r="B2900" s="19">
        <v>34.786102499999998</v>
      </c>
      <c r="C2900" s="19">
        <v>680671.25</v>
      </c>
      <c r="D2900" s="19">
        <v>2734301.95</v>
      </c>
      <c r="E2900" s="19">
        <v>415.54</v>
      </c>
      <c r="F2900" s="19">
        <v>41850.03</v>
      </c>
      <c r="G2900" s="19">
        <v>113010</v>
      </c>
      <c r="H2900" s="19">
        <f t="shared" si="82"/>
        <v>41848.03</v>
      </c>
      <c r="I2900" s="13"/>
    </row>
    <row r="2901" spans="1:9" s="5" customFormat="1" ht="18.3" x14ac:dyDescent="0.55000000000000004">
      <c r="A2901" s="19">
        <v>24.711155000000002</v>
      </c>
      <c r="B2901" s="19">
        <v>34.787018699999997</v>
      </c>
      <c r="C2901" s="19">
        <v>680766.03</v>
      </c>
      <c r="D2901" s="19">
        <v>2734143.69</v>
      </c>
      <c r="E2901" s="19">
        <v>419.49</v>
      </c>
      <c r="F2901" s="19">
        <v>41848.559999999998</v>
      </c>
      <c r="G2901" s="19">
        <v>113158</v>
      </c>
      <c r="H2901" s="19">
        <f>SUM(F2901-5)</f>
        <v>41843.56</v>
      </c>
      <c r="I2901" s="13"/>
    </row>
    <row r="2902" spans="1:9" s="5" customFormat="1" ht="18.3" x14ac:dyDescent="0.55000000000000004">
      <c r="A2902" s="19">
        <v>24.7097126</v>
      </c>
      <c r="B2902" s="19">
        <v>34.786308699999999</v>
      </c>
      <c r="C2902" s="19">
        <v>680696.27</v>
      </c>
      <c r="D2902" s="19">
        <v>2733982.99</v>
      </c>
      <c r="E2902" s="19">
        <v>421.99</v>
      </c>
      <c r="F2902" s="19">
        <v>41845.019999999997</v>
      </c>
      <c r="G2902" s="19">
        <v>113337</v>
      </c>
      <c r="H2902" s="19">
        <f t="shared" ref="H2902:H2905" si="83">SUM(F2902-5)</f>
        <v>41840.019999999997</v>
      </c>
      <c r="I2902" s="13"/>
    </row>
    <row r="2903" spans="1:9" s="5" customFormat="1" ht="18.3" x14ac:dyDescent="0.55000000000000004">
      <c r="A2903" s="19">
        <v>24.709707099999999</v>
      </c>
      <c r="B2903" s="19">
        <v>34.7863088</v>
      </c>
      <c r="C2903" s="19">
        <v>680696.29</v>
      </c>
      <c r="D2903" s="19">
        <v>2733982.38</v>
      </c>
      <c r="E2903" s="19">
        <v>421.96</v>
      </c>
      <c r="F2903" s="19">
        <v>41845.410000000003</v>
      </c>
      <c r="G2903" s="19">
        <v>113349</v>
      </c>
      <c r="H2903" s="19">
        <f t="shared" si="83"/>
        <v>41840.410000000003</v>
      </c>
      <c r="I2903" s="13"/>
    </row>
    <row r="2904" spans="1:9" s="5" customFormat="1" ht="18.3" x14ac:dyDescent="0.55000000000000004">
      <c r="A2904" s="19">
        <v>24.708658199999999</v>
      </c>
      <c r="B2904" s="19">
        <v>34.784612199999998</v>
      </c>
      <c r="C2904" s="19">
        <v>680526.15</v>
      </c>
      <c r="D2904" s="19">
        <v>2733863.97</v>
      </c>
      <c r="E2904" s="19">
        <v>426.43</v>
      </c>
      <c r="F2904" s="19">
        <v>41851.370000000003</v>
      </c>
      <c r="G2904" s="19">
        <v>113552</v>
      </c>
      <c r="H2904" s="19">
        <f t="shared" si="83"/>
        <v>41846.370000000003</v>
      </c>
      <c r="I2904" s="13"/>
    </row>
    <row r="2905" spans="1:9" s="5" customFormat="1" ht="18.3" x14ac:dyDescent="0.55000000000000004">
      <c r="A2905" s="19">
        <v>24.7086589</v>
      </c>
      <c r="B2905" s="19">
        <v>34.784611900000002</v>
      </c>
      <c r="C2905" s="19">
        <v>680526.12</v>
      </c>
      <c r="D2905" s="19">
        <v>2733864.04</v>
      </c>
      <c r="E2905" s="19">
        <v>426.35</v>
      </c>
      <c r="F2905" s="19">
        <v>41851.78</v>
      </c>
      <c r="G2905" s="19">
        <v>113601</v>
      </c>
      <c r="H2905" s="19">
        <f t="shared" si="83"/>
        <v>41846.78</v>
      </c>
      <c r="I2905" s="13"/>
    </row>
    <row r="2906" spans="1:9" s="5" customFormat="1" ht="18.3" x14ac:dyDescent="0.55000000000000004">
      <c r="A2906" s="19">
        <v>24.707560099999998</v>
      </c>
      <c r="B2906" s="19">
        <v>34.783436199999997</v>
      </c>
      <c r="C2906" s="19">
        <v>680408.74</v>
      </c>
      <c r="D2906" s="19">
        <v>2733740.79</v>
      </c>
      <c r="E2906" s="19">
        <v>431.58</v>
      </c>
      <c r="F2906" s="19">
        <v>41831.99</v>
      </c>
      <c r="G2906" s="19">
        <v>113807</v>
      </c>
      <c r="H2906" s="19">
        <f>SUM(F2906-15)</f>
        <v>41816.99</v>
      </c>
      <c r="I2906" s="13"/>
    </row>
    <row r="2907" spans="1:9" s="5" customFormat="1" ht="18.3" x14ac:dyDescent="0.55000000000000004">
      <c r="A2907" s="19">
        <v>24.707562100000001</v>
      </c>
      <c r="B2907" s="19">
        <v>34.783435300000001</v>
      </c>
      <c r="C2907" s="19">
        <v>680408.65</v>
      </c>
      <c r="D2907" s="19">
        <v>2733741.02</v>
      </c>
      <c r="E2907" s="19">
        <v>431.8</v>
      </c>
      <c r="F2907" s="19">
        <v>41832.269999999997</v>
      </c>
      <c r="G2907" s="19">
        <v>113819</v>
      </c>
      <c r="H2907" s="19">
        <f t="shared" ref="H2907:H2935" si="84">SUM(F2907-15)</f>
        <v>41817.269999999997</v>
      </c>
      <c r="I2907" s="13"/>
    </row>
    <row r="2908" spans="1:9" s="5" customFormat="1" ht="18.3" x14ac:dyDescent="0.55000000000000004">
      <c r="A2908" s="19">
        <v>24.707039200000001</v>
      </c>
      <c r="B2908" s="19">
        <v>34.781272000000001</v>
      </c>
      <c r="C2908" s="19">
        <v>680190.52</v>
      </c>
      <c r="D2908" s="19">
        <v>2733680.25</v>
      </c>
      <c r="E2908" s="19">
        <v>432.84</v>
      </c>
      <c r="F2908" s="19">
        <v>41827.82</v>
      </c>
      <c r="G2908" s="19">
        <v>114007</v>
      </c>
      <c r="H2908" s="19">
        <f t="shared" si="84"/>
        <v>41812.82</v>
      </c>
      <c r="I2908" s="13"/>
    </row>
    <row r="2909" spans="1:9" s="5" customFormat="1" ht="18.3" x14ac:dyDescent="0.55000000000000004">
      <c r="A2909" s="19">
        <v>24.707039399999999</v>
      </c>
      <c r="B2909" s="19">
        <v>34.781272299999998</v>
      </c>
      <c r="C2909" s="19">
        <v>680190.55</v>
      </c>
      <c r="D2909" s="19">
        <v>2733680.28</v>
      </c>
      <c r="E2909" s="19">
        <v>432.78</v>
      </c>
      <c r="F2909" s="19">
        <v>41828.730000000003</v>
      </c>
      <c r="G2909" s="19">
        <v>114016</v>
      </c>
      <c r="H2909" s="19">
        <f t="shared" si="84"/>
        <v>41813.730000000003</v>
      </c>
      <c r="I2909" s="13"/>
    </row>
    <row r="2910" spans="1:9" s="5" customFormat="1" ht="18.3" x14ac:dyDescent="0.55000000000000004">
      <c r="A2910" s="19">
        <v>24.706274000000001</v>
      </c>
      <c r="B2910" s="19">
        <v>34.779816599999997</v>
      </c>
      <c r="C2910" s="19">
        <v>680044.36</v>
      </c>
      <c r="D2910" s="19">
        <v>2733593.59</v>
      </c>
      <c r="E2910" s="19">
        <v>436.63</v>
      </c>
      <c r="F2910" s="19">
        <v>41818.1</v>
      </c>
      <c r="G2910" s="19">
        <v>114225</v>
      </c>
      <c r="H2910" s="19">
        <f t="shared" si="84"/>
        <v>41803.1</v>
      </c>
      <c r="I2910" s="13"/>
    </row>
    <row r="2911" spans="1:9" s="5" customFormat="1" ht="18.3" x14ac:dyDescent="0.55000000000000004">
      <c r="A2911" s="19">
        <v>24.706273700000001</v>
      </c>
      <c r="B2911" s="19">
        <v>34.779816199999999</v>
      </c>
      <c r="C2911" s="19">
        <v>680044.32</v>
      </c>
      <c r="D2911" s="19">
        <v>2733593.55</v>
      </c>
      <c r="E2911" s="19">
        <v>436.78</v>
      </c>
      <c r="F2911" s="19">
        <v>41816.379999999997</v>
      </c>
      <c r="G2911" s="19">
        <v>114234</v>
      </c>
      <c r="H2911" s="19">
        <f t="shared" si="84"/>
        <v>41801.379999999997</v>
      </c>
      <c r="I2911" s="13"/>
    </row>
    <row r="2912" spans="1:9" s="5" customFormat="1" ht="18.3" x14ac:dyDescent="0.55000000000000004">
      <c r="A2912" s="19">
        <v>24.706984800000001</v>
      </c>
      <c r="B2912" s="19">
        <v>34.777999600000001</v>
      </c>
      <c r="C2912" s="19">
        <v>679859.5</v>
      </c>
      <c r="D2912" s="19">
        <v>2733669.93</v>
      </c>
      <c r="E2912" s="19">
        <v>445.34</v>
      </c>
      <c r="F2912" s="19">
        <v>41994.9</v>
      </c>
      <c r="G2912" s="19">
        <v>114440</v>
      </c>
      <c r="H2912" s="19">
        <f t="shared" si="84"/>
        <v>41979.9</v>
      </c>
      <c r="I2912" s="13"/>
    </row>
    <row r="2913" spans="1:9" s="5" customFormat="1" ht="18.3" x14ac:dyDescent="0.55000000000000004">
      <c r="A2913" s="19">
        <v>24.7069844</v>
      </c>
      <c r="B2913" s="19">
        <v>34.777999899999998</v>
      </c>
      <c r="C2913" s="19">
        <v>679859.54</v>
      </c>
      <c r="D2913" s="19">
        <v>2733669.88</v>
      </c>
      <c r="E2913" s="19">
        <v>444.95</v>
      </c>
      <c r="F2913" s="19">
        <v>41994.82</v>
      </c>
      <c r="G2913" s="19">
        <v>114452</v>
      </c>
      <c r="H2913" s="19">
        <f t="shared" si="84"/>
        <v>41979.82</v>
      </c>
      <c r="I2913" s="13"/>
    </row>
    <row r="2914" spans="1:9" s="5" customFormat="1" ht="18.3" x14ac:dyDescent="0.55000000000000004">
      <c r="A2914" s="19">
        <v>24.7066737</v>
      </c>
      <c r="B2914" s="19">
        <v>34.776351900000002</v>
      </c>
      <c r="C2914" s="19">
        <v>679693.23</v>
      </c>
      <c r="D2914" s="19">
        <v>2733633.31</v>
      </c>
      <c r="E2914" s="19">
        <v>448.62</v>
      </c>
      <c r="F2914" s="19">
        <v>41801.339999999997</v>
      </c>
      <c r="G2914" s="19">
        <v>114643</v>
      </c>
      <c r="H2914" s="19">
        <f t="shared" si="84"/>
        <v>41786.339999999997</v>
      </c>
      <c r="I2914" s="13"/>
    </row>
    <row r="2915" spans="1:9" s="5" customFormat="1" ht="18.3" x14ac:dyDescent="0.55000000000000004">
      <c r="A2915" s="19">
        <v>24.706671700000001</v>
      </c>
      <c r="B2915" s="19">
        <v>34.776349600000003</v>
      </c>
      <c r="C2915" s="19">
        <v>679693</v>
      </c>
      <c r="D2915" s="19">
        <v>2733633.08</v>
      </c>
      <c r="E2915" s="19">
        <v>448.79</v>
      </c>
      <c r="F2915" s="19">
        <v>41800.89</v>
      </c>
      <c r="G2915" s="19">
        <v>114655</v>
      </c>
      <c r="H2915" s="19">
        <f t="shared" si="84"/>
        <v>41785.89</v>
      </c>
      <c r="I2915" s="13"/>
    </row>
    <row r="2916" spans="1:9" s="5" customFormat="1" ht="18.3" x14ac:dyDescent="0.55000000000000004">
      <c r="A2916" s="19">
        <v>24.707342199999999</v>
      </c>
      <c r="B2916" s="19">
        <v>34.773971000000003</v>
      </c>
      <c r="C2916" s="19">
        <v>679451.37</v>
      </c>
      <c r="D2916" s="19">
        <v>2733704.23</v>
      </c>
      <c r="E2916" s="19">
        <v>455.34</v>
      </c>
      <c r="F2916" s="19">
        <v>41841.79</v>
      </c>
      <c r="G2916" s="19">
        <v>114840</v>
      </c>
      <c r="H2916" s="19">
        <f t="shared" si="84"/>
        <v>41826.79</v>
      </c>
      <c r="I2916" s="13"/>
    </row>
    <row r="2917" spans="1:9" s="5" customFormat="1" ht="18.3" x14ac:dyDescent="0.55000000000000004">
      <c r="A2917" s="19">
        <v>24.707342100000002</v>
      </c>
      <c r="B2917" s="19">
        <v>34.773969399999999</v>
      </c>
      <c r="C2917" s="19">
        <v>679451.22</v>
      </c>
      <c r="D2917" s="19">
        <v>2733704.22</v>
      </c>
      <c r="E2917" s="19">
        <v>455.1</v>
      </c>
      <c r="F2917" s="19">
        <v>41842.99</v>
      </c>
      <c r="G2917" s="19">
        <v>114849</v>
      </c>
      <c r="H2917" s="19">
        <f t="shared" si="84"/>
        <v>41827.99</v>
      </c>
      <c r="I2917" s="13"/>
    </row>
    <row r="2918" spans="1:9" s="5" customFormat="1" ht="18.3" x14ac:dyDescent="0.55000000000000004">
      <c r="A2918" s="19">
        <v>24.7063028</v>
      </c>
      <c r="B2918" s="19">
        <v>34.772017900000002</v>
      </c>
      <c r="C2918" s="19">
        <v>679255.25</v>
      </c>
      <c r="D2918" s="19">
        <v>2733586.55</v>
      </c>
      <c r="E2918" s="19">
        <v>454.25</v>
      </c>
      <c r="F2918" s="19">
        <v>41765.879999999997</v>
      </c>
      <c r="G2918" s="19">
        <v>115022</v>
      </c>
      <c r="H2918" s="19">
        <f t="shared" si="84"/>
        <v>41750.879999999997</v>
      </c>
      <c r="I2918" s="13"/>
    </row>
    <row r="2919" spans="1:9" s="5" customFormat="1" ht="18.3" x14ac:dyDescent="0.55000000000000004">
      <c r="A2919" s="19">
        <v>24.7063031</v>
      </c>
      <c r="B2919" s="19">
        <v>34.772018699999997</v>
      </c>
      <c r="C2919" s="19">
        <v>679255.33</v>
      </c>
      <c r="D2919" s="19">
        <v>2733586.59</v>
      </c>
      <c r="E2919" s="19">
        <v>454.04</v>
      </c>
      <c r="F2919" s="19">
        <v>41762.870000000003</v>
      </c>
      <c r="G2919" s="19">
        <v>115034</v>
      </c>
      <c r="H2919" s="19">
        <f t="shared" si="84"/>
        <v>41747.870000000003</v>
      </c>
      <c r="I2919" s="13"/>
    </row>
    <row r="2920" spans="1:9" s="5" customFormat="1" ht="18.3" x14ac:dyDescent="0.55000000000000004">
      <c r="A2920" s="19">
        <v>24.7050588</v>
      </c>
      <c r="B2920" s="19">
        <v>34.770938200000003</v>
      </c>
      <c r="C2920" s="19">
        <v>679147.79</v>
      </c>
      <c r="D2920" s="19">
        <v>2733447.36</v>
      </c>
      <c r="E2920" s="19">
        <v>461.49</v>
      </c>
      <c r="F2920" s="19">
        <v>41837.1</v>
      </c>
      <c r="G2920" s="19">
        <v>115313</v>
      </c>
      <c r="H2920" s="19">
        <f t="shared" si="84"/>
        <v>41822.1</v>
      </c>
      <c r="I2920" s="13"/>
    </row>
    <row r="2921" spans="1:9" s="5" customFormat="1" ht="18.3" x14ac:dyDescent="0.55000000000000004">
      <c r="A2921" s="19">
        <v>24.705059899999998</v>
      </c>
      <c r="B2921" s="19">
        <v>34.770937799999999</v>
      </c>
      <c r="C2921" s="19">
        <v>679147.74</v>
      </c>
      <c r="D2921" s="19">
        <v>2733447.48</v>
      </c>
      <c r="E2921" s="19">
        <v>461.78</v>
      </c>
      <c r="F2921" s="19">
        <v>41840.04</v>
      </c>
      <c r="G2921" s="19">
        <v>115322</v>
      </c>
      <c r="H2921" s="19">
        <f t="shared" si="84"/>
        <v>41825.040000000001</v>
      </c>
      <c r="I2921" s="13"/>
    </row>
    <row r="2922" spans="1:9" s="5" customFormat="1" ht="18.3" x14ac:dyDescent="0.55000000000000004">
      <c r="A2922" s="19">
        <v>24.705290300000001</v>
      </c>
      <c r="B2922" s="19">
        <v>34.767862999999998</v>
      </c>
      <c r="C2922" s="19">
        <v>678836.3</v>
      </c>
      <c r="D2922" s="19">
        <v>2733468.98</v>
      </c>
      <c r="E2922" s="19">
        <v>470.9</v>
      </c>
      <c r="F2922" s="19">
        <v>41797.79</v>
      </c>
      <c r="G2922" s="19">
        <v>115543</v>
      </c>
      <c r="H2922" s="19">
        <f t="shared" si="84"/>
        <v>41782.79</v>
      </c>
      <c r="I2922" s="13"/>
    </row>
    <row r="2923" spans="1:9" s="5" customFormat="1" ht="18.3" x14ac:dyDescent="0.55000000000000004">
      <c r="A2923" s="19">
        <v>24.705288700000001</v>
      </c>
      <c r="B2923" s="19">
        <v>34.767859799999997</v>
      </c>
      <c r="C2923" s="19">
        <v>678835.99</v>
      </c>
      <c r="D2923" s="19">
        <v>2733468.8</v>
      </c>
      <c r="E2923" s="19">
        <v>471.22</v>
      </c>
      <c r="F2923" s="19">
        <v>41798.19</v>
      </c>
      <c r="G2923" s="19">
        <v>115558</v>
      </c>
      <c r="H2923" s="19">
        <f t="shared" si="84"/>
        <v>41783.19</v>
      </c>
      <c r="I2923" s="13"/>
    </row>
    <row r="2924" spans="1:9" s="5" customFormat="1" ht="18.3" x14ac:dyDescent="0.55000000000000004">
      <c r="A2924" s="19">
        <v>24.705559099999999</v>
      </c>
      <c r="B2924" s="19">
        <v>34.765887800000002</v>
      </c>
      <c r="C2924" s="19">
        <v>678636.07</v>
      </c>
      <c r="D2924" s="19">
        <v>2733496.18</v>
      </c>
      <c r="E2924" s="19">
        <v>476.47</v>
      </c>
      <c r="F2924" s="19">
        <v>41807.5</v>
      </c>
      <c r="G2924" s="19">
        <v>115740</v>
      </c>
      <c r="H2924" s="19">
        <f t="shared" si="84"/>
        <v>41792.5</v>
      </c>
      <c r="I2924" s="13"/>
    </row>
    <row r="2925" spans="1:9" s="5" customFormat="1" ht="18.3" x14ac:dyDescent="0.55000000000000004">
      <c r="A2925" s="19">
        <v>24.705559399999999</v>
      </c>
      <c r="B2925" s="19">
        <v>34.765886899999998</v>
      </c>
      <c r="C2925" s="19">
        <v>678635.98</v>
      </c>
      <c r="D2925" s="19">
        <v>2733496.2</v>
      </c>
      <c r="E2925" s="19">
        <v>476.69</v>
      </c>
      <c r="F2925" s="19">
        <v>41806.6</v>
      </c>
      <c r="G2925" s="19">
        <v>115752</v>
      </c>
      <c r="H2925" s="19">
        <f t="shared" si="84"/>
        <v>41791.599999999999</v>
      </c>
      <c r="I2925" s="13"/>
    </row>
    <row r="2926" spans="1:9" s="5" customFormat="1" ht="18.3" x14ac:dyDescent="0.55000000000000004">
      <c r="A2926" s="19">
        <v>24.7062156</v>
      </c>
      <c r="B2926" s="19">
        <v>34.764204399999997</v>
      </c>
      <c r="C2926" s="19">
        <v>678464.81</v>
      </c>
      <c r="D2926" s="19">
        <v>2733566.69</v>
      </c>
      <c r="E2926" s="19">
        <v>481.79</v>
      </c>
      <c r="F2926" s="19">
        <v>41810.269999999997</v>
      </c>
      <c r="G2926" s="19">
        <v>115928</v>
      </c>
      <c r="H2926" s="19">
        <f t="shared" si="84"/>
        <v>41795.269999999997</v>
      </c>
      <c r="I2926" s="13"/>
    </row>
    <row r="2927" spans="1:9" s="5" customFormat="1" ht="18.3" x14ac:dyDescent="0.55000000000000004">
      <c r="A2927" s="19">
        <v>24.706214899999999</v>
      </c>
      <c r="B2927" s="19">
        <v>34.764199900000001</v>
      </c>
      <c r="C2927" s="19">
        <v>678464.36</v>
      </c>
      <c r="D2927" s="19">
        <v>2733566.61</v>
      </c>
      <c r="E2927" s="19">
        <v>482.02</v>
      </c>
      <c r="F2927" s="19">
        <v>41811.800000000003</v>
      </c>
      <c r="G2927" s="19">
        <v>115940</v>
      </c>
      <c r="H2927" s="19">
        <f t="shared" si="84"/>
        <v>41796.800000000003</v>
      </c>
      <c r="I2927" s="13"/>
    </row>
    <row r="2928" spans="1:9" s="5" customFormat="1" ht="18.3" x14ac:dyDescent="0.55000000000000004">
      <c r="A2928" s="19">
        <v>24.706628599999998</v>
      </c>
      <c r="B2928" s="19">
        <v>34.7622499</v>
      </c>
      <c r="C2928" s="19">
        <v>678266.46</v>
      </c>
      <c r="D2928" s="19">
        <v>2733609.89</v>
      </c>
      <c r="E2928" s="19">
        <v>484.09</v>
      </c>
      <c r="F2928" s="19">
        <v>41841.67</v>
      </c>
      <c r="G2928" s="19">
        <v>120113</v>
      </c>
      <c r="H2928" s="19">
        <f t="shared" si="84"/>
        <v>41826.67</v>
      </c>
      <c r="I2928" s="13"/>
    </row>
    <row r="2929" spans="1:9" s="5" customFormat="1" ht="18.3" x14ac:dyDescent="0.55000000000000004">
      <c r="A2929" s="19">
        <v>24.706630400000002</v>
      </c>
      <c r="B2929" s="19">
        <v>34.762252599999997</v>
      </c>
      <c r="C2929" s="19">
        <v>678266.73</v>
      </c>
      <c r="D2929" s="19">
        <v>2733610.09</v>
      </c>
      <c r="E2929" s="19">
        <v>483.98</v>
      </c>
      <c r="F2929" s="19">
        <v>41842.129999999997</v>
      </c>
      <c r="G2929" s="19">
        <v>120128</v>
      </c>
      <c r="H2929" s="19">
        <f t="shared" si="84"/>
        <v>41827.129999999997</v>
      </c>
      <c r="I2929" s="13"/>
    </row>
    <row r="2930" spans="1:9" s="5" customFormat="1" ht="18.3" x14ac:dyDescent="0.55000000000000004">
      <c r="A2930" s="19">
        <v>24.7069954</v>
      </c>
      <c r="B2930" s="19">
        <v>34.760366599999998</v>
      </c>
      <c r="C2930" s="19">
        <v>678075.39</v>
      </c>
      <c r="D2930" s="19">
        <v>2733648.07</v>
      </c>
      <c r="E2930" s="19">
        <v>491.19</v>
      </c>
      <c r="F2930" s="19">
        <v>41863.51</v>
      </c>
      <c r="G2930" s="19">
        <v>120337</v>
      </c>
      <c r="H2930" s="19">
        <f t="shared" si="84"/>
        <v>41848.51</v>
      </c>
      <c r="I2930" s="13"/>
    </row>
    <row r="2931" spans="1:9" s="5" customFormat="1" ht="18.3" x14ac:dyDescent="0.55000000000000004">
      <c r="A2931" s="19">
        <v>24.7069954</v>
      </c>
      <c r="B2931" s="19">
        <v>34.7603692</v>
      </c>
      <c r="C2931" s="19">
        <v>678075.65</v>
      </c>
      <c r="D2931" s="19">
        <v>2733648.08</v>
      </c>
      <c r="E2931" s="19">
        <v>491.41</v>
      </c>
      <c r="F2931" s="19">
        <v>41868.36</v>
      </c>
      <c r="G2931" s="19">
        <v>120349</v>
      </c>
      <c r="H2931" s="19">
        <f t="shared" si="84"/>
        <v>41853.360000000001</v>
      </c>
      <c r="I2931" s="13"/>
    </row>
    <row r="2932" spans="1:9" s="5" customFormat="1" ht="18.3" x14ac:dyDescent="0.55000000000000004">
      <c r="A2932" s="19">
        <v>24.707569500000002</v>
      </c>
      <c r="B2932" s="19">
        <v>34.758464400000001</v>
      </c>
      <c r="C2932" s="19">
        <v>677882.11</v>
      </c>
      <c r="D2932" s="19">
        <v>2733709.18</v>
      </c>
      <c r="E2932" s="19">
        <v>493.18</v>
      </c>
      <c r="F2932" s="19">
        <v>41868.589999999997</v>
      </c>
      <c r="G2932" s="19">
        <v>120613</v>
      </c>
      <c r="H2932" s="19">
        <f t="shared" si="84"/>
        <v>41853.589999999997</v>
      </c>
      <c r="I2932" s="13"/>
    </row>
    <row r="2933" spans="1:9" s="5" customFormat="1" ht="18.3" x14ac:dyDescent="0.55000000000000004">
      <c r="A2933" s="19">
        <v>24.707544299999999</v>
      </c>
      <c r="B2933" s="19">
        <v>34.758073199999998</v>
      </c>
      <c r="C2933" s="19">
        <v>677842.57</v>
      </c>
      <c r="D2933" s="19">
        <v>2733705.89</v>
      </c>
      <c r="E2933" s="19">
        <v>494.98</v>
      </c>
      <c r="F2933" s="19">
        <v>41878.26</v>
      </c>
      <c r="G2933" s="19">
        <v>120704</v>
      </c>
      <c r="H2933" s="19">
        <f t="shared" si="84"/>
        <v>41863.26</v>
      </c>
      <c r="I2933" s="13"/>
    </row>
    <row r="2934" spans="1:9" s="5" customFormat="1" ht="18.3" x14ac:dyDescent="0.55000000000000004">
      <c r="A2934" s="19">
        <v>24.707574999999999</v>
      </c>
      <c r="B2934" s="19">
        <v>34.757635299999997</v>
      </c>
      <c r="C2934" s="19">
        <v>677798.22</v>
      </c>
      <c r="D2934" s="19">
        <v>2733708.72</v>
      </c>
      <c r="E2934" s="19">
        <v>493.39</v>
      </c>
      <c r="F2934" s="19">
        <v>41867.49</v>
      </c>
      <c r="G2934" s="19">
        <v>120749</v>
      </c>
      <c r="H2934" s="19">
        <f t="shared" si="84"/>
        <v>41852.49</v>
      </c>
      <c r="I2934" s="13"/>
    </row>
    <row r="2935" spans="1:9" s="5" customFormat="1" ht="18.3" x14ac:dyDescent="0.55000000000000004">
      <c r="A2935" s="19">
        <v>24.707585300000002</v>
      </c>
      <c r="B2935" s="19">
        <v>34.757634899999999</v>
      </c>
      <c r="C2935" s="19">
        <v>677798.16</v>
      </c>
      <c r="D2935" s="19">
        <v>2733709.85</v>
      </c>
      <c r="E2935" s="19">
        <v>492.04</v>
      </c>
      <c r="F2935" s="19">
        <v>41866.26</v>
      </c>
      <c r="G2935" s="19">
        <v>120813</v>
      </c>
      <c r="H2935" s="19">
        <f t="shared" si="84"/>
        <v>41851.26</v>
      </c>
      <c r="I2935" s="13"/>
    </row>
    <row r="2936" spans="1:9" s="5" customFormat="1" ht="18.3" x14ac:dyDescent="0.55000000000000004">
      <c r="A2936" s="19">
        <v>24.7526963</v>
      </c>
      <c r="B2936" s="19">
        <v>34.7937072</v>
      </c>
      <c r="C2936" s="19">
        <v>681382.46</v>
      </c>
      <c r="D2936" s="19">
        <v>2738753.65</v>
      </c>
      <c r="E2936" s="19">
        <v>332.44</v>
      </c>
      <c r="F2936" s="19">
        <v>41805.9</v>
      </c>
      <c r="G2936" s="19">
        <v>130040</v>
      </c>
      <c r="H2936" s="19">
        <f>SUM(F2936-65)</f>
        <v>41740.9</v>
      </c>
      <c r="I2936" s="13"/>
    </row>
    <row r="2937" spans="1:9" s="5" customFormat="1" ht="18.3" x14ac:dyDescent="0.55000000000000004">
      <c r="A2937" s="19">
        <v>24.7526957</v>
      </c>
      <c r="B2937" s="19">
        <v>34.793709100000001</v>
      </c>
      <c r="C2937" s="19">
        <v>681382.66</v>
      </c>
      <c r="D2937" s="19">
        <v>2738753.59</v>
      </c>
      <c r="E2937" s="19">
        <v>332.44</v>
      </c>
      <c r="F2937" s="19">
        <v>41804.550000000003</v>
      </c>
      <c r="G2937" s="19">
        <v>130052</v>
      </c>
      <c r="H2937" s="19">
        <f t="shared" ref="H2937:H2943" si="85">SUM(F2937-65)</f>
        <v>41739.550000000003</v>
      </c>
      <c r="I2937" s="13"/>
    </row>
    <row r="2938" spans="1:9" s="5" customFormat="1" ht="18.3" x14ac:dyDescent="0.55000000000000004">
      <c r="A2938" s="19">
        <v>24.752615899999999</v>
      </c>
      <c r="B2938" s="19">
        <v>34.7927976</v>
      </c>
      <c r="C2938" s="19">
        <v>681290.58</v>
      </c>
      <c r="D2938" s="19">
        <v>2738743.53</v>
      </c>
      <c r="E2938" s="19">
        <v>333.6</v>
      </c>
      <c r="F2938" s="19">
        <v>41871.08</v>
      </c>
      <c r="G2938" s="19">
        <v>130219</v>
      </c>
      <c r="H2938" s="19">
        <f t="shared" si="85"/>
        <v>41806.080000000002</v>
      </c>
      <c r="I2938" s="13"/>
    </row>
    <row r="2939" spans="1:9" s="5" customFormat="1" ht="18.3" x14ac:dyDescent="0.55000000000000004">
      <c r="A2939" s="19">
        <v>24.7526157</v>
      </c>
      <c r="B2939" s="19">
        <v>34.7927976</v>
      </c>
      <c r="C2939" s="19">
        <v>681290.58</v>
      </c>
      <c r="D2939" s="19">
        <v>2738743.52</v>
      </c>
      <c r="E2939" s="19">
        <v>333.63</v>
      </c>
      <c r="F2939" s="19">
        <v>41870.57</v>
      </c>
      <c r="G2939" s="19">
        <v>130228</v>
      </c>
      <c r="H2939" s="19">
        <f t="shared" si="85"/>
        <v>41805.57</v>
      </c>
      <c r="I2939" s="13"/>
    </row>
    <row r="2940" spans="1:9" s="5" customFormat="1" ht="18.3" x14ac:dyDescent="0.55000000000000004">
      <c r="A2940" s="19">
        <v>24.753569800000001</v>
      </c>
      <c r="B2940" s="19">
        <v>34.791355600000003</v>
      </c>
      <c r="C2940" s="19">
        <v>681143.34</v>
      </c>
      <c r="D2940" s="19">
        <v>2738847.28</v>
      </c>
      <c r="E2940" s="19">
        <v>334.85</v>
      </c>
      <c r="F2940" s="19">
        <v>41821.339999999997</v>
      </c>
      <c r="G2940" s="19">
        <v>130413</v>
      </c>
      <c r="H2940" s="19">
        <f t="shared" si="85"/>
        <v>41756.339999999997</v>
      </c>
      <c r="I2940" s="13"/>
    </row>
    <row r="2941" spans="1:9" s="5" customFormat="1" ht="18.3" x14ac:dyDescent="0.55000000000000004">
      <c r="A2941" s="19">
        <v>24.753570100000001</v>
      </c>
      <c r="B2941" s="19">
        <v>34.791355600000003</v>
      </c>
      <c r="C2941" s="19">
        <v>681143.34</v>
      </c>
      <c r="D2941" s="19">
        <v>2738847.32</v>
      </c>
      <c r="E2941" s="19">
        <v>334.89</v>
      </c>
      <c r="F2941" s="19">
        <v>41821.599999999999</v>
      </c>
      <c r="G2941" s="19">
        <v>130422</v>
      </c>
      <c r="H2941" s="19">
        <f t="shared" si="85"/>
        <v>41756.6</v>
      </c>
      <c r="I2941" s="13"/>
    </row>
    <row r="2942" spans="1:9" s="5" customFormat="1" ht="18.3" x14ac:dyDescent="0.55000000000000004">
      <c r="A2942" s="19">
        <v>24.7547383</v>
      </c>
      <c r="B2942" s="19">
        <v>34.789966800000002</v>
      </c>
      <c r="C2942" s="19">
        <v>681001.19</v>
      </c>
      <c r="D2942" s="19">
        <v>2738974.87</v>
      </c>
      <c r="E2942" s="19">
        <v>338.12</v>
      </c>
      <c r="F2942" s="19">
        <v>41804.07</v>
      </c>
      <c r="G2942" s="19">
        <v>130658</v>
      </c>
      <c r="H2942" s="19">
        <f t="shared" si="85"/>
        <v>41739.07</v>
      </c>
      <c r="I2942" s="13"/>
    </row>
    <row r="2943" spans="1:9" s="5" customFormat="1" ht="18.3" x14ac:dyDescent="0.55000000000000004">
      <c r="A2943" s="19">
        <v>24.754738400000001</v>
      </c>
      <c r="B2943" s="19">
        <v>34.789966100000001</v>
      </c>
      <c r="C2943" s="19">
        <v>681001.12</v>
      </c>
      <c r="D2943" s="19">
        <v>2738974.88</v>
      </c>
      <c r="E2943" s="19">
        <v>338.06</v>
      </c>
      <c r="F2943" s="19">
        <v>41802.769999999997</v>
      </c>
      <c r="G2943" s="19">
        <v>130707</v>
      </c>
      <c r="H2943" s="19">
        <f t="shared" si="85"/>
        <v>41737.769999999997</v>
      </c>
      <c r="I2943" s="13"/>
    </row>
    <row r="2944" spans="1:9" s="5" customFormat="1" ht="18.3" x14ac:dyDescent="0.55000000000000004">
      <c r="A2944" s="19">
        <v>24.754985399999999</v>
      </c>
      <c r="B2944" s="19">
        <v>34.7881365</v>
      </c>
      <c r="C2944" s="19">
        <v>680815.71</v>
      </c>
      <c r="D2944" s="19">
        <v>2738999.81</v>
      </c>
      <c r="E2944" s="19">
        <v>339.61</v>
      </c>
      <c r="F2944" s="19">
        <v>42024.78</v>
      </c>
      <c r="G2944" s="19">
        <v>130834</v>
      </c>
      <c r="H2944" s="19">
        <f>SUM(F2944-70)</f>
        <v>41954.78</v>
      </c>
      <c r="I2944" s="13"/>
    </row>
    <row r="2945" spans="1:9" s="5" customFormat="1" ht="18.3" x14ac:dyDescent="0.55000000000000004">
      <c r="A2945" s="19">
        <v>24.754985300000001</v>
      </c>
      <c r="B2945" s="19">
        <v>34.7881365</v>
      </c>
      <c r="C2945" s="19">
        <v>680815.71</v>
      </c>
      <c r="D2945" s="19">
        <v>2738999.8</v>
      </c>
      <c r="E2945" s="19">
        <v>339.59</v>
      </c>
      <c r="F2945" s="19">
        <v>42024.6</v>
      </c>
      <c r="G2945" s="19">
        <v>130843</v>
      </c>
      <c r="H2945" s="19">
        <f t="shared" ref="H2945:H2952" si="86">SUM(F2945-70)</f>
        <v>41954.6</v>
      </c>
      <c r="I2945" s="13"/>
    </row>
    <row r="2946" spans="1:9" s="5" customFormat="1" ht="18.3" x14ac:dyDescent="0.55000000000000004">
      <c r="A2946" s="19">
        <v>24.755207500000001</v>
      </c>
      <c r="B2946" s="19">
        <v>34.786069599999998</v>
      </c>
      <c r="C2946" s="19">
        <v>680606.35</v>
      </c>
      <c r="D2946" s="19">
        <v>2739021.68</v>
      </c>
      <c r="E2946" s="19">
        <v>342.59</v>
      </c>
      <c r="F2946" s="19">
        <v>41892.86</v>
      </c>
      <c r="G2946" s="19">
        <v>131016</v>
      </c>
      <c r="H2946" s="19">
        <f t="shared" si="86"/>
        <v>41822.86</v>
      </c>
      <c r="I2946" s="13"/>
    </row>
    <row r="2947" spans="1:9" s="5" customFormat="1" ht="18.3" x14ac:dyDescent="0.55000000000000004">
      <c r="A2947" s="19">
        <v>24.755207899999998</v>
      </c>
      <c r="B2947" s="19">
        <v>34.786069900000001</v>
      </c>
      <c r="C2947" s="19">
        <v>680606.37</v>
      </c>
      <c r="D2947" s="19">
        <v>2739021.73</v>
      </c>
      <c r="E2947" s="19">
        <v>342.59</v>
      </c>
      <c r="F2947" s="19">
        <v>41893.769999999997</v>
      </c>
      <c r="G2947" s="19">
        <v>131025</v>
      </c>
      <c r="H2947" s="19">
        <f t="shared" si="86"/>
        <v>41823.769999999997</v>
      </c>
      <c r="I2947" s="13"/>
    </row>
    <row r="2948" spans="1:9" s="5" customFormat="1" ht="18.3" x14ac:dyDescent="0.55000000000000004">
      <c r="A2948" s="19">
        <v>24.755355600000001</v>
      </c>
      <c r="B2948" s="19">
        <v>34.784206400000002</v>
      </c>
      <c r="C2948" s="19">
        <v>680417.68</v>
      </c>
      <c r="D2948" s="19">
        <v>2739035.63</v>
      </c>
      <c r="E2948" s="19">
        <v>344.75</v>
      </c>
      <c r="F2948" s="19">
        <v>41883.11</v>
      </c>
      <c r="G2948" s="19">
        <v>131158</v>
      </c>
      <c r="H2948" s="19">
        <f t="shared" si="86"/>
        <v>41813.11</v>
      </c>
      <c r="I2948" s="13"/>
    </row>
    <row r="2949" spans="1:9" s="5" customFormat="1" ht="18.3" x14ac:dyDescent="0.55000000000000004">
      <c r="A2949" s="19">
        <v>24.755616</v>
      </c>
      <c r="B2949" s="19">
        <v>34.782007</v>
      </c>
      <c r="C2949" s="19">
        <v>680194.86</v>
      </c>
      <c r="D2949" s="19">
        <v>2739061.57</v>
      </c>
      <c r="E2949" s="19">
        <v>347</v>
      </c>
      <c r="F2949" s="19">
        <v>41875.230000000003</v>
      </c>
      <c r="G2949" s="19">
        <v>131340</v>
      </c>
      <c r="H2949" s="19">
        <f t="shared" si="86"/>
        <v>41805.230000000003</v>
      </c>
      <c r="I2949" s="13"/>
    </row>
    <row r="2950" spans="1:9" s="5" customFormat="1" ht="18.3" x14ac:dyDescent="0.55000000000000004">
      <c r="A2950" s="19">
        <v>24.755616199999999</v>
      </c>
      <c r="B2950" s="19">
        <v>34.782008699999999</v>
      </c>
      <c r="C2950" s="19">
        <v>680195.03</v>
      </c>
      <c r="D2950" s="19">
        <v>2739061.59</v>
      </c>
      <c r="E2950" s="19">
        <v>346.6</v>
      </c>
      <c r="F2950" s="19">
        <v>41874.69</v>
      </c>
      <c r="G2950" s="19">
        <v>131349</v>
      </c>
      <c r="H2950" s="19">
        <f t="shared" si="86"/>
        <v>41804.69</v>
      </c>
      <c r="I2950" s="13"/>
    </row>
    <row r="2951" spans="1:9" s="5" customFormat="1" ht="18.3" x14ac:dyDescent="0.55000000000000004">
      <c r="A2951" s="19">
        <v>24.755540499999999</v>
      </c>
      <c r="B2951" s="19">
        <v>34.780133800000002</v>
      </c>
      <c r="C2951" s="19">
        <v>680005.51</v>
      </c>
      <c r="D2951" s="19">
        <v>2739050.74</v>
      </c>
      <c r="E2951" s="19">
        <v>349.51</v>
      </c>
      <c r="F2951" s="19">
        <v>41896.36</v>
      </c>
      <c r="G2951" s="19">
        <v>131537</v>
      </c>
      <c r="H2951" s="19">
        <f t="shared" si="86"/>
        <v>41826.36</v>
      </c>
      <c r="I2951" s="13"/>
    </row>
    <row r="2952" spans="1:9" s="5" customFormat="1" ht="18.3" x14ac:dyDescent="0.55000000000000004">
      <c r="A2952" s="19">
        <v>24.7555406</v>
      </c>
      <c r="B2952" s="19">
        <v>34.780133599999999</v>
      </c>
      <c r="C2952" s="19">
        <v>680005.49</v>
      </c>
      <c r="D2952" s="19">
        <v>2739050.76</v>
      </c>
      <c r="E2952" s="19">
        <v>349.63</v>
      </c>
      <c r="F2952" s="19">
        <v>41899.74</v>
      </c>
      <c r="G2952" s="19">
        <v>131546</v>
      </c>
      <c r="H2952" s="19">
        <f t="shared" si="86"/>
        <v>41829.74</v>
      </c>
      <c r="I2952" s="13"/>
    </row>
    <row r="2953" spans="1:9" s="5" customFormat="1" ht="18.3" x14ac:dyDescent="0.55000000000000004">
      <c r="A2953" s="19">
        <v>24.7553391</v>
      </c>
      <c r="B2953" s="19">
        <v>34.778424399999999</v>
      </c>
      <c r="C2953" s="19">
        <v>679832.92</v>
      </c>
      <c r="D2953" s="19">
        <v>2739026.18</v>
      </c>
      <c r="E2953" s="19">
        <v>352.46</v>
      </c>
      <c r="F2953" s="19">
        <v>41908.18</v>
      </c>
      <c r="G2953" s="19">
        <v>131722</v>
      </c>
      <c r="H2953" s="19">
        <f>SUM(F2953-80)</f>
        <v>41828.18</v>
      </c>
      <c r="I2953" s="13"/>
    </row>
    <row r="2954" spans="1:9" s="5" customFormat="1" ht="18.3" x14ac:dyDescent="0.55000000000000004">
      <c r="A2954" s="19">
        <v>24.7553397</v>
      </c>
      <c r="B2954" s="19">
        <v>34.778424200000003</v>
      </c>
      <c r="C2954" s="19">
        <v>679832.89</v>
      </c>
      <c r="D2954" s="19">
        <v>2739026.26</v>
      </c>
      <c r="E2954" s="19">
        <v>352.52</v>
      </c>
      <c r="F2954" s="19">
        <v>41901.760000000002</v>
      </c>
      <c r="G2954" s="19">
        <v>131731</v>
      </c>
      <c r="H2954" s="19">
        <f t="shared" ref="H2954:H2996" si="87">SUM(F2954-80)</f>
        <v>41821.760000000002</v>
      </c>
      <c r="I2954" s="13"/>
    </row>
    <row r="2955" spans="1:9" s="5" customFormat="1" ht="18.3" x14ac:dyDescent="0.55000000000000004">
      <c r="A2955" s="19">
        <v>24.754833399999999</v>
      </c>
      <c r="B2955" s="19">
        <v>34.776367399999998</v>
      </c>
      <c r="C2955" s="19">
        <v>679625.59</v>
      </c>
      <c r="D2955" s="19">
        <v>2738967.47</v>
      </c>
      <c r="E2955" s="19">
        <v>354.8</v>
      </c>
      <c r="F2955" s="19">
        <v>41891.01</v>
      </c>
      <c r="G2955" s="19">
        <v>131904</v>
      </c>
      <c r="H2955" s="19">
        <f t="shared" si="87"/>
        <v>41811.01</v>
      </c>
      <c r="I2955" s="13"/>
    </row>
    <row r="2956" spans="1:9" s="5" customFormat="1" ht="18.3" x14ac:dyDescent="0.55000000000000004">
      <c r="A2956" s="19">
        <v>24.7541136</v>
      </c>
      <c r="B2956" s="19">
        <v>34.774797700000001</v>
      </c>
      <c r="C2956" s="19">
        <v>679467.86</v>
      </c>
      <c r="D2956" s="19">
        <v>2738885.69</v>
      </c>
      <c r="E2956" s="19">
        <v>357.06</v>
      </c>
      <c r="F2956" s="19">
        <v>41916.769999999997</v>
      </c>
      <c r="G2956" s="19">
        <v>132058</v>
      </c>
      <c r="H2956" s="19">
        <f t="shared" si="87"/>
        <v>41836.769999999997</v>
      </c>
      <c r="I2956" s="13"/>
    </row>
    <row r="2957" spans="1:9" s="5" customFormat="1" ht="18.3" x14ac:dyDescent="0.55000000000000004">
      <c r="A2957" s="19">
        <v>24.7541136</v>
      </c>
      <c r="B2957" s="19">
        <v>34.774797499999998</v>
      </c>
      <c r="C2957" s="19">
        <v>679467.85</v>
      </c>
      <c r="D2957" s="19">
        <v>2738885.68</v>
      </c>
      <c r="E2957" s="19">
        <v>357.08</v>
      </c>
      <c r="F2957" s="19">
        <v>41914.67</v>
      </c>
      <c r="G2957" s="19">
        <v>132107</v>
      </c>
      <c r="H2957" s="19">
        <f t="shared" si="87"/>
        <v>41834.67</v>
      </c>
      <c r="I2957" s="13"/>
    </row>
    <row r="2958" spans="1:9" s="5" customFormat="1" ht="18.3" x14ac:dyDescent="0.55000000000000004">
      <c r="A2958" s="19">
        <v>24.7527796</v>
      </c>
      <c r="B2958" s="19">
        <v>34.773567100000001</v>
      </c>
      <c r="C2958" s="19">
        <v>679345.32</v>
      </c>
      <c r="D2958" s="19">
        <v>2738736.32</v>
      </c>
      <c r="E2958" s="19">
        <v>360.7</v>
      </c>
      <c r="F2958" s="19">
        <v>41912.910000000003</v>
      </c>
      <c r="G2958" s="19">
        <v>132252</v>
      </c>
      <c r="H2958" s="19">
        <f t="shared" si="87"/>
        <v>41832.910000000003</v>
      </c>
      <c r="I2958" s="13"/>
    </row>
    <row r="2959" spans="1:9" s="5" customFormat="1" ht="18.3" x14ac:dyDescent="0.55000000000000004">
      <c r="A2959" s="19">
        <v>24.752779799999999</v>
      </c>
      <c r="B2959" s="19">
        <v>34.773567399999997</v>
      </c>
      <c r="C2959" s="19">
        <v>679345.35</v>
      </c>
      <c r="D2959" s="19">
        <v>2738736.34</v>
      </c>
      <c r="E2959" s="19">
        <v>360.73</v>
      </c>
      <c r="F2959" s="19">
        <v>41914.31</v>
      </c>
      <c r="G2959" s="19">
        <v>132301</v>
      </c>
      <c r="H2959" s="19">
        <f t="shared" si="87"/>
        <v>41834.31</v>
      </c>
      <c r="I2959" s="13"/>
    </row>
    <row r="2960" spans="1:9" s="5" customFormat="1" ht="18.3" x14ac:dyDescent="0.55000000000000004">
      <c r="A2960" s="19">
        <v>24.751358199999999</v>
      </c>
      <c r="B2960" s="19">
        <v>34.772287499999997</v>
      </c>
      <c r="C2960" s="19">
        <v>679217.94</v>
      </c>
      <c r="D2960" s="19">
        <v>2738577.21</v>
      </c>
      <c r="E2960" s="19">
        <v>361.24</v>
      </c>
      <c r="F2960" s="19">
        <v>41831.550000000003</v>
      </c>
      <c r="G2960" s="19">
        <v>132619</v>
      </c>
      <c r="H2960" s="19">
        <f t="shared" si="87"/>
        <v>41751.550000000003</v>
      </c>
      <c r="I2960" s="13"/>
    </row>
    <row r="2961" spans="1:9" s="5" customFormat="1" ht="18.3" x14ac:dyDescent="0.55000000000000004">
      <c r="A2961" s="19">
        <v>24.751357899999999</v>
      </c>
      <c r="B2961" s="19">
        <v>34.772290699999999</v>
      </c>
      <c r="C2961" s="19">
        <v>679218.26</v>
      </c>
      <c r="D2961" s="19">
        <v>2738577.17</v>
      </c>
      <c r="E2961" s="19">
        <v>361.54</v>
      </c>
      <c r="F2961" s="19">
        <v>41828.85</v>
      </c>
      <c r="G2961" s="19">
        <v>132628</v>
      </c>
      <c r="H2961" s="19">
        <f t="shared" si="87"/>
        <v>41748.85</v>
      </c>
      <c r="I2961" s="13"/>
    </row>
    <row r="2962" spans="1:9" s="5" customFormat="1" ht="18.3" x14ac:dyDescent="0.55000000000000004">
      <c r="A2962" s="19">
        <v>24.7495768</v>
      </c>
      <c r="B2962" s="19">
        <v>34.770676700000003</v>
      </c>
      <c r="C2962" s="19">
        <v>679057.56</v>
      </c>
      <c r="D2962" s="19">
        <v>2738377.8</v>
      </c>
      <c r="E2962" s="19">
        <v>364.68</v>
      </c>
      <c r="F2962" s="19">
        <v>41614.449999999997</v>
      </c>
      <c r="G2962" s="19">
        <v>132834</v>
      </c>
      <c r="H2962" s="19">
        <f t="shared" si="87"/>
        <v>41534.449999999997</v>
      </c>
      <c r="I2962" s="13"/>
    </row>
    <row r="2963" spans="1:9" s="5" customFormat="1" ht="18.3" x14ac:dyDescent="0.55000000000000004">
      <c r="A2963" s="19">
        <v>24.749575400000001</v>
      </c>
      <c r="B2963" s="19">
        <v>34.770676600000002</v>
      </c>
      <c r="C2963" s="19">
        <v>679057.56</v>
      </c>
      <c r="D2963" s="19">
        <v>2738377.63</v>
      </c>
      <c r="E2963" s="19">
        <v>364.64</v>
      </c>
      <c r="F2963" s="19">
        <v>41612.07</v>
      </c>
      <c r="G2963" s="19">
        <v>132846</v>
      </c>
      <c r="H2963" s="19">
        <f t="shared" si="87"/>
        <v>41532.07</v>
      </c>
      <c r="I2963" s="13"/>
    </row>
    <row r="2964" spans="1:9" s="5" customFormat="1" ht="18.3" x14ac:dyDescent="0.55000000000000004">
      <c r="A2964" s="19">
        <v>24.748345199999999</v>
      </c>
      <c r="B2964" s="19">
        <v>34.769396999999998</v>
      </c>
      <c r="C2964" s="19">
        <v>678929.9</v>
      </c>
      <c r="D2964" s="19">
        <v>2738239.7</v>
      </c>
      <c r="E2964" s="19">
        <v>367.04</v>
      </c>
      <c r="F2964" s="19">
        <v>41425.910000000003</v>
      </c>
      <c r="G2964" s="19">
        <v>133037</v>
      </c>
      <c r="H2964" s="19">
        <f t="shared" si="87"/>
        <v>41345.910000000003</v>
      </c>
      <c r="I2964" s="13"/>
    </row>
    <row r="2965" spans="1:9" s="5" customFormat="1" ht="18.3" x14ac:dyDescent="0.55000000000000004">
      <c r="A2965" s="19">
        <v>24.748343599999998</v>
      </c>
      <c r="B2965" s="19">
        <v>34.7693972</v>
      </c>
      <c r="C2965" s="19">
        <v>678929.92000000004</v>
      </c>
      <c r="D2965" s="19">
        <v>2738239.53</v>
      </c>
      <c r="E2965" s="19">
        <v>366.87</v>
      </c>
      <c r="F2965" s="19">
        <v>41425.339999999997</v>
      </c>
      <c r="G2965" s="19">
        <v>133052</v>
      </c>
      <c r="H2965" s="19">
        <f t="shared" si="87"/>
        <v>41345.339999999997</v>
      </c>
      <c r="I2965" s="13"/>
    </row>
    <row r="2966" spans="1:9" s="5" customFormat="1" ht="18.3" x14ac:dyDescent="0.55000000000000004">
      <c r="A2966" s="19">
        <v>24.747949500000001</v>
      </c>
      <c r="B2966" s="19">
        <v>34.7666659</v>
      </c>
      <c r="C2966" s="19">
        <v>678654.22</v>
      </c>
      <c r="D2966" s="19">
        <v>2738192.3</v>
      </c>
      <c r="E2966" s="19">
        <v>369.51</v>
      </c>
      <c r="F2966" s="19">
        <v>41640.01</v>
      </c>
      <c r="G2966" s="19">
        <v>133301</v>
      </c>
      <c r="H2966" s="19">
        <f t="shared" si="87"/>
        <v>41560.01</v>
      </c>
      <c r="I2966" s="13"/>
    </row>
    <row r="2967" spans="1:9" s="5" customFormat="1" ht="18.3" x14ac:dyDescent="0.55000000000000004">
      <c r="A2967" s="19">
        <v>24.747947799999999</v>
      </c>
      <c r="B2967" s="19">
        <v>34.766666100000002</v>
      </c>
      <c r="C2967" s="19">
        <v>678654.24</v>
      </c>
      <c r="D2967" s="19">
        <v>2738192.12</v>
      </c>
      <c r="E2967" s="19">
        <v>369.14</v>
      </c>
      <c r="F2967" s="19">
        <v>41640.03</v>
      </c>
      <c r="G2967" s="19">
        <v>133313</v>
      </c>
      <c r="H2967" s="19">
        <f t="shared" si="87"/>
        <v>41560.03</v>
      </c>
      <c r="I2967" s="13"/>
    </row>
    <row r="2968" spans="1:9" s="5" customFormat="1" ht="18.3" x14ac:dyDescent="0.55000000000000004">
      <c r="A2968" s="19">
        <v>24.746699100000001</v>
      </c>
      <c r="B2968" s="19">
        <v>34.7652182</v>
      </c>
      <c r="C2968" s="19">
        <v>678509.58</v>
      </c>
      <c r="D2968" s="19">
        <v>2738051.92</v>
      </c>
      <c r="E2968" s="19">
        <v>371.6</v>
      </c>
      <c r="F2968" s="19">
        <v>41634.519999999997</v>
      </c>
      <c r="G2968" s="19">
        <v>133710</v>
      </c>
      <c r="H2968" s="19">
        <f t="shared" si="87"/>
        <v>41554.519999999997</v>
      </c>
      <c r="I2968" s="13"/>
    </row>
    <row r="2969" spans="1:9" s="5" customFormat="1" ht="18.3" x14ac:dyDescent="0.55000000000000004">
      <c r="A2969" s="19">
        <v>24.746698200000001</v>
      </c>
      <c r="B2969" s="19">
        <v>34.765218900000001</v>
      </c>
      <c r="C2969" s="19">
        <v>678509.66</v>
      </c>
      <c r="D2969" s="19">
        <v>2738051.82</v>
      </c>
      <c r="E2969" s="19">
        <v>371.4</v>
      </c>
      <c r="F2969" s="19">
        <v>41634.449999999997</v>
      </c>
      <c r="G2969" s="19">
        <v>133722</v>
      </c>
      <c r="H2969" s="19">
        <f t="shared" si="87"/>
        <v>41554.449999999997</v>
      </c>
      <c r="I2969" s="13"/>
    </row>
    <row r="2970" spans="1:9" s="5" customFormat="1" ht="18.3" x14ac:dyDescent="0.55000000000000004">
      <c r="A2970" s="19">
        <v>24.746127600000001</v>
      </c>
      <c r="B2970" s="19">
        <v>34.7639517</v>
      </c>
      <c r="C2970" s="19">
        <v>678382.3</v>
      </c>
      <c r="D2970" s="19">
        <v>2737986.97</v>
      </c>
      <c r="E2970" s="19">
        <v>373.51</v>
      </c>
      <c r="F2970" s="19">
        <v>41632.730000000003</v>
      </c>
      <c r="G2970" s="19">
        <v>134010</v>
      </c>
      <c r="H2970" s="19">
        <f t="shared" si="87"/>
        <v>41552.730000000003</v>
      </c>
      <c r="I2970" s="13"/>
    </row>
    <row r="2971" spans="1:9" s="5" customFormat="1" ht="18.3" x14ac:dyDescent="0.55000000000000004">
      <c r="A2971" s="19">
        <v>24.7461284</v>
      </c>
      <c r="B2971" s="19">
        <v>34.7639511</v>
      </c>
      <c r="C2971" s="19">
        <v>678382.23</v>
      </c>
      <c r="D2971" s="19">
        <v>2737987.06</v>
      </c>
      <c r="E2971" s="19">
        <v>373.22</v>
      </c>
      <c r="F2971" s="19">
        <v>41631.68</v>
      </c>
      <c r="G2971" s="19">
        <v>134022</v>
      </c>
      <c r="H2971" s="19">
        <f t="shared" si="87"/>
        <v>41551.68</v>
      </c>
      <c r="I2971" s="13"/>
    </row>
    <row r="2972" spans="1:9" s="5" customFormat="1" ht="18.3" x14ac:dyDescent="0.55000000000000004">
      <c r="A2972" s="19">
        <v>24.744845900000001</v>
      </c>
      <c r="B2972" s="19">
        <v>34.7629625</v>
      </c>
      <c r="C2972" s="19">
        <v>678284.07</v>
      </c>
      <c r="D2972" s="19">
        <v>2737843.73</v>
      </c>
      <c r="E2972" s="19">
        <v>374.99</v>
      </c>
      <c r="F2972" s="19">
        <v>41680.57</v>
      </c>
      <c r="G2972" s="19">
        <v>134213</v>
      </c>
      <c r="H2972" s="19">
        <f t="shared" si="87"/>
        <v>41600.57</v>
      </c>
      <c r="I2972" s="13"/>
    </row>
    <row r="2973" spans="1:9" s="5" customFormat="1" ht="18.3" x14ac:dyDescent="0.55000000000000004">
      <c r="A2973" s="19">
        <v>24.744844000000001</v>
      </c>
      <c r="B2973" s="19">
        <v>34.762958500000003</v>
      </c>
      <c r="C2973" s="19">
        <v>678283.67</v>
      </c>
      <c r="D2973" s="19">
        <v>2737843.51</v>
      </c>
      <c r="E2973" s="19">
        <v>375.02</v>
      </c>
      <c r="F2973" s="19">
        <v>41675.35</v>
      </c>
      <c r="G2973" s="19">
        <v>134222</v>
      </c>
      <c r="H2973" s="19">
        <f t="shared" si="87"/>
        <v>41595.35</v>
      </c>
      <c r="I2973" s="13"/>
    </row>
    <row r="2974" spans="1:9" s="5" customFormat="1" ht="18.3" x14ac:dyDescent="0.55000000000000004">
      <c r="A2974" s="19">
        <v>24.7436829</v>
      </c>
      <c r="B2974" s="19">
        <v>34.762049900000001</v>
      </c>
      <c r="C2974" s="19">
        <v>678193.42</v>
      </c>
      <c r="D2974" s="19">
        <v>2737713.73</v>
      </c>
      <c r="E2974" s="19">
        <v>378.86</v>
      </c>
      <c r="F2974" s="19">
        <v>41907.69</v>
      </c>
      <c r="G2974" s="19">
        <v>134352</v>
      </c>
      <c r="H2974" s="19">
        <f t="shared" si="87"/>
        <v>41827.69</v>
      </c>
      <c r="I2974" s="13"/>
    </row>
    <row r="2975" spans="1:9" s="5" customFormat="1" ht="18.3" x14ac:dyDescent="0.55000000000000004">
      <c r="A2975" s="19">
        <v>24.743683099999998</v>
      </c>
      <c r="B2975" s="19">
        <v>34.762050199999997</v>
      </c>
      <c r="C2975" s="19">
        <v>678193.44</v>
      </c>
      <c r="D2975" s="19">
        <v>2737713.75</v>
      </c>
      <c r="E2975" s="19">
        <v>378.96</v>
      </c>
      <c r="F2975" s="19">
        <v>41907.550000000003</v>
      </c>
      <c r="G2975" s="19">
        <v>134401</v>
      </c>
      <c r="H2975" s="19">
        <f t="shared" si="87"/>
        <v>41827.550000000003</v>
      </c>
      <c r="I2975" s="13"/>
    </row>
    <row r="2976" spans="1:9" s="5" customFormat="1" ht="18.3" x14ac:dyDescent="0.55000000000000004">
      <c r="A2976" s="19">
        <v>24.742088599999999</v>
      </c>
      <c r="B2976" s="19">
        <v>34.761120599999998</v>
      </c>
      <c r="C2976" s="19">
        <v>678101.69</v>
      </c>
      <c r="D2976" s="19">
        <v>2737535.92</v>
      </c>
      <c r="E2976" s="19">
        <v>381.61</v>
      </c>
      <c r="F2976" s="19">
        <v>41838.639999999999</v>
      </c>
      <c r="G2976" s="19">
        <v>134528</v>
      </c>
      <c r="H2976" s="19">
        <f t="shared" si="87"/>
        <v>41758.639999999999</v>
      </c>
      <c r="I2976" s="13"/>
    </row>
    <row r="2977" spans="1:9" s="5" customFormat="1" ht="18.3" x14ac:dyDescent="0.55000000000000004">
      <c r="A2977" s="19">
        <v>24.742087099999999</v>
      </c>
      <c r="B2977" s="19">
        <v>34.761120400000003</v>
      </c>
      <c r="C2977" s="19">
        <v>678101.68</v>
      </c>
      <c r="D2977" s="19">
        <v>2737535.76</v>
      </c>
      <c r="E2977" s="19">
        <v>381.13</v>
      </c>
      <c r="F2977" s="19">
        <v>41843.839999999997</v>
      </c>
      <c r="G2977" s="19">
        <v>134540</v>
      </c>
      <c r="H2977" s="19">
        <f t="shared" si="87"/>
        <v>41763.839999999997</v>
      </c>
      <c r="I2977" s="13"/>
    </row>
    <row r="2978" spans="1:9" s="5" customFormat="1" ht="18.3" x14ac:dyDescent="0.55000000000000004">
      <c r="A2978" s="19">
        <v>24.740336800000001</v>
      </c>
      <c r="B2978" s="19">
        <v>34.7601789</v>
      </c>
      <c r="C2978" s="19">
        <v>678008.93</v>
      </c>
      <c r="D2978" s="19">
        <v>2737340.67</v>
      </c>
      <c r="E2978" s="19">
        <v>384.47</v>
      </c>
      <c r="F2978" s="19">
        <v>41523.269999999997</v>
      </c>
      <c r="G2978" s="19">
        <v>134704</v>
      </c>
      <c r="H2978" s="19">
        <f t="shared" si="87"/>
        <v>41443.269999999997</v>
      </c>
      <c r="I2978" s="13"/>
    </row>
    <row r="2979" spans="1:9" s="5" customFormat="1" ht="18.3" x14ac:dyDescent="0.55000000000000004">
      <c r="A2979" s="19">
        <v>24.740343599999999</v>
      </c>
      <c r="B2979" s="19">
        <v>34.7601893</v>
      </c>
      <c r="C2979" s="19">
        <v>678009.97</v>
      </c>
      <c r="D2979" s="19">
        <v>2737341.44</v>
      </c>
      <c r="E2979" s="19">
        <v>384.04</v>
      </c>
      <c r="F2979" s="19">
        <v>41536.82</v>
      </c>
      <c r="G2979" s="19">
        <v>134716</v>
      </c>
      <c r="H2979" s="19">
        <f t="shared" si="87"/>
        <v>41456.82</v>
      </c>
      <c r="I2979" s="13"/>
    </row>
    <row r="2980" spans="1:9" s="5" customFormat="1" ht="18.3" x14ac:dyDescent="0.55000000000000004">
      <c r="A2980" s="19">
        <v>24.7403446</v>
      </c>
      <c r="B2980" s="19">
        <v>34.7601887</v>
      </c>
      <c r="C2980" s="19">
        <v>678009.92</v>
      </c>
      <c r="D2980" s="19">
        <v>2737341.55</v>
      </c>
      <c r="E2980" s="19">
        <v>383.79</v>
      </c>
      <c r="F2980" s="19">
        <v>41533.19</v>
      </c>
      <c r="G2980" s="19">
        <v>134731</v>
      </c>
      <c r="H2980" s="19">
        <f t="shared" si="87"/>
        <v>41453.19</v>
      </c>
      <c r="I2980" s="13"/>
    </row>
    <row r="2981" spans="1:9" s="5" customFormat="1" ht="18.3" x14ac:dyDescent="0.55000000000000004">
      <c r="A2981" s="19">
        <v>24.740393999999998</v>
      </c>
      <c r="B2981" s="19">
        <v>34.760232299999998</v>
      </c>
      <c r="C2981" s="19">
        <v>678014.26</v>
      </c>
      <c r="D2981" s="19">
        <v>2737347.09</v>
      </c>
      <c r="E2981" s="19">
        <v>383.67</v>
      </c>
      <c r="F2981" s="19">
        <v>41541.5</v>
      </c>
      <c r="G2981" s="19">
        <v>134746</v>
      </c>
      <c r="H2981" s="19">
        <f t="shared" si="87"/>
        <v>41461.5</v>
      </c>
      <c r="I2981" s="13"/>
    </row>
    <row r="2982" spans="1:9" s="5" customFormat="1" ht="18.3" x14ac:dyDescent="0.55000000000000004">
      <c r="A2982" s="19">
        <v>24.740409</v>
      </c>
      <c r="B2982" s="19">
        <v>34.760242599999998</v>
      </c>
      <c r="C2982" s="19">
        <v>678015.27</v>
      </c>
      <c r="D2982" s="19">
        <v>2737348.76</v>
      </c>
      <c r="E2982" s="19">
        <v>383.51</v>
      </c>
      <c r="F2982" s="19">
        <v>41540.71</v>
      </c>
      <c r="G2982" s="19">
        <v>134801</v>
      </c>
      <c r="H2982" s="19">
        <f t="shared" si="87"/>
        <v>41460.71</v>
      </c>
      <c r="I2982" s="13"/>
    </row>
    <row r="2983" spans="1:9" s="5" customFormat="1" ht="18.3" x14ac:dyDescent="0.55000000000000004">
      <c r="A2983" s="19">
        <v>24.738666800000001</v>
      </c>
      <c r="B2983" s="19">
        <v>34.759569900000002</v>
      </c>
      <c r="C2983" s="19">
        <v>677949.71</v>
      </c>
      <c r="D2983" s="19">
        <v>2737154.91</v>
      </c>
      <c r="E2983" s="19">
        <v>387.76</v>
      </c>
      <c r="F2983" s="19">
        <v>41573.85</v>
      </c>
      <c r="G2983" s="19">
        <v>134958</v>
      </c>
      <c r="H2983" s="19">
        <f t="shared" si="87"/>
        <v>41493.85</v>
      </c>
      <c r="I2983" s="13"/>
    </row>
    <row r="2984" spans="1:9" s="5" customFormat="1" ht="18.3" x14ac:dyDescent="0.55000000000000004">
      <c r="A2984" s="19">
        <v>24.736871499999999</v>
      </c>
      <c r="B2984" s="19">
        <v>34.759293999999997</v>
      </c>
      <c r="C2984" s="19">
        <v>677924.36</v>
      </c>
      <c r="D2984" s="19">
        <v>2736955.72</v>
      </c>
      <c r="E2984" s="19">
        <v>392.18</v>
      </c>
      <c r="F2984" s="19">
        <v>41385.94</v>
      </c>
      <c r="G2984" s="19">
        <v>135116</v>
      </c>
      <c r="H2984" s="19">
        <f t="shared" si="87"/>
        <v>41305.94</v>
      </c>
      <c r="I2984" s="13"/>
    </row>
    <row r="2985" spans="1:9" s="5" customFormat="1" ht="18.3" x14ac:dyDescent="0.55000000000000004">
      <c r="A2985" s="19">
        <v>24.736871799999999</v>
      </c>
      <c r="B2985" s="19">
        <v>34.759294300000001</v>
      </c>
      <c r="C2985" s="19">
        <v>677924.39</v>
      </c>
      <c r="D2985" s="19">
        <v>2736955.75</v>
      </c>
      <c r="E2985" s="19">
        <v>392.28</v>
      </c>
      <c r="F2985" s="19">
        <v>41385.440000000002</v>
      </c>
      <c r="G2985" s="19">
        <v>135125</v>
      </c>
      <c r="H2985" s="19">
        <f t="shared" si="87"/>
        <v>41305.440000000002</v>
      </c>
      <c r="I2985" s="13"/>
    </row>
    <row r="2986" spans="1:9" s="5" customFormat="1" ht="18.3" x14ac:dyDescent="0.55000000000000004">
      <c r="A2986" s="19">
        <v>24.735159299999999</v>
      </c>
      <c r="B2986" s="19">
        <v>34.760801899999997</v>
      </c>
      <c r="C2986" s="19">
        <v>678079.33</v>
      </c>
      <c r="D2986" s="19">
        <v>2736768.03</v>
      </c>
      <c r="E2986" s="19">
        <v>396.32</v>
      </c>
      <c r="F2986" s="19">
        <v>41914.06</v>
      </c>
      <c r="G2986" s="19">
        <v>135240</v>
      </c>
      <c r="H2986" s="19">
        <f t="shared" si="87"/>
        <v>41834.06</v>
      </c>
      <c r="I2986" s="13"/>
    </row>
    <row r="2987" spans="1:9" s="5" customFormat="1" ht="18.3" x14ac:dyDescent="0.55000000000000004">
      <c r="A2987" s="19">
        <v>24.735155200000001</v>
      </c>
      <c r="B2987" s="19">
        <v>34.760801999999998</v>
      </c>
      <c r="C2987" s="19">
        <v>678079.35</v>
      </c>
      <c r="D2987" s="19">
        <v>2736767.58</v>
      </c>
      <c r="E2987" s="19">
        <v>396.19</v>
      </c>
      <c r="F2987" s="19">
        <v>41911.72</v>
      </c>
      <c r="G2987" s="19">
        <v>135255</v>
      </c>
      <c r="H2987" s="19">
        <f t="shared" si="87"/>
        <v>41831.72</v>
      </c>
      <c r="I2987" s="13"/>
    </row>
    <row r="2988" spans="1:9" s="5" customFormat="1" ht="18.3" x14ac:dyDescent="0.55000000000000004">
      <c r="A2988" s="19">
        <v>24.733495699999999</v>
      </c>
      <c r="B2988" s="19">
        <v>34.761645100000003</v>
      </c>
      <c r="C2988" s="19">
        <v>678167</v>
      </c>
      <c r="D2988" s="19">
        <v>2736584.87</v>
      </c>
      <c r="E2988" s="19">
        <v>398.72</v>
      </c>
      <c r="F2988" s="19">
        <v>42154.2</v>
      </c>
      <c r="G2988" s="19">
        <v>135410</v>
      </c>
      <c r="H2988" s="19">
        <f t="shared" si="87"/>
        <v>42074.2</v>
      </c>
      <c r="I2988" s="13"/>
    </row>
    <row r="2989" spans="1:9" s="5" customFormat="1" ht="18.3" x14ac:dyDescent="0.55000000000000004">
      <c r="A2989" s="19">
        <v>24.733495399999999</v>
      </c>
      <c r="B2989" s="19">
        <v>34.761645600000001</v>
      </c>
      <c r="C2989" s="19">
        <v>678167.05</v>
      </c>
      <c r="D2989" s="19">
        <v>2736584.84</v>
      </c>
      <c r="E2989" s="19">
        <v>398.86</v>
      </c>
      <c r="F2989" s="19">
        <v>42156.22</v>
      </c>
      <c r="G2989" s="19">
        <v>135419</v>
      </c>
      <c r="H2989" s="19">
        <f t="shared" si="87"/>
        <v>42076.22</v>
      </c>
      <c r="I2989" s="13"/>
    </row>
    <row r="2990" spans="1:9" s="5" customFormat="1" ht="18.3" x14ac:dyDescent="0.55000000000000004">
      <c r="A2990" s="19">
        <v>24.731734700000001</v>
      </c>
      <c r="B2990" s="19">
        <v>34.762478399999999</v>
      </c>
      <c r="C2990" s="19">
        <v>678253.8</v>
      </c>
      <c r="D2990" s="19">
        <v>2736390.91</v>
      </c>
      <c r="E2990" s="19">
        <v>402.72</v>
      </c>
      <c r="F2990" s="19">
        <v>42013.33</v>
      </c>
      <c r="G2990" s="19">
        <v>135531</v>
      </c>
      <c r="H2990" s="19">
        <f t="shared" si="87"/>
        <v>41933.33</v>
      </c>
      <c r="I2990" s="13"/>
    </row>
    <row r="2991" spans="1:9" s="5" customFormat="1" ht="18.3" x14ac:dyDescent="0.55000000000000004">
      <c r="A2991" s="19">
        <v>24.731735</v>
      </c>
      <c r="B2991" s="19">
        <v>34.762477799999999</v>
      </c>
      <c r="C2991" s="19">
        <v>678253.74</v>
      </c>
      <c r="D2991" s="19">
        <v>2736390.94</v>
      </c>
      <c r="E2991" s="19">
        <v>402.56</v>
      </c>
      <c r="F2991" s="19">
        <v>42012.05</v>
      </c>
      <c r="G2991" s="19">
        <v>135540</v>
      </c>
      <c r="H2991" s="19">
        <f t="shared" si="87"/>
        <v>41932.050000000003</v>
      </c>
      <c r="I2991" s="13"/>
    </row>
    <row r="2992" spans="1:9" s="5" customFormat="1" ht="18.3" x14ac:dyDescent="0.55000000000000004">
      <c r="A2992" s="19">
        <v>24.7308287</v>
      </c>
      <c r="B2992" s="19">
        <v>34.762783400000004</v>
      </c>
      <c r="C2992" s="19">
        <v>678285.95</v>
      </c>
      <c r="D2992" s="19">
        <v>2736290.96</v>
      </c>
      <c r="E2992" s="19">
        <v>403.98</v>
      </c>
      <c r="F2992" s="19">
        <v>42007.360000000001</v>
      </c>
      <c r="G2992" s="19">
        <v>135628</v>
      </c>
      <c r="H2992" s="19">
        <f t="shared" si="87"/>
        <v>41927.360000000001</v>
      </c>
      <c r="I2992" s="13"/>
    </row>
    <row r="2993" spans="1:9" s="5" customFormat="1" ht="18.3" x14ac:dyDescent="0.55000000000000004">
      <c r="A2993" s="19">
        <v>24.729184499999999</v>
      </c>
      <c r="B2993" s="19">
        <v>34.762508699999998</v>
      </c>
      <c r="C2993" s="19">
        <v>678260.5</v>
      </c>
      <c r="D2993" s="19">
        <v>2736108.49</v>
      </c>
      <c r="E2993" s="19">
        <v>406.89</v>
      </c>
      <c r="F2993" s="19">
        <v>41863.980000000003</v>
      </c>
      <c r="G2993" s="19">
        <v>135725</v>
      </c>
      <c r="H2993" s="19">
        <f t="shared" si="87"/>
        <v>41783.980000000003</v>
      </c>
      <c r="I2993" s="13"/>
    </row>
    <row r="2994" spans="1:9" s="5" customFormat="1" ht="18.3" x14ac:dyDescent="0.55000000000000004">
      <c r="A2994" s="19">
        <v>24.729185000000001</v>
      </c>
      <c r="B2994" s="19">
        <v>34.762506899999998</v>
      </c>
      <c r="C2994" s="19">
        <v>678260.32</v>
      </c>
      <c r="D2994" s="19">
        <v>2736108.54</v>
      </c>
      <c r="E2994" s="19">
        <v>406.9</v>
      </c>
      <c r="F2994" s="19">
        <v>41859.57</v>
      </c>
      <c r="G2994" s="19">
        <v>135734</v>
      </c>
      <c r="H2994" s="19">
        <f t="shared" si="87"/>
        <v>41779.57</v>
      </c>
      <c r="I2994" s="13"/>
    </row>
    <row r="2995" spans="1:9" s="5" customFormat="1" ht="18.3" x14ac:dyDescent="0.55000000000000004">
      <c r="A2995" s="19">
        <v>24.7275381</v>
      </c>
      <c r="B2995" s="19">
        <v>34.763442099999999</v>
      </c>
      <c r="C2995" s="19">
        <v>678357.28</v>
      </c>
      <c r="D2995" s="19">
        <v>2735927.36</v>
      </c>
      <c r="E2995" s="19">
        <v>411.42</v>
      </c>
      <c r="F2995" s="19">
        <v>41858.269999999997</v>
      </c>
      <c r="G2995" s="19">
        <v>135834</v>
      </c>
      <c r="H2995" s="19">
        <f t="shared" si="87"/>
        <v>41778.269999999997</v>
      </c>
      <c r="I2995" s="13"/>
    </row>
    <row r="2996" spans="1:9" s="5" customFormat="1" ht="18.3" x14ac:dyDescent="0.55000000000000004">
      <c r="A2996" s="19">
        <v>24.725848899999999</v>
      </c>
      <c r="B2996" s="19">
        <v>34.7645561</v>
      </c>
      <c r="C2996" s="19">
        <v>678472.38</v>
      </c>
      <c r="D2996" s="19">
        <v>2735741.71</v>
      </c>
      <c r="E2996" s="19">
        <v>414.7</v>
      </c>
      <c r="F2996" s="19">
        <v>41839.83</v>
      </c>
      <c r="G2996" s="19">
        <v>140016</v>
      </c>
      <c r="H2996" s="19">
        <f t="shared" si="87"/>
        <v>41759.83</v>
      </c>
      <c r="I2996" s="13"/>
    </row>
    <row r="2997" spans="1:9" s="2" customFormat="1" ht="18.75" customHeight="1" x14ac:dyDescent="0.55000000000000004">
      <c r="A2997" s="18">
        <v>24.751845400000001</v>
      </c>
      <c r="B2997" s="18">
        <v>34.7575711</v>
      </c>
      <c r="C2997" s="18">
        <v>677728.78</v>
      </c>
      <c r="D2997" s="18">
        <v>2738611.96</v>
      </c>
      <c r="E2997" s="18">
        <v>398.53</v>
      </c>
      <c r="F2997" s="18">
        <v>41831.07</v>
      </c>
      <c r="G2997" s="18">
        <v>71234</v>
      </c>
      <c r="H2997" s="18">
        <f>SUM(F2997-3)</f>
        <v>41828.07</v>
      </c>
      <c r="I2997" s="12"/>
    </row>
    <row r="2998" spans="1:9" s="2" customFormat="1" ht="18.75" customHeight="1" x14ac:dyDescent="0.55000000000000004">
      <c r="A2998" s="18">
        <v>24.751846199999999</v>
      </c>
      <c r="B2998" s="18">
        <v>34.757571200000001</v>
      </c>
      <c r="C2998" s="18">
        <v>677728.79</v>
      </c>
      <c r="D2998" s="18">
        <v>2738612.05</v>
      </c>
      <c r="E2998" s="18">
        <v>398.58</v>
      </c>
      <c r="F2998" s="18">
        <v>41831.24</v>
      </c>
      <c r="G2998" s="18">
        <v>71246</v>
      </c>
      <c r="H2998" s="18">
        <f t="shared" ref="H2998:H3015" si="88">SUM(F2998-3)</f>
        <v>41828.239999999998</v>
      </c>
      <c r="I2998" s="12"/>
    </row>
    <row r="2999" spans="1:9" s="2" customFormat="1" ht="18.75" customHeight="1" x14ac:dyDescent="0.55000000000000004">
      <c r="A2999" s="18">
        <v>24.752220999999999</v>
      </c>
      <c r="B2999" s="18">
        <v>34.755610300000001</v>
      </c>
      <c r="C2999" s="18">
        <v>677529.92</v>
      </c>
      <c r="D2999" s="18">
        <v>2738651.01</v>
      </c>
      <c r="E2999" s="18">
        <v>403.29</v>
      </c>
      <c r="F2999" s="18">
        <v>41841.550000000003</v>
      </c>
      <c r="G2999" s="18">
        <v>71413</v>
      </c>
      <c r="H2999" s="18">
        <f t="shared" si="88"/>
        <v>41838.550000000003</v>
      </c>
      <c r="I2999" s="12"/>
    </row>
    <row r="3000" spans="1:9" s="2" customFormat="1" ht="18.75" customHeight="1" x14ac:dyDescent="0.55000000000000004">
      <c r="A3000" s="18">
        <v>24.752221500000001</v>
      </c>
      <c r="B3000" s="18">
        <v>34.755609900000003</v>
      </c>
      <c r="C3000" s="18">
        <v>677529.88</v>
      </c>
      <c r="D3000" s="18">
        <v>2738651.08</v>
      </c>
      <c r="E3000" s="18">
        <v>403.32</v>
      </c>
      <c r="F3000" s="18">
        <v>41842.980000000003</v>
      </c>
      <c r="G3000" s="18">
        <v>71422</v>
      </c>
      <c r="H3000" s="18">
        <f t="shared" si="88"/>
        <v>41839.980000000003</v>
      </c>
      <c r="I3000" s="12"/>
    </row>
    <row r="3001" spans="1:9" s="2" customFormat="1" ht="18.75" customHeight="1" x14ac:dyDescent="0.55000000000000004">
      <c r="A3001" s="18">
        <v>24.752492100000001</v>
      </c>
      <c r="B3001" s="18">
        <v>34.753858999999999</v>
      </c>
      <c r="C3001" s="18">
        <v>677352.41</v>
      </c>
      <c r="D3001" s="18">
        <v>2738678.77</v>
      </c>
      <c r="E3001" s="18">
        <v>406.48</v>
      </c>
      <c r="F3001" s="18">
        <v>41860.080000000002</v>
      </c>
      <c r="G3001" s="18">
        <v>71607</v>
      </c>
      <c r="H3001" s="18">
        <f t="shared" si="88"/>
        <v>41857.08</v>
      </c>
      <c r="I3001" s="12"/>
    </row>
    <row r="3002" spans="1:9" s="2" customFormat="1" ht="18.75" customHeight="1" x14ac:dyDescent="0.55000000000000004">
      <c r="A3002" s="18">
        <v>24.752489799999999</v>
      </c>
      <c r="B3002" s="18">
        <v>34.753855600000001</v>
      </c>
      <c r="C3002" s="18">
        <v>677352.07</v>
      </c>
      <c r="D3002" s="18">
        <v>2738678.51</v>
      </c>
      <c r="E3002" s="18">
        <v>406.45</v>
      </c>
      <c r="F3002" s="18">
        <v>41854.019999999997</v>
      </c>
      <c r="G3002" s="18">
        <v>71616</v>
      </c>
      <c r="H3002" s="18">
        <f t="shared" si="88"/>
        <v>41851.019999999997</v>
      </c>
      <c r="I3002" s="12"/>
    </row>
    <row r="3003" spans="1:9" s="2" customFormat="1" ht="18.75" customHeight="1" x14ac:dyDescent="0.55000000000000004">
      <c r="A3003" s="18">
        <v>24.751216599999999</v>
      </c>
      <c r="B3003" s="18">
        <v>34.752967499999997</v>
      </c>
      <c r="C3003" s="18">
        <v>677264.06</v>
      </c>
      <c r="D3003" s="18">
        <v>2738536.35</v>
      </c>
      <c r="E3003" s="18">
        <v>406.48</v>
      </c>
      <c r="F3003" s="18">
        <v>41836.46</v>
      </c>
      <c r="G3003" s="18">
        <v>71749</v>
      </c>
      <c r="H3003" s="18">
        <f t="shared" si="88"/>
        <v>41833.46</v>
      </c>
      <c r="I3003" s="12"/>
    </row>
    <row r="3004" spans="1:9" s="2" customFormat="1" ht="18.75" customHeight="1" x14ac:dyDescent="0.55000000000000004">
      <c r="A3004" s="18">
        <v>24.7496802</v>
      </c>
      <c r="B3004" s="18">
        <v>34.751740599999998</v>
      </c>
      <c r="C3004" s="18">
        <v>677142.14</v>
      </c>
      <c r="D3004" s="18">
        <v>2738364.59</v>
      </c>
      <c r="E3004" s="18">
        <v>405.72</v>
      </c>
      <c r="F3004" s="18">
        <v>41695.54</v>
      </c>
      <c r="G3004" s="18">
        <v>71913</v>
      </c>
      <c r="H3004" s="18">
        <f t="shared" si="88"/>
        <v>41692.54</v>
      </c>
      <c r="I3004" s="12"/>
    </row>
    <row r="3005" spans="1:9" s="2" customFormat="1" ht="18.75" customHeight="1" x14ac:dyDescent="0.55000000000000004">
      <c r="A3005" s="18">
        <v>24.7496817</v>
      </c>
      <c r="B3005" s="18">
        <v>34.7517408</v>
      </c>
      <c r="C3005" s="18">
        <v>677142.16</v>
      </c>
      <c r="D3005" s="18">
        <v>2738364.76</v>
      </c>
      <c r="E3005" s="18">
        <v>405.61</v>
      </c>
      <c r="F3005" s="18">
        <v>41699.69</v>
      </c>
      <c r="G3005" s="18">
        <v>71922</v>
      </c>
      <c r="H3005" s="18">
        <f t="shared" si="88"/>
        <v>41696.69</v>
      </c>
      <c r="I3005" s="12"/>
    </row>
    <row r="3006" spans="1:9" s="2" customFormat="1" ht="18.75" customHeight="1" x14ac:dyDescent="0.55000000000000004">
      <c r="A3006" s="18">
        <v>24.748549799999999</v>
      </c>
      <c r="B3006" s="18">
        <v>34.750615699999997</v>
      </c>
      <c r="C3006" s="18">
        <v>677029.96</v>
      </c>
      <c r="D3006" s="18">
        <v>2738237.93</v>
      </c>
      <c r="E3006" s="18">
        <v>403.64</v>
      </c>
      <c r="F3006" s="18">
        <v>40992.080000000002</v>
      </c>
      <c r="G3006" s="18">
        <v>72316</v>
      </c>
      <c r="H3006" s="18">
        <f t="shared" si="88"/>
        <v>40989.08</v>
      </c>
      <c r="I3006" s="12"/>
    </row>
    <row r="3007" spans="1:9" s="2" customFormat="1" ht="18.75" customHeight="1" x14ac:dyDescent="0.55000000000000004">
      <c r="A3007" s="18">
        <v>24.7484182</v>
      </c>
      <c r="B3007" s="18">
        <v>34.750434900000002</v>
      </c>
      <c r="C3007" s="18">
        <v>677011.86</v>
      </c>
      <c r="D3007" s="18">
        <v>2738223.11</v>
      </c>
      <c r="E3007" s="18">
        <v>403.17</v>
      </c>
      <c r="F3007" s="18">
        <v>41444.480000000003</v>
      </c>
      <c r="G3007" s="18">
        <v>72422</v>
      </c>
      <c r="H3007" s="18">
        <f t="shared" si="88"/>
        <v>41441.480000000003</v>
      </c>
      <c r="I3007" s="12"/>
    </row>
    <row r="3008" spans="1:9" s="2" customFormat="1" ht="18.75" customHeight="1" x14ac:dyDescent="0.55000000000000004">
      <c r="A3008" s="18">
        <v>24.7484185</v>
      </c>
      <c r="B3008" s="18">
        <v>34.750435600000003</v>
      </c>
      <c r="C3008" s="18">
        <v>677011.93</v>
      </c>
      <c r="D3008" s="18">
        <v>2738223.16</v>
      </c>
      <c r="E3008" s="18">
        <v>403.22</v>
      </c>
      <c r="F3008" s="18">
        <v>41445.46</v>
      </c>
      <c r="G3008" s="18">
        <v>72440</v>
      </c>
      <c r="H3008" s="18">
        <f t="shared" si="88"/>
        <v>41442.46</v>
      </c>
      <c r="I3008" s="12"/>
    </row>
    <row r="3009" spans="1:9" s="2" customFormat="1" ht="18.75" customHeight="1" x14ac:dyDescent="0.55000000000000004">
      <c r="A3009" s="18">
        <v>24.748417799999999</v>
      </c>
      <c r="B3009" s="18">
        <v>34.750436000000001</v>
      </c>
      <c r="C3009" s="18">
        <v>677011.98</v>
      </c>
      <c r="D3009" s="18">
        <v>2738223.08</v>
      </c>
      <c r="E3009" s="18">
        <v>403.29</v>
      </c>
      <c r="F3009" s="18">
        <v>41448.01</v>
      </c>
      <c r="G3009" s="18">
        <v>72452</v>
      </c>
      <c r="H3009" s="18">
        <f t="shared" si="88"/>
        <v>41445.01</v>
      </c>
      <c r="I3009" s="12"/>
    </row>
    <row r="3010" spans="1:9" s="2" customFormat="1" ht="18.75" customHeight="1" x14ac:dyDescent="0.55000000000000004">
      <c r="A3010" s="18">
        <v>24.748118600000002</v>
      </c>
      <c r="B3010" s="18">
        <v>34.750150699999999</v>
      </c>
      <c r="C3010" s="18">
        <v>676983.54</v>
      </c>
      <c r="D3010" s="18">
        <v>2738189.57</v>
      </c>
      <c r="E3010" s="18">
        <v>402.46</v>
      </c>
      <c r="F3010" s="18">
        <v>41546.19</v>
      </c>
      <c r="G3010" s="18">
        <v>72540</v>
      </c>
      <c r="H3010" s="18">
        <f t="shared" si="88"/>
        <v>41543.19</v>
      </c>
      <c r="I3010" s="12"/>
    </row>
    <row r="3011" spans="1:9" s="2" customFormat="1" ht="18.75" customHeight="1" x14ac:dyDescent="0.55000000000000004">
      <c r="A3011" s="18">
        <v>24.748119200000001</v>
      </c>
      <c r="B3011" s="18">
        <v>34.750151600000002</v>
      </c>
      <c r="C3011" s="18">
        <v>676983.64</v>
      </c>
      <c r="D3011" s="18">
        <v>2738189.63</v>
      </c>
      <c r="E3011" s="18">
        <v>402.49</v>
      </c>
      <c r="F3011" s="18">
        <v>41552.230000000003</v>
      </c>
      <c r="G3011" s="18">
        <v>72552</v>
      </c>
      <c r="H3011" s="18">
        <f t="shared" si="88"/>
        <v>41549.230000000003</v>
      </c>
      <c r="I3011" s="12"/>
    </row>
    <row r="3012" spans="1:9" s="2" customFormat="1" ht="18.75" customHeight="1" x14ac:dyDescent="0.55000000000000004">
      <c r="A3012" s="18">
        <v>24.746691299999998</v>
      </c>
      <c r="B3012" s="18">
        <v>34.749027300000002</v>
      </c>
      <c r="C3012" s="18">
        <v>676871.93</v>
      </c>
      <c r="D3012" s="18">
        <v>2738030.03</v>
      </c>
      <c r="E3012" s="18">
        <v>401.1</v>
      </c>
      <c r="F3012" s="18">
        <v>41327.660000000003</v>
      </c>
      <c r="G3012" s="18">
        <v>72734</v>
      </c>
      <c r="H3012" s="18">
        <f t="shared" si="88"/>
        <v>41324.660000000003</v>
      </c>
      <c r="I3012" s="12"/>
    </row>
    <row r="3013" spans="1:9" s="2" customFormat="1" ht="18.75" customHeight="1" x14ac:dyDescent="0.55000000000000004">
      <c r="A3013" s="18">
        <v>24.746690900000001</v>
      </c>
      <c r="B3013" s="18">
        <v>34.7490278</v>
      </c>
      <c r="C3013" s="18">
        <v>676871.99</v>
      </c>
      <c r="D3013" s="18">
        <v>2738029.98</v>
      </c>
      <c r="E3013" s="18">
        <v>401.4</v>
      </c>
      <c r="F3013" s="18">
        <v>41327.120000000003</v>
      </c>
      <c r="G3013" s="18">
        <v>72752</v>
      </c>
      <c r="H3013" s="18">
        <f t="shared" si="88"/>
        <v>41324.120000000003</v>
      </c>
      <c r="I3013" s="12"/>
    </row>
    <row r="3014" spans="1:9" s="2" customFormat="1" ht="18.75" customHeight="1" x14ac:dyDescent="0.55000000000000004">
      <c r="A3014" s="18">
        <v>24.745094999999999</v>
      </c>
      <c r="B3014" s="18">
        <v>34.747929200000002</v>
      </c>
      <c r="C3014" s="18">
        <v>676763.12</v>
      </c>
      <c r="D3014" s="18">
        <v>2737851.8</v>
      </c>
      <c r="E3014" s="18">
        <v>403.37</v>
      </c>
      <c r="F3014" s="18">
        <v>41765.22</v>
      </c>
      <c r="G3014" s="18">
        <v>72922</v>
      </c>
      <c r="H3014" s="18">
        <f t="shared" si="88"/>
        <v>41762.22</v>
      </c>
      <c r="I3014" s="12"/>
    </row>
    <row r="3015" spans="1:9" s="2" customFormat="1" ht="18.75" customHeight="1" x14ac:dyDescent="0.55000000000000004">
      <c r="A3015" s="18">
        <v>24.7450942</v>
      </c>
      <c r="B3015" s="18">
        <v>34.7479297</v>
      </c>
      <c r="C3015" s="18">
        <v>676763.18</v>
      </c>
      <c r="D3015" s="18">
        <v>2737851.72</v>
      </c>
      <c r="E3015" s="18">
        <v>403.3</v>
      </c>
      <c r="F3015" s="18">
        <v>41761.550000000003</v>
      </c>
      <c r="G3015" s="18">
        <v>72937</v>
      </c>
      <c r="H3015" s="18">
        <f t="shared" si="88"/>
        <v>41758.550000000003</v>
      </c>
      <c r="I3015" s="12"/>
    </row>
    <row r="3016" spans="1:9" s="2" customFormat="1" ht="18.75" customHeight="1" x14ac:dyDescent="0.55000000000000004">
      <c r="A3016" s="18">
        <v>24.7437088</v>
      </c>
      <c r="B3016" s="18">
        <v>34.746849599999997</v>
      </c>
      <c r="C3016" s="18">
        <v>676655.88</v>
      </c>
      <c r="D3016" s="18">
        <v>2737696.88</v>
      </c>
      <c r="E3016" s="18">
        <v>405.84</v>
      </c>
      <c r="F3016" s="18">
        <v>41763.56</v>
      </c>
      <c r="G3016" s="18">
        <v>73107</v>
      </c>
      <c r="H3016" s="18">
        <f>SUM(F3016-6)</f>
        <v>41757.56</v>
      </c>
      <c r="I3016" s="12"/>
    </row>
    <row r="3017" spans="1:9" s="2" customFormat="1" ht="18.75" customHeight="1" x14ac:dyDescent="0.55000000000000004">
      <c r="A3017" s="18">
        <v>24.743707799999999</v>
      </c>
      <c r="B3017" s="18">
        <v>34.746852500000003</v>
      </c>
      <c r="C3017" s="18">
        <v>676656.19</v>
      </c>
      <c r="D3017" s="18">
        <v>2737696.77</v>
      </c>
      <c r="E3017" s="18">
        <v>405.78</v>
      </c>
      <c r="F3017" s="18">
        <v>41770.620000000003</v>
      </c>
      <c r="G3017" s="18">
        <v>73119</v>
      </c>
      <c r="H3017" s="18">
        <f t="shared" ref="H3017:H3030" si="89">SUM(F3017-6)</f>
        <v>41764.620000000003</v>
      </c>
      <c r="I3017" s="12"/>
    </row>
    <row r="3018" spans="1:9" s="2" customFormat="1" ht="18.75" customHeight="1" x14ac:dyDescent="0.55000000000000004">
      <c r="A3018" s="18">
        <v>24.742706999999999</v>
      </c>
      <c r="B3018" s="18">
        <v>34.745809800000004</v>
      </c>
      <c r="C3018" s="18">
        <v>676552.13</v>
      </c>
      <c r="D3018" s="18">
        <v>2737584.58</v>
      </c>
      <c r="E3018" s="18">
        <v>408.22</v>
      </c>
      <c r="F3018" s="18">
        <v>41771.599999999999</v>
      </c>
      <c r="G3018" s="18">
        <v>73246</v>
      </c>
      <c r="H3018" s="18">
        <f t="shared" si="89"/>
        <v>41765.599999999999</v>
      </c>
      <c r="I3018" s="12"/>
    </row>
    <row r="3019" spans="1:9" s="2" customFormat="1" ht="18.75" customHeight="1" x14ac:dyDescent="0.55000000000000004">
      <c r="A3019" s="18">
        <v>24.742707299999999</v>
      </c>
      <c r="B3019" s="18">
        <v>34.745811099999997</v>
      </c>
      <c r="C3019" s="18">
        <v>676552.26</v>
      </c>
      <c r="D3019" s="18">
        <v>2737584.61</v>
      </c>
      <c r="E3019" s="18">
        <v>407.93</v>
      </c>
      <c r="F3019" s="18">
        <v>41773.589999999997</v>
      </c>
      <c r="G3019" s="18">
        <v>73255</v>
      </c>
      <c r="H3019" s="18">
        <f t="shared" si="89"/>
        <v>41767.589999999997</v>
      </c>
      <c r="I3019" s="12"/>
    </row>
    <row r="3020" spans="1:9" s="2" customFormat="1" ht="18.75" customHeight="1" x14ac:dyDescent="0.55000000000000004">
      <c r="A3020" s="18">
        <v>24.7413472</v>
      </c>
      <c r="B3020" s="18">
        <v>34.744596199999997</v>
      </c>
      <c r="C3020" s="18">
        <v>676431.29</v>
      </c>
      <c r="D3020" s="18">
        <v>2737432.4</v>
      </c>
      <c r="E3020" s="18">
        <v>410.31</v>
      </c>
      <c r="F3020" s="18">
        <v>41757.79</v>
      </c>
      <c r="G3020" s="18">
        <v>73413</v>
      </c>
      <c r="H3020" s="18">
        <f t="shared" si="89"/>
        <v>41751.79</v>
      </c>
      <c r="I3020" s="12"/>
    </row>
    <row r="3021" spans="1:9" s="2" customFormat="1" ht="18.75" customHeight="1" x14ac:dyDescent="0.55000000000000004">
      <c r="A3021" s="18">
        <v>24.741346499999999</v>
      </c>
      <c r="B3021" s="18">
        <v>34.744598099999997</v>
      </c>
      <c r="C3021" s="18">
        <v>676431.49</v>
      </c>
      <c r="D3021" s="18">
        <v>2737432.33</v>
      </c>
      <c r="E3021" s="18">
        <v>410.37</v>
      </c>
      <c r="F3021" s="18">
        <v>41758.17</v>
      </c>
      <c r="G3021" s="18">
        <v>73425</v>
      </c>
      <c r="H3021" s="18">
        <f t="shared" si="89"/>
        <v>41752.17</v>
      </c>
      <c r="I3021" s="12"/>
    </row>
    <row r="3022" spans="1:9" s="2" customFormat="1" ht="18.75" customHeight="1" x14ac:dyDescent="0.55000000000000004">
      <c r="A3022" s="18">
        <v>24.739417700000001</v>
      </c>
      <c r="B3022" s="18">
        <v>34.7428934</v>
      </c>
      <c r="C3022" s="18">
        <v>676261.78</v>
      </c>
      <c r="D3022" s="18">
        <v>2737216.5</v>
      </c>
      <c r="E3022" s="18">
        <v>414.55</v>
      </c>
      <c r="F3022" s="18">
        <v>41715.35</v>
      </c>
      <c r="G3022" s="18">
        <v>73619</v>
      </c>
      <c r="H3022" s="18">
        <f t="shared" si="89"/>
        <v>41709.35</v>
      </c>
      <c r="I3022" s="12"/>
    </row>
    <row r="3023" spans="1:9" s="2" customFormat="1" ht="18.75" customHeight="1" x14ac:dyDescent="0.55000000000000004">
      <c r="A3023" s="18">
        <v>24.7380964</v>
      </c>
      <c r="B3023" s="18">
        <v>34.742126300000002</v>
      </c>
      <c r="C3023" s="18">
        <v>676186.05</v>
      </c>
      <c r="D3023" s="18">
        <v>2737069.16</v>
      </c>
      <c r="E3023" s="18">
        <v>416.95</v>
      </c>
      <c r="F3023" s="18">
        <v>41667.360000000001</v>
      </c>
      <c r="G3023" s="18">
        <v>73813</v>
      </c>
      <c r="H3023" s="18">
        <f t="shared" si="89"/>
        <v>41661.360000000001</v>
      </c>
      <c r="I3023" s="12"/>
    </row>
    <row r="3024" spans="1:9" s="2" customFormat="1" ht="18.75" customHeight="1" x14ac:dyDescent="0.55000000000000004">
      <c r="A3024" s="18">
        <v>24.738097700000001</v>
      </c>
      <c r="B3024" s="18">
        <v>34.742127400000001</v>
      </c>
      <c r="C3024" s="18">
        <v>676186.16</v>
      </c>
      <c r="D3024" s="18">
        <v>2737069.32</v>
      </c>
      <c r="E3024" s="18">
        <v>416.9</v>
      </c>
      <c r="F3024" s="18">
        <v>41665.74</v>
      </c>
      <c r="G3024" s="18">
        <v>73825</v>
      </c>
      <c r="H3024" s="18">
        <f t="shared" si="89"/>
        <v>41659.74</v>
      </c>
      <c r="I3024" s="12"/>
    </row>
    <row r="3025" spans="1:9" s="2" customFormat="1" ht="18.75" customHeight="1" x14ac:dyDescent="0.55000000000000004">
      <c r="A3025" s="18">
        <v>24.7363076</v>
      </c>
      <c r="B3025" s="18">
        <v>34.741084000000001</v>
      </c>
      <c r="C3025" s="18">
        <v>676083.13</v>
      </c>
      <c r="D3025" s="18">
        <v>2736869.7</v>
      </c>
      <c r="E3025" s="18">
        <v>420.57</v>
      </c>
      <c r="F3025" s="18">
        <v>41606.370000000003</v>
      </c>
      <c r="G3025" s="18">
        <v>74004</v>
      </c>
      <c r="H3025" s="18">
        <f t="shared" si="89"/>
        <v>41600.370000000003</v>
      </c>
      <c r="I3025" s="12"/>
    </row>
    <row r="3026" spans="1:9" s="2" customFormat="1" ht="18.75" customHeight="1" x14ac:dyDescent="0.55000000000000004">
      <c r="A3026" s="18">
        <v>24.734122800000002</v>
      </c>
      <c r="B3026" s="18">
        <v>34.740818500000003</v>
      </c>
      <c r="C3026" s="18">
        <v>676059.35</v>
      </c>
      <c r="D3026" s="18">
        <v>2736627.38</v>
      </c>
      <c r="E3026" s="18">
        <v>424.36</v>
      </c>
      <c r="F3026" s="18">
        <v>41581.370000000003</v>
      </c>
      <c r="G3026" s="18">
        <v>74128</v>
      </c>
      <c r="H3026" s="18">
        <f t="shared" si="89"/>
        <v>41575.370000000003</v>
      </c>
      <c r="I3026" s="12"/>
    </row>
    <row r="3027" spans="1:9" s="2" customFormat="1" ht="18.75" customHeight="1" x14ac:dyDescent="0.55000000000000004">
      <c r="A3027" s="18">
        <v>24.734122500000002</v>
      </c>
      <c r="B3027" s="18">
        <v>34.7408182</v>
      </c>
      <c r="C3027" s="18">
        <v>676059.33</v>
      </c>
      <c r="D3027" s="18">
        <v>2736627.34</v>
      </c>
      <c r="E3027" s="18">
        <v>424.28</v>
      </c>
      <c r="F3027" s="18">
        <v>41577.040000000001</v>
      </c>
      <c r="G3027" s="18">
        <v>74137</v>
      </c>
      <c r="H3027" s="18">
        <f t="shared" si="89"/>
        <v>41571.040000000001</v>
      </c>
      <c r="I3027" s="12"/>
    </row>
    <row r="3028" spans="1:9" s="2" customFormat="1" ht="18.75" customHeight="1" x14ac:dyDescent="0.55000000000000004">
      <c r="A3028" s="18">
        <v>24.731856199999999</v>
      </c>
      <c r="B3028" s="18">
        <v>34.741116699999999</v>
      </c>
      <c r="C3028" s="18">
        <v>676092.71</v>
      </c>
      <c r="D3028" s="18">
        <v>2736376.72</v>
      </c>
      <c r="E3028" s="18">
        <v>430.12</v>
      </c>
      <c r="F3028" s="18">
        <v>41505.65</v>
      </c>
      <c r="G3028" s="18">
        <v>74328</v>
      </c>
      <c r="H3028" s="18">
        <f t="shared" si="89"/>
        <v>41499.65</v>
      </c>
      <c r="I3028" s="12"/>
    </row>
    <row r="3029" spans="1:9" s="2" customFormat="1" ht="18.75" customHeight="1" x14ac:dyDescent="0.55000000000000004">
      <c r="A3029" s="18">
        <v>24.7318569</v>
      </c>
      <c r="B3029" s="18">
        <v>34.7411162</v>
      </c>
      <c r="C3029" s="18">
        <v>676092.65</v>
      </c>
      <c r="D3029" s="18">
        <v>2736376.79</v>
      </c>
      <c r="E3029" s="18">
        <v>430.2</v>
      </c>
      <c r="F3029" s="18">
        <v>41509.58</v>
      </c>
      <c r="G3029" s="18">
        <v>74340</v>
      </c>
      <c r="H3029" s="18">
        <f t="shared" si="89"/>
        <v>41503.58</v>
      </c>
      <c r="I3029" s="12"/>
    </row>
    <row r="3030" spans="1:9" s="2" customFormat="1" ht="18.75" customHeight="1" x14ac:dyDescent="0.55000000000000004">
      <c r="A3030" s="18">
        <v>24.729460499999998</v>
      </c>
      <c r="B3030" s="18">
        <v>34.741099599999998</v>
      </c>
      <c r="C3030" s="18">
        <v>676094.36</v>
      </c>
      <c r="D3030" s="18">
        <v>2736111.35</v>
      </c>
      <c r="E3030" s="18">
        <v>435.14</v>
      </c>
      <c r="F3030" s="18">
        <v>41580.58</v>
      </c>
      <c r="G3030" s="18">
        <v>74549</v>
      </c>
      <c r="H3030" s="18">
        <f t="shared" si="89"/>
        <v>41574.58</v>
      </c>
      <c r="I3030" s="12"/>
    </row>
    <row r="3031" spans="1:9" s="2" customFormat="1" ht="18.75" customHeight="1" x14ac:dyDescent="0.55000000000000004">
      <c r="A3031" s="18">
        <v>24.729460899999999</v>
      </c>
      <c r="B3031" s="18">
        <v>34.741100600000003</v>
      </c>
      <c r="C3031" s="18">
        <v>676094.46</v>
      </c>
      <c r="D3031" s="18">
        <v>2736111.39</v>
      </c>
      <c r="E3031" s="18">
        <v>435.07</v>
      </c>
      <c r="F3031" s="18">
        <v>41580.31</v>
      </c>
      <c r="G3031" s="18">
        <v>74604</v>
      </c>
      <c r="H3031" s="18">
        <f>SUM(F3031-10)</f>
        <v>41570.31</v>
      </c>
      <c r="I3031" s="12"/>
    </row>
    <row r="3032" spans="1:9" s="2" customFormat="1" ht="18.75" customHeight="1" x14ac:dyDescent="0.55000000000000004">
      <c r="A3032" s="18">
        <v>24.727883800000001</v>
      </c>
      <c r="B3032" s="18">
        <v>34.740817200000002</v>
      </c>
      <c r="C3032" s="18">
        <v>676068.01</v>
      </c>
      <c r="D3032" s="18">
        <v>2735936.35</v>
      </c>
      <c r="E3032" s="18">
        <v>438.39</v>
      </c>
      <c r="F3032" s="18">
        <v>41629.730000000003</v>
      </c>
      <c r="G3032" s="18">
        <v>74734</v>
      </c>
      <c r="H3032" s="18">
        <f t="shared" ref="H3032:H3036" si="90">SUM(F3032-10)</f>
        <v>41619.730000000003</v>
      </c>
      <c r="I3032" s="12"/>
    </row>
    <row r="3033" spans="1:9" s="2" customFormat="1" ht="18.75" customHeight="1" x14ac:dyDescent="0.55000000000000004">
      <c r="A3033" s="18">
        <v>24.727883500000001</v>
      </c>
      <c r="B3033" s="18">
        <v>34.740817399999997</v>
      </c>
      <c r="C3033" s="18">
        <v>676068.02</v>
      </c>
      <c r="D3033" s="18">
        <v>2735936.32</v>
      </c>
      <c r="E3033" s="18">
        <v>438.51</v>
      </c>
      <c r="F3033" s="18">
        <v>41639.07</v>
      </c>
      <c r="G3033" s="18">
        <v>74743</v>
      </c>
      <c r="H3033" s="18">
        <f t="shared" si="90"/>
        <v>41629.07</v>
      </c>
      <c r="I3033" s="12"/>
    </row>
    <row r="3034" spans="1:9" s="2" customFormat="1" ht="18.75" customHeight="1" x14ac:dyDescent="0.55000000000000004">
      <c r="A3034" s="18">
        <v>24.726004700000001</v>
      </c>
      <c r="B3034" s="18">
        <v>34.741819</v>
      </c>
      <c r="C3034" s="18">
        <v>676172</v>
      </c>
      <c r="D3034" s="18">
        <v>2735729.52</v>
      </c>
      <c r="E3034" s="18">
        <v>441.3</v>
      </c>
      <c r="F3034" s="18">
        <v>41694.129999999997</v>
      </c>
      <c r="G3034" s="18">
        <v>74931</v>
      </c>
      <c r="H3034" s="18">
        <f t="shared" si="90"/>
        <v>41684.129999999997</v>
      </c>
      <c r="I3034" s="12"/>
    </row>
    <row r="3035" spans="1:9" s="2" customFormat="1" ht="18.75" customHeight="1" x14ac:dyDescent="0.55000000000000004">
      <c r="A3035" s="18">
        <v>24.7260049</v>
      </c>
      <c r="B3035" s="18">
        <v>34.741821799999997</v>
      </c>
      <c r="C3035" s="18">
        <v>676172.28</v>
      </c>
      <c r="D3035" s="18">
        <v>2735729.55</v>
      </c>
      <c r="E3035" s="18">
        <v>441.21</v>
      </c>
      <c r="F3035" s="18">
        <v>41696.9</v>
      </c>
      <c r="G3035" s="18">
        <v>74946</v>
      </c>
      <c r="H3035" s="18">
        <f t="shared" si="90"/>
        <v>41686.9</v>
      </c>
      <c r="I3035" s="12"/>
    </row>
    <row r="3036" spans="1:9" s="2" customFormat="1" ht="18.75" customHeight="1" x14ac:dyDescent="0.55000000000000004">
      <c r="A3036" s="18">
        <v>24.724422100000002</v>
      </c>
      <c r="B3036" s="18">
        <v>34.741973299999998</v>
      </c>
      <c r="C3036" s="18">
        <v>676189.84</v>
      </c>
      <c r="D3036" s="18">
        <v>2735554.43</v>
      </c>
      <c r="E3036" s="18">
        <v>442.76</v>
      </c>
      <c r="F3036" s="18">
        <v>41711.56</v>
      </c>
      <c r="G3036" s="18">
        <v>75416</v>
      </c>
      <c r="H3036" s="18">
        <f t="shared" si="90"/>
        <v>41701.56</v>
      </c>
      <c r="I3036" s="12"/>
    </row>
    <row r="3037" spans="1:9" s="6" customFormat="1" ht="21" customHeight="1" x14ac:dyDescent="0.55000000000000004">
      <c r="A3037" s="7">
        <v>24.723900499999999</v>
      </c>
      <c r="B3037" s="7">
        <v>34.741440500000003</v>
      </c>
      <c r="C3037" s="7">
        <v>676136.68</v>
      </c>
      <c r="D3037" s="7">
        <v>2735495.98</v>
      </c>
      <c r="E3037" s="7">
        <v>444.45</v>
      </c>
      <c r="F3037" s="7">
        <v>41743.32</v>
      </c>
      <c r="G3037" s="7">
        <v>75607</v>
      </c>
      <c r="H3037" s="7">
        <f>SUM(F3037-10)</f>
        <v>41733.32</v>
      </c>
      <c r="I3037" s="14"/>
    </row>
    <row r="3038" spans="1:9" s="8" customFormat="1" ht="21" customHeight="1" x14ac:dyDescent="0.6">
      <c r="A3038" s="7">
        <v>24.722999099999999</v>
      </c>
      <c r="B3038" s="7">
        <v>34.740889199999998</v>
      </c>
      <c r="C3038" s="7">
        <v>676082.17</v>
      </c>
      <c r="D3038" s="7">
        <v>2735395.43</v>
      </c>
      <c r="E3038" s="7">
        <v>445.72</v>
      </c>
      <c r="F3038" s="7">
        <v>41697.58</v>
      </c>
      <c r="G3038" s="7">
        <v>75740</v>
      </c>
      <c r="H3038" s="7">
        <f t="shared" ref="H3038:H3039" si="91">SUM(F3038-10)</f>
        <v>41687.58</v>
      </c>
      <c r="I3038" s="15"/>
    </row>
    <row r="3039" spans="1:9" s="8" customFormat="1" ht="21" customHeight="1" x14ac:dyDescent="0.6">
      <c r="A3039" s="7">
        <v>24.7224085</v>
      </c>
      <c r="B3039" s="7">
        <v>34.740922900000001</v>
      </c>
      <c r="C3039" s="7">
        <v>676086.4</v>
      </c>
      <c r="D3039" s="7">
        <v>2735330.05</v>
      </c>
      <c r="E3039" s="7">
        <v>446.98</v>
      </c>
      <c r="F3039" s="7">
        <v>41700.5</v>
      </c>
      <c r="G3039" s="7">
        <v>75849</v>
      </c>
      <c r="H3039" s="7">
        <f t="shared" si="91"/>
        <v>41690.5</v>
      </c>
      <c r="I3039" s="15"/>
    </row>
    <row r="3040" spans="1:9" s="8" customFormat="1" ht="21" customHeight="1" x14ac:dyDescent="0.6">
      <c r="A3040" s="7">
        <v>24.7220978</v>
      </c>
      <c r="B3040" s="7">
        <v>34.741172300000002</v>
      </c>
      <c r="C3040" s="7">
        <v>676112.08</v>
      </c>
      <c r="D3040" s="7">
        <v>2735295.97</v>
      </c>
      <c r="E3040" s="7">
        <v>447.87</v>
      </c>
      <c r="F3040" s="7">
        <v>41739.01</v>
      </c>
      <c r="G3040" s="7">
        <v>80134</v>
      </c>
      <c r="H3040" s="7">
        <f>SUM(F3040-13)</f>
        <v>41726.01</v>
      </c>
      <c r="I3040" s="15"/>
    </row>
    <row r="3041" spans="1:9" s="8" customFormat="1" ht="21" customHeight="1" x14ac:dyDescent="0.6">
      <c r="A3041" s="7">
        <v>24.7220978</v>
      </c>
      <c r="B3041" s="7">
        <v>34.741172300000002</v>
      </c>
      <c r="C3041" s="7">
        <v>676112.08</v>
      </c>
      <c r="D3041" s="7">
        <v>2735295.97</v>
      </c>
      <c r="E3041" s="7">
        <v>447.78</v>
      </c>
      <c r="F3041" s="7">
        <v>41738.97</v>
      </c>
      <c r="G3041" s="7">
        <v>80136</v>
      </c>
      <c r="H3041" s="7">
        <f t="shared" ref="H3041:H3104" si="92">SUM(F3041-13)</f>
        <v>41725.97</v>
      </c>
      <c r="I3041" s="15"/>
    </row>
    <row r="3042" spans="1:9" s="8" customFormat="1" ht="21" customHeight="1" x14ac:dyDescent="0.6">
      <c r="A3042" s="7">
        <v>24.722097900000001</v>
      </c>
      <c r="B3042" s="7">
        <v>34.741172300000002</v>
      </c>
      <c r="C3042" s="7">
        <v>676112.07</v>
      </c>
      <c r="D3042" s="7">
        <v>2735295.97</v>
      </c>
      <c r="E3042" s="7">
        <v>447.74</v>
      </c>
      <c r="F3042" s="7">
        <v>41738.800000000003</v>
      </c>
      <c r="G3042" s="7">
        <v>80138</v>
      </c>
      <c r="H3042" s="7">
        <f t="shared" si="92"/>
        <v>41725.800000000003</v>
      </c>
      <c r="I3042" s="15"/>
    </row>
    <row r="3043" spans="1:9" s="8" customFormat="1" ht="21" customHeight="1" x14ac:dyDescent="0.6">
      <c r="A3043" s="7">
        <v>24.7220963</v>
      </c>
      <c r="B3043" s="7">
        <v>34.741173600000003</v>
      </c>
      <c r="C3043" s="7">
        <v>676112.21</v>
      </c>
      <c r="D3043" s="7">
        <v>2735295.8</v>
      </c>
      <c r="E3043" s="7">
        <v>447.66</v>
      </c>
      <c r="F3043" s="7">
        <v>41735.360000000001</v>
      </c>
      <c r="G3043" s="7">
        <v>80140</v>
      </c>
      <c r="H3043" s="7">
        <f t="shared" si="92"/>
        <v>41722.36</v>
      </c>
      <c r="I3043" s="15"/>
    </row>
    <row r="3044" spans="1:9" s="8" customFormat="1" ht="21" customHeight="1" x14ac:dyDescent="0.6">
      <c r="A3044" s="7">
        <v>24.7220887</v>
      </c>
      <c r="B3044" s="7">
        <v>34.741194999999998</v>
      </c>
      <c r="C3044" s="7">
        <v>676114.39</v>
      </c>
      <c r="D3044" s="7">
        <v>2735294.99</v>
      </c>
      <c r="E3044" s="7">
        <v>447.62</v>
      </c>
      <c r="F3044" s="7">
        <v>41739.410000000003</v>
      </c>
      <c r="G3044" s="7">
        <v>80142</v>
      </c>
      <c r="H3044" s="7">
        <f t="shared" si="92"/>
        <v>41726.410000000003</v>
      </c>
      <c r="I3044" s="15"/>
    </row>
    <row r="3045" spans="1:9" s="8" customFormat="1" ht="21" customHeight="1" x14ac:dyDescent="0.6">
      <c r="A3045" s="7">
        <v>24.722079399999998</v>
      </c>
      <c r="B3045" s="7">
        <v>34.741221299999999</v>
      </c>
      <c r="C3045" s="7">
        <v>676117.06</v>
      </c>
      <c r="D3045" s="7">
        <v>2735293.99</v>
      </c>
      <c r="E3045" s="7">
        <v>447.56</v>
      </c>
      <c r="F3045" s="7">
        <v>41741.589999999997</v>
      </c>
      <c r="G3045" s="7">
        <v>80144</v>
      </c>
      <c r="H3045" s="7">
        <f t="shared" si="92"/>
        <v>41728.589999999997</v>
      </c>
      <c r="I3045" s="15"/>
    </row>
    <row r="3046" spans="1:9" s="8" customFormat="1" ht="21" customHeight="1" x14ac:dyDescent="0.6">
      <c r="A3046" s="7">
        <v>24.722070599999999</v>
      </c>
      <c r="B3046" s="7">
        <v>34.741250299999997</v>
      </c>
      <c r="C3046" s="7">
        <v>676120.01</v>
      </c>
      <c r="D3046" s="7">
        <v>2735293.05</v>
      </c>
      <c r="E3046" s="7">
        <v>447.41</v>
      </c>
      <c r="F3046" s="7">
        <v>41740.9</v>
      </c>
      <c r="G3046" s="7">
        <v>80146</v>
      </c>
      <c r="H3046" s="7">
        <f t="shared" si="92"/>
        <v>41727.9</v>
      </c>
      <c r="I3046" s="15"/>
    </row>
    <row r="3047" spans="1:9" s="8" customFormat="1" ht="21" customHeight="1" x14ac:dyDescent="0.6">
      <c r="A3047" s="7">
        <v>24.722058799999999</v>
      </c>
      <c r="B3047" s="7">
        <v>34.741280600000003</v>
      </c>
      <c r="C3047" s="7">
        <v>676123.09</v>
      </c>
      <c r="D3047" s="7">
        <v>2735291.78</v>
      </c>
      <c r="E3047" s="7">
        <v>447.33</v>
      </c>
      <c r="F3047" s="7">
        <v>41746.93</v>
      </c>
      <c r="G3047" s="7">
        <v>80148</v>
      </c>
      <c r="H3047" s="7">
        <f t="shared" si="92"/>
        <v>41733.93</v>
      </c>
      <c r="I3047" s="15"/>
    </row>
    <row r="3048" spans="1:9" s="8" customFormat="1" ht="21" customHeight="1" x14ac:dyDescent="0.6">
      <c r="A3048" s="7">
        <v>24.7220431</v>
      </c>
      <c r="B3048" s="7">
        <v>34.741302300000001</v>
      </c>
      <c r="C3048" s="7">
        <v>676125.31</v>
      </c>
      <c r="D3048" s="7">
        <v>2735290.08</v>
      </c>
      <c r="E3048" s="7">
        <v>447.53</v>
      </c>
      <c r="F3048" s="7">
        <v>41751.75</v>
      </c>
      <c r="G3048" s="7">
        <v>80150</v>
      </c>
      <c r="H3048" s="7">
        <f t="shared" si="92"/>
        <v>41738.75</v>
      </c>
      <c r="I3048" s="15"/>
    </row>
    <row r="3049" spans="1:9" s="8" customFormat="1" ht="21" customHeight="1" x14ac:dyDescent="0.6">
      <c r="A3049" s="7">
        <v>24.7220242</v>
      </c>
      <c r="B3049" s="7">
        <v>34.741322599999997</v>
      </c>
      <c r="C3049" s="7">
        <v>676127.38</v>
      </c>
      <c r="D3049" s="7">
        <v>2735288.01</v>
      </c>
      <c r="E3049" s="7">
        <v>447.71</v>
      </c>
      <c r="F3049" s="7">
        <v>41754.49</v>
      </c>
      <c r="G3049" s="7">
        <v>80152</v>
      </c>
      <c r="H3049" s="7">
        <f t="shared" si="92"/>
        <v>41741.49</v>
      </c>
      <c r="I3049" s="15"/>
    </row>
    <row r="3050" spans="1:9" s="8" customFormat="1" ht="21" customHeight="1" x14ac:dyDescent="0.6">
      <c r="A3050" s="7">
        <v>24.722004200000001</v>
      </c>
      <c r="B3050" s="7">
        <v>34.7413393</v>
      </c>
      <c r="C3050" s="7">
        <v>676129.11</v>
      </c>
      <c r="D3050" s="7">
        <v>2735285.81</v>
      </c>
      <c r="E3050" s="7">
        <v>447.73</v>
      </c>
      <c r="F3050" s="7">
        <v>41756.42</v>
      </c>
      <c r="G3050" s="7">
        <v>80154</v>
      </c>
      <c r="H3050" s="7">
        <f t="shared" si="92"/>
        <v>41743.42</v>
      </c>
      <c r="I3050" s="15"/>
    </row>
    <row r="3051" spans="1:9" s="8" customFormat="1" ht="21" customHeight="1" x14ac:dyDescent="0.6">
      <c r="A3051" s="7">
        <v>24.7219829</v>
      </c>
      <c r="B3051" s="7">
        <v>34.741356699999997</v>
      </c>
      <c r="C3051" s="7">
        <v>676130.89</v>
      </c>
      <c r="D3051" s="7">
        <v>2735283.47</v>
      </c>
      <c r="E3051" s="7">
        <v>447.79</v>
      </c>
      <c r="F3051" s="7">
        <v>41759.18</v>
      </c>
      <c r="G3051" s="7">
        <v>80156</v>
      </c>
      <c r="H3051" s="7">
        <f t="shared" si="92"/>
        <v>41746.18</v>
      </c>
      <c r="I3051" s="15"/>
    </row>
    <row r="3052" spans="1:9" s="8" customFormat="1" ht="21" customHeight="1" x14ac:dyDescent="0.6">
      <c r="A3052" s="7">
        <v>24.721962900000001</v>
      </c>
      <c r="B3052" s="7">
        <v>34.741374700000001</v>
      </c>
      <c r="C3052" s="7">
        <v>676132.74</v>
      </c>
      <c r="D3052" s="7">
        <v>2735281.29</v>
      </c>
      <c r="E3052" s="7">
        <v>447.91</v>
      </c>
      <c r="F3052" s="7">
        <v>41760.79</v>
      </c>
      <c r="G3052" s="7">
        <v>80158</v>
      </c>
      <c r="H3052" s="7">
        <f t="shared" si="92"/>
        <v>41747.79</v>
      </c>
      <c r="I3052" s="15"/>
    </row>
    <row r="3053" spans="1:9" s="8" customFormat="1" ht="21" customHeight="1" x14ac:dyDescent="0.6">
      <c r="A3053" s="7">
        <v>24.721943</v>
      </c>
      <c r="B3053" s="7">
        <v>34.741391299999997</v>
      </c>
      <c r="C3053" s="7">
        <v>676134.45</v>
      </c>
      <c r="D3053" s="7">
        <v>2735279.1</v>
      </c>
      <c r="E3053" s="7">
        <v>448.16</v>
      </c>
      <c r="F3053" s="7">
        <v>41761.42</v>
      </c>
      <c r="G3053" s="7">
        <v>80200</v>
      </c>
      <c r="H3053" s="7">
        <f t="shared" si="92"/>
        <v>41748.42</v>
      </c>
      <c r="I3053" s="15"/>
    </row>
    <row r="3054" spans="1:9" s="8" customFormat="1" ht="21" customHeight="1" x14ac:dyDescent="0.6">
      <c r="A3054" s="7">
        <v>24.721924000000001</v>
      </c>
      <c r="B3054" s="7">
        <v>34.741407199999998</v>
      </c>
      <c r="C3054" s="7">
        <v>676136.09</v>
      </c>
      <c r="D3054" s="7">
        <v>2735277.01</v>
      </c>
      <c r="E3054" s="7">
        <v>448.16</v>
      </c>
      <c r="F3054" s="7">
        <v>41762.69</v>
      </c>
      <c r="G3054" s="7">
        <v>80202</v>
      </c>
      <c r="H3054" s="7">
        <f t="shared" si="92"/>
        <v>41749.69</v>
      </c>
      <c r="I3054" s="15"/>
    </row>
    <row r="3055" spans="1:9" s="8" customFormat="1" ht="21" customHeight="1" x14ac:dyDescent="0.6">
      <c r="A3055" s="7">
        <v>24.721909</v>
      </c>
      <c r="B3055" s="7">
        <v>34.741429099999998</v>
      </c>
      <c r="C3055" s="7">
        <v>676138.32</v>
      </c>
      <c r="D3055" s="7">
        <v>2735275.39</v>
      </c>
      <c r="E3055" s="7">
        <v>448.18</v>
      </c>
      <c r="F3055" s="7">
        <v>41764.69</v>
      </c>
      <c r="G3055" s="7">
        <v>80204</v>
      </c>
      <c r="H3055" s="7">
        <f t="shared" si="92"/>
        <v>41751.69</v>
      </c>
      <c r="I3055" s="15"/>
    </row>
    <row r="3056" spans="1:9" s="8" customFormat="1" ht="21" customHeight="1" x14ac:dyDescent="0.6">
      <c r="A3056" s="7">
        <v>24.721898500000002</v>
      </c>
      <c r="B3056" s="7">
        <v>34.741454099999999</v>
      </c>
      <c r="C3056" s="7">
        <v>676140.87</v>
      </c>
      <c r="D3056" s="7">
        <v>2735274.25</v>
      </c>
      <c r="E3056" s="7">
        <v>448.36</v>
      </c>
      <c r="F3056" s="7">
        <v>41768.6</v>
      </c>
      <c r="G3056" s="7">
        <v>80206</v>
      </c>
      <c r="H3056" s="7">
        <f t="shared" si="92"/>
        <v>41755.599999999999</v>
      </c>
      <c r="I3056" s="15"/>
    </row>
    <row r="3057" spans="1:9" s="8" customFormat="1" ht="21" customHeight="1" x14ac:dyDescent="0.6">
      <c r="A3057" s="7">
        <v>24.721891500000002</v>
      </c>
      <c r="B3057" s="7">
        <v>34.741478899999997</v>
      </c>
      <c r="C3057" s="7">
        <v>676143.39</v>
      </c>
      <c r="D3057" s="7">
        <v>2735273.51</v>
      </c>
      <c r="E3057" s="7">
        <v>448.43</v>
      </c>
      <c r="F3057" s="7">
        <v>41773.17</v>
      </c>
      <c r="G3057" s="7">
        <v>80208</v>
      </c>
      <c r="H3057" s="7">
        <f t="shared" si="92"/>
        <v>41760.17</v>
      </c>
      <c r="I3057" s="15"/>
    </row>
    <row r="3058" spans="1:9" s="8" customFormat="1" ht="21" customHeight="1" x14ac:dyDescent="0.6">
      <c r="A3058" s="7">
        <v>24.721878499999999</v>
      </c>
      <c r="B3058" s="7">
        <v>34.741500100000003</v>
      </c>
      <c r="C3058" s="7">
        <v>676145.55</v>
      </c>
      <c r="D3058" s="7">
        <v>2735272.1</v>
      </c>
      <c r="E3058" s="7">
        <v>448.52</v>
      </c>
      <c r="F3058" s="7">
        <v>41776.97</v>
      </c>
      <c r="G3058" s="7">
        <v>80210</v>
      </c>
      <c r="H3058" s="7">
        <f t="shared" si="92"/>
        <v>41763.97</v>
      </c>
      <c r="I3058" s="15"/>
    </row>
    <row r="3059" spans="1:9" s="8" customFormat="1" ht="21" customHeight="1" x14ac:dyDescent="0.6">
      <c r="A3059" s="7">
        <v>24.721858600000001</v>
      </c>
      <c r="B3059" s="7">
        <v>34.741517199999997</v>
      </c>
      <c r="C3059" s="7">
        <v>676147.31</v>
      </c>
      <c r="D3059" s="7">
        <v>2735269.92</v>
      </c>
      <c r="E3059" s="7">
        <v>448.51</v>
      </c>
      <c r="F3059" s="7">
        <v>41778.6</v>
      </c>
      <c r="G3059" s="7">
        <v>80212</v>
      </c>
      <c r="H3059" s="7">
        <f t="shared" si="92"/>
        <v>41765.599999999999</v>
      </c>
      <c r="I3059" s="15"/>
    </row>
    <row r="3060" spans="1:9" s="8" customFormat="1" ht="21" customHeight="1" x14ac:dyDescent="0.6">
      <c r="A3060" s="7">
        <v>24.7218388</v>
      </c>
      <c r="B3060" s="7">
        <v>34.741534600000001</v>
      </c>
      <c r="C3060" s="7">
        <v>676149.09</v>
      </c>
      <c r="D3060" s="7">
        <v>2735267.75</v>
      </c>
      <c r="E3060" s="7">
        <v>448.67</v>
      </c>
      <c r="F3060" s="7">
        <v>41781.71</v>
      </c>
      <c r="G3060" s="7">
        <v>80214</v>
      </c>
      <c r="H3060" s="7">
        <f t="shared" si="92"/>
        <v>41768.71</v>
      </c>
      <c r="I3060" s="15"/>
    </row>
    <row r="3061" spans="1:9" s="8" customFormat="1" ht="21" customHeight="1" x14ac:dyDescent="0.6">
      <c r="A3061" s="7">
        <v>24.7218199</v>
      </c>
      <c r="B3061" s="7">
        <v>34.741550699999998</v>
      </c>
      <c r="C3061" s="7">
        <v>676150.75</v>
      </c>
      <c r="D3061" s="7">
        <v>2735265.67</v>
      </c>
      <c r="E3061" s="7">
        <v>448.57</v>
      </c>
      <c r="F3061" s="7">
        <v>41785.449999999997</v>
      </c>
      <c r="G3061" s="7">
        <v>80216</v>
      </c>
      <c r="H3061" s="7">
        <f t="shared" si="92"/>
        <v>41772.449999999997</v>
      </c>
      <c r="I3061" s="15"/>
    </row>
    <row r="3062" spans="1:9" s="8" customFormat="1" ht="21" customHeight="1" x14ac:dyDescent="0.6">
      <c r="A3062" s="7">
        <v>24.721797500000001</v>
      </c>
      <c r="B3062" s="7">
        <v>34.741567799999999</v>
      </c>
      <c r="C3062" s="7">
        <v>676152.52</v>
      </c>
      <c r="D3062" s="7">
        <v>2735263.22</v>
      </c>
      <c r="E3062" s="7">
        <v>448.54</v>
      </c>
      <c r="F3062" s="7">
        <v>41787.53</v>
      </c>
      <c r="G3062" s="7">
        <v>80218</v>
      </c>
      <c r="H3062" s="7">
        <f t="shared" si="92"/>
        <v>41774.53</v>
      </c>
      <c r="I3062" s="15"/>
    </row>
    <row r="3063" spans="1:9" s="8" customFormat="1" ht="21" customHeight="1" x14ac:dyDescent="0.6">
      <c r="A3063" s="7">
        <v>24.721774199999999</v>
      </c>
      <c r="B3063" s="7">
        <v>34.741583800000001</v>
      </c>
      <c r="C3063" s="7">
        <v>676154.16</v>
      </c>
      <c r="D3063" s="7">
        <v>2735260.66</v>
      </c>
      <c r="E3063" s="7">
        <v>448.59</v>
      </c>
      <c r="F3063" s="7">
        <v>41788.129999999997</v>
      </c>
      <c r="G3063" s="7">
        <v>80220</v>
      </c>
      <c r="H3063" s="7">
        <f t="shared" si="92"/>
        <v>41775.129999999997</v>
      </c>
      <c r="I3063" s="15"/>
    </row>
    <row r="3064" spans="1:9" s="8" customFormat="1" ht="21" customHeight="1" x14ac:dyDescent="0.6">
      <c r="A3064" s="7">
        <v>24.721757499999999</v>
      </c>
      <c r="B3064" s="7">
        <v>34.741602999999998</v>
      </c>
      <c r="C3064" s="7">
        <v>676156.13</v>
      </c>
      <c r="D3064" s="7">
        <v>2735258.82</v>
      </c>
      <c r="E3064" s="7">
        <v>448.68</v>
      </c>
      <c r="F3064" s="7">
        <v>41791.65</v>
      </c>
      <c r="G3064" s="7">
        <v>80222</v>
      </c>
      <c r="H3064" s="7">
        <f t="shared" si="92"/>
        <v>41778.65</v>
      </c>
      <c r="I3064" s="15"/>
    </row>
    <row r="3065" spans="1:9" s="8" customFormat="1" ht="21" customHeight="1" x14ac:dyDescent="0.6">
      <c r="A3065" s="7">
        <v>24.721739400000001</v>
      </c>
      <c r="B3065" s="7">
        <v>34.741622100000001</v>
      </c>
      <c r="C3065" s="7">
        <v>676158.08</v>
      </c>
      <c r="D3065" s="7">
        <v>2735256.85</v>
      </c>
      <c r="E3065" s="7">
        <v>448.74</v>
      </c>
      <c r="F3065" s="7">
        <v>41793.49</v>
      </c>
      <c r="G3065" s="7">
        <v>80224</v>
      </c>
      <c r="H3065" s="7">
        <f t="shared" si="92"/>
        <v>41780.49</v>
      </c>
      <c r="I3065" s="15"/>
    </row>
    <row r="3066" spans="1:9" s="8" customFormat="1" ht="21" customHeight="1" x14ac:dyDescent="0.6">
      <c r="A3066" s="7">
        <v>24.721721500000001</v>
      </c>
      <c r="B3066" s="7">
        <v>34.741639200000002</v>
      </c>
      <c r="C3066" s="7">
        <v>676159.84</v>
      </c>
      <c r="D3066" s="7">
        <v>2735254.89</v>
      </c>
      <c r="E3066" s="7">
        <v>448.71</v>
      </c>
      <c r="F3066" s="7">
        <v>41793.17</v>
      </c>
      <c r="G3066" s="7">
        <v>80226</v>
      </c>
      <c r="H3066" s="7">
        <f t="shared" si="92"/>
        <v>41780.17</v>
      </c>
      <c r="I3066" s="15"/>
    </row>
    <row r="3067" spans="1:9" s="8" customFormat="1" ht="21" customHeight="1" x14ac:dyDescent="0.6">
      <c r="A3067" s="7">
        <v>24.721702700000002</v>
      </c>
      <c r="B3067" s="7">
        <v>34.741655999999999</v>
      </c>
      <c r="C3067" s="7">
        <v>676161.57</v>
      </c>
      <c r="D3067" s="7">
        <v>2735252.82</v>
      </c>
      <c r="E3067" s="7">
        <v>448.65</v>
      </c>
      <c r="F3067" s="7">
        <v>41795.33</v>
      </c>
      <c r="G3067" s="7">
        <v>80228</v>
      </c>
      <c r="H3067" s="7">
        <f t="shared" si="92"/>
        <v>41782.33</v>
      </c>
      <c r="I3067" s="15"/>
    </row>
    <row r="3068" spans="1:9" s="8" customFormat="1" ht="21" customHeight="1" x14ac:dyDescent="0.6">
      <c r="A3068" s="7">
        <v>24.721683800000001</v>
      </c>
      <c r="B3068" s="7">
        <v>34.741670900000003</v>
      </c>
      <c r="C3068" s="7">
        <v>676163.1</v>
      </c>
      <c r="D3068" s="7">
        <v>2735250.75</v>
      </c>
      <c r="E3068" s="7">
        <v>448.68</v>
      </c>
      <c r="F3068" s="7">
        <v>41795.93</v>
      </c>
      <c r="G3068" s="7">
        <v>80230</v>
      </c>
      <c r="H3068" s="7">
        <f t="shared" si="92"/>
        <v>41782.93</v>
      </c>
      <c r="I3068" s="15"/>
    </row>
    <row r="3069" spans="1:9" s="8" customFormat="1" ht="21" customHeight="1" x14ac:dyDescent="0.6">
      <c r="A3069" s="7">
        <v>24.721673200000001</v>
      </c>
      <c r="B3069" s="7">
        <v>34.7416938</v>
      </c>
      <c r="C3069" s="7">
        <v>676165.44</v>
      </c>
      <c r="D3069" s="7">
        <v>2735249.61</v>
      </c>
      <c r="E3069" s="7">
        <v>448.77</v>
      </c>
      <c r="F3069" s="7">
        <v>41799.97</v>
      </c>
      <c r="G3069" s="7">
        <v>80232</v>
      </c>
      <c r="H3069" s="7">
        <f t="shared" si="92"/>
        <v>41786.97</v>
      </c>
      <c r="I3069" s="15"/>
    </row>
    <row r="3070" spans="1:9" s="8" customFormat="1" ht="21" customHeight="1" x14ac:dyDescent="0.6">
      <c r="A3070" s="7">
        <v>24.721662899999998</v>
      </c>
      <c r="B3070" s="7">
        <v>34.741713900000001</v>
      </c>
      <c r="C3070" s="7">
        <v>676167.48</v>
      </c>
      <c r="D3070" s="7">
        <v>2735248.5</v>
      </c>
      <c r="E3070" s="7">
        <v>448.8</v>
      </c>
      <c r="F3070" s="7">
        <v>41801.42</v>
      </c>
      <c r="G3070" s="7">
        <v>80234</v>
      </c>
      <c r="H3070" s="7">
        <f t="shared" si="92"/>
        <v>41788.42</v>
      </c>
      <c r="I3070" s="15"/>
    </row>
    <row r="3071" spans="1:9" s="8" customFormat="1" ht="21" customHeight="1" x14ac:dyDescent="0.6">
      <c r="A3071" s="7">
        <v>24.721650700000001</v>
      </c>
      <c r="B3071" s="7">
        <v>34.741734399999999</v>
      </c>
      <c r="C3071" s="7">
        <v>676169.57</v>
      </c>
      <c r="D3071" s="7">
        <v>2735247.17</v>
      </c>
      <c r="E3071" s="7">
        <v>448.8</v>
      </c>
      <c r="F3071" s="7">
        <v>41803.949999999997</v>
      </c>
      <c r="G3071" s="7">
        <v>80236</v>
      </c>
      <c r="H3071" s="7">
        <f t="shared" si="92"/>
        <v>41790.949999999997</v>
      </c>
      <c r="I3071" s="15"/>
    </row>
    <row r="3072" spans="1:9" s="8" customFormat="1" ht="21" customHeight="1" x14ac:dyDescent="0.6">
      <c r="A3072" s="7">
        <v>24.721632899999999</v>
      </c>
      <c r="B3072" s="7">
        <v>34.741754100000001</v>
      </c>
      <c r="C3072" s="7">
        <v>676171.59</v>
      </c>
      <c r="D3072" s="7">
        <v>2735245.22</v>
      </c>
      <c r="E3072" s="7">
        <v>448.89</v>
      </c>
      <c r="F3072" s="7">
        <v>41806.9</v>
      </c>
      <c r="G3072" s="7">
        <v>80238</v>
      </c>
      <c r="H3072" s="7">
        <f t="shared" si="92"/>
        <v>41793.9</v>
      </c>
      <c r="I3072" s="15"/>
    </row>
    <row r="3073" spans="1:9" s="8" customFormat="1" ht="21" customHeight="1" x14ac:dyDescent="0.6">
      <c r="A3073" s="7">
        <v>24.721615199999999</v>
      </c>
      <c r="B3073" s="7">
        <v>34.741769499999997</v>
      </c>
      <c r="C3073" s="7">
        <v>676173.17</v>
      </c>
      <c r="D3073" s="7">
        <v>2735243.29</v>
      </c>
      <c r="E3073" s="7">
        <v>449.03</v>
      </c>
      <c r="F3073" s="7">
        <v>41807.24</v>
      </c>
      <c r="G3073" s="7">
        <v>80240</v>
      </c>
      <c r="H3073" s="7">
        <f t="shared" si="92"/>
        <v>41794.239999999998</v>
      </c>
      <c r="I3073" s="15"/>
    </row>
    <row r="3074" spans="1:9" s="8" customFormat="1" ht="21" customHeight="1" x14ac:dyDescent="0.6">
      <c r="A3074" s="7">
        <v>24.721597599999999</v>
      </c>
      <c r="B3074" s="7">
        <v>34.741782899999997</v>
      </c>
      <c r="C3074" s="7">
        <v>676174.55</v>
      </c>
      <c r="D3074" s="7">
        <v>2735241.35</v>
      </c>
      <c r="E3074" s="7">
        <v>449</v>
      </c>
      <c r="F3074" s="7">
        <v>41808.050000000003</v>
      </c>
      <c r="G3074" s="7">
        <v>80242</v>
      </c>
      <c r="H3074" s="7">
        <f t="shared" si="92"/>
        <v>41795.050000000003</v>
      </c>
      <c r="I3074" s="15"/>
    </row>
    <row r="3075" spans="1:9" s="8" customFormat="1" ht="21" customHeight="1" x14ac:dyDescent="0.6">
      <c r="A3075" s="7">
        <v>24.7215816</v>
      </c>
      <c r="B3075" s="7">
        <v>34.741798899999999</v>
      </c>
      <c r="C3075" s="7">
        <v>676176.19</v>
      </c>
      <c r="D3075" s="7">
        <v>2735239.6</v>
      </c>
      <c r="E3075" s="7">
        <v>449.1</v>
      </c>
      <c r="F3075" s="7">
        <v>41809.42</v>
      </c>
      <c r="G3075" s="7">
        <v>80244</v>
      </c>
      <c r="H3075" s="7">
        <f t="shared" si="92"/>
        <v>41796.42</v>
      </c>
      <c r="I3075" s="15"/>
    </row>
    <row r="3076" spans="1:9" s="8" customFormat="1" ht="21" customHeight="1" x14ac:dyDescent="0.6">
      <c r="A3076" s="7">
        <v>24.721565099999999</v>
      </c>
      <c r="B3076" s="7">
        <v>34.741819</v>
      </c>
      <c r="C3076" s="7">
        <v>676178.25</v>
      </c>
      <c r="D3076" s="7">
        <v>2735237.8</v>
      </c>
      <c r="E3076" s="7">
        <v>449.08</v>
      </c>
      <c r="F3076" s="7">
        <v>41810.31</v>
      </c>
      <c r="G3076" s="7">
        <v>80246</v>
      </c>
      <c r="H3076" s="7">
        <f t="shared" si="92"/>
        <v>41797.31</v>
      </c>
      <c r="I3076" s="15"/>
    </row>
    <row r="3077" spans="1:9" s="8" customFormat="1" ht="21" customHeight="1" x14ac:dyDescent="0.6">
      <c r="A3077" s="7">
        <v>24.721549899999999</v>
      </c>
      <c r="B3077" s="7">
        <v>34.7418409</v>
      </c>
      <c r="C3077" s="7">
        <v>676180.49</v>
      </c>
      <c r="D3077" s="7">
        <v>2735236.14</v>
      </c>
      <c r="E3077" s="7">
        <v>449.1</v>
      </c>
      <c r="F3077" s="7">
        <v>41815.440000000002</v>
      </c>
      <c r="G3077" s="7">
        <v>80248</v>
      </c>
      <c r="H3077" s="7">
        <f t="shared" si="92"/>
        <v>41802.44</v>
      </c>
      <c r="I3077" s="15"/>
    </row>
    <row r="3078" spans="1:9" s="8" customFormat="1" ht="21" customHeight="1" x14ac:dyDescent="0.6">
      <c r="A3078" s="7">
        <v>24.7215338</v>
      </c>
      <c r="B3078" s="7">
        <v>34.741863199999997</v>
      </c>
      <c r="C3078" s="7">
        <v>676182.77</v>
      </c>
      <c r="D3078" s="7">
        <v>2735234.38</v>
      </c>
      <c r="E3078" s="7">
        <v>449.16</v>
      </c>
      <c r="F3078" s="7">
        <v>41817.760000000002</v>
      </c>
      <c r="G3078" s="7">
        <v>80250</v>
      </c>
      <c r="H3078" s="7">
        <f t="shared" si="92"/>
        <v>41804.76</v>
      </c>
      <c r="I3078" s="15"/>
    </row>
    <row r="3079" spans="1:9" s="8" customFormat="1" ht="21" customHeight="1" x14ac:dyDescent="0.6">
      <c r="A3079" s="7">
        <v>24.721518700000001</v>
      </c>
      <c r="B3079" s="7">
        <v>34.741885699999997</v>
      </c>
      <c r="C3079" s="7">
        <v>676185.06</v>
      </c>
      <c r="D3079" s="7">
        <v>2735232.75</v>
      </c>
      <c r="E3079" s="7">
        <v>449.18</v>
      </c>
      <c r="F3079" s="7">
        <v>41818.94</v>
      </c>
      <c r="G3079" s="7">
        <v>80252</v>
      </c>
      <c r="H3079" s="7">
        <f t="shared" si="92"/>
        <v>41805.94</v>
      </c>
      <c r="I3079" s="15"/>
    </row>
    <row r="3080" spans="1:9" s="8" customFormat="1" ht="21" customHeight="1" x14ac:dyDescent="0.6">
      <c r="A3080" s="7">
        <v>24.721507500000001</v>
      </c>
      <c r="B3080" s="7">
        <v>34.741907500000003</v>
      </c>
      <c r="C3080" s="7">
        <v>676187.29</v>
      </c>
      <c r="D3080" s="7">
        <v>2735231.53</v>
      </c>
      <c r="E3080" s="7">
        <v>449.14</v>
      </c>
      <c r="F3080" s="7">
        <v>41828.6</v>
      </c>
      <c r="G3080" s="7">
        <v>80254</v>
      </c>
      <c r="H3080" s="7">
        <f t="shared" si="92"/>
        <v>41815.599999999999</v>
      </c>
      <c r="I3080" s="15"/>
    </row>
    <row r="3081" spans="1:9" s="8" customFormat="1" ht="21" customHeight="1" x14ac:dyDescent="0.6">
      <c r="A3081" s="7">
        <v>24.721497100000001</v>
      </c>
      <c r="B3081" s="7">
        <v>34.741932400000003</v>
      </c>
      <c r="C3081" s="7">
        <v>676189.82</v>
      </c>
      <c r="D3081" s="7">
        <v>2735230.41</v>
      </c>
      <c r="E3081" s="7">
        <v>449.15</v>
      </c>
      <c r="F3081" s="7">
        <v>41823.269999999997</v>
      </c>
      <c r="G3081" s="7">
        <v>80256</v>
      </c>
      <c r="H3081" s="7">
        <f t="shared" si="92"/>
        <v>41810.269999999997</v>
      </c>
      <c r="I3081" s="15"/>
    </row>
    <row r="3082" spans="1:9" s="8" customFormat="1" ht="21" customHeight="1" x14ac:dyDescent="0.6">
      <c r="A3082" s="7">
        <v>24.721481900000001</v>
      </c>
      <c r="B3082" s="7">
        <v>34.741954700000001</v>
      </c>
      <c r="C3082" s="7">
        <v>676192.09</v>
      </c>
      <c r="D3082" s="7">
        <v>2735228.76</v>
      </c>
      <c r="E3082" s="7">
        <v>449.21</v>
      </c>
      <c r="F3082" s="7">
        <v>41824.14</v>
      </c>
      <c r="G3082" s="7">
        <v>80258</v>
      </c>
      <c r="H3082" s="7">
        <f t="shared" si="92"/>
        <v>41811.14</v>
      </c>
      <c r="I3082" s="15"/>
    </row>
    <row r="3083" spans="1:9" s="8" customFormat="1" ht="21" customHeight="1" x14ac:dyDescent="0.6">
      <c r="A3083" s="7">
        <v>24.721468699999999</v>
      </c>
      <c r="B3083" s="7">
        <v>34.7419771</v>
      </c>
      <c r="C3083" s="7">
        <v>676194.38</v>
      </c>
      <c r="D3083" s="7">
        <v>2735227.32</v>
      </c>
      <c r="E3083" s="7">
        <v>449.28</v>
      </c>
      <c r="F3083" s="7">
        <v>41825.15</v>
      </c>
      <c r="G3083" s="7">
        <v>80300</v>
      </c>
      <c r="H3083" s="7">
        <f t="shared" si="92"/>
        <v>41812.15</v>
      </c>
      <c r="I3083" s="15"/>
    </row>
    <row r="3084" spans="1:9" s="8" customFormat="1" ht="21" customHeight="1" x14ac:dyDescent="0.6">
      <c r="A3084" s="7">
        <v>24.721454300000001</v>
      </c>
      <c r="B3084" s="7">
        <v>34.742000300000001</v>
      </c>
      <c r="C3084" s="7">
        <v>676196.75</v>
      </c>
      <c r="D3084" s="7">
        <v>2735225.76</v>
      </c>
      <c r="E3084" s="7">
        <v>449.32</v>
      </c>
      <c r="F3084" s="7">
        <v>41826.620000000003</v>
      </c>
      <c r="G3084" s="7">
        <v>80302</v>
      </c>
      <c r="H3084" s="7">
        <f t="shared" si="92"/>
        <v>41813.620000000003</v>
      </c>
      <c r="I3084" s="15"/>
    </row>
    <row r="3085" spans="1:9" s="8" customFormat="1" ht="21" customHeight="1" x14ac:dyDescent="0.6">
      <c r="A3085" s="7">
        <v>24.721435799999998</v>
      </c>
      <c r="B3085" s="7">
        <v>34.742018700000003</v>
      </c>
      <c r="C3085" s="7">
        <v>676198.64</v>
      </c>
      <c r="D3085" s="7">
        <v>2735223.73</v>
      </c>
      <c r="E3085" s="7">
        <v>449.34</v>
      </c>
      <c r="F3085" s="7">
        <v>41827.550000000003</v>
      </c>
      <c r="G3085" s="7">
        <v>80304</v>
      </c>
      <c r="H3085" s="7">
        <f t="shared" si="92"/>
        <v>41814.550000000003</v>
      </c>
      <c r="I3085" s="15"/>
    </row>
    <row r="3086" spans="1:9" s="8" customFormat="1" ht="21" customHeight="1" x14ac:dyDescent="0.6">
      <c r="A3086" s="7">
        <v>24.721417200000001</v>
      </c>
      <c r="B3086" s="7">
        <v>34.7420367</v>
      </c>
      <c r="C3086" s="7">
        <v>676200.49</v>
      </c>
      <c r="D3086" s="7">
        <v>2735221.7</v>
      </c>
      <c r="E3086" s="7">
        <v>449.37</v>
      </c>
      <c r="F3086" s="7">
        <v>41826.15</v>
      </c>
      <c r="G3086" s="7">
        <v>80306</v>
      </c>
      <c r="H3086" s="7">
        <f t="shared" si="92"/>
        <v>41813.15</v>
      </c>
      <c r="I3086" s="15"/>
    </row>
    <row r="3087" spans="1:9" s="8" customFormat="1" ht="21" customHeight="1" x14ac:dyDescent="0.6">
      <c r="A3087" s="7">
        <v>24.721398600000001</v>
      </c>
      <c r="B3087" s="7">
        <v>34.7420556</v>
      </c>
      <c r="C3087" s="7">
        <v>676202.43</v>
      </c>
      <c r="D3087" s="7">
        <v>2735219.67</v>
      </c>
      <c r="E3087" s="7">
        <v>449.4</v>
      </c>
      <c r="F3087" s="7">
        <v>41827.760000000002</v>
      </c>
      <c r="G3087" s="7">
        <v>80308</v>
      </c>
      <c r="H3087" s="7">
        <f t="shared" si="92"/>
        <v>41814.76</v>
      </c>
      <c r="I3087" s="15"/>
    </row>
    <row r="3088" spans="1:9" s="8" customFormat="1" ht="21" customHeight="1" x14ac:dyDescent="0.6">
      <c r="A3088" s="7">
        <v>24.721385000000001</v>
      </c>
      <c r="B3088" s="7">
        <v>34.742079699999998</v>
      </c>
      <c r="C3088" s="7">
        <v>676204.88</v>
      </c>
      <c r="D3088" s="7">
        <v>2735218.19</v>
      </c>
      <c r="E3088" s="7">
        <v>449.44</v>
      </c>
      <c r="F3088" s="7">
        <v>41830.81</v>
      </c>
      <c r="G3088" s="7">
        <v>80310</v>
      </c>
      <c r="H3088" s="7">
        <f t="shared" si="92"/>
        <v>41817.81</v>
      </c>
      <c r="I3088" s="15"/>
    </row>
    <row r="3089" spans="1:9" s="8" customFormat="1" ht="21" customHeight="1" x14ac:dyDescent="0.6">
      <c r="A3089" s="7">
        <v>24.721368300000002</v>
      </c>
      <c r="B3089" s="7">
        <v>34.742101099999999</v>
      </c>
      <c r="C3089" s="7">
        <v>676207.07</v>
      </c>
      <c r="D3089" s="7">
        <v>2735216.36</v>
      </c>
      <c r="E3089" s="7">
        <v>449.54</v>
      </c>
      <c r="F3089" s="7">
        <v>41831.9</v>
      </c>
      <c r="G3089" s="7">
        <v>80312</v>
      </c>
      <c r="H3089" s="7">
        <f t="shared" si="92"/>
        <v>41818.9</v>
      </c>
      <c r="I3089" s="15"/>
    </row>
    <row r="3090" spans="1:9" s="8" customFormat="1" ht="21" customHeight="1" x14ac:dyDescent="0.6">
      <c r="A3090" s="7">
        <v>24.721350900000001</v>
      </c>
      <c r="B3090" s="7">
        <v>34.742122199999997</v>
      </c>
      <c r="C3090" s="7">
        <v>676209.23</v>
      </c>
      <c r="D3090" s="7">
        <v>2735214.46</v>
      </c>
      <c r="E3090" s="7">
        <v>449.51</v>
      </c>
      <c r="F3090" s="7">
        <v>41833.46</v>
      </c>
      <c r="G3090" s="7">
        <v>80314</v>
      </c>
      <c r="H3090" s="7">
        <f t="shared" si="92"/>
        <v>41820.46</v>
      </c>
      <c r="I3090" s="15"/>
    </row>
    <row r="3091" spans="1:9" s="8" customFormat="1" ht="21" customHeight="1" x14ac:dyDescent="0.6">
      <c r="A3091" s="7">
        <v>24.721337200000001</v>
      </c>
      <c r="B3091" s="7">
        <v>34.742147000000003</v>
      </c>
      <c r="C3091" s="7">
        <v>676211.76</v>
      </c>
      <c r="D3091" s="7">
        <v>2735212.98</v>
      </c>
      <c r="E3091" s="7">
        <v>449.58</v>
      </c>
      <c r="F3091" s="7">
        <v>41835.120000000003</v>
      </c>
      <c r="G3091" s="7">
        <v>80316</v>
      </c>
      <c r="H3091" s="7">
        <f t="shared" si="92"/>
        <v>41822.120000000003</v>
      </c>
      <c r="I3091" s="15"/>
    </row>
    <row r="3092" spans="1:9" s="8" customFormat="1" ht="21" customHeight="1" x14ac:dyDescent="0.6">
      <c r="A3092" s="7">
        <v>24.721328400000001</v>
      </c>
      <c r="B3092" s="7">
        <v>34.742171599999999</v>
      </c>
      <c r="C3092" s="7">
        <v>676214.25</v>
      </c>
      <c r="D3092" s="7">
        <v>2735212.03</v>
      </c>
      <c r="E3092" s="7">
        <v>449.73</v>
      </c>
      <c r="F3092" s="7">
        <v>41836.400000000001</v>
      </c>
      <c r="G3092" s="7">
        <v>80318</v>
      </c>
      <c r="H3092" s="7">
        <f t="shared" si="92"/>
        <v>41823.4</v>
      </c>
      <c r="I3092" s="15"/>
    </row>
    <row r="3093" spans="1:9" s="8" customFormat="1" ht="21" customHeight="1" x14ac:dyDescent="0.6">
      <c r="A3093" s="7">
        <v>24.721315100000002</v>
      </c>
      <c r="B3093" s="7">
        <v>34.742194599999998</v>
      </c>
      <c r="C3093" s="7">
        <v>676216.61</v>
      </c>
      <c r="D3093" s="7">
        <v>2735210.59</v>
      </c>
      <c r="E3093" s="7">
        <v>449.81</v>
      </c>
      <c r="F3093" s="7">
        <v>41836.910000000003</v>
      </c>
      <c r="G3093" s="7">
        <v>80320</v>
      </c>
      <c r="H3093" s="7">
        <f t="shared" si="92"/>
        <v>41823.910000000003</v>
      </c>
      <c r="I3093" s="15"/>
    </row>
    <row r="3094" spans="1:9" s="8" customFormat="1" ht="21" customHeight="1" x14ac:dyDescent="0.6">
      <c r="A3094" s="7">
        <v>24.7213016</v>
      </c>
      <c r="B3094" s="7">
        <v>34.742217799999999</v>
      </c>
      <c r="C3094" s="7">
        <v>676218.97</v>
      </c>
      <c r="D3094" s="7">
        <v>2735209.12</v>
      </c>
      <c r="E3094" s="7">
        <v>449.83</v>
      </c>
      <c r="F3094" s="7">
        <v>41838.26</v>
      </c>
      <c r="G3094" s="7">
        <v>80322</v>
      </c>
      <c r="H3094" s="7">
        <f t="shared" si="92"/>
        <v>41825.26</v>
      </c>
      <c r="I3094" s="15"/>
    </row>
    <row r="3095" spans="1:9" s="8" customFormat="1" ht="21" customHeight="1" x14ac:dyDescent="0.6">
      <c r="A3095" s="7">
        <v>24.721285600000002</v>
      </c>
      <c r="B3095" s="7">
        <v>34.742239900000001</v>
      </c>
      <c r="C3095" s="7">
        <v>676221.22</v>
      </c>
      <c r="D3095" s="7">
        <v>2735207.38</v>
      </c>
      <c r="E3095" s="7">
        <v>449.85</v>
      </c>
      <c r="F3095" s="7">
        <v>41835.449999999997</v>
      </c>
      <c r="G3095" s="7">
        <v>80324</v>
      </c>
      <c r="H3095" s="7">
        <f t="shared" si="92"/>
        <v>41822.449999999997</v>
      </c>
      <c r="I3095" s="15"/>
    </row>
    <row r="3096" spans="1:9" s="8" customFormat="1" ht="21" customHeight="1" x14ac:dyDescent="0.6">
      <c r="A3096" s="7">
        <v>24.721268800000001</v>
      </c>
      <c r="B3096" s="7">
        <v>34.742262699999998</v>
      </c>
      <c r="C3096" s="7">
        <v>676223.56</v>
      </c>
      <c r="D3096" s="7">
        <v>2735205.56</v>
      </c>
      <c r="E3096" s="7">
        <v>449.89</v>
      </c>
      <c r="F3096" s="7">
        <v>41838.57</v>
      </c>
      <c r="G3096" s="7">
        <v>80326</v>
      </c>
      <c r="H3096" s="7">
        <f t="shared" si="92"/>
        <v>41825.57</v>
      </c>
      <c r="I3096" s="15"/>
    </row>
    <row r="3097" spans="1:9" s="8" customFormat="1" ht="21" customHeight="1" x14ac:dyDescent="0.6">
      <c r="A3097" s="7">
        <v>24.721255599999999</v>
      </c>
      <c r="B3097" s="7">
        <v>34.742286300000004</v>
      </c>
      <c r="C3097" s="7">
        <v>676225.96</v>
      </c>
      <c r="D3097" s="7">
        <v>2735204.12</v>
      </c>
      <c r="E3097" s="7">
        <v>450.01</v>
      </c>
      <c r="F3097" s="7">
        <v>41836.74</v>
      </c>
      <c r="G3097" s="7">
        <v>80328</v>
      </c>
      <c r="H3097" s="7">
        <f t="shared" si="92"/>
        <v>41823.74</v>
      </c>
      <c r="I3097" s="15"/>
    </row>
    <row r="3098" spans="1:9" s="8" customFormat="1" ht="21" customHeight="1" x14ac:dyDescent="0.6">
      <c r="A3098" s="7">
        <v>24.721251599999999</v>
      </c>
      <c r="B3098" s="7">
        <v>34.742312499999997</v>
      </c>
      <c r="C3098" s="7">
        <v>676228.62</v>
      </c>
      <c r="D3098" s="7">
        <v>2735203.71</v>
      </c>
      <c r="E3098" s="7">
        <v>450.28</v>
      </c>
      <c r="F3098" s="7">
        <v>41839.599999999999</v>
      </c>
      <c r="G3098" s="7">
        <v>80330</v>
      </c>
      <c r="H3098" s="7">
        <f t="shared" si="92"/>
        <v>41826.6</v>
      </c>
      <c r="I3098" s="15"/>
    </row>
    <row r="3099" spans="1:9" s="8" customFormat="1" ht="21" customHeight="1" x14ac:dyDescent="0.6">
      <c r="A3099" s="7">
        <v>24.721249</v>
      </c>
      <c r="B3099" s="7">
        <v>34.7423401</v>
      </c>
      <c r="C3099" s="7">
        <v>676231.42</v>
      </c>
      <c r="D3099" s="7">
        <v>2735203.46</v>
      </c>
      <c r="E3099" s="7">
        <v>450.41</v>
      </c>
      <c r="F3099" s="7">
        <v>41843.980000000003</v>
      </c>
      <c r="G3099" s="7">
        <v>80332</v>
      </c>
      <c r="H3099" s="7">
        <f t="shared" si="92"/>
        <v>41830.980000000003</v>
      </c>
      <c r="I3099" s="15"/>
    </row>
    <row r="3100" spans="1:9" s="8" customFormat="1" ht="21" customHeight="1" x14ac:dyDescent="0.6">
      <c r="A3100" s="7">
        <v>24.7212429</v>
      </c>
      <c r="B3100" s="7">
        <v>34.742367799999997</v>
      </c>
      <c r="C3100" s="7">
        <v>676234.22</v>
      </c>
      <c r="D3100" s="7">
        <v>2735202.82</v>
      </c>
      <c r="E3100" s="7">
        <v>450.69</v>
      </c>
      <c r="F3100" s="7">
        <v>41844.19</v>
      </c>
      <c r="G3100" s="7">
        <v>80334</v>
      </c>
      <c r="H3100" s="7">
        <f t="shared" si="92"/>
        <v>41831.19</v>
      </c>
      <c r="I3100" s="15"/>
    </row>
    <row r="3101" spans="1:9" s="8" customFormat="1" ht="21" customHeight="1" x14ac:dyDescent="0.6">
      <c r="A3101" s="7">
        <v>24.721233600000001</v>
      </c>
      <c r="B3101" s="7">
        <v>34.742395799999997</v>
      </c>
      <c r="C3101" s="7">
        <v>676237.07</v>
      </c>
      <c r="D3101" s="7">
        <v>2735201.82</v>
      </c>
      <c r="E3101" s="7">
        <v>450.91</v>
      </c>
      <c r="F3101" s="7">
        <v>41845.58</v>
      </c>
      <c r="G3101" s="7">
        <v>80336</v>
      </c>
      <c r="H3101" s="7">
        <f t="shared" si="92"/>
        <v>41832.58</v>
      </c>
      <c r="I3101" s="15"/>
    </row>
    <row r="3102" spans="1:9" s="8" customFormat="1" ht="21" customHeight="1" x14ac:dyDescent="0.6">
      <c r="A3102" s="7">
        <v>24.721229999999998</v>
      </c>
      <c r="B3102" s="7">
        <v>34.742424399999997</v>
      </c>
      <c r="C3102" s="7">
        <v>676239.97</v>
      </c>
      <c r="D3102" s="7">
        <v>2735201.47</v>
      </c>
      <c r="E3102" s="7">
        <v>451.17</v>
      </c>
      <c r="F3102" s="7">
        <v>41846.49</v>
      </c>
      <c r="G3102" s="7">
        <v>80338</v>
      </c>
      <c r="H3102" s="7">
        <f t="shared" si="92"/>
        <v>41833.49</v>
      </c>
      <c r="I3102" s="15"/>
    </row>
    <row r="3103" spans="1:9" s="8" customFormat="1" ht="21" customHeight="1" x14ac:dyDescent="0.6">
      <c r="A3103" s="7">
        <v>24.721230200000001</v>
      </c>
      <c r="B3103" s="7">
        <v>34.742452800000002</v>
      </c>
      <c r="C3103" s="7">
        <v>676242.85</v>
      </c>
      <c r="D3103" s="7">
        <v>2735201.52</v>
      </c>
      <c r="E3103" s="7">
        <v>451.43</v>
      </c>
      <c r="F3103" s="7">
        <v>41850.06</v>
      </c>
      <c r="G3103" s="7">
        <v>80340</v>
      </c>
      <c r="H3103" s="7">
        <f t="shared" si="92"/>
        <v>41837.06</v>
      </c>
      <c r="I3103" s="15"/>
    </row>
    <row r="3104" spans="1:9" s="8" customFormat="1" ht="21" customHeight="1" x14ac:dyDescent="0.6">
      <c r="A3104" s="7">
        <v>24.721230200000001</v>
      </c>
      <c r="B3104" s="7">
        <v>34.742482099999997</v>
      </c>
      <c r="C3104" s="7">
        <v>676245.8</v>
      </c>
      <c r="D3104" s="7">
        <v>2735201.56</v>
      </c>
      <c r="E3104" s="7">
        <v>451.71</v>
      </c>
      <c r="F3104" s="7">
        <v>41851.29</v>
      </c>
      <c r="G3104" s="7">
        <v>80342</v>
      </c>
      <c r="H3104" s="7">
        <f t="shared" si="92"/>
        <v>41838.29</v>
      </c>
      <c r="I3104" s="15"/>
    </row>
    <row r="3105" spans="1:9" s="8" customFormat="1" ht="21" customHeight="1" x14ac:dyDescent="0.6">
      <c r="A3105" s="7">
        <v>24.721234800000001</v>
      </c>
      <c r="B3105" s="7">
        <v>34.742510699999997</v>
      </c>
      <c r="C3105" s="7">
        <v>676248.69</v>
      </c>
      <c r="D3105" s="7">
        <v>2735202.1</v>
      </c>
      <c r="E3105" s="7">
        <v>451.87</v>
      </c>
      <c r="F3105" s="7">
        <v>41852.050000000003</v>
      </c>
      <c r="G3105" s="7">
        <v>80344</v>
      </c>
      <c r="H3105" s="7">
        <f t="shared" ref="H3105:H3168" si="93">SUM(F3105-13)</f>
        <v>41839.050000000003</v>
      </c>
      <c r="I3105" s="15"/>
    </row>
    <row r="3106" spans="1:9" s="8" customFormat="1" ht="21" customHeight="1" x14ac:dyDescent="0.6">
      <c r="A3106" s="7">
        <v>24.721240099999999</v>
      </c>
      <c r="B3106" s="7">
        <v>34.742536800000003</v>
      </c>
      <c r="C3106" s="7">
        <v>676251.32</v>
      </c>
      <c r="D3106" s="7">
        <v>2735202.73</v>
      </c>
      <c r="E3106" s="7">
        <v>452.33</v>
      </c>
      <c r="F3106" s="7">
        <v>41854.769999999997</v>
      </c>
      <c r="G3106" s="7">
        <v>80346</v>
      </c>
      <c r="H3106" s="7">
        <f t="shared" si="93"/>
        <v>41841.769999999997</v>
      </c>
      <c r="I3106" s="15"/>
    </row>
    <row r="3107" spans="1:9" s="8" customFormat="1" ht="21" customHeight="1" x14ac:dyDescent="0.6">
      <c r="A3107" s="7">
        <v>24.7212386</v>
      </c>
      <c r="B3107" s="7">
        <v>34.742564299999998</v>
      </c>
      <c r="C3107" s="7">
        <v>676254.11</v>
      </c>
      <c r="D3107" s="7">
        <v>2735202.59</v>
      </c>
      <c r="E3107" s="7">
        <v>452.65</v>
      </c>
      <c r="F3107" s="7">
        <v>41853.279999999999</v>
      </c>
      <c r="G3107" s="7">
        <v>80348</v>
      </c>
      <c r="H3107" s="7">
        <f t="shared" si="93"/>
        <v>41840.28</v>
      </c>
      <c r="I3107" s="15"/>
    </row>
    <row r="3108" spans="1:9" s="8" customFormat="1" ht="21" customHeight="1" x14ac:dyDescent="0.6">
      <c r="A3108" s="7">
        <v>24.721237500000001</v>
      </c>
      <c r="B3108" s="7">
        <v>34.742587299999997</v>
      </c>
      <c r="C3108" s="7">
        <v>676256.44</v>
      </c>
      <c r="D3108" s="7">
        <v>2735202.5</v>
      </c>
      <c r="E3108" s="7">
        <v>452.78</v>
      </c>
      <c r="F3108" s="7">
        <v>41857.1</v>
      </c>
      <c r="G3108" s="7">
        <v>80350</v>
      </c>
      <c r="H3108" s="7">
        <f t="shared" si="93"/>
        <v>41844.1</v>
      </c>
      <c r="I3108" s="15"/>
    </row>
    <row r="3109" spans="1:9" s="8" customFormat="1" ht="21" customHeight="1" x14ac:dyDescent="0.6">
      <c r="A3109" s="7">
        <v>24.721239300000001</v>
      </c>
      <c r="B3109" s="7">
        <v>34.742611500000002</v>
      </c>
      <c r="C3109" s="7">
        <v>676258.89</v>
      </c>
      <c r="D3109" s="7">
        <v>2735202.73</v>
      </c>
      <c r="E3109" s="7">
        <v>452.96</v>
      </c>
      <c r="F3109" s="7">
        <v>41859.449999999997</v>
      </c>
      <c r="G3109" s="7">
        <v>80352</v>
      </c>
      <c r="H3109" s="7">
        <f t="shared" si="93"/>
        <v>41846.449999999997</v>
      </c>
      <c r="I3109" s="15"/>
    </row>
    <row r="3110" spans="1:9" s="8" customFormat="1" ht="21" customHeight="1" x14ac:dyDescent="0.6">
      <c r="A3110" s="7">
        <v>24.721238700000001</v>
      </c>
      <c r="B3110" s="7">
        <v>34.742638200000002</v>
      </c>
      <c r="C3110" s="7">
        <v>676261.59</v>
      </c>
      <c r="D3110" s="7">
        <v>2735202.7</v>
      </c>
      <c r="E3110" s="7">
        <v>453.1</v>
      </c>
      <c r="F3110" s="7">
        <v>41856.49</v>
      </c>
      <c r="G3110" s="7">
        <v>80354</v>
      </c>
      <c r="H3110" s="7">
        <f t="shared" si="93"/>
        <v>41843.49</v>
      </c>
      <c r="I3110" s="15"/>
    </row>
    <row r="3111" spans="1:9" s="8" customFormat="1" ht="21" customHeight="1" x14ac:dyDescent="0.6">
      <c r="A3111" s="7">
        <v>24.721233300000002</v>
      </c>
      <c r="B3111" s="7">
        <v>34.742663</v>
      </c>
      <c r="C3111" s="7">
        <v>676264.1</v>
      </c>
      <c r="D3111" s="7">
        <v>2735202.14</v>
      </c>
      <c r="E3111" s="7">
        <v>453.4</v>
      </c>
      <c r="F3111" s="7">
        <v>41859.64</v>
      </c>
      <c r="G3111" s="7">
        <v>80356</v>
      </c>
      <c r="H3111" s="7">
        <f t="shared" si="93"/>
        <v>41846.639999999999</v>
      </c>
      <c r="I3111" s="15"/>
    </row>
    <row r="3112" spans="1:9" s="8" customFormat="1" ht="21" customHeight="1" x14ac:dyDescent="0.6">
      <c r="A3112" s="7">
        <v>24.721230200000001</v>
      </c>
      <c r="B3112" s="7">
        <v>34.742686900000002</v>
      </c>
      <c r="C3112" s="7">
        <v>676266.52</v>
      </c>
      <c r="D3112" s="7">
        <v>2735201.82</v>
      </c>
      <c r="E3112" s="7">
        <v>453.72</v>
      </c>
      <c r="F3112" s="7">
        <v>41863.35</v>
      </c>
      <c r="G3112" s="7">
        <v>80358</v>
      </c>
      <c r="H3112" s="7">
        <f t="shared" si="93"/>
        <v>41850.35</v>
      </c>
      <c r="I3112" s="15"/>
    </row>
    <row r="3113" spans="1:9" s="8" customFormat="1" ht="21" customHeight="1" x14ac:dyDescent="0.6">
      <c r="A3113" s="7">
        <v>24.721225799999999</v>
      </c>
      <c r="B3113" s="7">
        <v>34.742705200000003</v>
      </c>
      <c r="C3113" s="7">
        <v>676268.38</v>
      </c>
      <c r="D3113" s="7">
        <v>2735201.36</v>
      </c>
      <c r="E3113" s="7">
        <v>454.15</v>
      </c>
      <c r="F3113" s="7">
        <v>41864.129999999997</v>
      </c>
      <c r="G3113" s="7">
        <v>80400</v>
      </c>
      <c r="H3113" s="7">
        <f t="shared" si="93"/>
        <v>41851.129999999997</v>
      </c>
      <c r="I3113" s="15"/>
    </row>
    <row r="3114" spans="1:9" s="8" customFormat="1" ht="21" customHeight="1" x14ac:dyDescent="0.6">
      <c r="A3114" s="7">
        <v>24.721218</v>
      </c>
      <c r="B3114" s="7">
        <v>34.742722100000002</v>
      </c>
      <c r="C3114" s="7">
        <v>676270.11</v>
      </c>
      <c r="D3114" s="7">
        <v>2735200.51</v>
      </c>
      <c r="E3114" s="7">
        <v>454.71</v>
      </c>
      <c r="F3114" s="7">
        <v>41863.83</v>
      </c>
      <c r="G3114" s="7">
        <v>80402</v>
      </c>
      <c r="H3114" s="7">
        <f t="shared" si="93"/>
        <v>41850.83</v>
      </c>
      <c r="I3114" s="15"/>
    </row>
    <row r="3115" spans="1:9" s="8" customFormat="1" ht="21" customHeight="1" x14ac:dyDescent="0.6">
      <c r="A3115" s="7">
        <v>24.721214100000001</v>
      </c>
      <c r="B3115" s="7">
        <v>34.742739100000001</v>
      </c>
      <c r="C3115" s="7">
        <v>676271.83</v>
      </c>
      <c r="D3115" s="7">
        <v>2735200.11</v>
      </c>
      <c r="E3115" s="7">
        <v>455.5</v>
      </c>
      <c r="F3115" s="7">
        <v>41866.730000000003</v>
      </c>
      <c r="G3115" s="7">
        <v>80404</v>
      </c>
      <c r="H3115" s="7">
        <f t="shared" si="93"/>
        <v>41853.730000000003</v>
      </c>
      <c r="I3115" s="15"/>
    </row>
    <row r="3116" spans="1:9" s="8" customFormat="1" ht="21" customHeight="1" x14ac:dyDescent="0.6">
      <c r="A3116" s="7">
        <v>24.721219300000001</v>
      </c>
      <c r="B3116" s="7">
        <v>34.742759999999997</v>
      </c>
      <c r="C3116" s="7">
        <v>676273.93</v>
      </c>
      <c r="D3116" s="7">
        <v>2735200.71</v>
      </c>
      <c r="E3116" s="7">
        <v>455.85</v>
      </c>
      <c r="F3116" s="7">
        <v>41865.839999999997</v>
      </c>
      <c r="G3116" s="7">
        <v>80406</v>
      </c>
      <c r="H3116" s="7">
        <f t="shared" si="93"/>
        <v>41852.839999999997</v>
      </c>
      <c r="I3116" s="15"/>
    </row>
    <row r="3117" spans="1:9" s="8" customFormat="1" ht="21" customHeight="1" x14ac:dyDescent="0.6">
      <c r="A3117" s="7">
        <v>24.7212341</v>
      </c>
      <c r="B3117" s="7">
        <v>34.742778199999997</v>
      </c>
      <c r="C3117" s="7">
        <v>676275.76</v>
      </c>
      <c r="D3117" s="7">
        <v>2735202.37</v>
      </c>
      <c r="E3117" s="7">
        <v>456.36</v>
      </c>
      <c r="F3117" s="7">
        <v>41868.660000000003</v>
      </c>
      <c r="G3117" s="7">
        <v>80408</v>
      </c>
      <c r="H3117" s="7">
        <f t="shared" si="93"/>
        <v>41855.660000000003</v>
      </c>
      <c r="I3117" s="15"/>
    </row>
    <row r="3118" spans="1:9" s="8" customFormat="1" ht="21" customHeight="1" x14ac:dyDescent="0.6">
      <c r="A3118" s="7">
        <v>24.721241800000001</v>
      </c>
      <c r="B3118" s="7">
        <v>34.742800099999997</v>
      </c>
      <c r="C3118" s="7">
        <v>676277.97</v>
      </c>
      <c r="D3118" s="7">
        <v>2735203.26</v>
      </c>
      <c r="E3118" s="7">
        <v>456.88</v>
      </c>
      <c r="F3118" s="7">
        <v>41869.15</v>
      </c>
      <c r="G3118" s="7">
        <v>80410</v>
      </c>
      <c r="H3118" s="7">
        <f t="shared" si="93"/>
        <v>41856.15</v>
      </c>
      <c r="I3118" s="15"/>
    </row>
    <row r="3119" spans="1:9" s="8" customFormat="1" ht="21" customHeight="1" x14ac:dyDescent="0.6">
      <c r="A3119" s="7">
        <v>24.7212426</v>
      </c>
      <c r="B3119" s="7">
        <v>34.742824900000002</v>
      </c>
      <c r="C3119" s="7">
        <v>676280.47</v>
      </c>
      <c r="D3119" s="7">
        <v>2735203.37</v>
      </c>
      <c r="E3119" s="7">
        <v>457.11</v>
      </c>
      <c r="F3119" s="7">
        <v>41870.519999999997</v>
      </c>
      <c r="G3119" s="7">
        <v>80412</v>
      </c>
      <c r="H3119" s="7">
        <f t="shared" si="93"/>
        <v>41857.519999999997</v>
      </c>
      <c r="I3119" s="15"/>
    </row>
    <row r="3120" spans="1:9" s="8" customFormat="1" ht="21" customHeight="1" x14ac:dyDescent="0.6">
      <c r="A3120" s="7">
        <v>24.721238499999998</v>
      </c>
      <c r="B3120" s="7">
        <v>34.7428484</v>
      </c>
      <c r="C3120" s="7">
        <v>676282.85</v>
      </c>
      <c r="D3120" s="7">
        <v>2735202.95</v>
      </c>
      <c r="E3120" s="7">
        <v>457.28</v>
      </c>
      <c r="F3120" s="7">
        <v>41870.480000000003</v>
      </c>
      <c r="G3120" s="7">
        <v>80414</v>
      </c>
      <c r="H3120" s="7">
        <f t="shared" si="93"/>
        <v>41857.480000000003</v>
      </c>
      <c r="I3120" s="15"/>
    </row>
    <row r="3121" spans="1:9" s="8" customFormat="1" ht="21" customHeight="1" x14ac:dyDescent="0.6">
      <c r="A3121" s="7">
        <v>24.7212402</v>
      </c>
      <c r="B3121" s="7">
        <v>34.7428697</v>
      </c>
      <c r="C3121" s="7">
        <v>676285</v>
      </c>
      <c r="D3121" s="7">
        <v>2735203.17</v>
      </c>
      <c r="E3121" s="7">
        <v>457.59</v>
      </c>
      <c r="F3121" s="7">
        <v>41873.64</v>
      </c>
      <c r="G3121" s="7">
        <v>80416</v>
      </c>
      <c r="H3121" s="7">
        <f t="shared" si="93"/>
        <v>41860.639999999999</v>
      </c>
      <c r="I3121" s="15"/>
    </row>
    <row r="3122" spans="1:9" s="8" customFormat="1" ht="21" customHeight="1" x14ac:dyDescent="0.6">
      <c r="A3122" s="7">
        <v>24.721252799999998</v>
      </c>
      <c r="B3122" s="7">
        <v>34.742889499999997</v>
      </c>
      <c r="C3122" s="7">
        <v>676286.99</v>
      </c>
      <c r="D3122" s="7">
        <v>2735204.58</v>
      </c>
      <c r="E3122" s="7">
        <v>457.94</v>
      </c>
      <c r="F3122" s="7">
        <v>41874.18</v>
      </c>
      <c r="G3122" s="7">
        <v>80418</v>
      </c>
      <c r="H3122" s="7">
        <f t="shared" si="93"/>
        <v>41861.18</v>
      </c>
      <c r="I3122" s="15"/>
    </row>
    <row r="3123" spans="1:9" s="8" customFormat="1" ht="21" customHeight="1" x14ac:dyDescent="0.6">
      <c r="A3123" s="7">
        <v>24.721261299999998</v>
      </c>
      <c r="B3123" s="7">
        <v>34.742910299999998</v>
      </c>
      <c r="C3123" s="7">
        <v>676289.09</v>
      </c>
      <c r="D3123" s="7">
        <v>2735205.55</v>
      </c>
      <c r="E3123" s="7">
        <v>458.51</v>
      </c>
      <c r="F3123" s="7">
        <v>41876.22</v>
      </c>
      <c r="G3123" s="7">
        <v>80420</v>
      </c>
      <c r="H3123" s="7">
        <f t="shared" si="93"/>
        <v>41863.22</v>
      </c>
      <c r="I3123" s="15"/>
    </row>
    <row r="3124" spans="1:9" s="8" customFormat="1" ht="21" customHeight="1" x14ac:dyDescent="0.6">
      <c r="A3124" s="7">
        <v>24.721276199999998</v>
      </c>
      <c r="B3124" s="7">
        <v>34.742919200000003</v>
      </c>
      <c r="C3124" s="7">
        <v>676289.96</v>
      </c>
      <c r="D3124" s="7">
        <v>2735207.21</v>
      </c>
      <c r="E3124" s="7">
        <v>459.01</v>
      </c>
      <c r="F3124" s="7">
        <v>41876.550000000003</v>
      </c>
      <c r="G3124" s="7">
        <v>80422</v>
      </c>
      <c r="H3124" s="7">
        <f t="shared" si="93"/>
        <v>41863.550000000003</v>
      </c>
      <c r="I3124" s="15"/>
    </row>
    <row r="3125" spans="1:9" s="8" customFormat="1" ht="21" customHeight="1" x14ac:dyDescent="0.6">
      <c r="A3125" s="7">
        <v>24.721297</v>
      </c>
      <c r="B3125" s="7">
        <v>34.742925300000003</v>
      </c>
      <c r="C3125" s="7">
        <v>676290.55</v>
      </c>
      <c r="D3125" s="7">
        <v>2735209.53</v>
      </c>
      <c r="E3125" s="7">
        <v>459.59</v>
      </c>
      <c r="F3125" s="7">
        <v>41877.379999999997</v>
      </c>
      <c r="G3125" s="7">
        <v>80424</v>
      </c>
      <c r="H3125" s="7">
        <f t="shared" si="93"/>
        <v>41864.379999999997</v>
      </c>
      <c r="I3125" s="15"/>
    </row>
    <row r="3126" spans="1:9" s="8" customFormat="1" ht="21" customHeight="1" x14ac:dyDescent="0.6">
      <c r="A3126" s="7">
        <v>24.721313500000001</v>
      </c>
      <c r="B3126" s="7">
        <v>34.742931200000001</v>
      </c>
      <c r="C3126" s="7">
        <v>676291.13</v>
      </c>
      <c r="D3126" s="7">
        <v>2735211.37</v>
      </c>
      <c r="E3126" s="7">
        <v>460.34</v>
      </c>
      <c r="F3126" s="7">
        <v>41877.339999999997</v>
      </c>
      <c r="G3126" s="7">
        <v>80426</v>
      </c>
      <c r="H3126" s="7">
        <f t="shared" si="93"/>
        <v>41864.339999999997</v>
      </c>
      <c r="I3126" s="15"/>
    </row>
    <row r="3127" spans="1:9" s="8" customFormat="1" ht="21" customHeight="1" x14ac:dyDescent="0.6">
      <c r="A3127" s="7">
        <v>24.7213341</v>
      </c>
      <c r="B3127" s="7">
        <v>34.742937400000002</v>
      </c>
      <c r="C3127" s="7">
        <v>676291.72</v>
      </c>
      <c r="D3127" s="7">
        <v>2735213.66</v>
      </c>
      <c r="E3127" s="7">
        <v>461.07</v>
      </c>
      <c r="F3127" s="7">
        <v>41876.82</v>
      </c>
      <c r="G3127" s="7">
        <v>80428</v>
      </c>
      <c r="H3127" s="7">
        <f t="shared" si="93"/>
        <v>41863.82</v>
      </c>
      <c r="I3127" s="15"/>
    </row>
    <row r="3128" spans="1:9" s="8" customFormat="1" ht="21" customHeight="1" x14ac:dyDescent="0.6">
      <c r="A3128" s="7">
        <v>24.7213508</v>
      </c>
      <c r="B3128" s="7">
        <v>34.742944299999998</v>
      </c>
      <c r="C3128" s="7">
        <v>676292.4</v>
      </c>
      <c r="D3128" s="7">
        <v>2735215.51</v>
      </c>
      <c r="E3128" s="7">
        <v>461.84</v>
      </c>
      <c r="F3128" s="7">
        <v>41878.089999999997</v>
      </c>
      <c r="G3128" s="7">
        <v>80430</v>
      </c>
      <c r="H3128" s="7">
        <f t="shared" si="93"/>
        <v>41865.089999999997</v>
      </c>
      <c r="I3128" s="15"/>
    </row>
    <row r="3129" spans="1:9" s="8" customFormat="1" ht="21" customHeight="1" x14ac:dyDescent="0.6">
      <c r="A3129" s="7">
        <v>24.7213657</v>
      </c>
      <c r="B3129" s="7">
        <v>34.7429597</v>
      </c>
      <c r="C3129" s="7">
        <v>676293.93</v>
      </c>
      <c r="D3129" s="7">
        <v>2735217.18</v>
      </c>
      <c r="E3129" s="7">
        <v>462.45</v>
      </c>
      <c r="F3129" s="7">
        <v>41875.879999999997</v>
      </c>
      <c r="G3129" s="7">
        <v>80432</v>
      </c>
      <c r="H3129" s="7">
        <f t="shared" si="93"/>
        <v>41862.879999999997</v>
      </c>
      <c r="I3129" s="15"/>
    </row>
    <row r="3130" spans="1:9" s="8" customFormat="1" ht="21" customHeight="1" x14ac:dyDescent="0.6">
      <c r="A3130" s="7">
        <v>24.721377</v>
      </c>
      <c r="B3130" s="7">
        <v>34.7429755</v>
      </c>
      <c r="C3130" s="7">
        <v>676295.52</v>
      </c>
      <c r="D3130" s="7">
        <v>2735218.46</v>
      </c>
      <c r="E3130" s="7">
        <v>462.82</v>
      </c>
      <c r="F3130" s="7">
        <v>41876.959999999999</v>
      </c>
      <c r="G3130" s="7">
        <v>80434</v>
      </c>
      <c r="H3130" s="7">
        <f t="shared" si="93"/>
        <v>41863.96</v>
      </c>
      <c r="I3130" s="15"/>
    </row>
    <row r="3131" spans="1:9" s="8" customFormat="1" ht="21" customHeight="1" x14ac:dyDescent="0.6">
      <c r="A3131" s="7">
        <v>24.721390899999999</v>
      </c>
      <c r="B3131" s="7">
        <v>34.742989399999999</v>
      </c>
      <c r="C3131" s="7">
        <v>676296.9</v>
      </c>
      <c r="D3131" s="7">
        <v>2735220.02</v>
      </c>
      <c r="E3131" s="7">
        <v>463.34</v>
      </c>
      <c r="F3131" s="7">
        <v>41879.78</v>
      </c>
      <c r="G3131" s="7">
        <v>80436</v>
      </c>
      <c r="H3131" s="7">
        <f t="shared" si="93"/>
        <v>41866.78</v>
      </c>
      <c r="I3131" s="15"/>
    </row>
    <row r="3132" spans="1:9" s="8" customFormat="1" ht="21" customHeight="1" x14ac:dyDescent="0.6">
      <c r="A3132" s="7">
        <v>24.7214028</v>
      </c>
      <c r="B3132" s="7">
        <v>34.743000899999998</v>
      </c>
      <c r="C3132" s="7">
        <v>676298.05</v>
      </c>
      <c r="D3132" s="7">
        <v>2735221.35</v>
      </c>
      <c r="E3132" s="7">
        <v>463.63</v>
      </c>
      <c r="F3132" s="7">
        <v>41879.75</v>
      </c>
      <c r="G3132" s="7">
        <v>80438</v>
      </c>
      <c r="H3132" s="7">
        <f t="shared" si="93"/>
        <v>41866.75</v>
      </c>
      <c r="I3132" s="15"/>
    </row>
    <row r="3133" spans="1:9" s="8" customFormat="1" ht="21" customHeight="1" x14ac:dyDescent="0.6">
      <c r="A3133" s="7">
        <v>24.721415400000001</v>
      </c>
      <c r="B3133" s="7">
        <v>34.743017700000003</v>
      </c>
      <c r="C3133" s="7">
        <v>676299.73</v>
      </c>
      <c r="D3133" s="7">
        <v>2735222.76</v>
      </c>
      <c r="E3133" s="7">
        <v>463.61</v>
      </c>
      <c r="F3133" s="7">
        <v>41881</v>
      </c>
      <c r="G3133" s="7">
        <v>80440</v>
      </c>
      <c r="H3133" s="7">
        <f t="shared" si="93"/>
        <v>41868</v>
      </c>
      <c r="I3133" s="15"/>
    </row>
    <row r="3134" spans="1:9" s="8" customFormat="1" ht="21" customHeight="1" x14ac:dyDescent="0.6">
      <c r="A3134" s="7">
        <v>24.7214253</v>
      </c>
      <c r="B3134" s="7">
        <v>34.743040000000001</v>
      </c>
      <c r="C3134" s="7">
        <v>676301.98</v>
      </c>
      <c r="D3134" s="7">
        <v>2735223.88</v>
      </c>
      <c r="E3134" s="7">
        <v>463.64</v>
      </c>
      <c r="F3134" s="7">
        <v>41881.64</v>
      </c>
      <c r="G3134" s="7">
        <v>80442</v>
      </c>
      <c r="H3134" s="7">
        <f t="shared" si="93"/>
        <v>41868.639999999999</v>
      </c>
      <c r="I3134" s="15"/>
    </row>
    <row r="3135" spans="1:9" s="8" customFormat="1" ht="21" customHeight="1" x14ac:dyDescent="0.6">
      <c r="A3135" s="7">
        <v>24.7214356</v>
      </c>
      <c r="B3135" s="7">
        <v>34.7430612</v>
      </c>
      <c r="C3135" s="7">
        <v>676304.1</v>
      </c>
      <c r="D3135" s="7">
        <v>2735225.05</v>
      </c>
      <c r="E3135" s="7">
        <v>463.53</v>
      </c>
      <c r="F3135" s="7">
        <v>41882.57</v>
      </c>
      <c r="G3135" s="7">
        <v>80444</v>
      </c>
      <c r="H3135" s="7">
        <f t="shared" si="93"/>
        <v>41869.57</v>
      </c>
      <c r="I3135" s="15"/>
    </row>
    <row r="3136" spans="1:9" s="8" customFormat="1" ht="21" customHeight="1" x14ac:dyDescent="0.6">
      <c r="A3136" s="7">
        <v>24.721451299999998</v>
      </c>
      <c r="B3136" s="7">
        <v>34.743082200000003</v>
      </c>
      <c r="C3136" s="7">
        <v>676306.21</v>
      </c>
      <c r="D3136" s="7">
        <v>2735226.82</v>
      </c>
      <c r="E3136" s="7">
        <v>463.55</v>
      </c>
      <c r="F3136" s="7">
        <v>41882.959999999999</v>
      </c>
      <c r="G3136" s="7">
        <v>80446</v>
      </c>
      <c r="H3136" s="7">
        <f t="shared" si="93"/>
        <v>41869.96</v>
      </c>
      <c r="I3136" s="15"/>
    </row>
    <row r="3137" spans="1:9" s="8" customFormat="1" ht="21" customHeight="1" x14ac:dyDescent="0.6">
      <c r="A3137" s="7">
        <v>24.721463</v>
      </c>
      <c r="B3137" s="7">
        <v>34.7431032</v>
      </c>
      <c r="C3137" s="7">
        <v>676308.32</v>
      </c>
      <c r="D3137" s="7">
        <v>2735228.14</v>
      </c>
      <c r="E3137" s="7">
        <v>463.34</v>
      </c>
      <c r="F3137" s="7">
        <v>41882.53</v>
      </c>
      <c r="G3137" s="7">
        <v>80448</v>
      </c>
      <c r="H3137" s="7">
        <f t="shared" si="93"/>
        <v>41869.53</v>
      </c>
      <c r="I3137" s="15"/>
    </row>
    <row r="3138" spans="1:9" s="8" customFormat="1" ht="21" customHeight="1" x14ac:dyDescent="0.6">
      <c r="A3138" s="7">
        <v>24.721475099999999</v>
      </c>
      <c r="B3138" s="7">
        <v>34.743128300000002</v>
      </c>
      <c r="C3138" s="7">
        <v>676310.84</v>
      </c>
      <c r="D3138" s="7">
        <v>2735229.51</v>
      </c>
      <c r="E3138" s="7">
        <v>463.26</v>
      </c>
      <c r="F3138" s="7">
        <v>41885.360000000001</v>
      </c>
      <c r="G3138" s="7">
        <v>80450</v>
      </c>
      <c r="H3138" s="7">
        <f t="shared" si="93"/>
        <v>41872.36</v>
      </c>
      <c r="I3138" s="15"/>
    </row>
    <row r="3139" spans="1:9" s="8" customFormat="1" ht="21" customHeight="1" x14ac:dyDescent="0.6">
      <c r="A3139" s="7">
        <v>24.721489399999999</v>
      </c>
      <c r="B3139" s="7">
        <v>34.74315</v>
      </c>
      <c r="C3139" s="7">
        <v>676313.01</v>
      </c>
      <c r="D3139" s="7">
        <v>2735231.13</v>
      </c>
      <c r="E3139" s="7">
        <v>463.31</v>
      </c>
      <c r="F3139" s="7">
        <v>41884.53</v>
      </c>
      <c r="G3139" s="7">
        <v>80452</v>
      </c>
      <c r="H3139" s="7">
        <f t="shared" si="93"/>
        <v>41871.53</v>
      </c>
      <c r="I3139" s="15"/>
    </row>
    <row r="3140" spans="1:9" s="8" customFormat="1" ht="21" customHeight="1" x14ac:dyDescent="0.6">
      <c r="A3140" s="7">
        <v>24.721499399999999</v>
      </c>
      <c r="B3140" s="7">
        <v>34.743172199999997</v>
      </c>
      <c r="C3140" s="7">
        <v>676315.24</v>
      </c>
      <c r="D3140" s="7">
        <v>2735232.26</v>
      </c>
      <c r="E3140" s="7">
        <v>463.3</v>
      </c>
      <c r="F3140" s="7">
        <v>41884.879999999997</v>
      </c>
      <c r="G3140" s="7">
        <v>80454</v>
      </c>
      <c r="H3140" s="7">
        <f t="shared" si="93"/>
        <v>41871.879999999997</v>
      </c>
      <c r="I3140" s="15"/>
    </row>
    <row r="3141" spans="1:9" s="8" customFormat="1" ht="21" customHeight="1" x14ac:dyDescent="0.6">
      <c r="A3141" s="7">
        <v>24.721504400000001</v>
      </c>
      <c r="B3141" s="7">
        <v>34.743186799999997</v>
      </c>
      <c r="C3141" s="7">
        <v>676316.71</v>
      </c>
      <c r="D3141" s="7">
        <v>2735232.83</v>
      </c>
      <c r="E3141" s="7">
        <v>463.25</v>
      </c>
      <c r="F3141" s="7">
        <v>41894.15</v>
      </c>
      <c r="G3141" s="7">
        <v>80456</v>
      </c>
      <c r="H3141" s="7">
        <f t="shared" si="93"/>
        <v>41881.15</v>
      </c>
      <c r="I3141" s="15"/>
    </row>
    <row r="3142" spans="1:9" s="8" customFormat="1" ht="21" customHeight="1" x14ac:dyDescent="0.6">
      <c r="A3142" s="7">
        <v>24.721510599999998</v>
      </c>
      <c r="B3142" s="7">
        <v>34.743200799999997</v>
      </c>
      <c r="C3142" s="7">
        <v>676318.12</v>
      </c>
      <c r="D3142" s="7">
        <v>2735233.54</v>
      </c>
      <c r="E3142" s="7">
        <v>463.19</v>
      </c>
      <c r="F3142" s="7">
        <v>41885.06</v>
      </c>
      <c r="G3142" s="7">
        <v>80458</v>
      </c>
      <c r="H3142" s="7">
        <f t="shared" si="93"/>
        <v>41872.06</v>
      </c>
      <c r="I3142" s="15"/>
    </row>
    <row r="3143" spans="1:9" s="8" customFormat="1" ht="21" customHeight="1" x14ac:dyDescent="0.6">
      <c r="A3143" s="7">
        <v>24.721525199999999</v>
      </c>
      <c r="B3143" s="7">
        <v>34.743224599999998</v>
      </c>
      <c r="C3143" s="7">
        <v>676320.51</v>
      </c>
      <c r="D3143" s="7">
        <v>2735235.19</v>
      </c>
      <c r="E3143" s="7">
        <v>463.04</v>
      </c>
      <c r="F3143" s="7">
        <v>41884.050000000003</v>
      </c>
      <c r="G3143" s="7">
        <v>80500</v>
      </c>
      <c r="H3143" s="7">
        <f t="shared" si="93"/>
        <v>41871.050000000003</v>
      </c>
      <c r="I3143" s="15"/>
    </row>
    <row r="3144" spans="1:9" s="8" customFormat="1" ht="21" customHeight="1" x14ac:dyDescent="0.6">
      <c r="A3144" s="7">
        <v>24.721548500000001</v>
      </c>
      <c r="B3144" s="7">
        <v>34.743241300000001</v>
      </c>
      <c r="C3144" s="7">
        <v>676322.16</v>
      </c>
      <c r="D3144" s="7">
        <v>2735237.79</v>
      </c>
      <c r="E3144" s="7">
        <v>463.34</v>
      </c>
      <c r="F3144" s="7">
        <v>41885.56</v>
      </c>
      <c r="G3144" s="7">
        <v>80502</v>
      </c>
      <c r="H3144" s="7">
        <f t="shared" si="93"/>
        <v>41872.559999999998</v>
      </c>
      <c r="I3144" s="15"/>
    </row>
    <row r="3145" spans="1:9" s="8" customFormat="1" ht="21" customHeight="1" x14ac:dyDescent="0.6">
      <c r="A3145" s="7">
        <v>24.721570100000001</v>
      </c>
      <c r="B3145" s="7">
        <v>34.743251700000002</v>
      </c>
      <c r="C3145" s="7">
        <v>676323.19</v>
      </c>
      <c r="D3145" s="7">
        <v>2735240.19</v>
      </c>
      <c r="E3145" s="7">
        <v>463.65</v>
      </c>
      <c r="F3145" s="7">
        <v>41885.449999999997</v>
      </c>
      <c r="G3145" s="7">
        <v>80504</v>
      </c>
      <c r="H3145" s="7">
        <f t="shared" si="93"/>
        <v>41872.449999999997</v>
      </c>
      <c r="I3145" s="15"/>
    </row>
    <row r="3146" spans="1:9" s="8" customFormat="1" ht="21" customHeight="1" x14ac:dyDescent="0.6">
      <c r="A3146" s="7">
        <v>24.721589099999999</v>
      </c>
      <c r="B3146" s="7">
        <v>34.743263200000001</v>
      </c>
      <c r="C3146" s="7">
        <v>676324.33</v>
      </c>
      <c r="D3146" s="7">
        <v>2735242.32</v>
      </c>
      <c r="E3146" s="7">
        <v>463.95</v>
      </c>
      <c r="F3146" s="7">
        <v>41885.93</v>
      </c>
      <c r="G3146" s="7">
        <v>80506</v>
      </c>
      <c r="H3146" s="7">
        <f t="shared" si="93"/>
        <v>41872.93</v>
      </c>
      <c r="I3146" s="15"/>
    </row>
    <row r="3147" spans="1:9" s="8" customFormat="1" ht="21" customHeight="1" x14ac:dyDescent="0.6">
      <c r="A3147" s="7">
        <v>24.721600299999999</v>
      </c>
      <c r="B3147" s="7">
        <v>34.743277200000001</v>
      </c>
      <c r="C3147" s="7">
        <v>676325.73</v>
      </c>
      <c r="D3147" s="7">
        <v>2735243.57</v>
      </c>
      <c r="E3147" s="7">
        <v>464.2</v>
      </c>
      <c r="F3147" s="7">
        <v>41884.78</v>
      </c>
      <c r="G3147" s="7">
        <v>80508</v>
      </c>
      <c r="H3147" s="7">
        <f t="shared" si="93"/>
        <v>41871.78</v>
      </c>
      <c r="I3147" s="15"/>
    </row>
    <row r="3148" spans="1:9" s="8" customFormat="1" ht="21" customHeight="1" x14ac:dyDescent="0.6">
      <c r="A3148" s="7">
        <v>24.721615199999999</v>
      </c>
      <c r="B3148" s="7">
        <v>34.743291599999999</v>
      </c>
      <c r="C3148" s="7">
        <v>676327.16</v>
      </c>
      <c r="D3148" s="7">
        <v>2735245.24</v>
      </c>
      <c r="E3148" s="7">
        <v>464.34</v>
      </c>
      <c r="F3148" s="7">
        <v>41885.519999999997</v>
      </c>
      <c r="G3148" s="7">
        <v>80510</v>
      </c>
      <c r="H3148" s="7">
        <f t="shared" si="93"/>
        <v>41872.519999999997</v>
      </c>
      <c r="I3148" s="15"/>
    </row>
    <row r="3149" spans="1:9" s="8" customFormat="1" ht="21" customHeight="1" x14ac:dyDescent="0.6">
      <c r="A3149" s="7">
        <v>24.721629100000001</v>
      </c>
      <c r="B3149" s="7">
        <v>34.743306599999997</v>
      </c>
      <c r="C3149" s="7">
        <v>676328.66</v>
      </c>
      <c r="D3149" s="7">
        <v>2735246.81</v>
      </c>
      <c r="E3149" s="7">
        <v>464.55</v>
      </c>
      <c r="F3149" s="7">
        <v>41884.93</v>
      </c>
      <c r="G3149" s="7">
        <v>80512</v>
      </c>
      <c r="H3149" s="7">
        <f t="shared" si="93"/>
        <v>41871.93</v>
      </c>
      <c r="I3149" s="15"/>
    </row>
    <row r="3150" spans="1:9" s="8" customFormat="1" ht="21" customHeight="1" x14ac:dyDescent="0.6">
      <c r="A3150" s="7">
        <v>24.7216396</v>
      </c>
      <c r="B3150" s="7">
        <v>34.743325499999997</v>
      </c>
      <c r="C3150" s="7">
        <v>676330.56</v>
      </c>
      <c r="D3150" s="7">
        <v>2735247.98</v>
      </c>
      <c r="E3150" s="7">
        <v>464.8</v>
      </c>
      <c r="F3150" s="7">
        <v>41885.26</v>
      </c>
      <c r="G3150" s="7">
        <v>80514</v>
      </c>
      <c r="H3150" s="7">
        <f t="shared" si="93"/>
        <v>41872.26</v>
      </c>
      <c r="I3150" s="15"/>
    </row>
    <row r="3151" spans="1:9" s="8" customFormat="1" ht="21" customHeight="1" x14ac:dyDescent="0.6">
      <c r="A3151" s="7">
        <v>24.721650700000001</v>
      </c>
      <c r="B3151" s="7">
        <v>34.743341200000003</v>
      </c>
      <c r="C3151" s="7">
        <v>676332.12</v>
      </c>
      <c r="D3151" s="7">
        <v>2735249.24</v>
      </c>
      <c r="E3151" s="7">
        <v>464.92</v>
      </c>
      <c r="F3151" s="7">
        <v>41885.51</v>
      </c>
      <c r="G3151" s="7">
        <v>80516</v>
      </c>
      <c r="H3151" s="7">
        <f t="shared" si="93"/>
        <v>41872.51</v>
      </c>
      <c r="I3151" s="15"/>
    </row>
    <row r="3152" spans="1:9" s="8" customFormat="1" ht="21" customHeight="1" x14ac:dyDescent="0.6">
      <c r="A3152" s="7">
        <v>24.721667499999999</v>
      </c>
      <c r="B3152" s="7">
        <v>34.743349600000002</v>
      </c>
      <c r="C3152" s="7">
        <v>676332.96</v>
      </c>
      <c r="D3152" s="7">
        <v>2735251.11</v>
      </c>
      <c r="E3152" s="7">
        <v>464.75</v>
      </c>
      <c r="F3152" s="7">
        <v>41883.839999999997</v>
      </c>
      <c r="G3152" s="7">
        <v>80518</v>
      </c>
      <c r="H3152" s="7">
        <f t="shared" si="93"/>
        <v>41870.839999999997</v>
      </c>
      <c r="I3152" s="15"/>
    </row>
    <row r="3153" spans="1:9" s="8" customFormat="1" ht="21" customHeight="1" x14ac:dyDescent="0.6">
      <c r="A3153" s="7">
        <v>24.7216801</v>
      </c>
      <c r="B3153" s="7">
        <v>34.743341200000003</v>
      </c>
      <c r="C3153" s="7">
        <v>676332.08</v>
      </c>
      <c r="D3153" s="7">
        <v>2735252.5</v>
      </c>
      <c r="E3153" s="7">
        <v>464.12</v>
      </c>
      <c r="F3153" s="7">
        <v>41881.97</v>
      </c>
      <c r="G3153" s="7">
        <v>80520</v>
      </c>
      <c r="H3153" s="7">
        <f t="shared" si="93"/>
        <v>41868.97</v>
      </c>
      <c r="I3153" s="15"/>
    </row>
    <row r="3154" spans="1:9" s="8" customFormat="1" ht="21" customHeight="1" x14ac:dyDescent="0.6">
      <c r="A3154" s="7">
        <v>24.721694599999999</v>
      </c>
      <c r="B3154" s="7">
        <v>34.7433324</v>
      </c>
      <c r="C3154" s="7">
        <v>676331.18</v>
      </c>
      <c r="D3154" s="7">
        <v>2735254.09</v>
      </c>
      <c r="E3154" s="7">
        <v>463.88</v>
      </c>
      <c r="F3154" s="7">
        <v>41881.1</v>
      </c>
      <c r="G3154" s="7">
        <v>80522</v>
      </c>
      <c r="H3154" s="7">
        <f t="shared" si="93"/>
        <v>41868.1</v>
      </c>
      <c r="I3154" s="15"/>
    </row>
    <row r="3155" spans="1:9" s="8" customFormat="1" ht="21" customHeight="1" x14ac:dyDescent="0.6">
      <c r="A3155" s="7">
        <v>24.721708</v>
      </c>
      <c r="B3155" s="7">
        <v>34.743320300000001</v>
      </c>
      <c r="C3155" s="7">
        <v>676329.93</v>
      </c>
      <c r="D3155" s="7">
        <v>2735255.56</v>
      </c>
      <c r="E3155" s="7">
        <v>463.54</v>
      </c>
      <c r="F3155" s="7">
        <v>41878.67</v>
      </c>
      <c r="G3155" s="7">
        <v>80524</v>
      </c>
      <c r="H3155" s="7">
        <f t="shared" si="93"/>
        <v>41865.67</v>
      </c>
      <c r="I3155" s="15"/>
    </row>
    <row r="3156" spans="1:9" s="8" customFormat="1" ht="21" customHeight="1" x14ac:dyDescent="0.6">
      <c r="A3156" s="7">
        <v>24.7217214</v>
      </c>
      <c r="B3156" s="7">
        <v>34.743309799999999</v>
      </c>
      <c r="C3156" s="7">
        <v>676328.85</v>
      </c>
      <c r="D3156" s="7">
        <v>2735257.03</v>
      </c>
      <c r="E3156" s="7">
        <v>463.23</v>
      </c>
      <c r="F3156" s="7">
        <v>41878.910000000003</v>
      </c>
      <c r="G3156" s="7">
        <v>80526</v>
      </c>
      <c r="H3156" s="7">
        <f t="shared" si="93"/>
        <v>41865.910000000003</v>
      </c>
      <c r="I3156" s="15"/>
    </row>
    <row r="3157" spans="1:9" s="8" customFormat="1" ht="21" customHeight="1" x14ac:dyDescent="0.6">
      <c r="A3157" s="7">
        <v>24.7217254</v>
      </c>
      <c r="B3157" s="7">
        <v>34.743303400000002</v>
      </c>
      <c r="C3157" s="7">
        <v>676328.2</v>
      </c>
      <c r="D3157" s="7">
        <v>2735257.46</v>
      </c>
      <c r="E3157" s="7">
        <v>463.11</v>
      </c>
      <c r="F3157" s="7">
        <v>41878.230000000003</v>
      </c>
      <c r="G3157" s="7">
        <v>80528</v>
      </c>
      <c r="H3157" s="7">
        <f t="shared" si="93"/>
        <v>41865.230000000003</v>
      </c>
      <c r="I3157" s="15"/>
    </row>
    <row r="3158" spans="1:9" s="8" customFormat="1" ht="21" customHeight="1" x14ac:dyDescent="0.6">
      <c r="A3158" s="7">
        <v>24.721731500000001</v>
      </c>
      <c r="B3158" s="7">
        <v>34.743287500000001</v>
      </c>
      <c r="C3158" s="7">
        <v>676326.58</v>
      </c>
      <c r="D3158" s="7">
        <v>2735258.12</v>
      </c>
      <c r="E3158" s="7">
        <v>462.53</v>
      </c>
      <c r="F3158" s="7">
        <v>41874.61</v>
      </c>
      <c r="G3158" s="7">
        <v>80530</v>
      </c>
      <c r="H3158" s="7">
        <f t="shared" si="93"/>
        <v>41861.61</v>
      </c>
      <c r="I3158" s="15"/>
    </row>
    <row r="3159" spans="1:9" s="8" customFormat="1" ht="21" customHeight="1" x14ac:dyDescent="0.6">
      <c r="A3159" s="7">
        <v>24.721742200000001</v>
      </c>
      <c r="B3159" s="7">
        <v>34.743271300000004</v>
      </c>
      <c r="C3159" s="7">
        <v>676324.93</v>
      </c>
      <c r="D3159" s="7">
        <v>2735259.29</v>
      </c>
      <c r="E3159" s="7">
        <v>461.97</v>
      </c>
      <c r="F3159" s="7">
        <v>41871.57</v>
      </c>
      <c r="G3159" s="7">
        <v>80532</v>
      </c>
      <c r="H3159" s="7">
        <f t="shared" si="93"/>
        <v>41858.57</v>
      </c>
      <c r="I3159" s="15"/>
    </row>
    <row r="3160" spans="1:9" s="8" customFormat="1" ht="21" customHeight="1" x14ac:dyDescent="0.6">
      <c r="A3160" s="7">
        <v>24.7217579</v>
      </c>
      <c r="B3160" s="7">
        <v>34.743259600000002</v>
      </c>
      <c r="C3160" s="7">
        <v>676323.72</v>
      </c>
      <c r="D3160" s="7">
        <v>2735261.01</v>
      </c>
      <c r="E3160" s="7">
        <v>461.54</v>
      </c>
      <c r="F3160" s="7">
        <v>41868.51</v>
      </c>
      <c r="G3160" s="7">
        <v>80534</v>
      </c>
      <c r="H3160" s="7">
        <f t="shared" si="93"/>
        <v>41855.51</v>
      </c>
      <c r="I3160" s="15"/>
    </row>
    <row r="3161" spans="1:9" s="8" customFormat="1" ht="21" customHeight="1" x14ac:dyDescent="0.6">
      <c r="A3161" s="7">
        <v>24.7217789</v>
      </c>
      <c r="B3161" s="7">
        <v>34.743257</v>
      </c>
      <c r="C3161" s="7">
        <v>676323.43</v>
      </c>
      <c r="D3161" s="7">
        <v>2735263.33</v>
      </c>
      <c r="E3161" s="7">
        <v>461.33</v>
      </c>
      <c r="F3161" s="7">
        <v>41863.17</v>
      </c>
      <c r="G3161" s="7">
        <v>80536</v>
      </c>
      <c r="H3161" s="7">
        <f t="shared" si="93"/>
        <v>41850.17</v>
      </c>
      <c r="I3161" s="15"/>
    </row>
    <row r="3162" spans="1:9" s="8" customFormat="1" ht="21" customHeight="1" x14ac:dyDescent="0.6">
      <c r="A3162" s="7">
        <v>24.7217959</v>
      </c>
      <c r="B3162" s="7">
        <v>34.743255099999999</v>
      </c>
      <c r="C3162" s="7">
        <v>676323.22</v>
      </c>
      <c r="D3162" s="7">
        <v>2735265.2</v>
      </c>
      <c r="E3162" s="7">
        <v>461.4</v>
      </c>
      <c r="F3162" s="7">
        <v>41863.160000000003</v>
      </c>
      <c r="G3162" s="7">
        <v>80538</v>
      </c>
      <c r="H3162" s="7">
        <f t="shared" si="93"/>
        <v>41850.160000000003</v>
      </c>
      <c r="I3162" s="15"/>
    </row>
    <row r="3163" spans="1:9" s="8" customFormat="1" ht="21" customHeight="1" x14ac:dyDescent="0.6">
      <c r="A3163" s="7">
        <v>24.721807800000001</v>
      </c>
      <c r="B3163" s="7">
        <v>34.743271999999997</v>
      </c>
      <c r="C3163" s="7">
        <v>676324.9</v>
      </c>
      <c r="D3163" s="7">
        <v>2735266.55</v>
      </c>
      <c r="E3163" s="7">
        <v>461.57</v>
      </c>
      <c r="F3163" s="7">
        <v>41862.26</v>
      </c>
      <c r="G3163" s="7">
        <v>80540</v>
      </c>
      <c r="H3163" s="7">
        <f t="shared" si="93"/>
        <v>41849.26</v>
      </c>
      <c r="I3163" s="15"/>
    </row>
    <row r="3164" spans="1:9" s="8" customFormat="1" ht="21" customHeight="1" x14ac:dyDescent="0.6">
      <c r="A3164" s="7">
        <v>24.721821899999998</v>
      </c>
      <c r="B3164" s="7">
        <v>34.743289799999999</v>
      </c>
      <c r="C3164" s="7">
        <v>676326.69</v>
      </c>
      <c r="D3164" s="7">
        <v>2735268.14</v>
      </c>
      <c r="E3164" s="7">
        <v>461.67</v>
      </c>
      <c r="F3164" s="7">
        <v>41864.019999999997</v>
      </c>
      <c r="G3164" s="7">
        <v>80542</v>
      </c>
      <c r="H3164" s="7">
        <f t="shared" si="93"/>
        <v>41851.019999999997</v>
      </c>
      <c r="I3164" s="15"/>
    </row>
    <row r="3165" spans="1:9" s="8" customFormat="1" ht="21" customHeight="1" x14ac:dyDescent="0.6">
      <c r="A3165" s="7">
        <v>24.721831300000002</v>
      </c>
      <c r="B3165" s="7">
        <v>34.743301700000004</v>
      </c>
      <c r="C3165" s="7">
        <v>676327.88</v>
      </c>
      <c r="D3165" s="7">
        <v>2735269.19</v>
      </c>
      <c r="E3165" s="7">
        <v>461.65</v>
      </c>
      <c r="F3165" s="7">
        <v>41864.870000000003</v>
      </c>
      <c r="G3165" s="7">
        <v>80544</v>
      </c>
      <c r="H3165" s="7">
        <f t="shared" si="93"/>
        <v>41851.870000000003</v>
      </c>
      <c r="I3165" s="15"/>
    </row>
    <row r="3166" spans="1:9" s="8" customFormat="1" ht="21" customHeight="1" x14ac:dyDescent="0.6">
      <c r="A3166" s="7">
        <v>24.721844699999998</v>
      </c>
      <c r="B3166" s="7">
        <v>34.743313999999998</v>
      </c>
      <c r="C3166" s="7">
        <v>676329.11</v>
      </c>
      <c r="D3166" s="7">
        <v>2735270.69</v>
      </c>
      <c r="E3166" s="7">
        <v>461.48</v>
      </c>
      <c r="F3166" s="7">
        <v>41865.4</v>
      </c>
      <c r="G3166" s="7">
        <v>80546</v>
      </c>
      <c r="H3166" s="7">
        <f t="shared" si="93"/>
        <v>41852.400000000001</v>
      </c>
      <c r="I3166" s="15"/>
    </row>
    <row r="3167" spans="1:9" s="8" customFormat="1" ht="21" customHeight="1" x14ac:dyDescent="0.6">
      <c r="A3167" s="7">
        <v>24.721869699999999</v>
      </c>
      <c r="B3167" s="7">
        <v>34.743318799999997</v>
      </c>
      <c r="C3167" s="7">
        <v>676329.55</v>
      </c>
      <c r="D3167" s="7">
        <v>2735273.46</v>
      </c>
      <c r="E3167" s="7">
        <v>461.6</v>
      </c>
      <c r="F3167" s="7">
        <v>41869.74</v>
      </c>
      <c r="G3167" s="7">
        <v>80548</v>
      </c>
      <c r="H3167" s="7">
        <f t="shared" si="93"/>
        <v>41856.74</v>
      </c>
      <c r="I3167" s="15"/>
    </row>
    <row r="3168" spans="1:9" s="8" customFormat="1" ht="21" customHeight="1" x14ac:dyDescent="0.6">
      <c r="A3168" s="7">
        <v>24.721886000000001</v>
      </c>
      <c r="B3168" s="7">
        <v>34.743323099999998</v>
      </c>
      <c r="C3168" s="7">
        <v>676329.97</v>
      </c>
      <c r="D3168" s="7">
        <v>2735275.28</v>
      </c>
      <c r="E3168" s="7">
        <v>461.43</v>
      </c>
      <c r="F3168" s="7">
        <v>41871.269999999997</v>
      </c>
      <c r="G3168" s="7">
        <v>80550</v>
      </c>
      <c r="H3168" s="7">
        <f t="shared" si="93"/>
        <v>41858.269999999997</v>
      </c>
      <c r="I3168" s="15"/>
    </row>
    <row r="3169" spans="1:9" s="8" customFormat="1" ht="21" customHeight="1" x14ac:dyDescent="0.6">
      <c r="A3169" s="7">
        <v>24.7219114</v>
      </c>
      <c r="B3169" s="7">
        <v>34.743322200000001</v>
      </c>
      <c r="C3169" s="7">
        <v>676329.83</v>
      </c>
      <c r="D3169" s="7">
        <v>2735278.09</v>
      </c>
      <c r="E3169" s="7">
        <v>461.15</v>
      </c>
      <c r="F3169" s="7">
        <v>41870.57</v>
      </c>
      <c r="G3169" s="7">
        <v>80552</v>
      </c>
      <c r="H3169" s="7">
        <f t="shared" ref="H3169:H3232" si="94">SUM(F3169-13)</f>
        <v>41857.57</v>
      </c>
      <c r="I3169" s="15"/>
    </row>
    <row r="3170" spans="1:9" s="8" customFormat="1" ht="21" customHeight="1" x14ac:dyDescent="0.6">
      <c r="A3170" s="7">
        <v>24.7219248</v>
      </c>
      <c r="B3170" s="7">
        <v>34.743329699999997</v>
      </c>
      <c r="C3170" s="7">
        <v>676330.58</v>
      </c>
      <c r="D3170" s="7">
        <v>2735279.58</v>
      </c>
      <c r="E3170" s="7">
        <v>461.1</v>
      </c>
      <c r="F3170" s="7">
        <v>41870.18</v>
      </c>
      <c r="G3170" s="7">
        <v>80554</v>
      </c>
      <c r="H3170" s="7">
        <f t="shared" si="94"/>
        <v>41857.18</v>
      </c>
      <c r="I3170" s="15"/>
    </row>
    <row r="3171" spans="1:9" s="8" customFormat="1" ht="21" customHeight="1" x14ac:dyDescent="0.6">
      <c r="A3171" s="7">
        <v>24.721930700000001</v>
      </c>
      <c r="B3171" s="7">
        <v>34.743347700000001</v>
      </c>
      <c r="C3171" s="7">
        <v>676332.39</v>
      </c>
      <c r="D3171" s="7">
        <v>2735280.26</v>
      </c>
      <c r="E3171" s="7">
        <v>460.74</v>
      </c>
      <c r="F3171" s="7">
        <v>41871.18</v>
      </c>
      <c r="G3171" s="7">
        <v>80556</v>
      </c>
      <c r="H3171" s="7">
        <f t="shared" si="94"/>
        <v>41858.18</v>
      </c>
      <c r="I3171" s="15"/>
    </row>
    <row r="3172" spans="1:9" s="8" customFormat="1" ht="21" customHeight="1" x14ac:dyDescent="0.6">
      <c r="A3172" s="7">
        <v>24.721937499999999</v>
      </c>
      <c r="B3172" s="7">
        <v>34.7433713</v>
      </c>
      <c r="C3172" s="7">
        <v>676334.77</v>
      </c>
      <c r="D3172" s="7">
        <v>2735281.04</v>
      </c>
      <c r="E3172" s="7">
        <v>460.39</v>
      </c>
      <c r="F3172" s="7">
        <v>41870.85</v>
      </c>
      <c r="G3172" s="7">
        <v>80558</v>
      </c>
      <c r="H3172" s="7">
        <f t="shared" si="94"/>
        <v>41857.85</v>
      </c>
      <c r="I3172" s="15"/>
    </row>
    <row r="3173" spans="1:9" s="8" customFormat="1" ht="21" customHeight="1" x14ac:dyDescent="0.6">
      <c r="A3173" s="7">
        <v>24.72195</v>
      </c>
      <c r="B3173" s="7">
        <v>34.743393400000002</v>
      </c>
      <c r="C3173" s="7">
        <v>676336.99</v>
      </c>
      <c r="D3173" s="7">
        <v>2735282.45</v>
      </c>
      <c r="E3173" s="7">
        <v>460.43</v>
      </c>
      <c r="F3173" s="7">
        <v>41879.74</v>
      </c>
      <c r="G3173" s="7">
        <v>80600</v>
      </c>
      <c r="H3173" s="7">
        <f t="shared" si="94"/>
        <v>41866.74</v>
      </c>
      <c r="I3173" s="15"/>
    </row>
    <row r="3174" spans="1:9" s="8" customFormat="1" ht="21" customHeight="1" x14ac:dyDescent="0.6">
      <c r="A3174" s="7">
        <v>24.721960899999999</v>
      </c>
      <c r="B3174" s="7">
        <v>34.743411600000002</v>
      </c>
      <c r="C3174" s="7">
        <v>676338.81</v>
      </c>
      <c r="D3174" s="7">
        <v>2735283.68</v>
      </c>
      <c r="E3174" s="7">
        <v>460.98</v>
      </c>
      <c r="F3174" s="7">
        <v>41879.120000000003</v>
      </c>
      <c r="G3174" s="7">
        <v>80602</v>
      </c>
      <c r="H3174" s="7">
        <f t="shared" si="94"/>
        <v>41866.120000000003</v>
      </c>
      <c r="I3174" s="15"/>
    </row>
    <row r="3175" spans="1:9" s="8" customFormat="1" ht="21" customHeight="1" x14ac:dyDescent="0.6">
      <c r="A3175" s="7">
        <v>24.7219634</v>
      </c>
      <c r="B3175" s="7">
        <v>34.7434303</v>
      </c>
      <c r="C3175" s="7">
        <v>676340.7</v>
      </c>
      <c r="D3175" s="7">
        <v>2735283.99</v>
      </c>
      <c r="E3175" s="7">
        <v>461.11</v>
      </c>
      <c r="F3175" s="7">
        <v>41878.910000000003</v>
      </c>
      <c r="G3175" s="7">
        <v>80604</v>
      </c>
      <c r="H3175" s="7">
        <f t="shared" si="94"/>
        <v>41865.910000000003</v>
      </c>
      <c r="I3175" s="15"/>
    </row>
    <row r="3176" spans="1:9" s="8" customFormat="1" ht="21" customHeight="1" x14ac:dyDescent="0.6">
      <c r="A3176" s="7">
        <v>24.721965699999998</v>
      </c>
      <c r="B3176" s="7">
        <v>34.743446499999997</v>
      </c>
      <c r="C3176" s="7">
        <v>676342.34</v>
      </c>
      <c r="D3176" s="7">
        <v>2735284.26</v>
      </c>
      <c r="E3176" s="7">
        <v>461.48</v>
      </c>
      <c r="F3176" s="7">
        <v>41883.71</v>
      </c>
      <c r="G3176" s="7">
        <v>80606</v>
      </c>
      <c r="H3176" s="7">
        <f t="shared" si="94"/>
        <v>41870.71</v>
      </c>
      <c r="I3176" s="15"/>
    </row>
    <row r="3177" spans="1:9" s="8" customFormat="1" ht="21" customHeight="1" x14ac:dyDescent="0.6">
      <c r="A3177" s="7">
        <v>24.721956800000001</v>
      </c>
      <c r="B3177" s="7">
        <v>34.743465</v>
      </c>
      <c r="C3177" s="7">
        <v>676344.22</v>
      </c>
      <c r="D3177" s="7">
        <v>2735283.3</v>
      </c>
      <c r="E3177" s="7">
        <v>461.57</v>
      </c>
      <c r="F3177" s="7">
        <v>41882.5</v>
      </c>
      <c r="G3177" s="7">
        <v>80608</v>
      </c>
      <c r="H3177" s="7">
        <f t="shared" si="94"/>
        <v>41869.5</v>
      </c>
      <c r="I3177" s="15"/>
    </row>
    <row r="3178" spans="1:9" s="8" customFormat="1" ht="21" customHeight="1" x14ac:dyDescent="0.6">
      <c r="A3178" s="7">
        <v>24.721955999999999</v>
      </c>
      <c r="B3178" s="7">
        <v>34.743481699999997</v>
      </c>
      <c r="C3178" s="7">
        <v>676345.91</v>
      </c>
      <c r="D3178" s="7">
        <v>2735283.24</v>
      </c>
      <c r="E3178" s="7">
        <v>461.75</v>
      </c>
      <c r="F3178" s="7">
        <v>41884.800000000003</v>
      </c>
      <c r="G3178" s="7">
        <v>80610</v>
      </c>
      <c r="H3178" s="7">
        <f t="shared" si="94"/>
        <v>41871.800000000003</v>
      </c>
      <c r="I3178" s="15"/>
    </row>
    <row r="3179" spans="1:9" s="8" customFormat="1" ht="21" customHeight="1" x14ac:dyDescent="0.6">
      <c r="A3179" s="7">
        <v>24.721959600000002</v>
      </c>
      <c r="B3179" s="7">
        <v>34.743506500000002</v>
      </c>
      <c r="C3179" s="7">
        <v>676348.41</v>
      </c>
      <c r="D3179" s="7">
        <v>2735283.66</v>
      </c>
      <c r="E3179" s="7">
        <v>461.82</v>
      </c>
      <c r="F3179" s="7">
        <v>41886.910000000003</v>
      </c>
      <c r="G3179" s="7">
        <v>80612</v>
      </c>
      <c r="H3179" s="7">
        <f t="shared" si="94"/>
        <v>41873.910000000003</v>
      </c>
      <c r="I3179" s="15"/>
    </row>
    <row r="3180" spans="1:9" s="8" customFormat="1" ht="21" customHeight="1" x14ac:dyDescent="0.6">
      <c r="A3180" s="7">
        <v>24.721959399999999</v>
      </c>
      <c r="B3180" s="7">
        <v>34.743528400000002</v>
      </c>
      <c r="C3180" s="7">
        <v>676350.63</v>
      </c>
      <c r="D3180" s="7">
        <v>2735283.67</v>
      </c>
      <c r="E3180" s="7">
        <v>461.99</v>
      </c>
      <c r="F3180" s="7">
        <v>41890.04</v>
      </c>
      <c r="G3180" s="7">
        <v>80614</v>
      </c>
      <c r="H3180" s="7">
        <f t="shared" si="94"/>
        <v>41877.040000000001</v>
      </c>
      <c r="I3180" s="15"/>
    </row>
    <row r="3181" spans="1:9" s="8" customFormat="1" ht="21" customHeight="1" x14ac:dyDescent="0.6">
      <c r="A3181" s="7">
        <v>24.721961499999999</v>
      </c>
      <c r="B3181" s="7">
        <v>34.743547100000001</v>
      </c>
      <c r="C3181" s="7">
        <v>676352.52</v>
      </c>
      <c r="D3181" s="7">
        <v>2735283.93</v>
      </c>
      <c r="E3181" s="7">
        <v>462.26</v>
      </c>
      <c r="F3181" s="7">
        <v>41892.51</v>
      </c>
      <c r="G3181" s="7">
        <v>80616</v>
      </c>
      <c r="H3181" s="7">
        <f t="shared" si="94"/>
        <v>41879.51</v>
      </c>
      <c r="I3181" s="15"/>
    </row>
    <row r="3182" spans="1:9" s="8" customFormat="1" ht="21" customHeight="1" x14ac:dyDescent="0.6">
      <c r="A3182" s="7">
        <v>24.721959300000002</v>
      </c>
      <c r="B3182" s="7">
        <v>34.743564800000001</v>
      </c>
      <c r="C3182" s="7">
        <v>676354.31</v>
      </c>
      <c r="D3182" s="7">
        <v>2735283.7</v>
      </c>
      <c r="E3182" s="7">
        <v>462.5</v>
      </c>
      <c r="F3182" s="7">
        <v>41898.83</v>
      </c>
      <c r="G3182" s="7">
        <v>80618</v>
      </c>
      <c r="H3182" s="7">
        <f t="shared" si="94"/>
        <v>41885.83</v>
      </c>
      <c r="I3182" s="15"/>
    </row>
    <row r="3183" spans="1:9" s="8" customFormat="1" ht="21" customHeight="1" x14ac:dyDescent="0.6">
      <c r="A3183" s="7">
        <v>24.7219549</v>
      </c>
      <c r="B3183" s="7">
        <v>34.743581200000001</v>
      </c>
      <c r="C3183" s="7">
        <v>676355.98</v>
      </c>
      <c r="D3183" s="7">
        <v>2735283.24</v>
      </c>
      <c r="E3183" s="7">
        <v>462.78</v>
      </c>
      <c r="F3183" s="7">
        <v>41895.980000000003</v>
      </c>
      <c r="G3183" s="7">
        <v>80620</v>
      </c>
      <c r="H3183" s="7">
        <f t="shared" si="94"/>
        <v>41882.980000000003</v>
      </c>
      <c r="I3183" s="15"/>
    </row>
    <row r="3184" spans="1:9" s="8" customFormat="1" ht="21" customHeight="1" x14ac:dyDescent="0.6">
      <c r="A3184" s="7">
        <v>24.721941699999999</v>
      </c>
      <c r="B3184" s="7">
        <v>34.743597399999999</v>
      </c>
      <c r="C3184" s="7">
        <v>676357.64</v>
      </c>
      <c r="D3184" s="7">
        <v>2735281.79</v>
      </c>
      <c r="E3184" s="7">
        <v>463.19</v>
      </c>
      <c r="F3184" s="7">
        <v>41896.93</v>
      </c>
      <c r="G3184" s="7">
        <v>80622</v>
      </c>
      <c r="H3184" s="7">
        <f t="shared" si="94"/>
        <v>41883.93</v>
      </c>
      <c r="I3184" s="15"/>
    </row>
    <row r="3185" spans="1:9" s="8" customFormat="1" ht="21" customHeight="1" x14ac:dyDescent="0.6">
      <c r="A3185" s="7">
        <v>24.721922599999999</v>
      </c>
      <c r="B3185" s="7">
        <v>34.743601200000001</v>
      </c>
      <c r="C3185" s="7">
        <v>676358.04</v>
      </c>
      <c r="D3185" s="7">
        <v>2735279.68</v>
      </c>
      <c r="E3185" s="7">
        <v>463.7</v>
      </c>
      <c r="F3185" s="7">
        <v>41897.160000000003</v>
      </c>
      <c r="G3185" s="7">
        <v>80624</v>
      </c>
      <c r="H3185" s="7">
        <f t="shared" si="94"/>
        <v>41884.160000000003</v>
      </c>
      <c r="I3185" s="15"/>
    </row>
    <row r="3186" spans="1:9" s="8" customFormat="1" ht="21" customHeight="1" x14ac:dyDescent="0.6">
      <c r="A3186" s="7">
        <v>24.721902700000001</v>
      </c>
      <c r="B3186" s="7">
        <v>34.7436103</v>
      </c>
      <c r="C3186" s="7">
        <v>676359</v>
      </c>
      <c r="D3186" s="7">
        <v>2735277.49</v>
      </c>
      <c r="E3186" s="7">
        <v>464.24</v>
      </c>
      <c r="F3186" s="7">
        <v>41899.300000000003</v>
      </c>
      <c r="G3186" s="7">
        <v>80626</v>
      </c>
      <c r="H3186" s="7">
        <f t="shared" si="94"/>
        <v>41886.300000000003</v>
      </c>
      <c r="I3186" s="15"/>
    </row>
    <row r="3187" spans="1:9" s="8" customFormat="1" ht="21" customHeight="1" x14ac:dyDescent="0.6">
      <c r="A3187" s="7">
        <v>24.721893300000001</v>
      </c>
      <c r="B3187" s="7">
        <v>34.743627600000003</v>
      </c>
      <c r="C3187" s="7">
        <v>676360.76</v>
      </c>
      <c r="D3187" s="7">
        <v>2735276.48</v>
      </c>
      <c r="E3187" s="7">
        <v>464.92</v>
      </c>
      <c r="F3187" s="7">
        <v>41904.53</v>
      </c>
      <c r="G3187" s="7">
        <v>80628</v>
      </c>
      <c r="H3187" s="7">
        <f t="shared" si="94"/>
        <v>41891.53</v>
      </c>
      <c r="I3187" s="15"/>
    </row>
    <row r="3188" spans="1:9" s="8" customFormat="1" ht="21" customHeight="1" x14ac:dyDescent="0.6">
      <c r="A3188" s="7">
        <v>24.721882300000001</v>
      </c>
      <c r="B3188" s="7">
        <v>34.7436425</v>
      </c>
      <c r="C3188" s="7">
        <v>676362.28</v>
      </c>
      <c r="D3188" s="7">
        <v>2735275.27</v>
      </c>
      <c r="E3188" s="7">
        <v>465.33</v>
      </c>
      <c r="F3188" s="7">
        <v>41905.22</v>
      </c>
      <c r="G3188" s="7">
        <v>80630</v>
      </c>
      <c r="H3188" s="7">
        <f t="shared" si="94"/>
        <v>41892.22</v>
      </c>
      <c r="I3188" s="15"/>
    </row>
    <row r="3189" spans="1:9" s="8" customFormat="1" ht="21" customHeight="1" x14ac:dyDescent="0.6">
      <c r="A3189" s="7">
        <v>24.721875499999999</v>
      </c>
      <c r="B3189" s="7">
        <v>34.743658500000002</v>
      </c>
      <c r="C3189" s="7">
        <v>676363.91</v>
      </c>
      <c r="D3189" s="7">
        <v>2735274.55</v>
      </c>
      <c r="E3189" s="7">
        <v>465.77</v>
      </c>
      <c r="F3189" s="7">
        <v>41901.31</v>
      </c>
      <c r="G3189" s="7">
        <v>80632</v>
      </c>
      <c r="H3189" s="7">
        <f t="shared" si="94"/>
        <v>41888.31</v>
      </c>
      <c r="I3189" s="15"/>
    </row>
    <row r="3190" spans="1:9" s="8" customFormat="1" ht="21" customHeight="1" x14ac:dyDescent="0.6">
      <c r="A3190" s="7">
        <v>24.721865000000001</v>
      </c>
      <c r="B3190" s="7">
        <v>34.743670999999999</v>
      </c>
      <c r="C3190" s="7">
        <v>676365.19</v>
      </c>
      <c r="D3190" s="7">
        <v>2735273.4</v>
      </c>
      <c r="E3190" s="7">
        <v>465.9</v>
      </c>
      <c r="F3190" s="7">
        <v>41907.81</v>
      </c>
      <c r="G3190" s="7">
        <v>80634</v>
      </c>
      <c r="H3190" s="7">
        <f t="shared" si="94"/>
        <v>41894.81</v>
      </c>
      <c r="I3190" s="15"/>
    </row>
    <row r="3191" spans="1:9" s="8" customFormat="1" ht="21" customHeight="1" x14ac:dyDescent="0.6">
      <c r="A3191" s="7">
        <v>24.721850199999999</v>
      </c>
      <c r="B3191" s="7">
        <v>34.743675699999997</v>
      </c>
      <c r="C3191" s="7">
        <v>676365.69</v>
      </c>
      <c r="D3191" s="7">
        <v>2735271.76</v>
      </c>
      <c r="E3191" s="7">
        <v>466.12</v>
      </c>
      <c r="F3191" s="7">
        <v>41908.980000000003</v>
      </c>
      <c r="G3191" s="7">
        <v>80636</v>
      </c>
      <c r="H3191" s="7">
        <f t="shared" si="94"/>
        <v>41895.980000000003</v>
      </c>
      <c r="I3191" s="15"/>
    </row>
    <row r="3192" spans="1:9" s="8" customFormat="1" ht="21" customHeight="1" x14ac:dyDescent="0.6">
      <c r="A3192" s="7">
        <v>24.7218412</v>
      </c>
      <c r="B3192" s="7">
        <v>34.743677499999997</v>
      </c>
      <c r="C3192" s="7">
        <v>676365.88</v>
      </c>
      <c r="D3192" s="7">
        <v>2735270.77</v>
      </c>
      <c r="E3192" s="7">
        <v>466.75</v>
      </c>
      <c r="F3192" s="7">
        <v>41911.42</v>
      </c>
      <c r="G3192" s="7">
        <v>80638</v>
      </c>
      <c r="H3192" s="7">
        <f t="shared" si="94"/>
        <v>41898.42</v>
      </c>
      <c r="I3192" s="15"/>
    </row>
    <row r="3193" spans="1:9" s="8" customFormat="1" ht="21" customHeight="1" x14ac:dyDescent="0.6">
      <c r="A3193" s="7">
        <v>24.721828800000001</v>
      </c>
      <c r="B3193" s="7">
        <v>34.743690200000003</v>
      </c>
      <c r="C3193" s="7">
        <v>676367.18</v>
      </c>
      <c r="D3193" s="7">
        <v>2735269.41</v>
      </c>
      <c r="E3193" s="7">
        <v>467.2</v>
      </c>
      <c r="F3193" s="7">
        <v>41908.86</v>
      </c>
      <c r="G3193" s="7">
        <v>80640</v>
      </c>
      <c r="H3193" s="7">
        <f t="shared" si="94"/>
        <v>41895.86</v>
      </c>
      <c r="I3193" s="15"/>
    </row>
    <row r="3194" spans="1:9" s="8" customFormat="1" ht="21" customHeight="1" x14ac:dyDescent="0.6">
      <c r="A3194" s="7">
        <v>24.721819</v>
      </c>
      <c r="B3194" s="7">
        <v>34.743707700000002</v>
      </c>
      <c r="C3194" s="7">
        <v>676368.97</v>
      </c>
      <c r="D3194" s="7">
        <v>2735268.35</v>
      </c>
      <c r="E3194" s="7">
        <v>467.56</v>
      </c>
      <c r="F3194" s="7">
        <v>41913.06</v>
      </c>
      <c r="G3194" s="7">
        <v>80642</v>
      </c>
      <c r="H3194" s="7">
        <f t="shared" si="94"/>
        <v>41900.06</v>
      </c>
      <c r="I3194" s="15"/>
    </row>
    <row r="3195" spans="1:9" s="8" customFormat="1" ht="21" customHeight="1" x14ac:dyDescent="0.6">
      <c r="A3195" s="7">
        <v>24.7218129</v>
      </c>
      <c r="B3195" s="7">
        <v>34.743722699999999</v>
      </c>
      <c r="C3195" s="7">
        <v>676370.49</v>
      </c>
      <c r="D3195" s="7">
        <v>2735267.69</v>
      </c>
      <c r="E3195" s="7">
        <v>467.91</v>
      </c>
      <c r="F3195" s="7">
        <v>41916.11</v>
      </c>
      <c r="G3195" s="7">
        <v>80644</v>
      </c>
      <c r="H3195" s="7">
        <f t="shared" si="94"/>
        <v>41903.11</v>
      </c>
      <c r="I3195" s="15"/>
    </row>
    <row r="3196" spans="1:9" s="8" customFormat="1" ht="21" customHeight="1" x14ac:dyDescent="0.6">
      <c r="A3196" s="7">
        <v>24.721805100000001</v>
      </c>
      <c r="B3196" s="7">
        <v>34.743737099999997</v>
      </c>
      <c r="C3196" s="7">
        <v>676371.96</v>
      </c>
      <c r="D3196" s="7">
        <v>2735266.85</v>
      </c>
      <c r="E3196" s="7">
        <v>468.45</v>
      </c>
      <c r="F3196" s="7">
        <v>41916.67</v>
      </c>
      <c r="G3196" s="7">
        <v>80646</v>
      </c>
      <c r="H3196" s="7">
        <f t="shared" si="94"/>
        <v>41903.67</v>
      </c>
      <c r="I3196" s="15"/>
    </row>
    <row r="3197" spans="1:9" s="8" customFormat="1" ht="21" customHeight="1" x14ac:dyDescent="0.6">
      <c r="A3197" s="7">
        <v>24.721805</v>
      </c>
      <c r="B3197" s="7">
        <v>34.743752999999998</v>
      </c>
      <c r="C3197" s="7">
        <v>676373.57</v>
      </c>
      <c r="D3197" s="7">
        <v>2735266.86</v>
      </c>
      <c r="E3197" s="7">
        <v>468.7</v>
      </c>
      <c r="F3197" s="7">
        <v>41920.379999999997</v>
      </c>
      <c r="G3197" s="7">
        <v>80648</v>
      </c>
      <c r="H3197" s="7">
        <f t="shared" si="94"/>
        <v>41907.379999999997</v>
      </c>
      <c r="I3197" s="15"/>
    </row>
    <row r="3198" spans="1:9" s="8" customFormat="1" ht="21" customHeight="1" x14ac:dyDescent="0.6">
      <c r="A3198" s="7">
        <v>24.721802100000001</v>
      </c>
      <c r="B3198" s="7">
        <v>34.743770699999999</v>
      </c>
      <c r="C3198" s="7">
        <v>676375.36</v>
      </c>
      <c r="D3198" s="7">
        <v>2735266.57</v>
      </c>
      <c r="E3198" s="7">
        <v>468.89</v>
      </c>
      <c r="F3198" s="7">
        <v>41925.040000000001</v>
      </c>
      <c r="G3198" s="7">
        <v>80650</v>
      </c>
      <c r="H3198" s="7">
        <f t="shared" si="94"/>
        <v>41912.04</v>
      </c>
      <c r="I3198" s="15"/>
    </row>
    <row r="3199" spans="1:9" s="8" customFormat="1" ht="21" customHeight="1" x14ac:dyDescent="0.6">
      <c r="A3199" s="7">
        <v>24.721798</v>
      </c>
      <c r="B3199" s="7">
        <v>34.7437866</v>
      </c>
      <c r="C3199" s="7">
        <v>676376.98</v>
      </c>
      <c r="D3199" s="7">
        <v>2735266.12</v>
      </c>
      <c r="E3199" s="7">
        <v>469.21</v>
      </c>
      <c r="F3199" s="7">
        <v>41925.94</v>
      </c>
      <c r="G3199" s="7">
        <v>80652</v>
      </c>
      <c r="H3199" s="7">
        <f t="shared" si="94"/>
        <v>41912.94</v>
      </c>
      <c r="I3199" s="15"/>
    </row>
    <row r="3200" spans="1:9" s="8" customFormat="1" ht="21" customHeight="1" x14ac:dyDescent="0.6">
      <c r="A3200" s="7">
        <v>24.721792700000002</v>
      </c>
      <c r="B3200" s="7">
        <v>34.7438018</v>
      </c>
      <c r="C3200" s="7">
        <v>676378.52</v>
      </c>
      <c r="D3200" s="7">
        <v>2735265.56</v>
      </c>
      <c r="E3200" s="7">
        <v>469.34</v>
      </c>
      <c r="F3200" s="7">
        <v>41924.67</v>
      </c>
      <c r="G3200" s="7">
        <v>80654</v>
      </c>
      <c r="H3200" s="7">
        <f t="shared" si="94"/>
        <v>41911.67</v>
      </c>
      <c r="I3200" s="15"/>
    </row>
    <row r="3201" spans="1:9" s="8" customFormat="1" ht="21" customHeight="1" x14ac:dyDescent="0.6">
      <c r="A3201" s="7">
        <v>24.721787500000001</v>
      </c>
      <c r="B3201" s="7">
        <v>34.743817999999997</v>
      </c>
      <c r="C3201" s="7">
        <v>676380.17</v>
      </c>
      <c r="D3201" s="7">
        <v>2735265.01</v>
      </c>
      <c r="E3201" s="7">
        <v>469.31</v>
      </c>
      <c r="F3201" s="7">
        <v>41935.58</v>
      </c>
      <c r="G3201" s="7">
        <v>80656</v>
      </c>
      <c r="H3201" s="7">
        <f t="shared" si="94"/>
        <v>41922.58</v>
      </c>
      <c r="I3201" s="15"/>
    </row>
    <row r="3202" spans="1:9" s="8" customFormat="1" ht="21" customHeight="1" x14ac:dyDescent="0.6">
      <c r="A3202" s="7">
        <v>24.721776200000001</v>
      </c>
      <c r="B3202" s="7">
        <v>34.7438243</v>
      </c>
      <c r="C3202" s="7">
        <v>676380.83</v>
      </c>
      <c r="D3202" s="7">
        <v>2735263.76</v>
      </c>
      <c r="E3202" s="7">
        <v>469.48</v>
      </c>
      <c r="F3202" s="7">
        <v>41933.97</v>
      </c>
      <c r="G3202" s="7">
        <v>80658</v>
      </c>
      <c r="H3202" s="7">
        <f t="shared" si="94"/>
        <v>41920.97</v>
      </c>
      <c r="I3202" s="15"/>
    </row>
    <row r="3203" spans="1:9" s="8" customFormat="1" ht="21" customHeight="1" x14ac:dyDescent="0.6">
      <c r="A3203" s="7">
        <v>24.721770200000002</v>
      </c>
      <c r="B3203" s="7">
        <v>34.743825399999999</v>
      </c>
      <c r="C3203" s="7">
        <v>676380.94</v>
      </c>
      <c r="D3203" s="7">
        <v>2735263.09</v>
      </c>
      <c r="E3203" s="7">
        <v>469.51</v>
      </c>
      <c r="F3203" s="7">
        <v>41932.46</v>
      </c>
      <c r="G3203" s="7">
        <v>80700</v>
      </c>
      <c r="H3203" s="7">
        <f t="shared" si="94"/>
        <v>41919.46</v>
      </c>
      <c r="I3203" s="15"/>
    </row>
    <row r="3204" spans="1:9" s="8" customFormat="1" ht="21" customHeight="1" x14ac:dyDescent="0.6">
      <c r="A3204" s="7">
        <v>24.721765600000001</v>
      </c>
      <c r="B3204" s="7">
        <v>34.743816700000004</v>
      </c>
      <c r="C3204" s="7">
        <v>676380.07</v>
      </c>
      <c r="D3204" s="7">
        <v>2735262.57</v>
      </c>
      <c r="E3204" s="7">
        <v>469.49</v>
      </c>
      <c r="F3204" s="7">
        <v>41939.480000000003</v>
      </c>
      <c r="G3204" s="7">
        <v>80702</v>
      </c>
      <c r="H3204" s="7">
        <f t="shared" si="94"/>
        <v>41926.480000000003</v>
      </c>
      <c r="I3204" s="15"/>
    </row>
    <row r="3205" spans="1:9" s="8" customFormat="1" ht="21" customHeight="1" x14ac:dyDescent="0.6">
      <c r="A3205" s="7">
        <v>24.721762200000001</v>
      </c>
      <c r="B3205" s="7">
        <v>34.743800499999999</v>
      </c>
      <c r="C3205" s="7">
        <v>676378.44</v>
      </c>
      <c r="D3205" s="7">
        <v>2735262.18</v>
      </c>
      <c r="E3205" s="7">
        <v>469.72</v>
      </c>
      <c r="F3205" s="7">
        <v>41932.69</v>
      </c>
      <c r="G3205" s="7">
        <v>80704</v>
      </c>
      <c r="H3205" s="7">
        <f t="shared" si="94"/>
        <v>41919.69</v>
      </c>
      <c r="I3205" s="15"/>
    </row>
    <row r="3206" spans="1:9" s="8" customFormat="1" ht="21" customHeight="1" x14ac:dyDescent="0.6">
      <c r="A3206" s="7">
        <v>24.721751900000001</v>
      </c>
      <c r="B3206" s="7">
        <v>34.743788600000002</v>
      </c>
      <c r="C3206" s="7">
        <v>676377.25</v>
      </c>
      <c r="D3206" s="7">
        <v>2735261.03</v>
      </c>
      <c r="E3206" s="7">
        <v>470.02</v>
      </c>
      <c r="F3206" s="7">
        <v>41931.67</v>
      </c>
      <c r="G3206" s="7">
        <v>80706</v>
      </c>
      <c r="H3206" s="7">
        <f t="shared" si="94"/>
        <v>41918.67</v>
      </c>
      <c r="I3206" s="15"/>
    </row>
    <row r="3207" spans="1:9" s="8" customFormat="1" ht="21" customHeight="1" x14ac:dyDescent="0.6">
      <c r="A3207" s="7">
        <v>24.7217357</v>
      </c>
      <c r="B3207" s="7">
        <v>34.743780600000001</v>
      </c>
      <c r="C3207" s="7">
        <v>676376.46</v>
      </c>
      <c r="D3207" s="7">
        <v>2735259.22</v>
      </c>
      <c r="E3207" s="7">
        <v>469.93</v>
      </c>
      <c r="F3207" s="7">
        <v>41930.22</v>
      </c>
      <c r="G3207" s="7">
        <v>80708</v>
      </c>
      <c r="H3207" s="7">
        <f t="shared" si="94"/>
        <v>41917.22</v>
      </c>
      <c r="I3207" s="15"/>
    </row>
    <row r="3208" spans="1:9" s="8" customFormat="1" ht="21" customHeight="1" x14ac:dyDescent="0.6">
      <c r="A3208" s="7">
        <v>24.7217156</v>
      </c>
      <c r="B3208" s="7">
        <v>34.743788700000003</v>
      </c>
      <c r="C3208" s="7">
        <v>676377.31</v>
      </c>
      <c r="D3208" s="7">
        <v>2735257</v>
      </c>
      <c r="E3208" s="7">
        <v>469.93</v>
      </c>
      <c r="F3208" s="7">
        <v>41936.25</v>
      </c>
      <c r="G3208" s="7">
        <v>80710</v>
      </c>
      <c r="H3208" s="7">
        <f t="shared" si="94"/>
        <v>41923.25</v>
      </c>
      <c r="I3208" s="15"/>
    </row>
    <row r="3209" spans="1:9" s="8" customFormat="1" ht="21" customHeight="1" x14ac:dyDescent="0.6">
      <c r="A3209" s="7">
        <v>24.721696900000001</v>
      </c>
      <c r="B3209" s="7">
        <v>34.743803999999997</v>
      </c>
      <c r="C3209" s="7">
        <v>676378.88</v>
      </c>
      <c r="D3209" s="7">
        <v>2735254.95</v>
      </c>
      <c r="E3209" s="7">
        <v>469.47</v>
      </c>
      <c r="F3209" s="7">
        <v>41938.75</v>
      </c>
      <c r="G3209" s="7">
        <v>80712</v>
      </c>
      <c r="H3209" s="7">
        <f t="shared" si="94"/>
        <v>41925.75</v>
      </c>
      <c r="I3209" s="15"/>
    </row>
    <row r="3210" spans="1:9" s="8" customFormat="1" ht="21" customHeight="1" x14ac:dyDescent="0.6">
      <c r="A3210" s="7">
        <v>24.721681799999999</v>
      </c>
      <c r="B3210" s="7">
        <v>34.743823599999999</v>
      </c>
      <c r="C3210" s="7">
        <v>676380.88</v>
      </c>
      <c r="D3210" s="7">
        <v>2735253.31</v>
      </c>
      <c r="E3210" s="7">
        <v>469.04</v>
      </c>
      <c r="F3210" s="7">
        <v>41938.92</v>
      </c>
      <c r="G3210" s="7">
        <v>80714</v>
      </c>
      <c r="H3210" s="7">
        <f t="shared" si="94"/>
        <v>41925.919999999998</v>
      </c>
      <c r="I3210" s="15"/>
    </row>
    <row r="3211" spans="1:9" s="8" customFormat="1" ht="21" customHeight="1" x14ac:dyDescent="0.6">
      <c r="A3211" s="7">
        <v>24.721665999999999</v>
      </c>
      <c r="B3211" s="7">
        <v>34.743841500000002</v>
      </c>
      <c r="C3211" s="7">
        <v>676382.71999999997</v>
      </c>
      <c r="D3211" s="7">
        <v>2735251.58</v>
      </c>
      <c r="E3211" s="7">
        <v>468.69</v>
      </c>
      <c r="F3211" s="7">
        <v>41946.1</v>
      </c>
      <c r="G3211" s="7">
        <v>80716</v>
      </c>
      <c r="H3211" s="7">
        <f t="shared" si="94"/>
        <v>41933.1</v>
      </c>
      <c r="I3211" s="15"/>
    </row>
    <row r="3212" spans="1:9" s="8" customFormat="1" ht="21" customHeight="1" x14ac:dyDescent="0.6">
      <c r="A3212" s="7">
        <v>24.721651999999999</v>
      </c>
      <c r="B3212" s="7">
        <v>34.743865399999997</v>
      </c>
      <c r="C3212" s="7">
        <v>676385.15</v>
      </c>
      <c r="D3212" s="7">
        <v>2735250.05</v>
      </c>
      <c r="E3212" s="7">
        <v>468.75</v>
      </c>
      <c r="F3212" s="7">
        <v>41950.69</v>
      </c>
      <c r="G3212" s="7">
        <v>80718</v>
      </c>
      <c r="H3212" s="7">
        <f t="shared" si="94"/>
        <v>41937.69</v>
      </c>
      <c r="I3212" s="15"/>
    </row>
    <row r="3213" spans="1:9" s="8" customFormat="1" ht="21" customHeight="1" x14ac:dyDescent="0.6">
      <c r="A3213" s="7">
        <v>24.7216445</v>
      </c>
      <c r="B3213" s="7">
        <v>34.743888200000001</v>
      </c>
      <c r="C3213" s="7">
        <v>676387.48</v>
      </c>
      <c r="D3213" s="7">
        <v>2735249.25</v>
      </c>
      <c r="E3213" s="7">
        <v>468.91</v>
      </c>
      <c r="F3213" s="7">
        <v>41953.78</v>
      </c>
      <c r="G3213" s="7">
        <v>80720</v>
      </c>
      <c r="H3213" s="7">
        <f t="shared" si="94"/>
        <v>41940.78</v>
      </c>
      <c r="I3213" s="15"/>
    </row>
    <row r="3214" spans="1:9" s="8" customFormat="1" ht="21" customHeight="1" x14ac:dyDescent="0.6">
      <c r="A3214" s="7">
        <v>24.721632400000001</v>
      </c>
      <c r="B3214" s="7">
        <v>34.743910999999997</v>
      </c>
      <c r="C3214" s="7">
        <v>676389.8</v>
      </c>
      <c r="D3214" s="7">
        <v>2735247.95</v>
      </c>
      <c r="E3214" s="7">
        <v>468.82</v>
      </c>
      <c r="F3214" s="7">
        <v>41957.760000000002</v>
      </c>
      <c r="G3214" s="7">
        <v>80722</v>
      </c>
      <c r="H3214" s="7">
        <f t="shared" si="94"/>
        <v>41944.76</v>
      </c>
      <c r="I3214" s="15"/>
    </row>
    <row r="3215" spans="1:9" s="8" customFormat="1" ht="21" customHeight="1" x14ac:dyDescent="0.6">
      <c r="A3215" s="7">
        <v>24.721619799999999</v>
      </c>
      <c r="B3215" s="7">
        <v>34.743934899999999</v>
      </c>
      <c r="C3215" s="7">
        <v>676392.23</v>
      </c>
      <c r="D3215" s="7">
        <v>2735246.58</v>
      </c>
      <c r="E3215" s="7">
        <v>468.63</v>
      </c>
      <c r="F3215" s="7">
        <v>41961.19</v>
      </c>
      <c r="G3215" s="7">
        <v>80724</v>
      </c>
      <c r="H3215" s="7">
        <f t="shared" si="94"/>
        <v>41948.19</v>
      </c>
      <c r="I3215" s="15"/>
    </row>
    <row r="3216" spans="1:9" s="8" customFormat="1" ht="21" customHeight="1" x14ac:dyDescent="0.6">
      <c r="A3216" s="7">
        <v>24.721606900000001</v>
      </c>
      <c r="B3216" s="7">
        <v>34.743958200000002</v>
      </c>
      <c r="C3216" s="7">
        <v>676394.61</v>
      </c>
      <c r="D3216" s="7">
        <v>2735245.18</v>
      </c>
      <c r="E3216" s="7">
        <v>468.67</v>
      </c>
      <c r="F3216" s="7">
        <v>41967.08</v>
      </c>
      <c r="G3216" s="7">
        <v>80726</v>
      </c>
      <c r="H3216" s="7">
        <f t="shared" si="94"/>
        <v>41954.080000000002</v>
      </c>
      <c r="I3216" s="15"/>
    </row>
    <row r="3217" spans="1:9" s="8" customFormat="1" ht="21" customHeight="1" x14ac:dyDescent="0.6">
      <c r="A3217" s="7">
        <v>24.7215892</v>
      </c>
      <c r="B3217" s="7">
        <v>34.743978599999998</v>
      </c>
      <c r="C3217" s="7">
        <v>676396.69</v>
      </c>
      <c r="D3217" s="7">
        <v>2735243.25</v>
      </c>
      <c r="E3217" s="7">
        <v>468.44</v>
      </c>
      <c r="F3217" s="7">
        <v>41968.53</v>
      </c>
      <c r="G3217" s="7">
        <v>80728</v>
      </c>
      <c r="H3217" s="7">
        <f t="shared" si="94"/>
        <v>41955.53</v>
      </c>
      <c r="I3217" s="15"/>
    </row>
    <row r="3218" spans="1:9" s="8" customFormat="1" ht="21" customHeight="1" x14ac:dyDescent="0.6">
      <c r="A3218" s="7">
        <v>24.721568300000001</v>
      </c>
      <c r="B3218" s="7">
        <v>34.7439964</v>
      </c>
      <c r="C3218" s="7">
        <v>676398.53</v>
      </c>
      <c r="D3218" s="7">
        <v>2735240.96</v>
      </c>
      <c r="E3218" s="7">
        <v>468.26</v>
      </c>
      <c r="F3218" s="7">
        <v>41972.92</v>
      </c>
      <c r="G3218" s="7">
        <v>80730</v>
      </c>
      <c r="H3218" s="7">
        <f t="shared" si="94"/>
        <v>41959.92</v>
      </c>
      <c r="I3218" s="15"/>
    </row>
    <row r="3219" spans="1:9" s="8" customFormat="1" ht="21" customHeight="1" x14ac:dyDescent="0.6">
      <c r="A3219" s="7">
        <v>24.7215582</v>
      </c>
      <c r="B3219" s="7">
        <v>34.744022899999997</v>
      </c>
      <c r="C3219" s="7">
        <v>676401.22</v>
      </c>
      <c r="D3219" s="7">
        <v>2735239.88</v>
      </c>
      <c r="E3219" s="7">
        <v>468.37</v>
      </c>
      <c r="F3219" s="7">
        <v>41977.4</v>
      </c>
      <c r="G3219" s="7">
        <v>80732</v>
      </c>
      <c r="H3219" s="7">
        <f t="shared" si="94"/>
        <v>41964.4</v>
      </c>
      <c r="I3219" s="15"/>
    </row>
    <row r="3220" spans="1:9" s="8" customFormat="1" ht="21" customHeight="1" x14ac:dyDescent="0.6">
      <c r="A3220" s="7">
        <v>24.721554600000001</v>
      </c>
      <c r="B3220" s="7">
        <v>34.744048800000002</v>
      </c>
      <c r="C3220" s="7">
        <v>676403.85</v>
      </c>
      <c r="D3220" s="7">
        <v>2735239.51</v>
      </c>
      <c r="E3220" s="7">
        <v>468.59</v>
      </c>
      <c r="F3220" s="7">
        <v>41981.919999999998</v>
      </c>
      <c r="G3220" s="7">
        <v>80734</v>
      </c>
      <c r="H3220" s="7">
        <f t="shared" si="94"/>
        <v>41968.92</v>
      </c>
      <c r="I3220" s="15"/>
    </row>
    <row r="3221" spans="1:9" s="8" customFormat="1" ht="21" customHeight="1" x14ac:dyDescent="0.6">
      <c r="A3221" s="7">
        <v>24.721554399999999</v>
      </c>
      <c r="B3221" s="7">
        <v>34.744073899999997</v>
      </c>
      <c r="C3221" s="7">
        <v>676406.39</v>
      </c>
      <c r="D3221" s="7">
        <v>2735239.52</v>
      </c>
      <c r="E3221" s="7">
        <v>468.86</v>
      </c>
      <c r="F3221" s="7">
        <v>41986.69</v>
      </c>
      <c r="G3221" s="7">
        <v>80736</v>
      </c>
      <c r="H3221" s="7">
        <f t="shared" si="94"/>
        <v>41973.69</v>
      </c>
      <c r="I3221" s="15"/>
    </row>
    <row r="3222" spans="1:9" s="8" customFormat="1" ht="21" customHeight="1" x14ac:dyDescent="0.6">
      <c r="A3222" s="7">
        <v>24.721554999999999</v>
      </c>
      <c r="B3222" s="7">
        <v>34.744097600000003</v>
      </c>
      <c r="C3222" s="7">
        <v>676408.79</v>
      </c>
      <c r="D3222" s="7">
        <v>2735239.61</v>
      </c>
      <c r="E3222" s="7">
        <v>469.16</v>
      </c>
      <c r="F3222" s="7">
        <v>41988.88</v>
      </c>
      <c r="G3222" s="7">
        <v>80738</v>
      </c>
      <c r="H3222" s="7">
        <f t="shared" si="94"/>
        <v>41975.88</v>
      </c>
      <c r="I3222" s="15"/>
    </row>
    <row r="3223" spans="1:9" s="8" customFormat="1" ht="21" customHeight="1" x14ac:dyDescent="0.6">
      <c r="A3223" s="7">
        <v>24.721561999999999</v>
      </c>
      <c r="B3223" s="7">
        <v>34.7441204</v>
      </c>
      <c r="C3223" s="7">
        <v>676411.08</v>
      </c>
      <c r="D3223" s="7">
        <v>2735240.42</v>
      </c>
      <c r="E3223" s="7">
        <v>469.33</v>
      </c>
      <c r="F3223" s="7">
        <v>41990.45</v>
      </c>
      <c r="G3223" s="7">
        <v>80740</v>
      </c>
      <c r="H3223" s="7">
        <f t="shared" si="94"/>
        <v>41977.45</v>
      </c>
      <c r="I3223" s="15"/>
    </row>
    <row r="3224" spans="1:9" s="8" customFormat="1" ht="21" customHeight="1" x14ac:dyDescent="0.6">
      <c r="A3224" s="7">
        <v>24.7215718</v>
      </c>
      <c r="B3224" s="7">
        <v>34.744141499999998</v>
      </c>
      <c r="C3224" s="7">
        <v>676413.21</v>
      </c>
      <c r="D3224" s="7">
        <v>2735241.52</v>
      </c>
      <c r="E3224" s="7">
        <v>469.42</v>
      </c>
      <c r="F3224" s="7">
        <v>41993.760000000002</v>
      </c>
      <c r="G3224" s="7">
        <v>80742</v>
      </c>
      <c r="H3224" s="7">
        <f t="shared" si="94"/>
        <v>41980.76</v>
      </c>
      <c r="I3224" s="15"/>
    </row>
    <row r="3225" spans="1:9" s="8" customFormat="1" ht="21" customHeight="1" x14ac:dyDescent="0.6">
      <c r="A3225" s="7">
        <v>24.721579800000001</v>
      </c>
      <c r="B3225" s="7">
        <v>34.744159000000003</v>
      </c>
      <c r="C3225" s="7">
        <v>676414.96</v>
      </c>
      <c r="D3225" s="7">
        <v>2735242.43</v>
      </c>
      <c r="E3225" s="7">
        <v>469.75</v>
      </c>
      <c r="F3225" s="7">
        <v>41993.93</v>
      </c>
      <c r="G3225" s="7">
        <v>80744</v>
      </c>
      <c r="H3225" s="7">
        <f t="shared" si="94"/>
        <v>41980.93</v>
      </c>
      <c r="I3225" s="15"/>
    </row>
    <row r="3226" spans="1:9" s="8" customFormat="1" ht="21" customHeight="1" x14ac:dyDescent="0.6">
      <c r="A3226" s="7">
        <v>24.7215858</v>
      </c>
      <c r="B3226" s="7">
        <v>34.744177200000003</v>
      </c>
      <c r="C3226" s="7">
        <v>676416.79</v>
      </c>
      <c r="D3226" s="7">
        <v>2735243.13</v>
      </c>
      <c r="E3226" s="7">
        <v>469.94</v>
      </c>
      <c r="F3226" s="7">
        <v>41998.03</v>
      </c>
      <c r="G3226" s="7">
        <v>80746</v>
      </c>
      <c r="H3226" s="7">
        <f t="shared" si="94"/>
        <v>41985.03</v>
      </c>
      <c r="I3226" s="15"/>
    </row>
    <row r="3227" spans="1:9" s="8" customFormat="1" ht="21" customHeight="1" x14ac:dyDescent="0.6">
      <c r="A3227" s="7">
        <v>24.721595199999999</v>
      </c>
      <c r="B3227" s="7">
        <v>34.744189900000002</v>
      </c>
      <c r="C3227" s="7">
        <v>676418.06</v>
      </c>
      <c r="D3227" s="7">
        <v>2735244.19</v>
      </c>
      <c r="E3227" s="7">
        <v>470.15</v>
      </c>
      <c r="F3227" s="7">
        <v>41998.62</v>
      </c>
      <c r="G3227" s="7">
        <v>80748</v>
      </c>
      <c r="H3227" s="7">
        <f t="shared" si="94"/>
        <v>41985.62</v>
      </c>
      <c r="I3227" s="15"/>
    </row>
    <row r="3228" spans="1:9" s="8" customFormat="1" ht="21" customHeight="1" x14ac:dyDescent="0.6">
      <c r="A3228" s="7">
        <v>24.721609000000001</v>
      </c>
      <c r="B3228" s="7">
        <v>34.744204000000003</v>
      </c>
      <c r="C3228" s="7">
        <v>676419.47</v>
      </c>
      <c r="D3228" s="7">
        <v>2735245.73</v>
      </c>
      <c r="E3228" s="7">
        <v>470.37</v>
      </c>
      <c r="F3228" s="7">
        <v>42000.81</v>
      </c>
      <c r="G3228" s="7">
        <v>80750</v>
      </c>
      <c r="H3228" s="7">
        <f t="shared" si="94"/>
        <v>41987.81</v>
      </c>
      <c r="I3228" s="15"/>
    </row>
    <row r="3229" spans="1:9" s="8" customFormat="1" ht="21" customHeight="1" x14ac:dyDescent="0.6">
      <c r="A3229" s="7">
        <v>24.721620600000001</v>
      </c>
      <c r="B3229" s="7">
        <v>34.744217300000003</v>
      </c>
      <c r="C3229" s="7">
        <v>676420.8</v>
      </c>
      <c r="D3229" s="7">
        <v>2735247.04</v>
      </c>
      <c r="E3229" s="7">
        <v>470.72</v>
      </c>
      <c r="F3229" s="7">
        <v>42002.04</v>
      </c>
      <c r="G3229" s="7">
        <v>80752</v>
      </c>
      <c r="H3229" s="7">
        <f t="shared" si="94"/>
        <v>41989.04</v>
      </c>
      <c r="I3229" s="15"/>
    </row>
    <row r="3230" spans="1:9" s="8" customFormat="1" ht="21" customHeight="1" x14ac:dyDescent="0.6">
      <c r="A3230" s="7">
        <v>24.721633600000001</v>
      </c>
      <c r="B3230" s="7">
        <v>34.744229300000001</v>
      </c>
      <c r="C3230" s="7">
        <v>676421.99</v>
      </c>
      <c r="D3230" s="7">
        <v>2735248.49</v>
      </c>
      <c r="E3230" s="7">
        <v>471.11</v>
      </c>
      <c r="F3230" s="7">
        <v>42001.66</v>
      </c>
      <c r="G3230" s="7">
        <v>80754</v>
      </c>
      <c r="H3230" s="7">
        <f t="shared" si="94"/>
        <v>41988.66</v>
      </c>
      <c r="I3230" s="15"/>
    </row>
    <row r="3231" spans="1:9" s="8" customFormat="1" ht="21" customHeight="1" x14ac:dyDescent="0.6">
      <c r="A3231" s="7">
        <v>24.7216366</v>
      </c>
      <c r="B3231" s="7">
        <v>34.744230199999997</v>
      </c>
      <c r="C3231" s="7">
        <v>676422.08</v>
      </c>
      <c r="D3231" s="7">
        <v>2735248.83</v>
      </c>
      <c r="E3231" s="7">
        <v>471.16</v>
      </c>
      <c r="F3231" s="7">
        <v>42001.34</v>
      </c>
      <c r="G3231" s="7">
        <v>80756</v>
      </c>
      <c r="H3231" s="7">
        <f t="shared" si="94"/>
        <v>41988.34</v>
      </c>
      <c r="I3231" s="15"/>
    </row>
    <row r="3232" spans="1:9" s="8" customFormat="1" ht="21" customHeight="1" x14ac:dyDescent="0.6">
      <c r="A3232" s="7">
        <v>24.7216354</v>
      </c>
      <c r="B3232" s="7">
        <v>34.744229400000002</v>
      </c>
      <c r="C3232" s="7">
        <v>676422.01</v>
      </c>
      <c r="D3232" s="7">
        <v>2735248.69</v>
      </c>
      <c r="E3232" s="7">
        <v>471.12</v>
      </c>
      <c r="F3232" s="7">
        <v>42014.14</v>
      </c>
      <c r="G3232" s="7">
        <v>80758</v>
      </c>
      <c r="H3232" s="7">
        <f t="shared" si="94"/>
        <v>42001.14</v>
      </c>
      <c r="I3232" s="15"/>
    </row>
    <row r="3233" spans="1:9" s="8" customFormat="1" ht="21" customHeight="1" x14ac:dyDescent="0.6">
      <c r="A3233" s="7">
        <v>24.721635899999999</v>
      </c>
      <c r="B3233" s="7">
        <v>34.744229599999997</v>
      </c>
      <c r="C3233" s="7">
        <v>676422.03</v>
      </c>
      <c r="D3233" s="7">
        <v>2735248.74</v>
      </c>
      <c r="E3233" s="7">
        <v>471.11</v>
      </c>
      <c r="F3233" s="7">
        <v>42012.41</v>
      </c>
      <c r="G3233" s="7">
        <v>80800</v>
      </c>
      <c r="H3233" s="7">
        <f t="shared" ref="H3233:H3263" si="95">SUM(F3233-13)</f>
        <v>41999.41</v>
      </c>
      <c r="I3233" s="15"/>
    </row>
    <row r="3234" spans="1:9" s="8" customFormat="1" ht="21" customHeight="1" x14ac:dyDescent="0.6">
      <c r="A3234" s="7">
        <v>24.721635899999999</v>
      </c>
      <c r="B3234" s="7">
        <v>34.744230000000002</v>
      </c>
      <c r="C3234" s="7">
        <v>676422.06</v>
      </c>
      <c r="D3234" s="7">
        <v>2735248.74</v>
      </c>
      <c r="E3234" s="7">
        <v>471.09</v>
      </c>
      <c r="F3234" s="7">
        <v>42008.31</v>
      </c>
      <c r="G3234" s="7">
        <v>80802</v>
      </c>
      <c r="H3234" s="7">
        <f t="shared" si="95"/>
        <v>41995.31</v>
      </c>
      <c r="I3234" s="15"/>
    </row>
    <row r="3235" spans="1:9" s="8" customFormat="1" ht="21" customHeight="1" x14ac:dyDescent="0.6">
      <c r="A3235" s="7">
        <v>24.7216351</v>
      </c>
      <c r="B3235" s="7">
        <v>34.744229500000003</v>
      </c>
      <c r="C3235" s="7">
        <v>676422.01</v>
      </c>
      <c r="D3235" s="7">
        <v>2735248.65</v>
      </c>
      <c r="E3235" s="7">
        <v>471.09</v>
      </c>
      <c r="F3235" s="7">
        <v>42014.61</v>
      </c>
      <c r="G3235" s="7">
        <v>80804</v>
      </c>
      <c r="H3235" s="7">
        <f t="shared" si="95"/>
        <v>42001.61</v>
      </c>
      <c r="I3235" s="15"/>
    </row>
    <row r="3236" spans="1:9" s="8" customFormat="1" ht="21" customHeight="1" x14ac:dyDescent="0.6">
      <c r="A3236" s="7">
        <v>24.721635299999999</v>
      </c>
      <c r="B3236" s="7">
        <v>34.744229400000002</v>
      </c>
      <c r="C3236" s="7">
        <v>676422.01</v>
      </c>
      <c r="D3236" s="7">
        <v>2735248.68</v>
      </c>
      <c r="E3236" s="7">
        <v>471.09</v>
      </c>
      <c r="F3236" s="7">
        <v>42006.81</v>
      </c>
      <c r="G3236" s="7">
        <v>80806</v>
      </c>
      <c r="H3236" s="7">
        <f t="shared" si="95"/>
        <v>41993.81</v>
      </c>
      <c r="I3236" s="15"/>
    </row>
    <row r="3237" spans="1:9" s="8" customFormat="1" ht="21" customHeight="1" x14ac:dyDescent="0.6">
      <c r="A3237" s="7">
        <v>24.721647699999998</v>
      </c>
      <c r="B3237" s="7">
        <v>34.744238000000003</v>
      </c>
      <c r="C3237" s="7">
        <v>676422.86</v>
      </c>
      <c r="D3237" s="7">
        <v>2735250.07</v>
      </c>
      <c r="E3237" s="7">
        <v>471.2</v>
      </c>
      <c r="F3237" s="7">
        <v>42000.07</v>
      </c>
      <c r="G3237" s="7">
        <v>80808</v>
      </c>
      <c r="H3237" s="7">
        <f t="shared" si="95"/>
        <v>41987.07</v>
      </c>
      <c r="I3237" s="15"/>
    </row>
    <row r="3238" spans="1:9" s="8" customFormat="1" ht="21" customHeight="1" x14ac:dyDescent="0.6">
      <c r="A3238" s="7">
        <v>24.721658399999999</v>
      </c>
      <c r="B3238" s="7">
        <v>34.744252500000002</v>
      </c>
      <c r="C3238" s="7">
        <v>676424.31</v>
      </c>
      <c r="D3238" s="7">
        <v>2735251.26</v>
      </c>
      <c r="E3238" s="7">
        <v>471.99</v>
      </c>
      <c r="F3238" s="7">
        <v>42002.42</v>
      </c>
      <c r="G3238" s="7">
        <v>80810</v>
      </c>
      <c r="H3238" s="7">
        <f t="shared" si="95"/>
        <v>41989.42</v>
      </c>
      <c r="I3238" s="15"/>
    </row>
    <row r="3239" spans="1:9" s="8" customFormat="1" ht="21" customHeight="1" x14ac:dyDescent="0.6">
      <c r="A3239" s="7">
        <v>24.721669599999998</v>
      </c>
      <c r="B3239" s="7">
        <v>34.744259300000003</v>
      </c>
      <c r="C3239" s="7">
        <v>676424.99</v>
      </c>
      <c r="D3239" s="7">
        <v>2735252.52</v>
      </c>
      <c r="E3239" s="7">
        <v>472.65</v>
      </c>
      <c r="F3239" s="7">
        <v>42004.45</v>
      </c>
      <c r="G3239" s="7">
        <v>80812</v>
      </c>
      <c r="H3239" s="7">
        <f t="shared" si="95"/>
        <v>41991.45</v>
      </c>
      <c r="I3239" s="15"/>
    </row>
    <row r="3240" spans="1:9" s="8" customFormat="1" ht="21" customHeight="1" x14ac:dyDescent="0.6">
      <c r="A3240" s="7">
        <v>24.721678699999998</v>
      </c>
      <c r="B3240" s="7">
        <v>34.744265200000001</v>
      </c>
      <c r="C3240" s="7">
        <v>676425.57</v>
      </c>
      <c r="D3240" s="7">
        <v>2735253.53</v>
      </c>
      <c r="E3240" s="7">
        <v>472.98</v>
      </c>
      <c r="F3240" s="7">
        <v>42004.6</v>
      </c>
      <c r="G3240" s="7">
        <v>80814</v>
      </c>
      <c r="H3240" s="7">
        <f t="shared" si="95"/>
        <v>41991.6</v>
      </c>
      <c r="I3240" s="15"/>
    </row>
    <row r="3241" spans="1:9" s="8" customFormat="1" ht="21" customHeight="1" x14ac:dyDescent="0.6">
      <c r="A3241" s="7">
        <v>24.721691799999999</v>
      </c>
      <c r="B3241" s="7">
        <v>34.744272299999999</v>
      </c>
      <c r="C3241" s="7">
        <v>676426.26</v>
      </c>
      <c r="D3241" s="7">
        <v>2735254.99</v>
      </c>
      <c r="E3241" s="7">
        <v>474.05</v>
      </c>
      <c r="F3241" s="7">
        <v>42003.56</v>
      </c>
      <c r="G3241" s="7">
        <v>80816</v>
      </c>
      <c r="H3241" s="7">
        <f t="shared" si="95"/>
        <v>41990.559999999998</v>
      </c>
      <c r="I3241" s="15"/>
    </row>
    <row r="3242" spans="1:9" s="8" customFormat="1" ht="21" customHeight="1" x14ac:dyDescent="0.6">
      <c r="A3242" s="7">
        <v>24.721705199999999</v>
      </c>
      <c r="B3242" s="7">
        <v>34.744276800000002</v>
      </c>
      <c r="C3242" s="7">
        <v>676426.7</v>
      </c>
      <c r="D3242" s="7">
        <v>2735256.48</v>
      </c>
      <c r="E3242" s="7">
        <v>474.43</v>
      </c>
      <c r="F3242" s="7">
        <v>42013.52</v>
      </c>
      <c r="G3242" s="7">
        <v>80818</v>
      </c>
      <c r="H3242" s="7">
        <f t="shared" si="95"/>
        <v>42000.52</v>
      </c>
      <c r="I3242" s="15"/>
    </row>
    <row r="3243" spans="1:9" s="8" customFormat="1" ht="21" customHeight="1" x14ac:dyDescent="0.6">
      <c r="A3243" s="7">
        <v>24.721711200000001</v>
      </c>
      <c r="B3243" s="7">
        <v>34.744277599999997</v>
      </c>
      <c r="C3243" s="7">
        <v>676426.77</v>
      </c>
      <c r="D3243" s="7">
        <v>2735257.15</v>
      </c>
      <c r="E3243" s="7">
        <v>474.59</v>
      </c>
      <c r="F3243" s="7">
        <v>42010.879999999997</v>
      </c>
      <c r="G3243" s="7">
        <v>80820</v>
      </c>
      <c r="H3243" s="7">
        <f t="shared" si="95"/>
        <v>41997.88</v>
      </c>
      <c r="I3243" s="15"/>
    </row>
    <row r="3244" spans="1:9" s="8" customFormat="1" ht="21" customHeight="1" x14ac:dyDescent="0.6">
      <c r="A3244" s="7">
        <v>24.721711500000001</v>
      </c>
      <c r="B3244" s="7">
        <v>34.744278199999997</v>
      </c>
      <c r="C3244" s="7">
        <v>676426.84</v>
      </c>
      <c r="D3244" s="7">
        <v>2735257.18</v>
      </c>
      <c r="E3244" s="7">
        <v>474.61</v>
      </c>
      <c r="F3244" s="7">
        <v>42012.97</v>
      </c>
      <c r="G3244" s="7">
        <v>80822</v>
      </c>
      <c r="H3244" s="7">
        <f t="shared" si="95"/>
        <v>41999.97</v>
      </c>
      <c r="I3244" s="15"/>
    </row>
    <row r="3245" spans="1:9" s="8" customFormat="1" ht="21" customHeight="1" x14ac:dyDescent="0.6">
      <c r="A3245" s="7">
        <v>24.7217117</v>
      </c>
      <c r="B3245" s="7">
        <v>34.744280500000002</v>
      </c>
      <c r="C3245" s="7">
        <v>676427.07</v>
      </c>
      <c r="D3245" s="7">
        <v>2735257.21</v>
      </c>
      <c r="E3245" s="7">
        <v>474.67</v>
      </c>
      <c r="F3245" s="7">
        <v>42015.67</v>
      </c>
      <c r="G3245" s="7">
        <v>80824</v>
      </c>
      <c r="H3245" s="7">
        <f t="shared" si="95"/>
        <v>42002.67</v>
      </c>
      <c r="I3245" s="15"/>
    </row>
    <row r="3246" spans="1:9" s="8" customFormat="1" ht="21" customHeight="1" x14ac:dyDescent="0.6">
      <c r="A3246" s="7">
        <v>24.721711899999999</v>
      </c>
      <c r="B3246" s="7">
        <v>34.7442809</v>
      </c>
      <c r="C3246" s="7">
        <v>676427.11</v>
      </c>
      <c r="D3246" s="7">
        <v>2735257.23</v>
      </c>
      <c r="E3246" s="7">
        <v>474.71</v>
      </c>
      <c r="F3246" s="7">
        <v>42015.519999999997</v>
      </c>
      <c r="G3246" s="7">
        <v>80826</v>
      </c>
      <c r="H3246" s="7">
        <f t="shared" si="95"/>
        <v>42002.52</v>
      </c>
      <c r="I3246" s="15"/>
    </row>
    <row r="3247" spans="1:9" s="8" customFormat="1" ht="21" customHeight="1" x14ac:dyDescent="0.6">
      <c r="A3247" s="7">
        <v>24.721713000000001</v>
      </c>
      <c r="B3247" s="7">
        <v>34.7442809</v>
      </c>
      <c r="C3247" s="7">
        <v>676427.11</v>
      </c>
      <c r="D3247" s="7">
        <v>2735257.34</v>
      </c>
      <c r="E3247" s="7">
        <v>474.71</v>
      </c>
      <c r="F3247" s="7">
        <v>42013.98</v>
      </c>
      <c r="G3247" s="7">
        <v>80828</v>
      </c>
      <c r="H3247" s="7">
        <f t="shared" si="95"/>
        <v>42000.98</v>
      </c>
      <c r="I3247" s="15"/>
    </row>
    <row r="3248" spans="1:9" s="8" customFormat="1" ht="21" customHeight="1" x14ac:dyDescent="0.6">
      <c r="A3248" s="7">
        <v>24.7216992</v>
      </c>
      <c r="B3248" s="7">
        <v>34.7442785</v>
      </c>
      <c r="C3248" s="7">
        <v>676426.88</v>
      </c>
      <c r="D3248" s="7">
        <v>2735255.82</v>
      </c>
      <c r="E3248" s="7">
        <v>474.42</v>
      </c>
      <c r="F3248" s="7">
        <v>42005.79</v>
      </c>
      <c r="G3248" s="7">
        <v>80830</v>
      </c>
      <c r="H3248" s="7">
        <f t="shared" si="95"/>
        <v>41992.79</v>
      </c>
      <c r="I3248" s="15"/>
    </row>
    <row r="3249" spans="1:9" s="8" customFormat="1" ht="21" customHeight="1" x14ac:dyDescent="0.6">
      <c r="A3249" s="7">
        <v>24.721685600000001</v>
      </c>
      <c r="B3249" s="7">
        <v>34.744270700000001</v>
      </c>
      <c r="C3249" s="7">
        <v>676426.12</v>
      </c>
      <c r="D3249" s="7">
        <v>2735254.3</v>
      </c>
      <c r="E3249" s="7">
        <v>474.03</v>
      </c>
      <c r="F3249" s="7">
        <v>42004.27</v>
      </c>
      <c r="G3249" s="7">
        <v>80832</v>
      </c>
      <c r="H3249" s="7">
        <f t="shared" si="95"/>
        <v>41991.27</v>
      </c>
      <c r="I3249" s="15"/>
    </row>
    <row r="3250" spans="1:9" s="8" customFormat="1" ht="21" customHeight="1" x14ac:dyDescent="0.6">
      <c r="A3250" s="7">
        <v>24.721675099999999</v>
      </c>
      <c r="B3250" s="7">
        <v>34.744260699999998</v>
      </c>
      <c r="C3250" s="7">
        <v>676425.12</v>
      </c>
      <c r="D3250" s="7">
        <v>2735253.12</v>
      </c>
      <c r="E3250" s="7">
        <v>473.15</v>
      </c>
      <c r="F3250" s="7">
        <v>42002.06</v>
      </c>
      <c r="G3250" s="7">
        <v>80834</v>
      </c>
      <c r="H3250" s="7">
        <f t="shared" si="95"/>
        <v>41989.06</v>
      </c>
      <c r="I3250" s="15"/>
    </row>
    <row r="3251" spans="1:9" s="8" customFormat="1" ht="21" customHeight="1" x14ac:dyDescent="0.6">
      <c r="A3251" s="7">
        <v>24.721657</v>
      </c>
      <c r="B3251" s="7">
        <v>34.744249400000001</v>
      </c>
      <c r="C3251" s="7">
        <v>676424</v>
      </c>
      <c r="D3251" s="7">
        <v>2735251.11</v>
      </c>
      <c r="E3251" s="7">
        <v>472.22</v>
      </c>
      <c r="F3251" s="7">
        <v>42000.27</v>
      </c>
      <c r="G3251" s="7">
        <v>80836</v>
      </c>
      <c r="H3251" s="7">
        <f t="shared" si="95"/>
        <v>41987.27</v>
      </c>
      <c r="I3251" s="15"/>
    </row>
    <row r="3252" spans="1:9" s="8" customFormat="1" ht="21" customHeight="1" x14ac:dyDescent="0.6">
      <c r="A3252" s="7">
        <v>24.721635599999999</v>
      </c>
      <c r="B3252" s="7">
        <v>34.744236800000003</v>
      </c>
      <c r="C3252" s="7">
        <v>676422.76</v>
      </c>
      <c r="D3252" s="7">
        <v>2735248.72</v>
      </c>
      <c r="E3252" s="7">
        <v>471.29</v>
      </c>
      <c r="F3252" s="7">
        <v>42000.04</v>
      </c>
      <c r="G3252" s="7">
        <v>80838</v>
      </c>
      <c r="H3252" s="7">
        <f t="shared" si="95"/>
        <v>41987.040000000001</v>
      </c>
      <c r="I3252" s="15"/>
    </row>
    <row r="3253" spans="1:9" s="8" customFormat="1" ht="21" customHeight="1" x14ac:dyDescent="0.6">
      <c r="A3253" s="7">
        <v>24.721616099999999</v>
      </c>
      <c r="B3253" s="7">
        <v>34.744216700000003</v>
      </c>
      <c r="C3253" s="7">
        <v>676420.75</v>
      </c>
      <c r="D3253" s="7">
        <v>2735246.53</v>
      </c>
      <c r="E3253" s="7">
        <v>470.55</v>
      </c>
      <c r="F3253" s="7">
        <v>41997.32</v>
      </c>
      <c r="G3253" s="7">
        <v>80840</v>
      </c>
      <c r="H3253" s="7">
        <f t="shared" si="95"/>
        <v>41984.32</v>
      </c>
      <c r="I3253" s="15"/>
    </row>
    <row r="3254" spans="1:9" s="8" customFormat="1" ht="21" customHeight="1" x14ac:dyDescent="0.6">
      <c r="A3254" s="7">
        <v>24.7215986</v>
      </c>
      <c r="B3254" s="7">
        <v>34.744197700000001</v>
      </c>
      <c r="C3254" s="7">
        <v>676418.85</v>
      </c>
      <c r="D3254" s="7">
        <v>2735244.57</v>
      </c>
      <c r="E3254" s="7">
        <v>470.13</v>
      </c>
      <c r="F3254" s="7">
        <v>41996.6</v>
      </c>
      <c r="G3254" s="7">
        <v>80842</v>
      </c>
      <c r="H3254" s="7">
        <f t="shared" si="95"/>
        <v>41983.6</v>
      </c>
      <c r="I3254" s="15"/>
    </row>
    <row r="3255" spans="1:9" s="8" customFormat="1" ht="21" customHeight="1" x14ac:dyDescent="0.6">
      <c r="A3255" s="7">
        <v>24.721579200000001</v>
      </c>
      <c r="B3255" s="7">
        <v>34.744180399999998</v>
      </c>
      <c r="C3255" s="7">
        <v>676417.12</v>
      </c>
      <c r="D3255" s="7">
        <v>2735242.39</v>
      </c>
      <c r="E3255" s="7">
        <v>469.76</v>
      </c>
      <c r="F3255" s="7">
        <v>41994.92</v>
      </c>
      <c r="G3255" s="7">
        <v>80844</v>
      </c>
      <c r="H3255" s="7">
        <f t="shared" si="95"/>
        <v>41981.919999999998</v>
      </c>
      <c r="I3255" s="15"/>
    </row>
    <row r="3256" spans="1:9" s="8" customFormat="1" ht="21" customHeight="1" x14ac:dyDescent="0.6">
      <c r="A3256" s="7">
        <v>24.721565200000001</v>
      </c>
      <c r="B3256" s="7">
        <v>34.744156199999999</v>
      </c>
      <c r="C3256" s="7">
        <v>676414.7</v>
      </c>
      <c r="D3256" s="7">
        <v>2735240.82</v>
      </c>
      <c r="E3256" s="7">
        <v>469.34</v>
      </c>
      <c r="F3256" s="7">
        <v>41991.58</v>
      </c>
      <c r="G3256" s="7">
        <v>80846</v>
      </c>
      <c r="H3256" s="7">
        <f t="shared" si="95"/>
        <v>41978.58</v>
      </c>
      <c r="I3256" s="15"/>
    </row>
    <row r="3257" spans="1:9" s="8" customFormat="1" ht="21" customHeight="1" x14ac:dyDescent="0.6">
      <c r="A3257" s="7">
        <v>24.7215417</v>
      </c>
      <c r="B3257" s="7">
        <v>34.744146800000003</v>
      </c>
      <c r="C3257" s="7">
        <v>676413.78</v>
      </c>
      <c r="D3257" s="7">
        <v>2735238.2</v>
      </c>
      <c r="E3257" s="7">
        <v>469.24</v>
      </c>
      <c r="F3257" s="7">
        <v>41990.53</v>
      </c>
      <c r="G3257" s="7">
        <v>80848</v>
      </c>
      <c r="H3257" s="7">
        <f t="shared" si="95"/>
        <v>41977.53</v>
      </c>
      <c r="I3257" s="15"/>
    </row>
    <row r="3258" spans="1:9" s="8" customFormat="1" ht="21" customHeight="1" x14ac:dyDescent="0.6">
      <c r="A3258" s="7">
        <v>24.7215235</v>
      </c>
      <c r="B3258" s="7">
        <v>34.744160200000003</v>
      </c>
      <c r="C3258" s="7">
        <v>676415.16</v>
      </c>
      <c r="D3258" s="7">
        <v>2735236.21</v>
      </c>
      <c r="E3258" s="7">
        <v>469.61</v>
      </c>
      <c r="F3258" s="7">
        <v>41996.6</v>
      </c>
      <c r="G3258" s="7">
        <v>80850</v>
      </c>
      <c r="H3258" s="7">
        <f t="shared" si="95"/>
        <v>41983.6</v>
      </c>
      <c r="I3258" s="15"/>
    </row>
    <row r="3259" spans="1:9" s="8" customFormat="1" ht="21" customHeight="1" x14ac:dyDescent="0.6">
      <c r="A3259" s="7">
        <v>24.7215159</v>
      </c>
      <c r="B3259" s="7">
        <v>34.744179899999999</v>
      </c>
      <c r="C3259" s="7">
        <v>676417.16</v>
      </c>
      <c r="D3259" s="7">
        <v>2735235.39</v>
      </c>
      <c r="E3259" s="7">
        <v>469.45</v>
      </c>
      <c r="F3259" s="7">
        <v>41998.5</v>
      </c>
      <c r="G3259" s="7">
        <v>80852</v>
      </c>
      <c r="H3259" s="7">
        <f t="shared" si="95"/>
        <v>41985.5</v>
      </c>
      <c r="I3259" s="15"/>
    </row>
    <row r="3260" spans="1:9" s="8" customFormat="1" ht="21" customHeight="1" x14ac:dyDescent="0.6">
      <c r="A3260" s="7">
        <v>24.7215107</v>
      </c>
      <c r="B3260" s="7">
        <v>34.744202999999999</v>
      </c>
      <c r="C3260" s="7">
        <v>676419.51</v>
      </c>
      <c r="D3260" s="7">
        <v>2735234.84</v>
      </c>
      <c r="E3260" s="7">
        <v>469.15</v>
      </c>
      <c r="F3260" s="7">
        <v>42003.48</v>
      </c>
      <c r="G3260" s="7">
        <v>80854</v>
      </c>
      <c r="H3260" s="7">
        <f t="shared" si="95"/>
        <v>41990.48</v>
      </c>
      <c r="I3260" s="15"/>
    </row>
    <row r="3261" spans="1:9" s="8" customFormat="1" ht="21" customHeight="1" x14ac:dyDescent="0.6">
      <c r="A3261" s="7">
        <v>24.721503800000001</v>
      </c>
      <c r="B3261" s="7">
        <v>34.744228999999997</v>
      </c>
      <c r="C3261" s="7">
        <v>676422.15</v>
      </c>
      <c r="D3261" s="7">
        <v>2735234.12</v>
      </c>
      <c r="E3261" s="7">
        <v>468.67</v>
      </c>
      <c r="F3261" s="7">
        <v>42002.04</v>
      </c>
      <c r="G3261" s="7">
        <v>80856</v>
      </c>
      <c r="H3261" s="7">
        <f t="shared" si="95"/>
        <v>41989.04</v>
      </c>
      <c r="I3261" s="15"/>
    </row>
    <row r="3262" spans="1:9" s="8" customFormat="1" ht="21" customHeight="1" x14ac:dyDescent="0.6">
      <c r="A3262" s="7">
        <v>24.721499600000001</v>
      </c>
      <c r="B3262" s="7">
        <v>34.744252199999998</v>
      </c>
      <c r="C3262" s="7">
        <v>676424.5</v>
      </c>
      <c r="D3262" s="7">
        <v>2735233.68</v>
      </c>
      <c r="E3262" s="7">
        <v>468.35</v>
      </c>
      <c r="F3262" s="7">
        <v>42006.1</v>
      </c>
      <c r="G3262" s="7">
        <v>80858</v>
      </c>
      <c r="H3262" s="7">
        <f t="shared" si="95"/>
        <v>41993.1</v>
      </c>
      <c r="I3262" s="15"/>
    </row>
    <row r="3263" spans="1:9" s="8" customFormat="1" ht="21" customHeight="1" x14ac:dyDescent="0.6">
      <c r="A3263" s="7">
        <v>24.721497500000002</v>
      </c>
      <c r="B3263" s="7">
        <v>34.744273800000002</v>
      </c>
      <c r="C3263" s="7">
        <v>676426.69</v>
      </c>
      <c r="D3263" s="7">
        <v>2735233.47</v>
      </c>
      <c r="E3263" s="7">
        <v>468.13</v>
      </c>
      <c r="F3263" s="7">
        <v>42008.18</v>
      </c>
      <c r="G3263" s="7">
        <v>80900</v>
      </c>
      <c r="H3263" s="7">
        <f t="shared" si="95"/>
        <v>41995.18</v>
      </c>
      <c r="I3263" s="15"/>
    </row>
    <row r="3264" spans="1:9" s="8" customFormat="1" ht="21" customHeight="1" x14ac:dyDescent="0.6">
      <c r="A3264" s="7">
        <v>24.721497299999999</v>
      </c>
      <c r="B3264" s="7">
        <v>34.7442821</v>
      </c>
      <c r="C3264" s="7">
        <v>676427.53</v>
      </c>
      <c r="D3264" s="7">
        <v>2735233.46</v>
      </c>
      <c r="E3264" s="7">
        <v>468.2</v>
      </c>
      <c r="F3264" s="7">
        <v>42012.94</v>
      </c>
      <c r="G3264" s="7">
        <v>80902</v>
      </c>
      <c r="H3264" s="7">
        <f>SUM(F3264-16)</f>
        <v>41996.94</v>
      </c>
      <c r="I3264" s="15"/>
    </row>
    <row r="3265" spans="1:9" s="8" customFormat="1" ht="21" customHeight="1" x14ac:dyDescent="0.6">
      <c r="A3265" s="7">
        <v>24.721497200000002</v>
      </c>
      <c r="B3265" s="7">
        <v>34.744279499999998</v>
      </c>
      <c r="C3265" s="7">
        <v>676427.26</v>
      </c>
      <c r="D3265" s="7">
        <v>2735233.45</v>
      </c>
      <c r="E3265" s="7">
        <v>468.16</v>
      </c>
      <c r="F3265" s="7">
        <v>42013.68</v>
      </c>
      <c r="G3265" s="7">
        <v>80904</v>
      </c>
      <c r="H3265" s="7">
        <f t="shared" ref="H3265:H3328" si="96">SUM(F3265-16)</f>
        <v>41997.68</v>
      </c>
      <c r="I3265" s="15"/>
    </row>
    <row r="3266" spans="1:9" s="8" customFormat="1" ht="21" customHeight="1" x14ac:dyDescent="0.6">
      <c r="A3266" s="7">
        <v>24.721495600000001</v>
      </c>
      <c r="B3266" s="7">
        <v>34.744291699999998</v>
      </c>
      <c r="C3266" s="7">
        <v>676428.5</v>
      </c>
      <c r="D3266" s="7">
        <v>2735233.29</v>
      </c>
      <c r="E3266" s="7">
        <v>467.96</v>
      </c>
      <c r="F3266" s="7">
        <v>42012.15</v>
      </c>
      <c r="G3266" s="7">
        <v>80906</v>
      </c>
      <c r="H3266" s="7">
        <f t="shared" si="96"/>
        <v>41996.15</v>
      </c>
      <c r="I3266" s="15"/>
    </row>
    <row r="3267" spans="1:9" s="8" customFormat="1" ht="21" customHeight="1" x14ac:dyDescent="0.6">
      <c r="A3267" s="7">
        <v>24.721492600000001</v>
      </c>
      <c r="B3267" s="7">
        <v>34.744310900000002</v>
      </c>
      <c r="C3267" s="7">
        <v>676430.45</v>
      </c>
      <c r="D3267" s="7">
        <v>2735232.98</v>
      </c>
      <c r="E3267" s="7">
        <v>467.38</v>
      </c>
      <c r="F3267" s="7">
        <v>42007.92</v>
      </c>
      <c r="G3267" s="7">
        <v>80908</v>
      </c>
      <c r="H3267" s="7">
        <f t="shared" si="96"/>
        <v>41991.92</v>
      </c>
      <c r="I3267" s="15"/>
    </row>
    <row r="3268" spans="1:9" s="8" customFormat="1" ht="21" customHeight="1" x14ac:dyDescent="0.6">
      <c r="A3268" s="7">
        <v>24.7214919</v>
      </c>
      <c r="B3268" s="7">
        <v>34.744338999999997</v>
      </c>
      <c r="C3268" s="7">
        <v>676433.29</v>
      </c>
      <c r="D3268" s="7">
        <v>2735232.94</v>
      </c>
      <c r="E3268" s="7">
        <v>466.91</v>
      </c>
      <c r="F3268" s="7">
        <v>42015.13</v>
      </c>
      <c r="G3268" s="7">
        <v>80910</v>
      </c>
      <c r="H3268" s="7">
        <f t="shared" si="96"/>
        <v>41999.13</v>
      </c>
      <c r="I3268" s="15"/>
    </row>
    <row r="3269" spans="1:9" s="8" customFormat="1" ht="21" customHeight="1" x14ac:dyDescent="0.6">
      <c r="A3269" s="7">
        <v>24.7214849</v>
      </c>
      <c r="B3269" s="7">
        <v>34.744365199999997</v>
      </c>
      <c r="C3269" s="7">
        <v>676435.95</v>
      </c>
      <c r="D3269" s="7">
        <v>2735232.19</v>
      </c>
      <c r="E3269" s="7">
        <v>466.6</v>
      </c>
      <c r="F3269" s="7">
        <v>42016.63</v>
      </c>
      <c r="G3269" s="7">
        <v>80912</v>
      </c>
      <c r="H3269" s="7">
        <f t="shared" si="96"/>
        <v>42000.63</v>
      </c>
      <c r="I3269" s="15"/>
    </row>
    <row r="3270" spans="1:9" s="8" customFormat="1" ht="21" customHeight="1" x14ac:dyDescent="0.6">
      <c r="A3270" s="7">
        <v>24.721475999999999</v>
      </c>
      <c r="B3270" s="7">
        <v>34.744391200000003</v>
      </c>
      <c r="C3270" s="7">
        <v>676438.6</v>
      </c>
      <c r="D3270" s="7">
        <v>2735231.24</v>
      </c>
      <c r="E3270" s="7">
        <v>466.36</v>
      </c>
      <c r="F3270" s="7">
        <v>42019.65</v>
      </c>
      <c r="G3270" s="7">
        <v>80914</v>
      </c>
      <c r="H3270" s="7">
        <f t="shared" si="96"/>
        <v>42003.65</v>
      </c>
      <c r="I3270" s="15"/>
    </row>
    <row r="3271" spans="1:9" s="8" customFormat="1" ht="21" customHeight="1" x14ac:dyDescent="0.6">
      <c r="A3271" s="7">
        <v>24.721466700000001</v>
      </c>
      <c r="B3271" s="7">
        <v>34.744416600000001</v>
      </c>
      <c r="C3271" s="7">
        <v>676441.18</v>
      </c>
      <c r="D3271" s="7">
        <v>2735230.24</v>
      </c>
      <c r="E3271" s="7">
        <v>466.08</v>
      </c>
      <c r="F3271" s="7">
        <v>42022.13</v>
      </c>
      <c r="G3271" s="7">
        <v>80916</v>
      </c>
      <c r="H3271" s="7">
        <f t="shared" si="96"/>
        <v>42006.13</v>
      </c>
      <c r="I3271" s="15"/>
    </row>
    <row r="3272" spans="1:9" s="8" customFormat="1" ht="21" customHeight="1" x14ac:dyDescent="0.6">
      <c r="A3272" s="7">
        <v>24.721460400000002</v>
      </c>
      <c r="B3272" s="7">
        <v>34.744443199999999</v>
      </c>
      <c r="C3272" s="7">
        <v>676443.88</v>
      </c>
      <c r="D3272" s="7">
        <v>2735229.58</v>
      </c>
      <c r="E3272" s="7">
        <v>465.65</v>
      </c>
      <c r="F3272" s="7">
        <v>42026.84</v>
      </c>
      <c r="G3272" s="7">
        <v>80918</v>
      </c>
      <c r="H3272" s="7">
        <f t="shared" si="96"/>
        <v>42010.84</v>
      </c>
      <c r="I3272" s="15"/>
    </row>
    <row r="3273" spans="1:9" s="8" customFormat="1" ht="21" customHeight="1" x14ac:dyDescent="0.6">
      <c r="A3273" s="7">
        <v>24.7214533</v>
      </c>
      <c r="B3273" s="7">
        <v>34.7444676</v>
      </c>
      <c r="C3273" s="7">
        <v>676446.36</v>
      </c>
      <c r="D3273" s="7">
        <v>2735228.82</v>
      </c>
      <c r="E3273" s="7">
        <v>465.19</v>
      </c>
      <c r="F3273" s="7">
        <v>42028.7</v>
      </c>
      <c r="G3273" s="7">
        <v>80920</v>
      </c>
      <c r="H3273" s="7">
        <f t="shared" si="96"/>
        <v>42012.7</v>
      </c>
      <c r="I3273" s="15"/>
    </row>
    <row r="3274" spans="1:9" s="8" customFormat="1" ht="21" customHeight="1" x14ac:dyDescent="0.6">
      <c r="A3274" s="7">
        <v>24.721442799999998</v>
      </c>
      <c r="B3274" s="7">
        <v>34.744489199999997</v>
      </c>
      <c r="C3274" s="7">
        <v>676448.56</v>
      </c>
      <c r="D3274" s="7">
        <v>2735227.69</v>
      </c>
      <c r="E3274" s="7">
        <v>464.84</v>
      </c>
      <c r="F3274" s="7">
        <v>42030.28</v>
      </c>
      <c r="G3274" s="7">
        <v>80922</v>
      </c>
      <c r="H3274" s="7">
        <f t="shared" si="96"/>
        <v>42014.28</v>
      </c>
      <c r="I3274" s="15"/>
    </row>
    <row r="3275" spans="1:9" s="8" customFormat="1" ht="21" customHeight="1" x14ac:dyDescent="0.6">
      <c r="A3275" s="7">
        <v>24.721435899999999</v>
      </c>
      <c r="B3275" s="7">
        <v>34.744510400000003</v>
      </c>
      <c r="C3275" s="7">
        <v>676450.71</v>
      </c>
      <c r="D3275" s="7">
        <v>2735226.95</v>
      </c>
      <c r="E3275" s="7">
        <v>464.39</v>
      </c>
      <c r="F3275" s="7">
        <v>42035.07</v>
      </c>
      <c r="G3275" s="7">
        <v>80924</v>
      </c>
      <c r="H3275" s="7">
        <f t="shared" si="96"/>
        <v>42019.07</v>
      </c>
      <c r="I3275" s="15"/>
    </row>
    <row r="3276" spans="1:9" s="8" customFormat="1" ht="21" customHeight="1" x14ac:dyDescent="0.6">
      <c r="A3276" s="7">
        <v>24.721427299999998</v>
      </c>
      <c r="B3276" s="7">
        <v>34.744532800000002</v>
      </c>
      <c r="C3276" s="7">
        <v>676452.99</v>
      </c>
      <c r="D3276" s="7">
        <v>2735226.03</v>
      </c>
      <c r="E3276" s="7">
        <v>464.02</v>
      </c>
      <c r="F3276" s="7">
        <v>42038.47</v>
      </c>
      <c r="G3276" s="7">
        <v>80926</v>
      </c>
      <c r="H3276" s="7">
        <f t="shared" si="96"/>
        <v>42022.47</v>
      </c>
      <c r="I3276" s="15"/>
    </row>
    <row r="3277" spans="1:9" s="8" customFormat="1" ht="21" customHeight="1" x14ac:dyDescent="0.6">
      <c r="A3277" s="7">
        <v>24.721416999999999</v>
      </c>
      <c r="B3277" s="7">
        <v>34.744551999999999</v>
      </c>
      <c r="C3277" s="7">
        <v>676454.95</v>
      </c>
      <c r="D3277" s="7">
        <v>2735224.92</v>
      </c>
      <c r="E3277" s="7">
        <v>463.6</v>
      </c>
      <c r="F3277" s="7">
        <v>42040.9</v>
      </c>
      <c r="G3277" s="7">
        <v>80928</v>
      </c>
      <c r="H3277" s="7">
        <f t="shared" si="96"/>
        <v>42024.9</v>
      </c>
      <c r="I3277" s="15"/>
    </row>
    <row r="3278" spans="1:9" s="8" customFormat="1" ht="21" customHeight="1" x14ac:dyDescent="0.6">
      <c r="A3278" s="7">
        <v>24.721402999999999</v>
      </c>
      <c r="B3278" s="7">
        <v>34.744572699999999</v>
      </c>
      <c r="C3278" s="7">
        <v>676457.07</v>
      </c>
      <c r="D3278" s="7">
        <v>2735223.38</v>
      </c>
      <c r="E3278" s="7">
        <v>463.25</v>
      </c>
      <c r="F3278" s="7">
        <v>42042.71</v>
      </c>
      <c r="G3278" s="7">
        <v>80930</v>
      </c>
      <c r="H3278" s="7">
        <f t="shared" si="96"/>
        <v>42026.71</v>
      </c>
      <c r="I3278" s="15"/>
    </row>
    <row r="3279" spans="1:9" s="8" customFormat="1" ht="21" customHeight="1" x14ac:dyDescent="0.6">
      <c r="A3279" s="7">
        <v>24.7213964</v>
      </c>
      <c r="B3279" s="7">
        <v>34.744600599999998</v>
      </c>
      <c r="C3279" s="7">
        <v>676459.89</v>
      </c>
      <c r="D3279" s="7">
        <v>2735222.69</v>
      </c>
      <c r="E3279" s="7">
        <v>462.87</v>
      </c>
      <c r="F3279" s="7">
        <v>42048.160000000003</v>
      </c>
      <c r="G3279" s="7">
        <v>80932</v>
      </c>
      <c r="H3279" s="7">
        <f t="shared" si="96"/>
        <v>42032.160000000003</v>
      </c>
      <c r="I3279" s="15"/>
    </row>
    <row r="3280" spans="1:9" s="8" customFormat="1" ht="21" customHeight="1" x14ac:dyDescent="0.6">
      <c r="A3280" s="7">
        <v>24.7213897</v>
      </c>
      <c r="B3280" s="7">
        <v>34.744625800000001</v>
      </c>
      <c r="C3280" s="7">
        <v>676462.46</v>
      </c>
      <c r="D3280" s="7">
        <v>2735221.99</v>
      </c>
      <c r="E3280" s="7">
        <v>462.57</v>
      </c>
      <c r="F3280" s="7">
        <v>42047.87</v>
      </c>
      <c r="G3280" s="7">
        <v>80934</v>
      </c>
      <c r="H3280" s="7">
        <f t="shared" si="96"/>
        <v>42031.87</v>
      </c>
      <c r="I3280" s="15"/>
    </row>
    <row r="3281" spans="1:9" s="8" customFormat="1" ht="21" customHeight="1" x14ac:dyDescent="0.6">
      <c r="A3281" s="7">
        <v>24.7213849</v>
      </c>
      <c r="B3281" s="7">
        <v>34.744649899999999</v>
      </c>
      <c r="C3281" s="7">
        <v>676464.89</v>
      </c>
      <c r="D3281" s="7">
        <v>2735221.48</v>
      </c>
      <c r="E3281" s="7">
        <v>462.13</v>
      </c>
      <c r="F3281" s="7">
        <v>42053.23</v>
      </c>
      <c r="G3281" s="7">
        <v>80936</v>
      </c>
      <c r="H3281" s="7">
        <f t="shared" si="96"/>
        <v>42037.23</v>
      </c>
      <c r="I3281" s="15"/>
    </row>
    <row r="3282" spans="1:9" s="8" customFormat="1" ht="21" customHeight="1" x14ac:dyDescent="0.6">
      <c r="A3282" s="7">
        <v>24.721373799999999</v>
      </c>
      <c r="B3282" s="7">
        <v>34.744673599999999</v>
      </c>
      <c r="C3282" s="7">
        <v>676467.31</v>
      </c>
      <c r="D3282" s="7">
        <v>2735220.28</v>
      </c>
      <c r="E3282" s="7">
        <v>461.87</v>
      </c>
      <c r="F3282" s="7">
        <v>42055.42</v>
      </c>
      <c r="G3282" s="7">
        <v>80938</v>
      </c>
      <c r="H3282" s="7">
        <f t="shared" si="96"/>
        <v>42039.42</v>
      </c>
      <c r="I3282" s="15"/>
    </row>
    <row r="3283" spans="1:9" s="8" customFormat="1" ht="21" customHeight="1" x14ac:dyDescent="0.6">
      <c r="A3283" s="7">
        <v>24.7213593</v>
      </c>
      <c r="B3283" s="7">
        <v>34.744695499999999</v>
      </c>
      <c r="C3283" s="7">
        <v>676469.55</v>
      </c>
      <c r="D3283" s="7">
        <v>2735218.71</v>
      </c>
      <c r="E3283" s="7">
        <v>461.5</v>
      </c>
      <c r="F3283" s="7">
        <v>42059.03</v>
      </c>
      <c r="G3283" s="7">
        <v>80940</v>
      </c>
      <c r="H3283" s="7">
        <f t="shared" si="96"/>
        <v>42043.03</v>
      </c>
      <c r="I3283" s="15"/>
    </row>
    <row r="3284" spans="1:9" s="8" customFormat="1" ht="21" customHeight="1" x14ac:dyDescent="0.6">
      <c r="A3284" s="7">
        <v>24.721348299999999</v>
      </c>
      <c r="B3284" s="7">
        <v>34.744716799999999</v>
      </c>
      <c r="C3284" s="7">
        <v>676471.72</v>
      </c>
      <c r="D3284" s="7">
        <v>2735217.52</v>
      </c>
      <c r="E3284" s="7">
        <v>461.19</v>
      </c>
      <c r="F3284" s="7">
        <v>42062.28</v>
      </c>
      <c r="G3284" s="7">
        <v>80942</v>
      </c>
      <c r="H3284" s="7">
        <f t="shared" si="96"/>
        <v>42046.28</v>
      </c>
      <c r="I3284" s="15"/>
    </row>
    <row r="3285" spans="1:9" s="8" customFormat="1" ht="21" customHeight="1" x14ac:dyDescent="0.6">
      <c r="A3285" s="7">
        <v>24.721337200000001</v>
      </c>
      <c r="B3285" s="7">
        <v>34.744737999999998</v>
      </c>
      <c r="C3285" s="7">
        <v>676473.88</v>
      </c>
      <c r="D3285" s="7">
        <v>2735216.31</v>
      </c>
      <c r="E3285" s="7">
        <v>460.95</v>
      </c>
      <c r="F3285" s="7">
        <v>42065.18</v>
      </c>
      <c r="G3285" s="7">
        <v>80944</v>
      </c>
      <c r="H3285" s="7">
        <f t="shared" si="96"/>
        <v>42049.18</v>
      </c>
      <c r="I3285" s="15"/>
    </row>
    <row r="3286" spans="1:9" s="8" customFormat="1" ht="21" customHeight="1" x14ac:dyDescent="0.6">
      <c r="A3286" s="7">
        <v>24.721322000000001</v>
      </c>
      <c r="B3286" s="7">
        <v>34.744756899999999</v>
      </c>
      <c r="C3286" s="7">
        <v>676475.82</v>
      </c>
      <c r="D3286" s="7">
        <v>2735214.66</v>
      </c>
      <c r="E3286" s="7">
        <v>460.65</v>
      </c>
      <c r="F3286" s="7">
        <v>42067.05</v>
      </c>
      <c r="G3286" s="7">
        <v>80946</v>
      </c>
      <c r="H3286" s="7">
        <f t="shared" si="96"/>
        <v>42051.05</v>
      </c>
      <c r="I3286" s="15"/>
    </row>
    <row r="3287" spans="1:9" s="8" customFormat="1" ht="21" customHeight="1" x14ac:dyDescent="0.6">
      <c r="A3287" s="7">
        <v>24.721310299999999</v>
      </c>
      <c r="B3287" s="7">
        <v>34.744781699999997</v>
      </c>
      <c r="C3287" s="7">
        <v>676478.34</v>
      </c>
      <c r="D3287" s="7">
        <v>2735213.39</v>
      </c>
      <c r="E3287" s="7">
        <v>460.38</v>
      </c>
      <c r="F3287" s="7">
        <v>42072.12</v>
      </c>
      <c r="G3287" s="7">
        <v>80948</v>
      </c>
      <c r="H3287" s="7">
        <f t="shared" si="96"/>
        <v>42056.12</v>
      </c>
      <c r="I3287" s="15"/>
    </row>
    <row r="3288" spans="1:9" s="8" customFormat="1" ht="21" customHeight="1" x14ac:dyDescent="0.6">
      <c r="A3288" s="7">
        <v>24.7212982</v>
      </c>
      <c r="B3288" s="7">
        <v>34.744807399999999</v>
      </c>
      <c r="C3288" s="7">
        <v>676480.96</v>
      </c>
      <c r="D3288" s="7">
        <v>2735212.08</v>
      </c>
      <c r="E3288" s="7">
        <v>460.18</v>
      </c>
      <c r="F3288" s="7">
        <v>42076.19</v>
      </c>
      <c r="G3288" s="7">
        <v>80950</v>
      </c>
      <c r="H3288" s="7">
        <f t="shared" si="96"/>
        <v>42060.19</v>
      </c>
      <c r="I3288" s="15"/>
    </row>
    <row r="3289" spans="1:9" s="8" customFormat="1" ht="21" customHeight="1" x14ac:dyDescent="0.6">
      <c r="A3289" s="7">
        <v>24.721286899999999</v>
      </c>
      <c r="B3289" s="7">
        <v>34.744831099999999</v>
      </c>
      <c r="C3289" s="7">
        <v>676483.37</v>
      </c>
      <c r="D3289" s="7">
        <v>2735210.87</v>
      </c>
      <c r="E3289" s="7">
        <v>460.09</v>
      </c>
      <c r="F3289" s="7">
        <v>42077.599999999999</v>
      </c>
      <c r="G3289" s="7">
        <v>80952</v>
      </c>
      <c r="H3289" s="7">
        <f t="shared" si="96"/>
        <v>42061.599999999999</v>
      </c>
      <c r="I3289" s="15"/>
    </row>
    <row r="3290" spans="1:9" s="8" customFormat="1" ht="21" customHeight="1" x14ac:dyDescent="0.6">
      <c r="A3290" s="7">
        <v>24.7212803</v>
      </c>
      <c r="B3290" s="7">
        <v>34.744855000000001</v>
      </c>
      <c r="C3290" s="7">
        <v>676485.8</v>
      </c>
      <c r="D3290" s="7">
        <v>2735210.16</v>
      </c>
      <c r="E3290" s="7">
        <v>460</v>
      </c>
      <c r="F3290" s="7">
        <v>42081.25</v>
      </c>
      <c r="G3290" s="7">
        <v>80954</v>
      </c>
      <c r="H3290" s="7">
        <f t="shared" si="96"/>
        <v>42065.25</v>
      </c>
      <c r="I3290" s="15"/>
    </row>
    <row r="3291" spans="1:9" s="8" customFormat="1" ht="21" customHeight="1" x14ac:dyDescent="0.6">
      <c r="A3291" s="7">
        <v>24.721275899999998</v>
      </c>
      <c r="B3291" s="7">
        <v>34.744880999999999</v>
      </c>
      <c r="C3291" s="7">
        <v>676488.43</v>
      </c>
      <c r="D3291" s="7">
        <v>2735209.71</v>
      </c>
      <c r="E3291" s="7">
        <v>459.83</v>
      </c>
      <c r="F3291" s="7">
        <v>42083.15</v>
      </c>
      <c r="G3291" s="7">
        <v>80956</v>
      </c>
      <c r="H3291" s="7">
        <f t="shared" si="96"/>
        <v>42067.15</v>
      </c>
      <c r="I3291" s="15"/>
    </row>
    <row r="3292" spans="1:9" s="8" customFormat="1" ht="21" customHeight="1" x14ac:dyDescent="0.6">
      <c r="A3292" s="7">
        <v>24.721270700000002</v>
      </c>
      <c r="B3292" s="7">
        <v>34.744908199999998</v>
      </c>
      <c r="C3292" s="7">
        <v>676491.19</v>
      </c>
      <c r="D3292" s="7">
        <v>2735209.17</v>
      </c>
      <c r="E3292" s="7">
        <v>459.86</v>
      </c>
      <c r="F3292" s="7">
        <v>42087.63</v>
      </c>
      <c r="G3292" s="7">
        <v>80958</v>
      </c>
      <c r="H3292" s="7">
        <f t="shared" si="96"/>
        <v>42071.63</v>
      </c>
      <c r="I3292" s="15"/>
    </row>
    <row r="3293" spans="1:9" s="8" customFormat="1" ht="21" customHeight="1" x14ac:dyDescent="0.6">
      <c r="A3293" s="7">
        <v>24.721268899999998</v>
      </c>
      <c r="B3293" s="7">
        <v>34.744935499999997</v>
      </c>
      <c r="C3293" s="7">
        <v>676493.96</v>
      </c>
      <c r="D3293" s="7">
        <v>2735209</v>
      </c>
      <c r="E3293" s="7">
        <v>459.86</v>
      </c>
      <c r="F3293" s="7">
        <v>42092.65</v>
      </c>
      <c r="G3293" s="7">
        <v>81000</v>
      </c>
      <c r="H3293" s="7">
        <f t="shared" si="96"/>
        <v>42076.65</v>
      </c>
      <c r="I3293" s="15"/>
    </row>
    <row r="3294" spans="1:9" s="8" customFormat="1" ht="21" customHeight="1" x14ac:dyDescent="0.6">
      <c r="A3294" s="7">
        <v>24.721266400000001</v>
      </c>
      <c r="B3294" s="7">
        <v>34.744962399999999</v>
      </c>
      <c r="C3294" s="7">
        <v>676496.68</v>
      </c>
      <c r="D3294" s="7">
        <v>2735208.76</v>
      </c>
      <c r="E3294" s="7">
        <v>459.74</v>
      </c>
      <c r="F3294" s="7">
        <v>42099.83</v>
      </c>
      <c r="G3294" s="7">
        <v>81002</v>
      </c>
      <c r="H3294" s="7">
        <f t="shared" si="96"/>
        <v>42083.83</v>
      </c>
      <c r="I3294" s="15"/>
    </row>
    <row r="3295" spans="1:9" s="8" customFormat="1" ht="21" customHeight="1" x14ac:dyDescent="0.6">
      <c r="A3295" s="7">
        <v>24.721262599999999</v>
      </c>
      <c r="B3295" s="7">
        <v>34.7449899</v>
      </c>
      <c r="C3295" s="7">
        <v>676499.47</v>
      </c>
      <c r="D3295" s="7">
        <v>2735208.37</v>
      </c>
      <c r="E3295" s="7">
        <v>459.59</v>
      </c>
      <c r="F3295" s="7">
        <v>42102.07</v>
      </c>
      <c r="G3295" s="7">
        <v>81004</v>
      </c>
      <c r="H3295" s="7">
        <f t="shared" si="96"/>
        <v>42086.07</v>
      </c>
      <c r="I3295" s="15"/>
    </row>
    <row r="3296" spans="1:9" s="8" customFormat="1" ht="21" customHeight="1" x14ac:dyDescent="0.6">
      <c r="A3296" s="7">
        <v>24.721257399999999</v>
      </c>
      <c r="B3296" s="7">
        <v>34.745015100000003</v>
      </c>
      <c r="C3296" s="7">
        <v>676502.02</v>
      </c>
      <c r="D3296" s="7">
        <v>2735207.83</v>
      </c>
      <c r="E3296" s="7">
        <v>459.53</v>
      </c>
      <c r="F3296" s="7">
        <v>42105.77</v>
      </c>
      <c r="G3296" s="7">
        <v>81006</v>
      </c>
      <c r="H3296" s="7">
        <f t="shared" si="96"/>
        <v>42089.77</v>
      </c>
      <c r="I3296" s="15"/>
    </row>
    <row r="3297" spans="1:9" s="8" customFormat="1" ht="21" customHeight="1" x14ac:dyDescent="0.6">
      <c r="A3297" s="7">
        <v>24.721252799999998</v>
      </c>
      <c r="B3297" s="7">
        <v>34.745036499999998</v>
      </c>
      <c r="C3297" s="7">
        <v>676504.19</v>
      </c>
      <c r="D3297" s="7">
        <v>2735207.35</v>
      </c>
      <c r="E3297" s="7">
        <v>459.6</v>
      </c>
      <c r="F3297" s="7">
        <v>42110.79</v>
      </c>
      <c r="G3297" s="7">
        <v>81008</v>
      </c>
      <c r="H3297" s="7">
        <f t="shared" si="96"/>
        <v>42094.79</v>
      </c>
      <c r="I3297" s="15"/>
    </row>
    <row r="3298" spans="1:9" s="8" customFormat="1" ht="21" customHeight="1" x14ac:dyDescent="0.6">
      <c r="A3298" s="7">
        <v>24.7212499</v>
      </c>
      <c r="B3298" s="7">
        <v>34.745040299999999</v>
      </c>
      <c r="C3298" s="7">
        <v>676504.58</v>
      </c>
      <c r="D3298" s="7">
        <v>2735207.04</v>
      </c>
      <c r="E3298" s="7">
        <v>459.57</v>
      </c>
      <c r="F3298" s="7">
        <v>42112.04</v>
      </c>
      <c r="G3298" s="7">
        <v>81010</v>
      </c>
      <c r="H3298" s="7">
        <f t="shared" si="96"/>
        <v>42096.04</v>
      </c>
      <c r="I3298" s="15"/>
    </row>
    <row r="3299" spans="1:9" s="8" customFormat="1" ht="21" customHeight="1" x14ac:dyDescent="0.6">
      <c r="A3299" s="7">
        <v>24.721249700000001</v>
      </c>
      <c r="B3299" s="7">
        <v>34.745040400000001</v>
      </c>
      <c r="C3299" s="7">
        <v>676504.6</v>
      </c>
      <c r="D3299" s="7">
        <v>2735207.02</v>
      </c>
      <c r="E3299" s="7">
        <v>459.57</v>
      </c>
      <c r="F3299" s="7">
        <v>42115.19</v>
      </c>
      <c r="G3299" s="7">
        <v>81012</v>
      </c>
      <c r="H3299" s="7">
        <f t="shared" si="96"/>
        <v>42099.19</v>
      </c>
      <c r="I3299" s="15"/>
    </row>
    <row r="3300" spans="1:9" s="8" customFormat="1" ht="21" customHeight="1" x14ac:dyDescent="0.6">
      <c r="A3300" s="7">
        <v>24.721248500000002</v>
      </c>
      <c r="B3300" s="7">
        <v>34.745047200000002</v>
      </c>
      <c r="C3300" s="7">
        <v>676505.29</v>
      </c>
      <c r="D3300" s="7">
        <v>2735206.88</v>
      </c>
      <c r="E3300" s="7">
        <v>459.56</v>
      </c>
      <c r="F3300" s="7">
        <v>42115.45</v>
      </c>
      <c r="G3300" s="7">
        <v>81014</v>
      </c>
      <c r="H3300" s="7">
        <f t="shared" si="96"/>
        <v>42099.45</v>
      </c>
      <c r="I3300" s="15"/>
    </row>
    <row r="3301" spans="1:9" s="8" customFormat="1" ht="21" customHeight="1" x14ac:dyDescent="0.6">
      <c r="A3301" s="7">
        <v>24.721239199999999</v>
      </c>
      <c r="B3301" s="7">
        <v>34.745061100000001</v>
      </c>
      <c r="C3301" s="7">
        <v>676506.71</v>
      </c>
      <c r="D3301" s="7">
        <v>2735205.88</v>
      </c>
      <c r="E3301" s="7">
        <v>459.7</v>
      </c>
      <c r="F3301" s="7">
        <v>42111.87</v>
      </c>
      <c r="G3301" s="7">
        <v>81016</v>
      </c>
      <c r="H3301" s="7">
        <f t="shared" si="96"/>
        <v>42095.87</v>
      </c>
      <c r="I3301" s="15"/>
    </row>
    <row r="3302" spans="1:9" s="8" customFormat="1" ht="21" customHeight="1" x14ac:dyDescent="0.6">
      <c r="A3302" s="7">
        <v>24.721233000000002</v>
      </c>
      <c r="B3302" s="7">
        <v>34.745077000000002</v>
      </c>
      <c r="C3302" s="7">
        <v>676508.32</v>
      </c>
      <c r="D3302" s="7">
        <v>2735205.21</v>
      </c>
      <c r="E3302" s="7">
        <v>459.45</v>
      </c>
      <c r="F3302" s="7">
        <v>42114.45</v>
      </c>
      <c r="G3302" s="7">
        <v>81018</v>
      </c>
      <c r="H3302" s="7">
        <f t="shared" si="96"/>
        <v>42098.45</v>
      </c>
      <c r="I3302" s="15"/>
    </row>
    <row r="3303" spans="1:9" s="8" customFormat="1" ht="21" customHeight="1" x14ac:dyDescent="0.6">
      <c r="A3303" s="7">
        <v>24.721225499999999</v>
      </c>
      <c r="B3303" s="7">
        <v>34.745101200000001</v>
      </c>
      <c r="C3303" s="7">
        <v>676510.78</v>
      </c>
      <c r="D3303" s="7">
        <v>2735204.41</v>
      </c>
      <c r="E3303" s="7">
        <v>459.22</v>
      </c>
      <c r="F3303" s="7">
        <v>42120.22</v>
      </c>
      <c r="G3303" s="7">
        <v>81020</v>
      </c>
      <c r="H3303" s="7">
        <f t="shared" si="96"/>
        <v>42104.22</v>
      </c>
      <c r="I3303" s="15"/>
    </row>
    <row r="3304" spans="1:9" s="8" customFormat="1" ht="21" customHeight="1" x14ac:dyDescent="0.6">
      <c r="A3304" s="7">
        <v>24.721226999999999</v>
      </c>
      <c r="B3304" s="7">
        <v>34.745118599999998</v>
      </c>
      <c r="C3304" s="7">
        <v>676512.54</v>
      </c>
      <c r="D3304" s="7">
        <v>2735204.6</v>
      </c>
      <c r="E3304" s="7">
        <v>459.41</v>
      </c>
      <c r="F3304" s="7">
        <v>42120.94</v>
      </c>
      <c r="G3304" s="7">
        <v>81022</v>
      </c>
      <c r="H3304" s="7">
        <f t="shared" si="96"/>
        <v>42104.94</v>
      </c>
      <c r="I3304" s="15"/>
    </row>
    <row r="3305" spans="1:9" s="8" customFormat="1" ht="21" customHeight="1" x14ac:dyDescent="0.6">
      <c r="A3305" s="7">
        <v>24.721227899999999</v>
      </c>
      <c r="B3305" s="7">
        <v>34.745137100000001</v>
      </c>
      <c r="C3305" s="7">
        <v>676514.41</v>
      </c>
      <c r="D3305" s="7">
        <v>2735204.72</v>
      </c>
      <c r="E3305" s="7">
        <v>459.45</v>
      </c>
      <c r="F3305" s="7">
        <v>42123.93</v>
      </c>
      <c r="G3305" s="7">
        <v>81024</v>
      </c>
      <c r="H3305" s="7">
        <f t="shared" si="96"/>
        <v>42107.93</v>
      </c>
      <c r="I3305" s="15"/>
    </row>
    <row r="3306" spans="1:9" s="8" customFormat="1" ht="21" customHeight="1" x14ac:dyDescent="0.6">
      <c r="A3306" s="7">
        <v>24.721223299999998</v>
      </c>
      <c r="B3306" s="7">
        <v>34.745155599999997</v>
      </c>
      <c r="C3306" s="7">
        <v>676516.28</v>
      </c>
      <c r="D3306" s="7">
        <v>2735204.24</v>
      </c>
      <c r="E3306" s="7">
        <v>459.44</v>
      </c>
      <c r="F3306" s="7">
        <v>42128.33</v>
      </c>
      <c r="G3306" s="7">
        <v>81026</v>
      </c>
      <c r="H3306" s="7">
        <f t="shared" si="96"/>
        <v>42112.33</v>
      </c>
      <c r="I3306" s="15"/>
    </row>
    <row r="3307" spans="1:9" s="8" customFormat="1" ht="21" customHeight="1" x14ac:dyDescent="0.6">
      <c r="A3307" s="7">
        <v>24.7212225</v>
      </c>
      <c r="B3307" s="7">
        <v>34.745175699999997</v>
      </c>
      <c r="C3307" s="7">
        <v>676518.32</v>
      </c>
      <c r="D3307" s="7">
        <v>2735204.17</v>
      </c>
      <c r="E3307" s="7">
        <v>459.46</v>
      </c>
      <c r="F3307" s="7">
        <v>42130.74</v>
      </c>
      <c r="G3307" s="7">
        <v>81028</v>
      </c>
      <c r="H3307" s="7">
        <f t="shared" si="96"/>
        <v>42114.74</v>
      </c>
      <c r="I3307" s="15"/>
    </row>
    <row r="3308" spans="1:9" s="8" customFormat="1" ht="21" customHeight="1" x14ac:dyDescent="0.6">
      <c r="A3308" s="7">
        <v>24.721214199999999</v>
      </c>
      <c r="B3308" s="7">
        <v>34.745197900000001</v>
      </c>
      <c r="C3308" s="7">
        <v>676520.58</v>
      </c>
      <c r="D3308" s="7">
        <v>2735203.28</v>
      </c>
      <c r="E3308" s="7">
        <v>459.16</v>
      </c>
      <c r="F3308" s="7">
        <v>42135.78</v>
      </c>
      <c r="G3308" s="7">
        <v>81030</v>
      </c>
      <c r="H3308" s="7">
        <f t="shared" si="96"/>
        <v>42119.78</v>
      </c>
      <c r="I3308" s="15"/>
    </row>
    <row r="3309" spans="1:9" s="8" customFormat="1" ht="21" customHeight="1" x14ac:dyDescent="0.6">
      <c r="A3309" s="7">
        <v>24.721207</v>
      </c>
      <c r="B3309" s="7">
        <v>34.745221299999997</v>
      </c>
      <c r="C3309" s="7">
        <v>676522.95</v>
      </c>
      <c r="D3309" s="7">
        <v>2735202.52</v>
      </c>
      <c r="E3309" s="7">
        <v>458.95</v>
      </c>
      <c r="F3309" s="7">
        <v>42135.59</v>
      </c>
      <c r="G3309" s="7">
        <v>81032</v>
      </c>
      <c r="H3309" s="7">
        <f t="shared" si="96"/>
        <v>42119.59</v>
      </c>
      <c r="I3309" s="15"/>
    </row>
    <row r="3310" spans="1:9" s="8" customFormat="1" ht="21" customHeight="1" x14ac:dyDescent="0.6">
      <c r="A3310" s="7">
        <v>24.7211982</v>
      </c>
      <c r="B3310" s="7">
        <v>34.745244499999998</v>
      </c>
      <c r="C3310" s="7">
        <v>676525.31</v>
      </c>
      <c r="D3310" s="7">
        <v>2735201.57</v>
      </c>
      <c r="E3310" s="7">
        <v>458.75</v>
      </c>
      <c r="F3310" s="7">
        <v>42140.55</v>
      </c>
      <c r="G3310" s="7">
        <v>81034</v>
      </c>
      <c r="H3310" s="7">
        <f t="shared" si="96"/>
        <v>42124.55</v>
      </c>
      <c r="I3310" s="15"/>
    </row>
    <row r="3311" spans="1:9" s="8" customFormat="1" ht="21" customHeight="1" x14ac:dyDescent="0.6">
      <c r="A3311" s="7">
        <v>24.721186100000001</v>
      </c>
      <c r="B3311" s="7">
        <v>34.745268500000002</v>
      </c>
      <c r="C3311" s="7">
        <v>676527.77</v>
      </c>
      <c r="D3311" s="7">
        <v>2735200.26</v>
      </c>
      <c r="E3311" s="7">
        <v>458.35</v>
      </c>
      <c r="F3311" s="7">
        <v>42145.75</v>
      </c>
      <c r="G3311" s="7">
        <v>81036</v>
      </c>
      <c r="H3311" s="7">
        <f t="shared" si="96"/>
        <v>42129.75</v>
      </c>
      <c r="I3311" s="15"/>
    </row>
    <row r="3312" spans="1:9" s="8" customFormat="1" ht="21" customHeight="1" x14ac:dyDescent="0.6">
      <c r="A3312" s="7">
        <v>24.721170799999999</v>
      </c>
      <c r="B3312" s="7">
        <v>34.745292399999997</v>
      </c>
      <c r="C3312" s="7">
        <v>676530.21</v>
      </c>
      <c r="D3312" s="7">
        <v>2735198.6</v>
      </c>
      <c r="E3312" s="7">
        <v>457.94</v>
      </c>
      <c r="F3312" s="7">
        <v>42149.71</v>
      </c>
      <c r="G3312" s="7">
        <v>81038</v>
      </c>
      <c r="H3312" s="7">
        <f t="shared" si="96"/>
        <v>42133.71</v>
      </c>
      <c r="I3312" s="15"/>
    </row>
    <row r="3313" spans="1:9" s="8" customFormat="1" ht="21" customHeight="1" x14ac:dyDescent="0.6">
      <c r="A3313" s="7">
        <v>24.7211587</v>
      </c>
      <c r="B3313" s="7">
        <v>34.745315099999999</v>
      </c>
      <c r="C3313" s="7">
        <v>676532.51</v>
      </c>
      <c r="D3313" s="7">
        <v>2735197.29</v>
      </c>
      <c r="E3313" s="7">
        <v>457.55</v>
      </c>
      <c r="F3313" s="7">
        <v>42157.52</v>
      </c>
      <c r="G3313" s="7">
        <v>81040</v>
      </c>
      <c r="H3313" s="7">
        <f t="shared" si="96"/>
        <v>42141.52</v>
      </c>
      <c r="I3313" s="15"/>
    </row>
    <row r="3314" spans="1:9" s="8" customFormat="1" ht="21" customHeight="1" x14ac:dyDescent="0.6">
      <c r="A3314" s="7">
        <v>24.721146000000001</v>
      </c>
      <c r="B3314" s="7">
        <v>34.745336500000001</v>
      </c>
      <c r="C3314" s="7">
        <v>676534.7</v>
      </c>
      <c r="D3314" s="7">
        <v>2735195.91</v>
      </c>
      <c r="E3314" s="7">
        <v>457.16</v>
      </c>
      <c r="F3314" s="7">
        <v>42160.39</v>
      </c>
      <c r="G3314" s="7">
        <v>81042</v>
      </c>
      <c r="H3314" s="7">
        <f t="shared" si="96"/>
        <v>42144.39</v>
      </c>
      <c r="I3314" s="15"/>
    </row>
    <row r="3315" spans="1:9" s="8" customFormat="1" ht="21" customHeight="1" x14ac:dyDescent="0.6">
      <c r="A3315" s="7">
        <v>24.721131199999999</v>
      </c>
      <c r="B3315" s="7">
        <v>34.745354399999997</v>
      </c>
      <c r="C3315" s="7">
        <v>676536.53</v>
      </c>
      <c r="D3315" s="7">
        <v>2735194.3</v>
      </c>
      <c r="E3315" s="7">
        <v>456.87</v>
      </c>
      <c r="F3315" s="7">
        <v>42160.29</v>
      </c>
      <c r="G3315" s="7">
        <v>81044</v>
      </c>
      <c r="H3315" s="7">
        <f t="shared" si="96"/>
        <v>42144.29</v>
      </c>
      <c r="I3315" s="15"/>
    </row>
    <row r="3316" spans="1:9" s="8" customFormat="1" ht="21" customHeight="1" x14ac:dyDescent="0.6">
      <c r="A3316" s="7">
        <v>24.7211143</v>
      </c>
      <c r="B3316" s="7">
        <v>34.7453723</v>
      </c>
      <c r="C3316" s="7">
        <v>676538.37</v>
      </c>
      <c r="D3316" s="7">
        <v>2735192.45</v>
      </c>
      <c r="E3316" s="7">
        <v>456.58</v>
      </c>
      <c r="F3316" s="7">
        <v>42162.27</v>
      </c>
      <c r="G3316" s="7">
        <v>81046</v>
      </c>
      <c r="H3316" s="7">
        <f t="shared" si="96"/>
        <v>42146.27</v>
      </c>
      <c r="I3316" s="15"/>
    </row>
    <row r="3317" spans="1:9" s="8" customFormat="1" ht="21" customHeight="1" x14ac:dyDescent="0.6">
      <c r="A3317" s="7">
        <v>24.721098900000001</v>
      </c>
      <c r="B3317" s="7">
        <v>34.7453924</v>
      </c>
      <c r="C3317" s="7">
        <v>676540.42</v>
      </c>
      <c r="D3317" s="7">
        <v>2735190.76</v>
      </c>
      <c r="E3317" s="7">
        <v>456.17</v>
      </c>
      <c r="F3317" s="7">
        <v>42166.5</v>
      </c>
      <c r="G3317" s="7">
        <v>81048</v>
      </c>
      <c r="H3317" s="7">
        <f t="shared" si="96"/>
        <v>42150.5</v>
      </c>
      <c r="I3317" s="15"/>
    </row>
    <row r="3318" spans="1:9" s="8" customFormat="1" ht="21" customHeight="1" x14ac:dyDescent="0.6">
      <c r="A3318" s="7">
        <v>24.721081300000002</v>
      </c>
      <c r="B3318" s="7">
        <v>34.745412100000003</v>
      </c>
      <c r="C3318" s="7">
        <v>676542.44</v>
      </c>
      <c r="D3318" s="7">
        <v>2735188.84</v>
      </c>
      <c r="E3318" s="7">
        <v>455.85</v>
      </c>
      <c r="F3318" s="7">
        <v>42165.11</v>
      </c>
      <c r="G3318" s="7">
        <v>81050</v>
      </c>
      <c r="H3318" s="7">
        <f t="shared" si="96"/>
        <v>42149.11</v>
      </c>
      <c r="I3318" s="15"/>
    </row>
    <row r="3319" spans="1:9" s="8" customFormat="1" ht="21" customHeight="1" x14ac:dyDescent="0.6">
      <c r="A3319" s="7">
        <v>24.721062400000001</v>
      </c>
      <c r="B3319" s="7">
        <v>34.745432899999997</v>
      </c>
      <c r="C3319" s="7">
        <v>676544.57</v>
      </c>
      <c r="D3319" s="7">
        <v>2735186.77</v>
      </c>
      <c r="E3319" s="7">
        <v>455.46</v>
      </c>
      <c r="F3319" s="7">
        <v>42172.22</v>
      </c>
      <c r="G3319" s="7">
        <v>81052</v>
      </c>
      <c r="H3319" s="7">
        <f t="shared" si="96"/>
        <v>42156.22</v>
      </c>
      <c r="I3319" s="15"/>
    </row>
    <row r="3320" spans="1:9" s="8" customFormat="1" ht="21" customHeight="1" x14ac:dyDescent="0.6">
      <c r="A3320" s="7">
        <v>24.721042099999998</v>
      </c>
      <c r="B3320" s="7">
        <v>34.745449399999998</v>
      </c>
      <c r="C3320" s="7">
        <v>676546.27</v>
      </c>
      <c r="D3320" s="7">
        <v>2735184.55</v>
      </c>
      <c r="E3320" s="7">
        <v>455.15</v>
      </c>
      <c r="F3320" s="7">
        <v>42174.46</v>
      </c>
      <c r="G3320" s="7">
        <v>81054</v>
      </c>
      <c r="H3320" s="7">
        <f t="shared" si="96"/>
        <v>42158.46</v>
      </c>
      <c r="I3320" s="15"/>
    </row>
    <row r="3321" spans="1:9" s="8" customFormat="1" ht="21" customHeight="1" x14ac:dyDescent="0.6">
      <c r="A3321" s="7">
        <v>24.7210234</v>
      </c>
      <c r="B3321" s="7">
        <v>34.745474100000003</v>
      </c>
      <c r="C3321" s="7">
        <v>676548.79</v>
      </c>
      <c r="D3321" s="7">
        <v>2735182.51</v>
      </c>
      <c r="E3321" s="7">
        <v>454.83</v>
      </c>
      <c r="F3321" s="7">
        <v>42180.56</v>
      </c>
      <c r="G3321" s="7">
        <v>81056</v>
      </c>
      <c r="H3321" s="7">
        <f t="shared" si="96"/>
        <v>42164.56</v>
      </c>
      <c r="I3321" s="15"/>
    </row>
    <row r="3322" spans="1:9" s="8" customFormat="1" ht="21" customHeight="1" x14ac:dyDescent="0.6">
      <c r="A3322" s="7">
        <v>24.721006299999999</v>
      </c>
      <c r="B3322" s="7">
        <v>34.745499600000002</v>
      </c>
      <c r="C3322" s="7">
        <v>676551.4</v>
      </c>
      <c r="D3322" s="7">
        <v>2735180.65</v>
      </c>
      <c r="E3322" s="7">
        <v>454.7</v>
      </c>
      <c r="F3322" s="7">
        <v>42184.03</v>
      </c>
      <c r="G3322" s="7">
        <v>81058</v>
      </c>
      <c r="H3322" s="7">
        <f t="shared" si="96"/>
        <v>42168.03</v>
      </c>
      <c r="I3322" s="15"/>
    </row>
    <row r="3323" spans="1:9" s="8" customFormat="1" ht="21" customHeight="1" x14ac:dyDescent="0.6">
      <c r="A3323" s="7">
        <v>24.720991099999999</v>
      </c>
      <c r="B3323" s="7">
        <v>34.745526400000003</v>
      </c>
      <c r="C3323" s="7">
        <v>676554.13</v>
      </c>
      <c r="D3323" s="7">
        <v>2735179</v>
      </c>
      <c r="E3323" s="7">
        <v>454.49</v>
      </c>
      <c r="F3323" s="7">
        <v>42192.18</v>
      </c>
      <c r="G3323" s="7">
        <v>81100</v>
      </c>
      <c r="H3323" s="7">
        <f t="shared" si="96"/>
        <v>42176.18</v>
      </c>
      <c r="I3323" s="15"/>
    </row>
    <row r="3324" spans="1:9" s="8" customFormat="1" ht="21" customHeight="1" x14ac:dyDescent="0.6">
      <c r="A3324" s="7">
        <v>24.720973600000001</v>
      </c>
      <c r="B3324" s="7">
        <v>34.7455505</v>
      </c>
      <c r="C3324" s="7">
        <v>676556.59</v>
      </c>
      <c r="D3324" s="7">
        <v>2735177.09</v>
      </c>
      <c r="E3324" s="7">
        <v>454.63</v>
      </c>
      <c r="F3324" s="7">
        <v>42209.7</v>
      </c>
      <c r="G3324" s="7">
        <v>81102</v>
      </c>
      <c r="H3324" s="7">
        <f t="shared" si="96"/>
        <v>42193.7</v>
      </c>
      <c r="I3324" s="15"/>
    </row>
    <row r="3325" spans="1:9" s="8" customFormat="1" ht="21" customHeight="1" x14ac:dyDescent="0.6">
      <c r="A3325" s="7">
        <v>24.720955100000001</v>
      </c>
      <c r="B3325" s="7">
        <v>34.7455736</v>
      </c>
      <c r="C3325" s="7">
        <v>676558.95</v>
      </c>
      <c r="D3325" s="7">
        <v>2735175.08</v>
      </c>
      <c r="E3325" s="7">
        <v>454.72</v>
      </c>
      <c r="F3325" s="7">
        <v>42210.03</v>
      </c>
      <c r="G3325" s="7">
        <v>81104</v>
      </c>
      <c r="H3325" s="7">
        <f t="shared" si="96"/>
        <v>42194.03</v>
      </c>
      <c r="I3325" s="15"/>
    </row>
    <row r="3326" spans="1:9" s="8" customFormat="1" ht="21" customHeight="1" x14ac:dyDescent="0.6">
      <c r="A3326" s="7">
        <v>24.720938700000001</v>
      </c>
      <c r="B3326" s="7">
        <v>34.745598000000001</v>
      </c>
      <c r="C3326" s="7">
        <v>676561.45</v>
      </c>
      <c r="D3326" s="7">
        <v>2735173.29</v>
      </c>
      <c r="E3326" s="7">
        <v>454.78</v>
      </c>
      <c r="F3326" s="7">
        <v>42221.98</v>
      </c>
      <c r="G3326" s="7">
        <v>81106</v>
      </c>
      <c r="H3326" s="7">
        <f t="shared" si="96"/>
        <v>42205.98</v>
      </c>
      <c r="I3326" s="15"/>
    </row>
    <row r="3327" spans="1:9" s="8" customFormat="1" ht="21" customHeight="1" x14ac:dyDescent="0.6">
      <c r="A3327" s="7">
        <v>24.720926299999999</v>
      </c>
      <c r="B3327" s="7">
        <v>34.745624200000002</v>
      </c>
      <c r="C3327" s="7">
        <v>676564.12</v>
      </c>
      <c r="D3327" s="7">
        <v>2735171.95</v>
      </c>
      <c r="E3327" s="7">
        <v>454.85</v>
      </c>
      <c r="F3327" s="7">
        <v>42229.22</v>
      </c>
      <c r="G3327" s="7">
        <v>81108</v>
      </c>
      <c r="H3327" s="7">
        <f t="shared" si="96"/>
        <v>42213.22</v>
      </c>
      <c r="I3327" s="15"/>
    </row>
    <row r="3328" spans="1:9" s="8" customFormat="1" ht="21" customHeight="1" x14ac:dyDescent="0.6">
      <c r="A3328" s="7">
        <v>24.7209097</v>
      </c>
      <c r="B3328" s="7">
        <v>34.745648699999997</v>
      </c>
      <c r="C3328" s="7">
        <v>676566.61</v>
      </c>
      <c r="D3328" s="7">
        <v>2735170.14</v>
      </c>
      <c r="E3328" s="7">
        <v>454.89</v>
      </c>
      <c r="F3328" s="7">
        <v>42224.12</v>
      </c>
      <c r="G3328" s="7">
        <v>81110</v>
      </c>
      <c r="H3328" s="7">
        <f t="shared" si="96"/>
        <v>42208.12</v>
      </c>
      <c r="I3328" s="15"/>
    </row>
    <row r="3329" spans="1:9" s="8" customFormat="1" ht="21" customHeight="1" x14ac:dyDescent="0.6">
      <c r="A3329" s="7">
        <v>24.720897300000001</v>
      </c>
      <c r="B3329" s="7">
        <v>34.745674899999997</v>
      </c>
      <c r="C3329" s="7">
        <v>676569.29</v>
      </c>
      <c r="D3329" s="7">
        <v>2735168.8</v>
      </c>
      <c r="E3329" s="7">
        <v>454.92</v>
      </c>
      <c r="F3329" s="7">
        <v>42233.919999999998</v>
      </c>
      <c r="G3329" s="7">
        <v>81112</v>
      </c>
      <c r="H3329" s="7">
        <f t="shared" ref="H3329:H3382" si="97">SUM(F3329-16)</f>
        <v>42217.919999999998</v>
      </c>
      <c r="I3329" s="15"/>
    </row>
    <row r="3330" spans="1:9" s="8" customFormat="1" ht="21" customHeight="1" x14ac:dyDescent="0.6">
      <c r="A3330" s="7">
        <v>24.720884000000002</v>
      </c>
      <c r="B3330" s="7">
        <v>34.745701500000003</v>
      </c>
      <c r="C3330" s="7">
        <v>676572</v>
      </c>
      <c r="D3330" s="7">
        <v>2735167.36</v>
      </c>
      <c r="E3330" s="7">
        <v>454.93</v>
      </c>
      <c r="F3330" s="7">
        <v>42249.98</v>
      </c>
      <c r="G3330" s="7">
        <v>81114</v>
      </c>
      <c r="H3330" s="7">
        <f t="shared" si="97"/>
        <v>42233.98</v>
      </c>
      <c r="I3330" s="15"/>
    </row>
    <row r="3331" spans="1:9" s="8" customFormat="1" ht="21" customHeight="1" x14ac:dyDescent="0.6">
      <c r="A3331" s="7">
        <v>24.720867699999999</v>
      </c>
      <c r="B3331" s="7">
        <v>34.745727500000001</v>
      </c>
      <c r="C3331" s="7">
        <v>676574.65</v>
      </c>
      <c r="D3331" s="7">
        <v>2735165.59</v>
      </c>
      <c r="E3331" s="7">
        <v>455.03</v>
      </c>
      <c r="F3331" s="7">
        <v>42256.52</v>
      </c>
      <c r="G3331" s="7">
        <v>81116</v>
      </c>
      <c r="H3331" s="7">
        <f t="shared" si="97"/>
        <v>42240.52</v>
      </c>
      <c r="I3331" s="15"/>
    </row>
    <row r="3332" spans="1:9" s="8" customFormat="1" ht="21" customHeight="1" x14ac:dyDescent="0.6">
      <c r="A3332" s="7">
        <v>24.7208535</v>
      </c>
      <c r="B3332" s="7">
        <v>34.745753899999997</v>
      </c>
      <c r="C3332" s="7">
        <v>676577.34</v>
      </c>
      <c r="D3332" s="7">
        <v>2735164.05</v>
      </c>
      <c r="E3332" s="7">
        <v>455.09</v>
      </c>
      <c r="F3332" s="7">
        <v>42264.78</v>
      </c>
      <c r="G3332" s="7">
        <v>81118</v>
      </c>
      <c r="H3332" s="7">
        <f t="shared" si="97"/>
        <v>42248.78</v>
      </c>
      <c r="I3332" s="15"/>
    </row>
    <row r="3333" spans="1:9" s="8" customFormat="1" ht="21" customHeight="1" x14ac:dyDescent="0.6">
      <c r="A3333" s="7">
        <v>24.7208395</v>
      </c>
      <c r="B3333" s="7">
        <v>34.7457809</v>
      </c>
      <c r="C3333" s="7">
        <v>676580.08</v>
      </c>
      <c r="D3333" s="7">
        <v>2735162.54</v>
      </c>
      <c r="E3333" s="7">
        <v>455.15</v>
      </c>
      <c r="F3333" s="7">
        <v>42264.31</v>
      </c>
      <c r="G3333" s="7">
        <v>81120</v>
      </c>
      <c r="H3333" s="7">
        <f t="shared" si="97"/>
        <v>42248.31</v>
      </c>
      <c r="I3333" s="15"/>
    </row>
    <row r="3334" spans="1:9" s="8" customFormat="1" ht="21" customHeight="1" x14ac:dyDescent="0.6">
      <c r="A3334" s="7">
        <v>24.720831100000002</v>
      </c>
      <c r="B3334" s="7">
        <v>34.745807399999997</v>
      </c>
      <c r="C3334" s="7">
        <v>676582.78</v>
      </c>
      <c r="D3334" s="7">
        <v>2735161.64</v>
      </c>
      <c r="E3334" s="7">
        <v>455.15</v>
      </c>
      <c r="F3334" s="7">
        <v>42278.12</v>
      </c>
      <c r="G3334" s="7">
        <v>81122</v>
      </c>
      <c r="H3334" s="7">
        <f t="shared" si="97"/>
        <v>42262.12</v>
      </c>
      <c r="I3334" s="15"/>
    </row>
    <row r="3335" spans="1:9" s="8" customFormat="1" ht="21" customHeight="1" x14ac:dyDescent="0.6">
      <c r="A3335" s="7">
        <v>24.720818399999999</v>
      </c>
      <c r="B3335" s="7">
        <v>34.745833900000001</v>
      </c>
      <c r="C3335" s="7">
        <v>676585.48</v>
      </c>
      <c r="D3335" s="7">
        <v>2735160.27</v>
      </c>
      <c r="E3335" s="7">
        <v>455.23</v>
      </c>
      <c r="F3335" s="7">
        <v>42287.3</v>
      </c>
      <c r="G3335" s="7">
        <v>81124</v>
      </c>
      <c r="H3335" s="7">
        <f t="shared" si="97"/>
        <v>42271.3</v>
      </c>
      <c r="I3335" s="15"/>
    </row>
    <row r="3336" spans="1:9" s="8" customFormat="1" ht="21" customHeight="1" x14ac:dyDescent="0.6">
      <c r="A3336" s="7">
        <v>24.720799899999999</v>
      </c>
      <c r="B3336" s="7">
        <v>34.745859899999999</v>
      </c>
      <c r="C3336" s="7">
        <v>676588.14</v>
      </c>
      <c r="D3336" s="7">
        <v>2735158.25</v>
      </c>
      <c r="E3336" s="7">
        <v>455.46</v>
      </c>
      <c r="F3336" s="7">
        <v>42289.84</v>
      </c>
      <c r="G3336" s="7">
        <v>81126</v>
      </c>
      <c r="H3336" s="7">
        <f t="shared" si="97"/>
        <v>42273.84</v>
      </c>
      <c r="I3336" s="15"/>
    </row>
    <row r="3337" spans="1:9" s="8" customFormat="1" ht="21" customHeight="1" x14ac:dyDescent="0.6">
      <c r="A3337" s="7">
        <v>24.720783699999998</v>
      </c>
      <c r="B3337" s="7">
        <v>34.745884699999998</v>
      </c>
      <c r="C3337" s="7">
        <v>676590.67</v>
      </c>
      <c r="D3337" s="7">
        <v>2735156.49</v>
      </c>
      <c r="E3337" s="7">
        <v>455.61</v>
      </c>
      <c r="F3337" s="7">
        <v>42295.15</v>
      </c>
      <c r="G3337" s="7">
        <v>81128</v>
      </c>
      <c r="H3337" s="7">
        <f t="shared" si="97"/>
        <v>42279.15</v>
      </c>
      <c r="I3337" s="15"/>
    </row>
    <row r="3338" spans="1:9" s="8" customFormat="1" ht="21" customHeight="1" x14ac:dyDescent="0.6">
      <c r="A3338" s="7">
        <v>24.720759999999999</v>
      </c>
      <c r="B3338" s="7">
        <v>34.745901699999997</v>
      </c>
      <c r="C3338" s="7">
        <v>676592.42</v>
      </c>
      <c r="D3338" s="7">
        <v>2735153.88</v>
      </c>
      <c r="E3338" s="7">
        <v>455.74</v>
      </c>
      <c r="F3338" s="7">
        <v>42281.62</v>
      </c>
      <c r="G3338" s="7">
        <v>81130</v>
      </c>
      <c r="H3338" s="7">
        <f t="shared" si="97"/>
        <v>42265.62</v>
      </c>
      <c r="I3338" s="15"/>
    </row>
    <row r="3339" spans="1:9" s="8" customFormat="1" ht="21" customHeight="1" x14ac:dyDescent="0.6">
      <c r="A3339" s="7">
        <v>24.720735600000001</v>
      </c>
      <c r="B3339" s="7">
        <v>34.745918000000003</v>
      </c>
      <c r="C3339" s="7">
        <v>676594.11</v>
      </c>
      <c r="D3339" s="7">
        <v>2735151.21</v>
      </c>
      <c r="E3339" s="7">
        <v>455.89</v>
      </c>
      <c r="F3339" s="7">
        <v>42282.19</v>
      </c>
      <c r="G3339" s="7">
        <v>81132</v>
      </c>
      <c r="H3339" s="7">
        <f t="shared" si="97"/>
        <v>42266.19</v>
      </c>
      <c r="I3339" s="15"/>
    </row>
    <row r="3340" spans="1:9" s="8" customFormat="1" ht="21" customHeight="1" x14ac:dyDescent="0.6">
      <c r="A3340" s="7">
        <v>24.720714300000001</v>
      </c>
      <c r="B3340" s="7">
        <v>34.745938500000001</v>
      </c>
      <c r="C3340" s="7">
        <v>676596.21</v>
      </c>
      <c r="D3340" s="7">
        <v>2735148.87</v>
      </c>
      <c r="E3340" s="7">
        <v>455.97</v>
      </c>
      <c r="F3340" s="7">
        <v>42290.64</v>
      </c>
      <c r="G3340" s="7">
        <v>81134</v>
      </c>
      <c r="H3340" s="7">
        <f t="shared" si="97"/>
        <v>42274.64</v>
      </c>
      <c r="I3340" s="15"/>
    </row>
    <row r="3341" spans="1:9" s="8" customFormat="1" ht="21" customHeight="1" x14ac:dyDescent="0.6">
      <c r="A3341" s="7">
        <v>24.7206948</v>
      </c>
      <c r="B3341" s="7">
        <v>34.7459609</v>
      </c>
      <c r="C3341" s="7">
        <v>676598.51</v>
      </c>
      <c r="D3341" s="7">
        <v>2735146.74</v>
      </c>
      <c r="E3341" s="7">
        <v>456.06</v>
      </c>
      <c r="F3341" s="7">
        <v>42299.42</v>
      </c>
      <c r="G3341" s="7">
        <v>81136</v>
      </c>
      <c r="H3341" s="7">
        <f t="shared" si="97"/>
        <v>42283.42</v>
      </c>
      <c r="I3341" s="15"/>
    </row>
    <row r="3342" spans="1:9" s="8" customFormat="1" ht="21" customHeight="1" x14ac:dyDescent="0.6">
      <c r="A3342" s="7">
        <v>24.720674500000001</v>
      </c>
      <c r="B3342" s="7">
        <v>34.7459846</v>
      </c>
      <c r="C3342" s="7">
        <v>676600.93</v>
      </c>
      <c r="D3342" s="7">
        <v>2735144.52</v>
      </c>
      <c r="E3342" s="7">
        <v>456.12</v>
      </c>
      <c r="F3342" s="7">
        <v>42310.96</v>
      </c>
      <c r="G3342" s="7">
        <v>81138</v>
      </c>
      <c r="H3342" s="7">
        <f t="shared" si="97"/>
        <v>42294.96</v>
      </c>
      <c r="I3342" s="15"/>
    </row>
    <row r="3343" spans="1:9" s="8" customFormat="1" ht="21" customHeight="1" x14ac:dyDescent="0.6">
      <c r="A3343" s="7">
        <v>24.7206525</v>
      </c>
      <c r="B3343" s="7">
        <v>34.746002300000001</v>
      </c>
      <c r="C3343" s="7">
        <v>676602.76</v>
      </c>
      <c r="D3343" s="7">
        <v>2735142.11</v>
      </c>
      <c r="E3343" s="7">
        <v>456.24</v>
      </c>
      <c r="F3343" s="7">
        <v>42305.88</v>
      </c>
      <c r="G3343" s="7">
        <v>81140</v>
      </c>
      <c r="H3343" s="7">
        <f t="shared" si="97"/>
        <v>42289.88</v>
      </c>
      <c r="I3343" s="15"/>
    </row>
    <row r="3344" spans="1:9" s="8" customFormat="1" ht="21" customHeight="1" x14ac:dyDescent="0.6">
      <c r="A3344" s="7">
        <v>24.720628000000001</v>
      </c>
      <c r="B3344" s="7">
        <v>34.746019799999999</v>
      </c>
      <c r="C3344" s="7">
        <v>676604.56</v>
      </c>
      <c r="D3344" s="7">
        <v>2735139.41</v>
      </c>
      <c r="E3344" s="7">
        <v>456.32</v>
      </c>
      <c r="F3344" s="7">
        <v>42298.95</v>
      </c>
      <c r="G3344" s="7">
        <v>81142</v>
      </c>
      <c r="H3344" s="7">
        <f t="shared" si="97"/>
        <v>42282.95</v>
      </c>
      <c r="I3344" s="15"/>
    </row>
    <row r="3345" spans="1:9" s="8" customFormat="1" ht="21" customHeight="1" x14ac:dyDescent="0.6">
      <c r="A3345" s="7">
        <v>24.7206039</v>
      </c>
      <c r="B3345" s="7">
        <v>34.746034299999998</v>
      </c>
      <c r="C3345" s="7">
        <v>676606.06</v>
      </c>
      <c r="D3345" s="7">
        <v>2735136.76</v>
      </c>
      <c r="E3345" s="7">
        <v>456.34</v>
      </c>
      <c r="F3345" s="7">
        <v>42295.64</v>
      </c>
      <c r="G3345" s="7">
        <v>81144</v>
      </c>
      <c r="H3345" s="7">
        <f t="shared" si="97"/>
        <v>42279.64</v>
      </c>
      <c r="I3345" s="15"/>
    </row>
    <row r="3346" spans="1:9" s="8" customFormat="1" ht="21" customHeight="1" x14ac:dyDescent="0.6">
      <c r="A3346" s="7">
        <v>24.7205826</v>
      </c>
      <c r="B3346" s="7">
        <v>34.746050799999999</v>
      </c>
      <c r="C3346" s="7">
        <v>676607.76</v>
      </c>
      <c r="D3346" s="7">
        <v>2735134.43</v>
      </c>
      <c r="E3346" s="7">
        <v>456.55</v>
      </c>
      <c r="F3346" s="7">
        <v>42293.7</v>
      </c>
      <c r="G3346" s="7">
        <v>81146</v>
      </c>
      <c r="H3346" s="7">
        <f t="shared" si="97"/>
        <v>42277.7</v>
      </c>
      <c r="I3346" s="15"/>
    </row>
    <row r="3347" spans="1:9" s="8" customFormat="1" ht="21" customHeight="1" x14ac:dyDescent="0.6">
      <c r="A3347" s="7">
        <v>24.720564199999998</v>
      </c>
      <c r="B3347" s="7">
        <v>34.746075400000002</v>
      </c>
      <c r="C3347" s="7">
        <v>676610.27</v>
      </c>
      <c r="D3347" s="7">
        <v>2735132.42</v>
      </c>
      <c r="E3347" s="7">
        <v>456.62</v>
      </c>
      <c r="F3347" s="7">
        <v>42309.67</v>
      </c>
      <c r="G3347" s="7">
        <v>81148</v>
      </c>
      <c r="H3347" s="7">
        <f t="shared" si="97"/>
        <v>42293.67</v>
      </c>
      <c r="I3347" s="15"/>
    </row>
    <row r="3348" spans="1:9" s="8" customFormat="1" ht="21" customHeight="1" x14ac:dyDescent="0.6">
      <c r="A3348" s="7">
        <v>24.7205467</v>
      </c>
      <c r="B3348" s="7">
        <v>34.746101000000003</v>
      </c>
      <c r="C3348" s="7">
        <v>676612.88</v>
      </c>
      <c r="D3348" s="7">
        <v>2735130.51</v>
      </c>
      <c r="E3348" s="7">
        <v>456.65</v>
      </c>
      <c r="F3348" s="7">
        <v>42314.400000000001</v>
      </c>
      <c r="G3348" s="7">
        <v>81150</v>
      </c>
      <c r="H3348" s="7">
        <f t="shared" si="97"/>
        <v>42298.400000000001</v>
      </c>
      <c r="I3348" s="15"/>
    </row>
    <row r="3349" spans="1:9" s="8" customFormat="1" ht="21" customHeight="1" x14ac:dyDescent="0.6">
      <c r="A3349" s="7">
        <v>24.720530499999999</v>
      </c>
      <c r="B3349" s="7">
        <v>34.746125800000002</v>
      </c>
      <c r="C3349" s="7">
        <v>676615.41</v>
      </c>
      <c r="D3349" s="7">
        <v>2735128.75</v>
      </c>
      <c r="E3349" s="7">
        <v>456.78</v>
      </c>
      <c r="F3349" s="7">
        <v>42325.86</v>
      </c>
      <c r="G3349" s="7">
        <v>81152</v>
      </c>
      <c r="H3349" s="7">
        <f t="shared" si="97"/>
        <v>42309.86</v>
      </c>
      <c r="I3349" s="15"/>
    </row>
    <row r="3350" spans="1:9" s="8" customFormat="1" ht="21" customHeight="1" x14ac:dyDescent="0.6">
      <c r="A3350" s="7">
        <v>24.7205145</v>
      </c>
      <c r="B3350" s="7">
        <v>34.746150700000001</v>
      </c>
      <c r="C3350" s="7">
        <v>676617.96</v>
      </c>
      <c r="D3350" s="7">
        <v>2735127.01</v>
      </c>
      <c r="E3350" s="7">
        <v>456.86</v>
      </c>
      <c r="F3350" s="7">
        <v>42328.46</v>
      </c>
      <c r="G3350" s="7">
        <v>81154</v>
      </c>
      <c r="H3350" s="7">
        <f t="shared" si="97"/>
        <v>42312.46</v>
      </c>
      <c r="I3350" s="15"/>
    </row>
    <row r="3351" spans="1:9" s="8" customFormat="1" ht="21" customHeight="1" x14ac:dyDescent="0.6">
      <c r="A3351" s="7">
        <v>24.720503900000001</v>
      </c>
      <c r="B3351" s="7">
        <v>34.746179499999997</v>
      </c>
      <c r="C3351" s="7">
        <v>676620.89</v>
      </c>
      <c r="D3351" s="7">
        <v>2735125.88</v>
      </c>
      <c r="E3351" s="7">
        <v>456.97</v>
      </c>
      <c r="F3351" s="7">
        <v>42337.91</v>
      </c>
      <c r="G3351" s="7">
        <v>81156</v>
      </c>
      <c r="H3351" s="7">
        <f t="shared" si="97"/>
        <v>42321.91</v>
      </c>
      <c r="I3351" s="15"/>
    </row>
    <row r="3352" spans="1:9" s="8" customFormat="1" ht="21" customHeight="1" x14ac:dyDescent="0.6">
      <c r="A3352" s="7">
        <v>24.7204953</v>
      </c>
      <c r="B3352" s="7">
        <v>34.746207499999997</v>
      </c>
      <c r="C3352" s="7">
        <v>676623.74</v>
      </c>
      <c r="D3352" s="7">
        <v>2735124.97</v>
      </c>
      <c r="E3352" s="7">
        <v>457.11</v>
      </c>
      <c r="F3352" s="7">
        <v>42340.51</v>
      </c>
      <c r="G3352" s="7">
        <v>81158</v>
      </c>
      <c r="H3352" s="7">
        <f t="shared" si="97"/>
        <v>42324.51</v>
      </c>
      <c r="I3352" s="15"/>
    </row>
    <row r="3353" spans="1:9" s="8" customFormat="1" ht="21" customHeight="1" x14ac:dyDescent="0.6">
      <c r="A3353" s="7">
        <v>24.7204853</v>
      </c>
      <c r="B3353" s="7">
        <v>34.746234999999999</v>
      </c>
      <c r="C3353" s="7">
        <v>676626.53</v>
      </c>
      <c r="D3353" s="7">
        <v>2735123.89</v>
      </c>
      <c r="E3353" s="7">
        <v>457.21</v>
      </c>
      <c r="F3353" s="7">
        <v>42344.76</v>
      </c>
      <c r="G3353" s="7">
        <v>81200</v>
      </c>
      <c r="H3353" s="7">
        <f t="shared" si="97"/>
        <v>42328.76</v>
      </c>
      <c r="I3353" s="15"/>
    </row>
    <row r="3354" spans="1:9" s="8" customFormat="1" ht="21" customHeight="1" x14ac:dyDescent="0.6">
      <c r="A3354" s="7">
        <v>24.720475499999999</v>
      </c>
      <c r="B3354" s="7">
        <v>34.746265299999997</v>
      </c>
      <c r="C3354" s="7">
        <v>676629.61</v>
      </c>
      <c r="D3354" s="7">
        <v>2735122.84</v>
      </c>
      <c r="E3354" s="7">
        <v>457.24</v>
      </c>
      <c r="F3354" s="7">
        <v>42328.41</v>
      </c>
      <c r="G3354" s="7">
        <v>81202</v>
      </c>
      <c r="H3354" s="7">
        <f t="shared" si="97"/>
        <v>42312.41</v>
      </c>
      <c r="I3354" s="15"/>
    </row>
    <row r="3355" spans="1:9" s="8" customFormat="1" ht="21" customHeight="1" x14ac:dyDescent="0.6">
      <c r="A3355" s="7">
        <v>24.720465799999999</v>
      </c>
      <c r="B3355" s="7">
        <v>34.746293899999998</v>
      </c>
      <c r="C3355" s="7">
        <v>676632.51</v>
      </c>
      <c r="D3355" s="7">
        <v>2735121.81</v>
      </c>
      <c r="E3355" s="7">
        <v>457.34</v>
      </c>
      <c r="F3355" s="7">
        <v>42366.05</v>
      </c>
      <c r="G3355" s="7">
        <v>81204</v>
      </c>
      <c r="H3355" s="7">
        <f t="shared" si="97"/>
        <v>42350.05</v>
      </c>
      <c r="I3355" s="15"/>
    </row>
    <row r="3356" spans="1:9" s="8" customFormat="1" ht="21" customHeight="1" x14ac:dyDescent="0.6">
      <c r="A3356" s="7">
        <v>24.7204604</v>
      </c>
      <c r="B3356" s="7">
        <v>34.7463239</v>
      </c>
      <c r="C3356" s="7">
        <v>676635.55</v>
      </c>
      <c r="D3356" s="7">
        <v>2735121.25</v>
      </c>
      <c r="E3356" s="7">
        <v>457.43</v>
      </c>
      <c r="F3356" s="7">
        <v>42373.71</v>
      </c>
      <c r="G3356" s="7">
        <v>81206</v>
      </c>
      <c r="H3356" s="7">
        <f t="shared" si="97"/>
        <v>42357.71</v>
      </c>
      <c r="I3356" s="15"/>
    </row>
    <row r="3357" spans="1:9" s="8" customFormat="1" ht="21" customHeight="1" x14ac:dyDescent="0.6">
      <c r="A3357" s="7">
        <v>24.720455099999999</v>
      </c>
      <c r="B3357" s="7">
        <v>34.746354699999998</v>
      </c>
      <c r="C3357" s="7">
        <v>676638.68</v>
      </c>
      <c r="D3357" s="7">
        <v>2735120.7</v>
      </c>
      <c r="E3357" s="7">
        <v>457.5</v>
      </c>
      <c r="F3357" s="7">
        <v>42389.34</v>
      </c>
      <c r="G3357" s="7">
        <v>81208</v>
      </c>
      <c r="H3357" s="7">
        <f t="shared" si="97"/>
        <v>42373.34</v>
      </c>
      <c r="I3357" s="15"/>
    </row>
    <row r="3358" spans="1:9" s="8" customFormat="1" ht="21" customHeight="1" x14ac:dyDescent="0.6">
      <c r="A3358" s="7">
        <v>24.720443199999998</v>
      </c>
      <c r="B3358" s="7">
        <v>34.746383000000002</v>
      </c>
      <c r="C3358" s="7">
        <v>676641.56</v>
      </c>
      <c r="D3358" s="7">
        <v>2735119.42</v>
      </c>
      <c r="E3358" s="7">
        <v>457.57</v>
      </c>
      <c r="F3358" s="7">
        <v>42390.85</v>
      </c>
      <c r="G3358" s="7">
        <v>81210</v>
      </c>
      <c r="H3358" s="7">
        <f t="shared" si="97"/>
        <v>42374.85</v>
      </c>
      <c r="I3358" s="15"/>
    </row>
    <row r="3359" spans="1:9" s="8" customFormat="1" ht="21" customHeight="1" x14ac:dyDescent="0.6">
      <c r="A3359" s="7">
        <v>24.720427600000001</v>
      </c>
      <c r="B3359" s="7">
        <v>34.746408799999998</v>
      </c>
      <c r="C3359" s="7">
        <v>676644.19</v>
      </c>
      <c r="D3359" s="7">
        <v>2735117.72</v>
      </c>
      <c r="E3359" s="7">
        <v>457.71</v>
      </c>
      <c r="F3359" s="7">
        <v>42394.32</v>
      </c>
      <c r="G3359" s="7">
        <v>81212</v>
      </c>
      <c r="H3359" s="7">
        <f t="shared" si="97"/>
        <v>42378.32</v>
      </c>
      <c r="I3359" s="15"/>
    </row>
    <row r="3360" spans="1:9" s="8" customFormat="1" ht="21" customHeight="1" x14ac:dyDescent="0.6">
      <c r="A3360" s="7">
        <v>24.720414099999999</v>
      </c>
      <c r="B3360" s="7">
        <v>34.746435200000001</v>
      </c>
      <c r="C3360" s="7">
        <v>676646.88</v>
      </c>
      <c r="D3360" s="7">
        <v>2735116.26</v>
      </c>
      <c r="E3360" s="7">
        <v>457.78</v>
      </c>
      <c r="F3360" s="7">
        <v>42402.48</v>
      </c>
      <c r="G3360" s="7">
        <v>81214</v>
      </c>
      <c r="H3360" s="7">
        <f t="shared" si="97"/>
        <v>42386.48</v>
      </c>
      <c r="I3360" s="15"/>
    </row>
    <row r="3361" spans="1:9" s="8" customFormat="1" ht="21" customHeight="1" x14ac:dyDescent="0.6">
      <c r="A3361" s="7">
        <v>24.7204032</v>
      </c>
      <c r="B3361" s="7">
        <v>34.746464199999998</v>
      </c>
      <c r="C3361" s="7">
        <v>676649.84</v>
      </c>
      <c r="D3361" s="7">
        <v>2735115.09</v>
      </c>
      <c r="E3361" s="7">
        <v>457.86</v>
      </c>
      <c r="F3361" s="7">
        <v>42406.61</v>
      </c>
      <c r="G3361" s="7">
        <v>81216</v>
      </c>
      <c r="H3361" s="7">
        <f t="shared" si="97"/>
        <v>42390.61</v>
      </c>
      <c r="I3361" s="15"/>
    </row>
    <row r="3362" spans="1:9" s="8" customFormat="1" ht="21" customHeight="1" x14ac:dyDescent="0.6">
      <c r="A3362" s="7">
        <v>24.720401500000001</v>
      </c>
      <c r="B3362" s="7">
        <v>34.746494599999998</v>
      </c>
      <c r="C3362" s="7">
        <v>676652.91</v>
      </c>
      <c r="D3362" s="7">
        <v>2735114.94</v>
      </c>
      <c r="E3362" s="7">
        <v>457.92</v>
      </c>
      <c r="F3362" s="7">
        <v>42412.9</v>
      </c>
      <c r="G3362" s="7">
        <v>81218</v>
      </c>
      <c r="H3362" s="7">
        <f t="shared" si="97"/>
        <v>42396.9</v>
      </c>
      <c r="I3362" s="15"/>
    </row>
    <row r="3363" spans="1:9" s="8" customFormat="1" ht="21" customHeight="1" x14ac:dyDescent="0.6">
      <c r="A3363" s="7">
        <v>24.720394899999999</v>
      </c>
      <c r="B3363" s="7">
        <v>34.746524299999997</v>
      </c>
      <c r="C3363" s="7">
        <v>676655.92</v>
      </c>
      <c r="D3363" s="7">
        <v>2735114.25</v>
      </c>
      <c r="E3363" s="7">
        <v>457.98</v>
      </c>
      <c r="F3363" s="7">
        <v>42428.82</v>
      </c>
      <c r="G3363" s="7">
        <v>81220</v>
      </c>
      <c r="H3363" s="7">
        <f t="shared" si="97"/>
        <v>42412.82</v>
      </c>
      <c r="I3363" s="15"/>
    </row>
    <row r="3364" spans="1:9" s="8" customFormat="1" ht="21" customHeight="1" x14ac:dyDescent="0.6">
      <c r="A3364" s="7">
        <v>24.7203862</v>
      </c>
      <c r="B3364" s="7">
        <v>34.746554799999998</v>
      </c>
      <c r="C3364" s="7">
        <v>676659.02</v>
      </c>
      <c r="D3364" s="7">
        <v>2735113.33</v>
      </c>
      <c r="E3364" s="7">
        <v>458.01</v>
      </c>
      <c r="F3364" s="7">
        <v>42445.440000000002</v>
      </c>
      <c r="G3364" s="7">
        <v>81222</v>
      </c>
      <c r="H3364" s="7">
        <f t="shared" si="97"/>
        <v>42429.440000000002</v>
      </c>
      <c r="I3364" s="15"/>
    </row>
    <row r="3365" spans="1:9" s="8" customFormat="1" ht="21" customHeight="1" x14ac:dyDescent="0.6">
      <c r="A3365" s="7">
        <v>24.720381199999999</v>
      </c>
      <c r="B3365" s="7">
        <v>34.746583100000002</v>
      </c>
      <c r="C3365" s="7">
        <v>676661.9</v>
      </c>
      <c r="D3365" s="7">
        <v>2735112.81</v>
      </c>
      <c r="E3365" s="7">
        <v>458.05</v>
      </c>
      <c r="F3365" s="7">
        <v>42453.98</v>
      </c>
      <c r="G3365" s="7">
        <v>81224</v>
      </c>
      <c r="H3365" s="7">
        <f t="shared" si="97"/>
        <v>42437.98</v>
      </c>
      <c r="I3365" s="15"/>
    </row>
    <row r="3366" spans="1:9" s="8" customFormat="1" ht="21" customHeight="1" x14ac:dyDescent="0.6">
      <c r="A3366" s="7">
        <v>24.720375000000001</v>
      </c>
      <c r="B3366" s="7">
        <v>34.746612499999998</v>
      </c>
      <c r="C3366" s="7">
        <v>676664.88</v>
      </c>
      <c r="D3366" s="7">
        <v>2735112.16</v>
      </c>
      <c r="E3366" s="7">
        <v>458.15</v>
      </c>
      <c r="F3366" s="7">
        <v>42461.06</v>
      </c>
      <c r="G3366" s="7">
        <v>81226</v>
      </c>
      <c r="H3366" s="7">
        <f t="shared" si="97"/>
        <v>42445.06</v>
      </c>
      <c r="I3366" s="15"/>
    </row>
    <row r="3367" spans="1:9" s="8" customFormat="1" ht="21" customHeight="1" x14ac:dyDescent="0.6">
      <c r="A3367" s="7">
        <v>24.7203698</v>
      </c>
      <c r="B3367" s="7">
        <v>34.746640999999997</v>
      </c>
      <c r="C3367" s="7">
        <v>676667.77</v>
      </c>
      <c r="D3367" s="7">
        <v>2735111.62</v>
      </c>
      <c r="E3367" s="7">
        <v>458.21</v>
      </c>
      <c r="F3367" s="7">
        <v>42473.42</v>
      </c>
      <c r="G3367" s="7">
        <v>81228</v>
      </c>
      <c r="H3367" s="7">
        <f t="shared" si="97"/>
        <v>42457.42</v>
      </c>
      <c r="I3367" s="15"/>
    </row>
    <row r="3368" spans="1:9" s="8" customFormat="1" ht="21" customHeight="1" x14ac:dyDescent="0.6">
      <c r="A3368" s="7">
        <v>24.720361400000002</v>
      </c>
      <c r="B3368" s="7">
        <v>34.746670000000002</v>
      </c>
      <c r="C3368" s="7">
        <v>676670.71</v>
      </c>
      <c r="D3368" s="7">
        <v>2735110.73</v>
      </c>
      <c r="E3368" s="7">
        <v>458.3</v>
      </c>
      <c r="F3368" s="7">
        <v>42486.39</v>
      </c>
      <c r="G3368" s="7">
        <v>81230</v>
      </c>
      <c r="H3368" s="7">
        <f t="shared" si="97"/>
        <v>42470.39</v>
      </c>
      <c r="I3368" s="15"/>
    </row>
    <row r="3369" spans="1:9" s="8" customFormat="1" ht="21" customHeight="1" x14ac:dyDescent="0.6">
      <c r="A3369" s="7">
        <v>24.720351900000001</v>
      </c>
      <c r="B3369" s="7">
        <v>34.746698199999997</v>
      </c>
      <c r="C3369" s="7">
        <v>676673.58</v>
      </c>
      <c r="D3369" s="7">
        <v>2735109.71</v>
      </c>
      <c r="E3369" s="7">
        <v>458.37</v>
      </c>
      <c r="F3369" s="7">
        <v>42503.86</v>
      </c>
      <c r="G3369" s="7">
        <v>81232</v>
      </c>
      <c r="H3369" s="7">
        <f t="shared" si="97"/>
        <v>42487.86</v>
      </c>
      <c r="I3369" s="15"/>
    </row>
    <row r="3370" spans="1:9" s="8" customFormat="1" ht="21" customHeight="1" x14ac:dyDescent="0.6">
      <c r="A3370" s="7">
        <v>24.720344499999999</v>
      </c>
      <c r="B3370" s="7">
        <v>34.746726299999999</v>
      </c>
      <c r="C3370" s="7">
        <v>676676.43</v>
      </c>
      <c r="D3370" s="7">
        <v>2735108.93</v>
      </c>
      <c r="E3370" s="7">
        <v>458.43</v>
      </c>
      <c r="F3370" s="7">
        <v>42524.58</v>
      </c>
      <c r="G3370" s="7">
        <v>81234</v>
      </c>
      <c r="H3370" s="7">
        <f t="shared" si="97"/>
        <v>42508.58</v>
      </c>
      <c r="I3370" s="15"/>
    </row>
    <row r="3371" spans="1:9" s="8" customFormat="1" ht="21" customHeight="1" x14ac:dyDescent="0.6">
      <c r="A3371" s="7">
        <v>24.720338399999999</v>
      </c>
      <c r="B3371" s="7">
        <v>34.746755100000001</v>
      </c>
      <c r="C3371" s="7">
        <v>676679.36</v>
      </c>
      <c r="D3371" s="7">
        <v>2735108.29</v>
      </c>
      <c r="E3371" s="7">
        <v>458.46</v>
      </c>
      <c r="F3371" s="7">
        <v>42536.22</v>
      </c>
      <c r="G3371" s="7">
        <v>81236</v>
      </c>
      <c r="H3371" s="7">
        <f t="shared" si="97"/>
        <v>42520.22</v>
      </c>
      <c r="I3371" s="15"/>
    </row>
    <row r="3372" spans="1:9" s="8" customFormat="1" ht="21" customHeight="1" x14ac:dyDescent="0.6">
      <c r="A3372" s="7">
        <v>24.720332299999999</v>
      </c>
      <c r="B3372" s="7">
        <v>34.746784499999997</v>
      </c>
      <c r="C3372" s="7">
        <v>676682.34</v>
      </c>
      <c r="D3372" s="7">
        <v>2735107.65</v>
      </c>
      <c r="E3372" s="7">
        <v>458.53</v>
      </c>
      <c r="F3372" s="7">
        <v>42542.99</v>
      </c>
      <c r="G3372" s="7">
        <v>81238</v>
      </c>
      <c r="H3372" s="7">
        <f t="shared" si="97"/>
        <v>42526.99</v>
      </c>
      <c r="I3372" s="15"/>
    </row>
    <row r="3373" spans="1:9" s="8" customFormat="1" ht="21" customHeight="1" x14ac:dyDescent="0.6">
      <c r="A3373" s="7">
        <v>24.7203211</v>
      </c>
      <c r="B3373" s="7">
        <v>34.746811600000001</v>
      </c>
      <c r="C3373" s="7">
        <v>676685.09</v>
      </c>
      <c r="D3373" s="7">
        <v>2735106.45</v>
      </c>
      <c r="E3373" s="7">
        <v>458.58</v>
      </c>
      <c r="F3373" s="7">
        <v>42549.37</v>
      </c>
      <c r="G3373" s="7">
        <v>81240</v>
      </c>
      <c r="H3373" s="7">
        <f t="shared" si="97"/>
        <v>42533.37</v>
      </c>
      <c r="I3373" s="15"/>
    </row>
    <row r="3374" spans="1:9" s="8" customFormat="1" ht="21" customHeight="1" x14ac:dyDescent="0.6">
      <c r="A3374" s="7">
        <v>24.7203081</v>
      </c>
      <c r="B3374" s="7">
        <v>34.746837200000002</v>
      </c>
      <c r="C3374" s="7">
        <v>676687.7</v>
      </c>
      <c r="D3374" s="7">
        <v>2735105.04</v>
      </c>
      <c r="E3374" s="7">
        <v>458.68</v>
      </c>
      <c r="F3374" s="7">
        <v>42551.68</v>
      </c>
      <c r="G3374" s="7">
        <v>81242</v>
      </c>
      <c r="H3374" s="7">
        <f t="shared" si="97"/>
        <v>42535.68</v>
      </c>
      <c r="I3374" s="15"/>
    </row>
    <row r="3375" spans="1:9" s="8" customFormat="1" ht="21" customHeight="1" x14ac:dyDescent="0.6">
      <c r="A3375" s="7">
        <v>24.720294599999999</v>
      </c>
      <c r="B3375" s="7">
        <v>34.746864700000003</v>
      </c>
      <c r="C3375" s="7">
        <v>676690.51</v>
      </c>
      <c r="D3375" s="7">
        <v>2735103.58</v>
      </c>
      <c r="E3375" s="7">
        <v>458.72</v>
      </c>
      <c r="F3375" s="7">
        <v>42556.82</v>
      </c>
      <c r="G3375" s="7">
        <v>81244</v>
      </c>
      <c r="H3375" s="7">
        <f t="shared" si="97"/>
        <v>42540.82</v>
      </c>
      <c r="I3375" s="15"/>
    </row>
    <row r="3376" spans="1:9" s="8" customFormat="1" ht="21" customHeight="1" x14ac:dyDescent="0.6">
      <c r="A3376" s="7">
        <v>24.720278799999999</v>
      </c>
      <c r="B3376" s="7">
        <v>34.746889199999998</v>
      </c>
      <c r="C3376" s="7">
        <v>676693</v>
      </c>
      <c r="D3376" s="7">
        <v>2735101.87</v>
      </c>
      <c r="E3376" s="7">
        <v>458.9</v>
      </c>
      <c r="F3376" s="7">
        <v>42551.15</v>
      </c>
      <c r="G3376" s="7">
        <v>81246</v>
      </c>
      <c r="H3376" s="7">
        <f t="shared" si="97"/>
        <v>42535.15</v>
      </c>
      <c r="I3376" s="15"/>
    </row>
    <row r="3377" spans="1:9" s="8" customFormat="1" ht="21" customHeight="1" x14ac:dyDescent="0.6">
      <c r="A3377" s="7">
        <v>24.720264499999999</v>
      </c>
      <c r="B3377" s="7">
        <v>34.746913900000003</v>
      </c>
      <c r="C3377" s="7">
        <v>676695.52</v>
      </c>
      <c r="D3377" s="7">
        <v>2735100.31</v>
      </c>
      <c r="E3377" s="7">
        <v>459.04</v>
      </c>
      <c r="F3377" s="7">
        <v>42546.71</v>
      </c>
      <c r="G3377" s="7">
        <v>81248</v>
      </c>
      <c r="H3377" s="7">
        <f t="shared" si="97"/>
        <v>42530.71</v>
      </c>
      <c r="I3377" s="15"/>
    </row>
    <row r="3378" spans="1:9" s="8" customFormat="1" ht="21" customHeight="1" x14ac:dyDescent="0.6">
      <c r="A3378" s="7">
        <v>24.720249200000001</v>
      </c>
      <c r="B3378" s="7">
        <v>34.746939699999999</v>
      </c>
      <c r="C3378" s="7">
        <v>676698.16</v>
      </c>
      <c r="D3378" s="7">
        <v>2735098.65</v>
      </c>
      <c r="E3378" s="7">
        <v>459.16</v>
      </c>
      <c r="F3378" s="7">
        <v>42537.94</v>
      </c>
      <c r="G3378" s="7">
        <v>81250</v>
      </c>
      <c r="H3378" s="7">
        <f t="shared" si="97"/>
        <v>42521.94</v>
      </c>
      <c r="I3378" s="15"/>
    </row>
    <row r="3379" spans="1:9" s="8" customFormat="1" ht="21" customHeight="1" x14ac:dyDescent="0.6">
      <c r="A3379" s="7">
        <v>24.720235299999999</v>
      </c>
      <c r="B3379" s="7">
        <v>34.746966899999997</v>
      </c>
      <c r="C3379" s="7">
        <v>676700.92</v>
      </c>
      <c r="D3379" s="7">
        <v>2735097.15</v>
      </c>
      <c r="E3379" s="7">
        <v>459.22</v>
      </c>
      <c r="F3379" s="7">
        <v>42538.02</v>
      </c>
      <c r="G3379" s="7">
        <v>81252</v>
      </c>
      <c r="H3379" s="7">
        <f t="shared" si="97"/>
        <v>42522.02</v>
      </c>
      <c r="I3379" s="15"/>
    </row>
    <row r="3380" spans="1:9" s="8" customFormat="1" ht="21" customHeight="1" x14ac:dyDescent="0.6">
      <c r="A3380" s="7">
        <v>24.720227099999999</v>
      </c>
      <c r="B3380" s="7">
        <v>34.746994999999998</v>
      </c>
      <c r="C3380" s="7">
        <v>676703.78</v>
      </c>
      <c r="D3380" s="7">
        <v>2735096.27</v>
      </c>
      <c r="E3380" s="7">
        <v>459.24</v>
      </c>
      <c r="F3380" s="7">
        <v>42554.62</v>
      </c>
      <c r="G3380" s="7">
        <v>81254</v>
      </c>
      <c r="H3380" s="7">
        <f t="shared" si="97"/>
        <v>42538.62</v>
      </c>
      <c r="I3380" s="15"/>
    </row>
    <row r="3381" spans="1:9" s="8" customFormat="1" ht="21" customHeight="1" x14ac:dyDescent="0.6">
      <c r="A3381" s="7">
        <v>24.7202199</v>
      </c>
      <c r="B3381" s="7">
        <v>34.7470249</v>
      </c>
      <c r="C3381" s="7">
        <v>676706.82</v>
      </c>
      <c r="D3381" s="7">
        <v>2735095.52</v>
      </c>
      <c r="E3381" s="7">
        <v>459.3</v>
      </c>
      <c r="F3381" s="7">
        <v>42559.46</v>
      </c>
      <c r="G3381" s="7">
        <v>81256</v>
      </c>
      <c r="H3381" s="7">
        <f t="shared" si="97"/>
        <v>42543.46</v>
      </c>
      <c r="I3381" s="15"/>
    </row>
    <row r="3382" spans="1:9" s="8" customFormat="1" ht="21" customHeight="1" x14ac:dyDescent="0.6">
      <c r="A3382" s="7">
        <v>24.720207500000001</v>
      </c>
      <c r="B3382" s="7">
        <v>34.747053700000002</v>
      </c>
      <c r="C3382" s="7">
        <v>676709.75</v>
      </c>
      <c r="D3382" s="7">
        <v>2735094.18</v>
      </c>
      <c r="E3382" s="7">
        <v>459.38</v>
      </c>
      <c r="F3382" s="7">
        <v>42563.199999999997</v>
      </c>
      <c r="G3382" s="7">
        <v>81258</v>
      </c>
      <c r="H3382" s="7">
        <f t="shared" si="97"/>
        <v>42547.199999999997</v>
      </c>
      <c r="I3382" s="15"/>
    </row>
    <row r="3383" spans="1:9" s="8" customFormat="1" ht="21" customHeight="1" x14ac:dyDescent="0.6">
      <c r="A3383" s="7">
        <v>24.720189000000001</v>
      </c>
      <c r="B3383" s="7">
        <v>34.747076399999997</v>
      </c>
      <c r="C3383" s="7">
        <v>676712.07</v>
      </c>
      <c r="D3383" s="7">
        <v>2735092.16</v>
      </c>
      <c r="E3383" s="7">
        <v>459.46</v>
      </c>
      <c r="F3383" s="7">
        <v>42571.3</v>
      </c>
      <c r="G3383" s="7">
        <v>81300</v>
      </c>
      <c r="H3383" s="7">
        <f>SUM(F3383-24)</f>
        <v>42547.3</v>
      </c>
      <c r="I3383" s="15"/>
    </row>
    <row r="3384" spans="1:9" s="8" customFormat="1" ht="21" customHeight="1" x14ac:dyDescent="0.6">
      <c r="A3384" s="7">
        <v>24.720168900000001</v>
      </c>
      <c r="B3384" s="7">
        <v>34.747096800000001</v>
      </c>
      <c r="C3384" s="7">
        <v>676714.16</v>
      </c>
      <c r="D3384" s="7">
        <v>2735089.95</v>
      </c>
      <c r="E3384" s="7">
        <v>459.57</v>
      </c>
      <c r="F3384" s="7">
        <v>42555.26</v>
      </c>
      <c r="G3384" s="7">
        <v>81302</v>
      </c>
      <c r="H3384" s="7">
        <f t="shared" ref="H3384:H3447" si="98">SUM(F3384-24)</f>
        <v>42531.26</v>
      </c>
      <c r="I3384" s="15"/>
    </row>
    <row r="3385" spans="1:9" s="8" customFormat="1" ht="21" customHeight="1" x14ac:dyDescent="0.6">
      <c r="A3385" s="7">
        <v>24.720148399999999</v>
      </c>
      <c r="B3385" s="7">
        <v>34.747118800000003</v>
      </c>
      <c r="C3385" s="7">
        <v>676716.42</v>
      </c>
      <c r="D3385" s="7">
        <v>2735087.72</v>
      </c>
      <c r="E3385" s="7">
        <v>459.65</v>
      </c>
      <c r="F3385" s="7">
        <v>42553.14</v>
      </c>
      <c r="G3385" s="7">
        <v>81304</v>
      </c>
      <c r="H3385" s="7">
        <f t="shared" si="98"/>
        <v>42529.14</v>
      </c>
      <c r="I3385" s="15"/>
    </row>
    <row r="3386" spans="1:9" s="8" customFormat="1" ht="21" customHeight="1" x14ac:dyDescent="0.6">
      <c r="A3386" s="7">
        <v>24.7201275</v>
      </c>
      <c r="B3386" s="7">
        <v>34.747138100000001</v>
      </c>
      <c r="C3386" s="7">
        <v>676718.4</v>
      </c>
      <c r="D3386" s="7">
        <v>2735085.43</v>
      </c>
      <c r="E3386" s="7">
        <v>459.66</v>
      </c>
      <c r="F3386" s="7">
        <v>42556.49</v>
      </c>
      <c r="G3386" s="7">
        <v>81306</v>
      </c>
      <c r="H3386" s="7">
        <f t="shared" si="98"/>
        <v>42532.49</v>
      </c>
      <c r="I3386" s="15"/>
    </row>
    <row r="3387" spans="1:9" s="8" customFormat="1" ht="21" customHeight="1" x14ac:dyDescent="0.6">
      <c r="A3387" s="7">
        <v>24.720104299999999</v>
      </c>
      <c r="B3387" s="7">
        <v>34.7471563</v>
      </c>
      <c r="C3387" s="7">
        <v>676720.27</v>
      </c>
      <c r="D3387" s="7">
        <v>2735082.88</v>
      </c>
      <c r="E3387" s="7">
        <v>459.68</v>
      </c>
      <c r="F3387" s="7">
        <v>42563.68</v>
      </c>
      <c r="G3387" s="7">
        <v>81308</v>
      </c>
      <c r="H3387" s="7">
        <f t="shared" si="98"/>
        <v>42539.68</v>
      </c>
      <c r="I3387" s="15"/>
    </row>
    <row r="3388" spans="1:9" s="8" customFormat="1" ht="21" customHeight="1" x14ac:dyDescent="0.6">
      <c r="A3388" s="7">
        <v>24.720082699999999</v>
      </c>
      <c r="B3388" s="7">
        <v>34.747167300000001</v>
      </c>
      <c r="C3388" s="7">
        <v>676721.42</v>
      </c>
      <c r="D3388" s="7">
        <v>2735080.5</v>
      </c>
      <c r="E3388" s="7">
        <v>459.71</v>
      </c>
      <c r="F3388" s="7">
        <v>42546.33</v>
      </c>
      <c r="G3388" s="7">
        <v>81310</v>
      </c>
      <c r="H3388" s="7">
        <f t="shared" si="98"/>
        <v>42522.33</v>
      </c>
      <c r="I3388" s="15"/>
    </row>
    <row r="3389" spans="1:9" s="8" customFormat="1" ht="21" customHeight="1" x14ac:dyDescent="0.6">
      <c r="A3389" s="7">
        <v>24.720061399999999</v>
      </c>
      <c r="B3389" s="7">
        <v>34.747178699999999</v>
      </c>
      <c r="C3389" s="7">
        <v>676722.6</v>
      </c>
      <c r="D3389" s="7">
        <v>2735078.16</v>
      </c>
      <c r="E3389" s="7">
        <v>459.75</v>
      </c>
      <c r="F3389" s="7">
        <v>42543.39</v>
      </c>
      <c r="G3389" s="7">
        <v>81312</v>
      </c>
      <c r="H3389" s="7">
        <f t="shared" si="98"/>
        <v>42519.39</v>
      </c>
      <c r="I3389" s="15"/>
    </row>
    <row r="3390" spans="1:9" s="8" customFormat="1" ht="21" customHeight="1" x14ac:dyDescent="0.6">
      <c r="A3390" s="7">
        <v>24.720046100000001</v>
      </c>
      <c r="B3390" s="7">
        <v>34.7471824</v>
      </c>
      <c r="C3390" s="7">
        <v>676722.99</v>
      </c>
      <c r="D3390" s="7">
        <v>2735076.47</v>
      </c>
      <c r="E3390" s="7">
        <v>459.8</v>
      </c>
      <c r="F3390" s="7">
        <v>42537.78</v>
      </c>
      <c r="G3390" s="7">
        <v>81314</v>
      </c>
      <c r="H3390" s="7">
        <f t="shared" si="98"/>
        <v>42513.78</v>
      </c>
      <c r="I3390" s="15"/>
    </row>
    <row r="3391" spans="1:9" s="8" customFormat="1" ht="21" customHeight="1" x14ac:dyDescent="0.6">
      <c r="A3391" s="7">
        <v>24.720041399999999</v>
      </c>
      <c r="B3391" s="7">
        <v>34.747185399999999</v>
      </c>
      <c r="C3391" s="7">
        <v>676723.3</v>
      </c>
      <c r="D3391" s="7">
        <v>2735075.95</v>
      </c>
      <c r="E3391" s="7">
        <v>459.82</v>
      </c>
      <c r="F3391" s="7">
        <v>42536.31</v>
      </c>
      <c r="G3391" s="7">
        <v>81316</v>
      </c>
      <c r="H3391" s="7">
        <f t="shared" si="98"/>
        <v>42512.31</v>
      </c>
      <c r="I3391" s="15"/>
    </row>
    <row r="3392" spans="1:9" s="8" customFormat="1" ht="21" customHeight="1" x14ac:dyDescent="0.6">
      <c r="A3392" s="7">
        <v>24.7200411</v>
      </c>
      <c r="B3392" s="7">
        <v>34.747185199999997</v>
      </c>
      <c r="C3392" s="7">
        <v>676723.29</v>
      </c>
      <c r="D3392" s="7">
        <v>2735075.92</v>
      </c>
      <c r="E3392" s="7">
        <v>459.8</v>
      </c>
      <c r="F3392" s="7">
        <v>42536.44</v>
      </c>
      <c r="G3392" s="7">
        <v>81318</v>
      </c>
      <c r="H3392" s="7">
        <f t="shared" si="98"/>
        <v>42512.44</v>
      </c>
      <c r="I3392" s="15"/>
    </row>
    <row r="3393" spans="1:9" s="8" customFormat="1" ht="21" customHeight="1" x14ac:dyDescent="0.6">
      <c r="A3393" s="7">
        <v>24.7200387</v>
      </c>
      <c r="B3393" s="7">
        <v>34.747183800000002</v>
      </c>
      <c r="C3393" s="7">
        <v>676723.15</v>
      </c>
      <c r="D3393" s="7">
        <v>2735075.65</v>
      </c>
      <c r="E3393" s="7">
        <v>459.72</v>
      </c>
      <c r="F3393" s="7">
        <v>42534.559999999998</v>
      </c>
      <c r="G3393" s="7">
        <v>81320</v>
      </c>
      <c r="H3393" s="7">
        <f t="shared" si="98"/>
        <v>42510.559999999998</v>
      </c>
      <c r="I3393" s="15"/>
    </row>
    <row r="3394" spans="1:9" s="8" customFormat="1" ht="21" customHeight="1" x14ac:dyDescent="0.6">
      <c r="A3394" s="7">
        <v>24.720038299999999</v>
      </c>
      <c r="B3394" s="7">
        <v>34.747183999999997</v>
      </c>
      <c r="C3394" s="7">
        <v>676723.17</v>
      </c>
      <c r="D3394" s="7">
        <v>2735075.6</v>
      </c>
      <c r="E3394" s="7">
        <v>459.74</v>
      </c>
      <c r="F3394" s="7">
        <v>42530.03</v>
      </c>
      <c r="G3394" s="7">
        <v>81322</v>
      </c>
      <c r="H3394" s="7">
        <f t="shared" si="98"/>
        <v>42506.03</v>
      </c>
      <c r="I3394" s="15"/>
    </row>
    <row r="3395" spans="1:9" s="8" customFormat="1" ht="21" customHeight="1" x14ac:dyDescent="0.6">
      <c r="A3395" s="7">
        <v>24.720025199999998</v>
      </c>
      <c r="B3395" s="7">
        <v>34.747185799999997</v>
      </c>
      <c r="C3395" s="7">
        <v>676723.37</v>
      </c>
      <c r="D3395" s="7">
        <v>2735074.16</v>
      </c>
      <c r="E3395" s="7">
        <v>459.8</v>
      </c>
      <c r="F3395" s="7">
        <v>42528.23</v>
      </c>
      <c r="G3395" s="7">
        <v>81324</v>
      </c>
      <c r="H3395" s="7">
        <f t="shared" si="98"/>
        <v>42504.23</v>
      </c>
      <c r="I3395" s="15"/>
    </row>
    <row r="3396" spans="1:9" s="8" customFormat="1" ht="21" customHeight="1" x14ac:dyDescent="0.6">
      <c r="A3396" s="7">
        <v>24.720012499999999</v>
      </c>
      <c r="B3396" s="7">
        <v>34.747188100000002</v>
      </c>
      <c r="C3396" s="7">
        <v>676723.62</v>
      </c>
      <c r="D3396" s="7">
        <v>2735072.76</v>
      </c>
      <c r="E3396" s="7">
        <v>459.9</v>
      </c>
      <c r="F3396" s="7">
        <v>42521.5</v>
      </c>
      <c r="G3396" s="7">
        <v>81326</v>
      </c>
      <c r="H3396" s="7">
        <f t="shared" si="98"/>
        <v>42497.5</v>
      </c>
      <c r="I3396" s="15"/>
    </row>
    <row r="3397" spans="1:9" s="8" customFormat="1" ht="21" customHeight="1" x14ac:dyDescent="0.6">
      <c r="A3397" s="7">
        <v>24.719996399999999</v>
      </c>
      <c r="B3397" s="7">
        <v>34.747193799999998</v>
      </c>
      <c r="C3397" s="7">
        <v>676724.22</v>
      </c>
      <c r="D3397" s="7">
        <v>2735070.97</v>
      </c>
      <c r="E3397" s="7">
        <v>459.97</v>
      </c>
      <c r="F3397" s="7">
        <v>42515.05</v>
      </c>
      <c r="G3397" s="7">
        <v>81328</v>
      </c>
      <c r="H3397" s="7">
        <f t="shared" si="98"/>
        <v>42491.05</v>
      </c>
      <c r="I3397" s="15"/>
    </row>
    <row r="3398" spans="1:9" s="8" customFormat="1" ht="21" customHeight="1" x14ac:dyDescent="0.6">
      <c r="A3398" s="7">
        <v>24.719980199999998</v>
      </c>
      <c r="B3398" s="7">
        <v>34.747198699999998</v>
      </c>
      <c r="C3398" s="7">
        <v>676724.74</v>
      </c>
      <c r="D3398" s="7">
        <v>2735069.19</v>
      </c>
      <c r="E3398" s="7">
        <v>460.05</v>
      </c>
      <c r="F3398" s="7">
        <v>42498.91</v>
      </c>
      <c r="G3398" s="7">
        <v>81330</v>
      </c>
      <c r="H3398" s="7">
        <f t="shared" si="98"/>
        <v>42474.91</v>
      </c>
      <c r="I3398" s="15"/>
    </row>
    <row r="3399" spans="1:9" s="8" customFormat="1" ht="21" customHeight="1" x14ac:dyDescent="0.6">
      <c r="A3399" s="7">
        <v>24.719959100000001</v>
      </c>
      <c r="B3399" s="7">
        <v>34.747204199999999</v>
      </c>
      <c r="C3399" s="7">
        <v>676725.33</v>
      </c>
      <c r="D3399" s="7">
        <v>2735066.86</v>
      </c>
      <c r="E3399" s="7">
        <v>459.99</v>
      </c>
      <c r="F3399" s="7">
        <v>42498.44</v>
      </c>
      <c r="G3399" s="7">
        <v>81332</v>
      </c>
      <c r="H3399" s="7">
        <f t="shared" si="98"/>
        <v>42474.44</v>
      </c>
      <c r="I3399" s="15"/>
    </row>
    <row r="3400" spans="1:9" s="8" customFormat="1" ht="21" customHeight="1" x14ac:dyDescent="0.6">
      <c r="A3400" s="7">
        <v>24.719939199999999</v>
      </c>
      <c r="B3400" s="7">
        <v>34.7472098</v>
      </c>
      <c r="C3400" s="7">
        <v>676725.91</v>
      </c>
      <c r="D3400" s="7">
        <v>2735064.66</v>
      </c>
      <c r="E3400" s="7">
        <v>460.2</v>
      </c>
      <c r="F3400" s="7">
        <v>42499.07</v>
      </c>
      <c r="G3400" s="7">
        <v>81334</v>
      </c>
      <c r="H3400" s="7">
        <f t="shared" si="98"/>
        <v>42475.07</v>
      </c>
      <c r="I3400" s="15"/>
    </row>
    <row r="3401" spans="1:9" s="8" customFormat="1" ht="21" customHeight="1" x14ac:dyDescent="0.6">
      <c r="A3401" s="7">
        <v>24.719920900000002</v>
      </c>
      <c r="B3401" s="7">
        <v>34.747216600000002</v>
      </c>
      <c r="C3401" s="7">
        <v>676726.64</v>
      </c>
      <c r="D3401" s="7">
        <v>2735062.64</v>
      </c>
      <c r="E3401" s="7">
        <v>460.27</v>
      </c>
      <c r="F3401" s="7">
        <v>42494.84</v>
      </c>
      <c r="G3401" s="7">
        <v>81336</v>
      </c>
      <c r="H3401" s="7">
        <f t="shared" si="98"/>
        <v>42470.84</v>
      </c>
      <c r="I3401" s="15"/>
    </row>
    <row r="3402" spans="1:9" s="8" customFormat="1" ht="21" customHeight="1" x14ac:dyDescent="0.6">
      <c r="A3402" s="7">
        <v>24.719903800000001</v>
      </c>
      <c r="B3402" s="7">
        <v>34.747223599999998</v>
      </c>
      <c r="C3402" s="7">
        <v>676727.36</v>
      </c>
      <c r="D3402" s="7">
        <v>2735060.76</v>
      </c>
      <c r="E3402" s="7">
        <v>460.52</v>
      </c>
      <c r="F3402" s="7">
        <v>42488.02</v>
      </c>
      <c r="G3402" s="7">
        <v>81338</v>
      </c>
      <c r="H3402" s="7">
        <f t="shared" si="98"/>
        <v>42464.02</v>
      </c>
      <c r="I3402" s="15"/>
    </row>
    <row r="3403" spans="1:9" s="8" customFormat="1" ht="21" customHeight="1" x14ac:dyDescent="0.6">
      <c r="A3403" s="7">
        <v>24.719891199999999</v>
      </c>
      <c r="B3403" s="7">
        <v>34.747239399999998</v>
      </c>
      <c r="C3403" s="7">
        <v>676728.98</v>
      </c>
      <c r="D3403" s="7">
        <v>2735059.38</v>
      </c>
      <c r="E3403" s="7">
        <v>460.54</v>
      </c>
      <c r="F3403" s="7">
        <v>42496.57</v>
      </c>
      <c r="G3403" s="7">
        <v>81340</v>
      </c>
      <c r="H3403" s="7">
        <f t="shared" si="98"/>
        <v>42472.57</v>
      </c>
      <c r="I3403" s="15"/>
    </row>
    <row r="3404" spans="1:9" s="8" customFormat="1" ht="21" customHeight="1" x14ac:dyDescent="0.6">
      <c r="A3404" s="7">
        <v>24.7198803</v>
      </c>
      <c r="B3404" s="7">
        <v>34.747261199999997</v>
      </c>
      <c r="C3404" s="7">
        <v>676731.21</v>
      </c>
      <c r="D3404" s="7">
        <v>2735058.21</v>
      </c>
      <c r="E3404" s="7">
        <v>460.5</v>
      </c>
      <c r="F3404" s="7">
        <v>42504.68</v>
      </c>
      <c r="G3404" s="7">
        <v>81342</v>
      </c>
      <c r="H3404" s="7">
        <f t="shared" si="98"/>
        <v>42480.68</v>
      </c>
      <c r="I3404" s="15"/>
    </row>
    <row r="3405" spans="1:9" s="8" customFormat="1" ht="21" customHeight="1" x14ac:dyDescent="0.6">
      <c r="A3405" s="7">
        <v>24.719867399999998</v>
      </c>
      <c r="B3405" s="7">
        <v>34.747278999999999</v>
      </c>
      <c r="C3405" s="7">
        <v>676733.02</v>
      </c>
      <c r="D3405" s="7">
        <v>2735056.8</v>
      </c>
      <c r="E3405" s="7">
        <v>460.54</v>
      </c>
      <c r="F3405" s="7">
        <v>42510.13</v>
      </c>
      <c r="G3405" s="7">
        <v>81344</v>
      </c>
      <c r="H3405" s="7">
        <f t="shared" si="98"/>
        <v>42486.13</v>
      </c>
      <c r="I3405" s="15"/>
    </row>
    <row r="3406" spans="1:9" s="8" customFormat="1" ht="21" customHeight="1" x14ac:dyDescent="0.6">
      <c r="A3406" s="7">
        <v>24.7198511</v>
      </c>
      <c r="B3406" s="7">
        <v>34.747298700000002</v>
      </c>
      <c r="C3406" s="7">
        <v>676735.04</v>
      </c>
      <c r="D3406" s="7">
        <v>2735055.02</v>
      </c>
      <c r="E3406" s="7">
        <v>460.62</v>
      </c>
      <c r="F3406" s="7">
        <v>42516.43</v>
      </c>
      <c r="G3406" s="7">
        <v>81346</v>
      </c>
      <c r="H3406" s="7">
        <f t="shared" si="98"/>
        <v>42492.43</v>
      </c>
      <c r="I3406" s="15"/>
    </row>
    <row r="3407" spans="1:9" s="8" customFormat="1" ht="21" customHeight="1" x14ac:dyDescent="0.6">
      <c r="A3407" s="7">
        <v>24.719832100000001</v>
      </c>
      <c r="B3407" s="7">
        <v>34.7473186</v>
      </c>
      <c r="C3407" s="7">
        <v>676737.08</v>
      </c>
      <c r="D3407" s="7">
        <v>2735052.94</v>
      </c>
      <c r="E3407" s="7">
        <v>460.68</v>
      </c>
      <c r="F3407" s="7">
        <v>42519.42</v>
      </c>
      <c r="G3407" s="7">
        <v>81348</v>
      </c>
      <c r="H3407" s="7">
        <f t="shared" si="98"/>
        <v>42495.42</v>
      </c>
      <c r="I3407" s="15"/>
    </row>
    <row r="3408" spans="1:9" s="8" customFormat="1" ht="21" customHeight="1" x14ac:dyDescent="0.6">
      <c r="A3408" s="7">
        <v>24.719811</v>
      </c>
      <c r="B3408" s="7">
        <v>34.747335200000002</v>
      </c>
      <c r="C3408" s="7">
        <v>676738.78</v>
      </c>
      <c r="D3408" s="7">
        <v>2735050.63</v>
      </c>
      <c r="E3408" s="7">
        <v>460.92</v>
      </c>
      <c r="F3408" s="7">
        <v>42514.7</v>
      </c>
      <c r="G3408" s="7">
        <v>81350</v>
      </c>
      <c r="H3408" s="7">
        <f t="shared" si="98"/>
        <v>42490.7</v>
      </c>
      <c r="I3408" s="15"/>
    </row>
    <row r="3409" spans="1:9" s="8" customFormat="1" ht="21" customHeight="1" x14ac:dyDescent="0.6">
      <c r="A3409" s="7">
        <v>24.719793299999999</v>
      </c>
      <c r="B3409" s="7">
        <v>34.747356400000001</v>
      </c>
      <c r="C3409" s="7">
        <v>676740.95</v>
      </c>
      <c r="D3409" s="7">
        <v>2735048.69</v>
      </c>
      <c r="E3409" s="7">
        <v>461.01</v>
      </c>
      <c r="F3409" s="7">
        <v>42513.17</v>
      </c>
      <c r="G3409" s="7">
        <v>81352</v>
      </c>
      <c r="H3409" s="7">
        <f t="shared" si="98"/>
        <v>42489.17</v>
      </c>
      <c r="I3409" s="15"/>
    </row>
    <row r="3410" spans="1:9" s="8" customFormat="1" ht="21" customHeight="1" x14ac:dyDescent="0.6">
      <c r="A3410" s="7">
        <v>24.7197785</v>
      </c>
      <c r="B3410" s="7">
        <v>34.747379600000002</v>
      </c>
      <c r="C3410" s="7">
        <v>676743.33</v>
      </c>
      <c r="D3410" s="7">
        <v>2735047.08</v>
      </c>
      <c r="E3410" s="7">
        <v>461.23</v>
      </c>
      <c r="F3410" s="7">
        <v>42513.91</v>
      </c>
      <c r="G3410" s="7">
        <v>81354</v>
      </c>
      <c r="H3410" s="7">
        <f t="shared" si="98"/>
        <v>42489.91</v>
      </c>
      <c r="I3410" s="15"/>
    </row>
    <row r="3411" spans="1:9" s="8" customFormat="1" ht="21" customHeight="1" x14ac:dyDescent="0.6">
      <c r="A3411" s="7">
        <v>24.7197648</v>
      </c>
      <c r="B3411" s="7">
        <v>34.747400599999999</v>
      </c>
      <c r="C3411" s="7">
        <v>676745.47</v>
      </c>
      <c r="D3411" s="7">
        <v>2735045.59</v>
      </c>
      <c r="E3411" s="7">
        <v>461.45</v>
      </c>
      <c r="F3411" s="7">
        <v>42516.44</v>
      </c>
      <c r="G3411" s="7">
        <v>81356</v>
      </c>
      <c r="H3411" s="7">
        <f t="shared" si="98"/>
        <v>42492.44</v>
      </c>
      <c r="I3411" s="15"/>
    </row>
    <row r="3412" spans="1:9" s="8" customFormat="1" ht="21" customHeight="1" x14ac:dyDescent="0.6">
      <c r="A3412" s="7">
        <v>24.7197472</v>
      </c>
      <c r="B3412" s="7">
        <v>34.747416000000001</v>
      </c>
      <c r="C3412" s="7">
        <v>676747.05</v>
      </c>
      <c r="D3412" s="7">
        <v>2735043.66</v>
      </c>
      <c r="E3412" s="7">
        <v>461.59</v>
      </c>
      <c r="F3412" s="7">
        <v>42514.25</v>
      </c>
      <c r="G3412" s="7">
        <v>81358</v>
      </c>
      <c r="H3412" s="7">
        <f t="shared" si="98"/>
        <v>42490.25</v>
      </c>
      <c r="I3412" s="15"/>
    </row>
    <row r="3413" spans="1:9" s="8" customFormat="1" ht="21" customHeight="1" x14ac:dyDescent="0.6">
      <c r="A3413" s="7">
        <v>24.719728199999999</v>
      </c>
      <c r="B3413" s="7">
        <v>34.747432500000002</v>
      </c>
      <c r="C3413" s="7">
        <v>676748.75</v>
      </c>
      <c r="D3413" s="7">
        <v>2735041.58</v>
      </c>
      <c r="E3413" s="7">
        <v>461.83</v>
      </c>
      <c r="F3413" s="7">
        <v>42511.55</v>
      </c>
      <c r="G3413" s="7">
        <v>81400</v>
      </c>
      <c r="H3413" s="7">
        <f t="shared" si="98"/>
        <v>42487.55</v>
      </c>
      <c r="I3413" s="15"/>
    </row>
    <row r="3414" spans="1:9" s="8" customFormat="1" ht="21" customHeight="1" x14ac:dyDescent="0.6">
      <c r="A3414" s="7">
        <v>24.719712099999999</v>
      </c>
      <c r="B3414" s="7">
        <v>34.747447200000003</v>
      </c>
      <c r="C3414" s="7">
        <v>676750.25</v>
      </c>
      <c r="D3414" s="7">
        <v>2735039.82</v>
      </c>
      <c r="E3414" s="7">
        <v>462.03</v>
      </c>
      <c r="F3414" s="7">
        <v>42513.25</v>
      </c>
      <c r="G3414" s="7">
        <v>81402</v>
      </c>
      <c r="H3414" s="7">
        <f t="shared" si="98"/>
        <v>42489.25</v>
      </c>
      <c r="I3414" s="15"/>
    </row>
    <row r="3415" spans="1:9" s="8" customFormat="1" ht="21" customHeight="1" x14ac:dyDescent="0.6">
      <c r="A3415" s="7">
        <v>24.719696200000001</v>
      </c>
      <c r="B3415" s="7">
        <v>34.747461800000004</v>
      </c>
      <c r="C3415" s="7">
        <v>676751.76</v>
      </c>
      <c r="D3415" s="7">
        <v>2735038.07</v>
      </c>
      <c r="E3415" s="7">
        <v>462.11</v>
      </c>
      <c r="F3415" s="7">
        <v>42509.75</v>
      </c>
      <c r="G3415" s="7">
        <v>81404</v>
      </c>
      <c r="H3415" s="7">
        <f t="shared" si="98"/>
        <v>42485.75</v>
      </c>
      <c r="I3415" s="15"/>
    </row>
    <row r="3416" spans="1:9" s="8" customFormat="1" ht="21" customHeight="1" x14ac:dyDescent="0.6">
      <c r="A3416" s="7">
        <v>24.719677999999998</v>
      </c>
      <c r="B3416" s="7">
        <v>34.747482099999999</v>
      </c>
      <c r="C3416" s="7">
        <v>676753.83</v>
      </c>
      <c r="D3416" s="7">
        <v>2735036.08</v>
      </c>
      <c r="E3416" s="7">
        <v>462.1</v>
      </c>
      <c r="F3416" s="7">
        <v>42509.81</v>
      </c>
      <c r="G3416" s="7">
        <v>81406</v>
      </c>
      <c r="H3416" s="7">
        <f t="shared" si="98"/>
        <v>42485.81</v>
      </c>
      <c r="I3416" s="15"/>
    </row>
    <row r="3417" spans="1:9" s="8" customFormat="1" ht="21" customHeight="1" x14ac:dyDescent="0.6">
      <c r="A3417" s="7">
        <v>24.7196663</v>
      </c>
      <c r="B3417" s="7">
        <v>34.747505699999998</v>
      </c>
      <c r="C3417" s="7">
        <v>676756.24</v>
      </c>
      <c r="D3417" s="7">
        <v>2735034.82</v>
      </c>
      <c r="E3417" s="7">
        <v>462.11</v>
      </c>
      <c r="F3417" s="7">
        <v>42515.199999999997</v>
      </c>
      <c r="G3417" s="7">
        <v>81408</v>
      </c>
      <c r="H3417" s="7">
        <f t="shared" si="98"/>
        <v>42491.199999999997</v>
      </c>
      <c r="I3417" s="15"/>
    </row>
    <row r="3418" spans="1:9" s="8" customFormat="1" ht="21" customHeight="1" x14ac:dyDescent="0.6">
      <c r="A3418" s="7">
        <v>24.7196496</v>
      </c>
      <c r="B3418" s="7">
        <v>34.747527400000003</v>
      </c>
      <c r="C3418" s="7">
        <v>676758.46</v>
      </c>
      <c r="D3418" s="7">
        <v>2735032.99</v>
      </c>
      <c r="E3418" s="7">
        <v>462.32</v>
      </c>
      <c r="F3418" s="7">
        <v>42516.19</v>
      </c>
      <c r="G3418" s="7">
        <v>81410</v>
      </c>
      <c r="H3418" s="7">
        <f t="shared" si="98"/>
        <v>42492.19</v>
      </c>
      <c r="I3418" s="15"/>
    </row>
    <row r="3419" spans="1:9" s="8" customFormat="1" ht="21" customHeight="1" x14ac:dyDescent="0.6">
      <c r="A3419" s="7">
        <v>24.7196444</v>
      </c>
      <c r="B3419" s="7">
        <v>34.747534999999999</v>
      </c>
      <c r="C3419" s="7">
        <v>676759.24</v>
      </c>
      <c r="D3419" s="7">
        <v>2735032.43</v>
      </c>
      <c r="E3419" s="7">
        <v>462.41</v>
      </c>
      <c r="F3419" s="7">
        <v>42516.08</v>
      </c>
      <c r="G3419" s="7">
        <v>81412</v>
      </c>
      <c r="H3419" s="7">
        <f t="shared" si="98"/>
        <v>42492.08</v>
      </c>
      <c r="I3419" s="15"/>
    </row>
    <row r="3420" spans="1:9" s="8" customFormat="1" ht="21" customHeight="1" x14ac:dyDescent="0.6">
      <c r="A3420" s="7">
        <v>24.719630599999999</v>
      </c>
      <c r="B3420" s="7">
        <v>34.747550400000002</v>
      </c>
      <c r="C3420" s="7">
        <v>676760.81</v>
      </c>
      <c r="D3420" s="7">
        <v>2735030.92</v>
      </c>
      <c r="E3420" s="7">
        <v>462.16</v>
      </c>
      <c r="F3420" s="7">
        <v>42515.17</v>
      </c>
      <c r="G3420" s="7">
        <v>81414</v>
      </c>
      <c r="H3420" s="7">
        <f t="shared" si="98"/>
        <v>42491.17</v>
      </c>
      <c r="I3420" s="15"/>
    </row>
    <row r="3421" spans="1:9" s="8" customFormat="1" ht="21" customHeight="1" x14ac:dyDescent="0.6">
      <c r="A3421" s="7">
        <v>24.7196152</v>
      </c>
      <c r="B3421" s="7">
        <v>34.747568600000001</v>
      </c>
      <c r="C3421" s="7">
        <v>676762.67</v>
      </c>
      <c r="D3421" s="7">
        <v>2735029.24</v>
      </c>
      <c r="E3421" s="7">
        <v>461.85</v>
      </c>
      <c r="F3421" s="7">
        <v>42516.26</v>
      </c>
      <c r="G3421" s="7">
        <v>81416</v>
      </c>
      <c r="H3421" s="7">
        <f t="shared" si="98"/>
        <v>42492.26</v>
      </c>
      <c r="I3421" s="15"/>
    </row>
    <row r="3422" spans="1:9" s="8" customFormat="1" ht="21" customHeight="1" x14ac:dyDescent="0.6">
      <c r="A3422" s="7">
        <v>24.7195964</v>
      </c>
      <c r="B3422" s="7">
        <v>34.747590099999996</v>
      </c>
      <c r="C3422" s="7">
        <v>676764.88</v>
      </c>
      <c r="D3422" s="7">
        <v>2735027.18</v>
      </c>
      <c r="E3422" s="7">
        <v>462.11</v>
      </c>
      <c r="F3422" s="7">
        <v>42518.25</v>
      </c>
      <c r="G3422" s="7">
        <v>81418</v>
      </c>
      <c r="H3422" s="7">
        <f t="shared" si="98"/>
        <v>42494.25</v>
      </c>
      <c r="I3422" s="15"/>
    </row>
    <row r="3423" spans="1:9" s="8" customFormat="1" ht="21" customHeight="1" x14ac:dyDescent="0.6">
      <c r="A3423" s="7">
        <v>24.719589500000001</v>
      </c>
      <c r="B3423" s="7">
        <v>34.747607799999997</v>
      </c>
      <c r="C3423" s="7">
        <v>676766.68</v>
      </c>
      <c r="D3423" s="7">
        <v>2735026.44</v>
      </c>
      <c r="E3423" s="7">
        <v>462.43</v>
      </c>
      <c r="F3423" s="7">
        <v>42522.06</v>
      </c>
      <c r="G3423" s="7">
        <v>81420</v>
      </c>
      <c r="H3423" s="7">
        <f t="shared" si="98"/>
        <v>42498.06</v>
      </c>
      <c r="I3423" s="15"/>
    </row>
    <row r="3424" spans="1:9" s="8" customFormat="1" ht="21" customHeight="1" x14ac:dyDescent="0.6">
      <c r="A3424" s="7">
        <v>24.719583199999999</v>
      </c>
      <c r="B3424" s="7">
        <v>34.747630600000001</v>
      </c>
      <c r="C3424" s="7">
        <v>676768.99</v>
      </c>
      <c r="D3424" s="7">
        <v>2735025.78</v>
      </c>
      <c r="E3424" s="7">
        <v>462.48</v>
      </c>
      <c r="F3424" s="7">
        <v>42524.66</v>
      </c>
      <c r="G3424" s="7">
        <v>81422</v>
      </c>
      <c r="H3424" s="7">
        <f t="shared" si="98"/>
        <v>42500.66</v>
      </c>
      <c r="I3424" s="15"/>
    </row>
    <row r="3425" spans="1:9" s="8" customFormat="1" ht="21" customHeight="1" x14ac:dyDescent="0.6">
      <c r="A3425" s="7">
        <v>24.719582599999999</v>
      </c>
      <c r="B3425" s="7">
        <v>34.747655799999997</v>
      </c>
      <c r="C3425" s="7">
        <v>676771.54</v>
      </c>
      <c r="D3425" s="7">
        <v>2735025.74</v>
      </c>
      <c r="E3425" s="7">
        <v>462.44</v>
      </c>
      <c r="F3425" s="7">
        <v>42533.25</v>
      </c>
      <c r="G3425" s="7">
        <v>81424</v>
      </c>
      <c r="H3425" s="7">
        <f t="shared" si="98"/>
        <v>42509.25</v>
      </c>
      <c r="I3425" s="15"/>
    </row>
    <row r="3426" spans="1:9" s="8" customFormat="1" ht="21" customHeight="1" x14ac:dyDescent="0.6">
      <c r="A3426" s="7">
        <v>24.719578899999998</v>
      </c>
      <c r="B3426" s="7">
        <v>34.747678999999998</v>
      </c>
      <c r="C3426" s="7">
        <v>676773.89</v>
      </c>
      <c r="D3426" s="7">
        <v>2735025.36</v>
      </c>
      <c r="E3426" s="7">
        <v>462.6</v>
      </c>
      <c r="F3426" s="7">
        <v>42541.71</v>
      </c>
      <c r="G3426" s="7">
        <v>81426</v>
      </c>
      <c r="H3426" s="7">
        <f t="shared" si="98"/>
        <v>42517.71</v>
      </c>
      <c r="I3426" s="15"/>
    </row>
    <row r="3427" spans="1:9" s="8" customFormat="1" ht="21" customHeight="1" x14ac:dyDescent="0.6">
      <c r="A3427" s="7">
        <v>24.7195736</v>
      </c>
      <c r="B3427" s="7">
        <v>34.747702799999999</v>
      </c>
      <c r="C3427" s="7">
        <v>676776.31</v>
      </c>
      <c r="D3427" s="7">
        <v>2735024.8</v>
      </c>
      <c r="E3427" s="7">
        <v>462.65</v>
      </c>
      <c r="F3427" s="7">
        <v>42545.2</v>
      </c>
      <c r="G3427" s="7">
        <v>81428</v>
      </c>
      <c r="H3427" s="7">
        <f t="shared" si="98"/>
        <v>42521.2</v>
      </c>
      <c r="I3427" s="15"/>
    </row>
    <row r="3428" spans="1:9" s="8" customFormat="1" ht="21" customHeight="1" x14ac:dyDescent="0.6">
      <c r="A3428" s="7">
        <v>24.719575200000001</v>
      </c>
      <c r="B3428" s="7">
        <v>34.747727300000001</v>
      </c>
      <c r="C3428" s="7">
        <v>676778.79</v>
      </c>
      <c r="D3428" s="7">
        <v>2735025.02</v>
      </c>
      <c r="E3428" s="7">
        <v>462.7</v>
      </c>
      <c r="F3428" s="7">
        <v>42553.88</v>
      </c>
      <c r="G3428" s="7">
        <v>81430</v>
      </c>
      <c r="H3428" s="7">
        <f t="shared" si="98"/>
        <v>42529.88</v>
      </c>
      <c r="I3428" s="15"/>
    </row>
    <row r="3429" spans="1:9" s="8" customFormat="1" ht="21" customHeight="1" x14ac:dyDescent="0.6">
      <c r="A3429" s="7">
        <v>24.719586499999998</v>
      </c>
      <c r="B3429" s="7">
        <v>34.747750799999999</v>
      </c>
      <c r="C3429" s="7">
        <v>676781.15</v>
      </c>
      <c r="D3429" s="7">
        <v>2735026.3</v>
      </c>
      <c r="E3429" s="7">
        <v>462.69</v>
      </c>
      <c r="F3429" s="7">
        <v>42563.42</v>
      </c>
      <c r="G3429" s="7">
        <v>81432</v>
      </c>
      <c r="H3429" s="7">
        <f t="shared" si="98"/>
        <v>42539.42</v>
      </c>
      <c r="I3429" s="15"/>
    </row>
    <row r="3430" spans="1:9" s="8" customFormat="1" ht="21" customHeight="1" x14ac:dyDescent="0.6">
      <c r="A3430" s="7">
        <v>24.719602800000001</v>
      </c>
      <c r="B3430" s="7">
        <v>34.7477692</v>
      </c>
      <c r="C3430" s="7">
        <v>676782.98</v>
      </c>
      <c r="D3430" s="7">
        <v>2735028.13</v>
      </c>
      <c r="E3430" s="7">
        <v>462.6</v>
      </c>
      <c r="F3430" s="7">
        <v>42578.23</v>
      </c>
      <c r="G3430" s="7">
        <v>81434</v>
      </c>
      <c r="H3430" s="7">
        <f t="shared" si="98"/>
        <v>42554.23</v>
      </c>
      <c r="I3430" s="15"/>
    </row>
    <row r="3431" spans="1:9" s="8" customFormat="1" ht="21" customHeight="1" x14ac:dyDescent="0.6">
      <c r="A3431" s="7">
        <v>24.719619699999999</v>
      </c>
      <c r="B3431" s="7">
        <v>34.747788300000003</v>
      </c>
      <c r="C3431" s="7">
        <v>676784.89</v>
      </c>
      <c r="D3431" s="7">
        <v>2735030.02</v>
      </c>
      <c r="E3431" s="7">
        <v>462.53</v>
      </c>
      <c r="F3431" s="7">
        <v>42591.54</v>
      </c>
      <c r="G3431" s="7">
        <v>81436</v>
      </c>
      <c r="H3431" s="7">
        <f t="shared" si="98"/>
        <v>42567.54</v>
      </c>
      <c r="I3431" s="15"/>
    </row>
    <row r="3432" spans="1:9" s="8" customFormat="1" ht="21" customHeight="1" x14ac:dyDescent="0.6">
      <c r="A3432" s="7">
        <v>24.719637299999999</v>
      </c>
      <c r="B3432" s="7">
        <v>34.7478087</v>
      </c>
      <c r="C3432" s="7">
        <v>676786.93</v>
      </c>
      <c r="D3432" s="7">
        <v>2735032</v>
      </c>
      <c r="E3432" s="7">
        <v>462.43</v>
      </c>
      <c r="F3432" s="7">
        <v>42606.559999999998</v>
      </c>
      <c r="G3432" s="7">
        <v>81438</v>
      </c>
      <c r="H3432" s="7">
        <f t="shared" si="98"/>
        <v>42582.559999999998</v>
      </c>
      <c r="I3432" s="15"/>
    </row>
    <row r="3433" spans="1:9" s="8" customFormat="1" ht="21" customHeight="1" x14ac:dyDescent="0.6">
      <c r="A3433" s="7">
        <v>24.719659700000001</v>
      </c>
      <c r="B3433" s="7">
        <v>34.747824000000001</v>
      </c>
      <c r="C3433" s="7">
        <v>676788.45</v>
      </c>
      <c r="D3433" s="7">
        <v>2735034.5</v>
      </c>
      <c r="E3433" s="7">
        <v>462.44</v>
      </c>
      <c r="F3433" s="7">
        <v>42621.73</v>
      </c>
      <c r="G3433" s="7">
        <v>81440</v>
      </c>
      <c r="H3433" s="7">
        <f t="shared" si="98"/>
        <v>42597.73</v>
      </c>
      <c r="I3433" s="15"/>
    </row>
    <row r="3434" spans="1:9" s="8" customFormat="1" ht="21" customHeight="1" x14ac:dyDescent="0.6">
      <c r="A3434" s="7">
        <v>24.719683700000001</v>
      </c>
      <c r="B3434" s="7">
        <v>34.747834500000003</v>
      </c>
      <c r="C3434" s="7">
        <v>676789.47</v>
      </c>
      <c r="D3434" s="7">
        <v>2735037.17</v>
      </c>
      <c r="E3434" s="7">
        <v>462.41</v>
      </c>
      <c r="F3434" s="7">
        <v>42639.74</v>
      </c>
      <c r="G3434" s="7">
        <v>81442</v>
      </c>
      <c r="H3434" s="7">
        <f t="shared" si="98"/>
        <v>42615.74</v>
      </c>
      <c r="I3434" s="15"/>
    </row>
    <row r="3435" spans="1:9" s="8" customFormat="1" ht="21" customHeight="1" x14ac:dyDescent="0.6">
      <c r="A3435" s="7">
        <v>24.7197067</v>
      </c>
      <c r="B3435" s="7">
        <v>34.747846000000003</v>
      </c>
      <c r="C3435" s="7">
        <v>676790.61</v>
      </c>
      <c r="D3435" s="7">
        <v>2735039.73</v>
      </c>
      <c r="E3435" s="7">
        <v>462.37</v>
      </c>
      <c r="F3435" s="7">
        <v>42660.21</v>
      </c>
      <c r="G3435" s="7">
        <v>81444</v>
      </c>
      <c r="H3435" s="7">
        <f t="shared" si="98"/>
        <v>42636.21</v>
      </c>
      <c r="I3435" s="15"/>
    </row>
    <row r="3436" spans="1:9" s="8" customFormat="1" ht="21" customHeight="1" x14ac:dyDescent="0.6">
      <c r="A3436" s="7">
        <v>24.719728199999999</v>
      </c>
      <c r="B3436" s="7">
        <v>34.747861899999997</v>
      </c>
      <c r="C3436" s="7">
        <v>676792.19</v>
      </c>
      <c r="D3436" s="7">
        <v>2735042.13</v>
      </c>
      <c r="E3436" s="7">
        <v>462.29</v>
      </c>
      <c r="F3436" s="7">
        <v>42684.7</v>
      </c>
      <c r="G3436" s="7">
        <v>81446</v>
      </c>
      <c r="H3436" s="7">
        <f t="shared" si="98"/>
        <v>42660.7</v>
      </c>
      <c r="I3436" s="15"/>
    </row>
    <row r="3437" spans="1:9" s="8" customFormat="1" ht="21" customHeight="1" x14ac:dyDescent="0.6">
      <c r="A3437" s="7">
        <v>24.719745400000001</v>
      </c>
      <c r="B3437" s="7">
        <v>34.747883899999998</v>
      </c>
      <c r="C3437" s="7">
        <v>676794.38</v>
      </c>
      <c r="D3437" s="7">
        <v>2735044.07</v>
      </c>
      <c r="E3437" s="7">
        <v>462.31</v>
      </c>
      <c r="F3437" s="7">
        <v>42708.46</v>
      </c>
      <c r="G3437" s="7">
        <v>81448</v>
      </c>
      <c r="H3437" s="7">
        <f t="shared" si="98"/>
        <v>42684.46</v>
      </c>
      <c r="I3437" s="15"/>
    </row>
    <row r="3438" spans="1:9" s="8" customFormat="1" ht="21" customHeight="1" x14ac:dyDescent="0.6">
      <c r="A3438" s="7">
        <v>24.719754399999999</v>
      </c>
      <c r="B3438" s="7">
        <v>34.7479054</v>
      </c>
      <c r="C3438" s="7">
        <v>676796.55</v>
      </c>
      <c r="D3438" s="7">
        <v>2735045.09</v>
      </c>
      <c r="E3438" s="7">
        <v>462.25</v>
      </c>
      <c r="F3438" s="7">
        <v>42738.25</v>
      </c>
      <c r="G3438" s="7">
        <v>81450</v>
      </c>
      <c r="H3438" s="7">
        <f t="shared" si="98"/>
        <v>42714.25</v>
      </c>
      <c r="I3438" s="15"/>
    </row>
    <row r="3439" spans="1:9" s="8" customFormat="1" ht="21" customHeight="1" x14ac:dyDescent="0.6">
      <c r="A3439" s="7">
        <v>24.7197578</v>
      </c>
      <c r="B3439" s="7">
        <v>34.747911500000001</v>
      </c>
      <c r="C3439" s="7">
        <v>676797.16</v>
      </c>
      <c r="D3439" s="7">
        <v>2735045.48</v>
      </c>
      <c r="E3439" s="7">
        <v>462.29</v>
      </c>
      <c r="F3439" s="7">
        <v>42753.71</v>
      </c>
      <c r="G3439" s="7">
        <v>81452</v>
      </c>
      <c r="H3439" s="7">
        <f t="shared" si="98"/>
        <v>42729.71</v>
      </c>
      <c r="I3439" s="15"/>
    </row>
    <row r="3440" spans="1:9" s="8" customFormat="1" ht="21" customHeight="1" x14ac:dyDescent="0.6">
      <c r="A3440" s="7">
        <v>24.719759100000001</v>
      </c>
      <c r="B3440" s="7">
        <v>34.747916199999999</v>
      </c>
      <c r="C3440" s="7">
        <v>676797.64</v>
      </c>
      <c r="D3440" s="7">
        <v>2735045.63</v>
      </c>
      <c r="E3440" s="7">
        <v>462.27</v>
      </c>
      <c r="F3440" s="7">
        <v>42756.37</v>
      </c>
      <c r="G3440" s="7">
        <v>81454</v>
      </c>
      <c r="H3440" s="7">
        <f t="shared" si="98"/>
        <v>42732.37</v>
      </c>
      <c r="I3440" s="15"/>
    </row>
    <row r="3441" spans="1:9" s="8" customFormat="1" ht="21" customHeight="1" x14ac:dyDescent="0.6">
      <c r="A3441" s="7">
        <v>24.719762299999999</v>
      </c>
      <c r="B3441" s="7">
        <v>34.747940800000002</v>
      </c>
      <c r="C3441" s="7">
        <v>676800.13</v>
      </c>
      <c r="D3441" s="7">
        <v>2735046.01</v>
      </c>
      <c r="E3441" s="7">
        <v>462.24</v>
      </c>
      <c r="F3441" s="7">
        <v>42775.6</v>
      </c>
      <c r="G3441" s="7">
        <v>81456</v>
      </c>
      <c r="H3441" s="7">
        <f t="shared" si="98"/>
        <v>42751.6</v>
      </c>
      <c r="I3441" s="15"/>
    </row>
    <row r="3442" spans="1:9" s="8" customFormat="1" ht="21" customHeight="1" x14ac:dyDescent="0.6">
      <c r="A3442" s="7">
        <v>24.719754099999999</v>
      </c>
      <c r="B3442" s="7">
        <v>34.747966599999998</v>
      </c>
      <c r="C3442" s="7">
        <v>676802.75</v>
      </c>
      <c r="D3442" s="7">
        <v>2735045.14</v>
      </c>
      <c r="E3442" s="7">
        <v>462.27</v>
      </c>
      <c r="F3442" s="7">
        <v>42788.09</v>
      </c>
      <c r="G3442" s="7">
        <v>81458</v>
      </c>
      <c r="H3442" s="7">
        <f t="shared" si="98"/>
        <v>42764.09</v>
      </c>
      <c r="I3442" s="15"/>
    </row>
    <row r="3443" spans="1:9" s="8" customFormat="1" ht="21" customHeight="1" x14ac:dyDescent="0.6">
      <c r="A3443" s="7">
        <v>24.7197396</v>
      </c>
      <c r="B3443" s="7">
        <v>34.747988499999998</v>
      </c>
      <c r="C3443" s="7">
        <v>676804.98</v>
      </c>
      <c r="D3443" s="7">
        <v>2735043.56</v>
      </c>
      <c r="E3443" s="7">
        <v>462.43</v>
      </c>
      <c r="F3443" s="7">
        <v>42784.02</v>
      </c>
      <c r="G3443" s="7">
        <v>81500</v>
      </c>
      <c r="H3443" s="7">
        <f t="shared" si="98"/>
        <v>42760.02</v>
      </c>
      <c r="I3443" s="15"/>
    </row>
    <row r="3444" spans="1:9" s="8" customFormat="1" ht="21" customHeight="1" x14ac:dyDescent="0.6">
      <c r="A3444" s="7">
        <v>24.719726300000001</v>
      </c>
      <c r="B3444" s="7">
        <v>34.748012500000002</v>
      </c>
      <c r="C3444" s="7">
        <v>676807.43</v>
      </c>
      <c r="D3444" s="7">
        <v>2735042.12</v>
      </c>
      <c r="E3444" s="7">
        <v>462.49</v>
      </c>
      <c r="F3444" s="7">
        <v>42793.53</v>
      </c>
      <c r="G3444" s="7">
        <v>81502</v>
      </c>
      <c r="H3444" s="7">
        <f t="shared" si="98"/>
        <v>42769.53</v>
      </c>
      <c r="I3444" s="15"/>
    </row>
    <row r="3445" spans="1:9" s="8" customFormat="1" ht="21" customHeight="1" x14ac:dyDescent="0.6">
      <c r="A3445" s="7">
        <v>24.719711100000001</v>
      </c>
      <c r="B3445" s="7">
        <v>34.748033300000003</v>
      </c>
      <c r="C3445" s="7">
        <v>676809.55</v>
      </c>
      <c r="D3445" s="7">
        <v>2735040.46</v>
      </c>
      <c r="E3445" s="7">
        <v>462.62</v>
      </c>
      <c r="F3445" s="7">
        <v>42786.11</v>
      </c>
      <c r="G3445" s="7">
        <v>81504</v>
      </c>
      <c r="H3445" s="7">
        <f t="shared" si="98"/>
        <v>42762.11</v>
      </c>
      <c r="I3445" s="15"/>
    </row>
    <row r="3446" spans="1:9" s="8" customFormat="1" ht="21" customHeight="1" x14ac:dyDescent="0.6">
      <c r="A3446" s="7">
        <v>24.719703899999999</v>
      </c>
      <c r="B3446" s="7">
        <v>34.748058299999997</v>
      </c>
      <c r="C3446" s="7">
        <v>676812.09</v>
      </c>
      <c r="D3446" s="7">
        <v>2735039.7</v>
      </c>
      <c r="E3446" s="7">
        <v>462.7</v>
      </c>
      <c r="F3446" s="7">
        <v>42800.83</v>
      </c>
      <c r="G3446" s="7">
        <v>81506</v>
      </c>
      <c r="H3446" s="7">
        <f t="shared" si="98"/>
        <v>42776.83</v>
      </c>
      <c r="I3446" s="15"/>
    </row>
    <row r="3447" spans="1:9" s="8" customFormat="1" ht="21" customHeight="1" x14ac:dyDescent="0.6">
      <c r="A3447" s="7">
        <v>24.719691300000001</v>
      </c>
      <c r="B3447" s="7">
        <v>34.748081999999997</v>
      </c>
      <c r="C3447" s="7">
        <v>676814.5</v>
      </c>
      <c r="D3447" s="7">
        <v>2735038.33</v>
      </c>
      <c r="E3447" s="7">
        <v>462.88</v>
      </c>
      <c r="F3447" s="7">
        <v>42808.79</v>
      </c>
      <c r="G3447" s="7">
        <v>81508</v>
      </c>
      <c r="H3447" s="7">
        <f t="shared" si="98"/>
        <v>42784.79</v>
      </c>
      <c r="I3447" s="15"/>
    </row>
    <row r="3448" spans="1:9" s="8" customFormat="1" ht="21" customHeight="1" x14ac:dyDescent="0.6">
      <c r="A3448" s="7">
        <v>24.719675800000001</v>
      </c>
      <c r="B3448" s="7">
        <v>34.748106800000002</v>
      </c>
      <c r="C3448" s="7">
        <v>676817.04</v>
      </c>
      <c r="D3448" s="7">
        <v>2735036.65</v>
      </c>
      <c r="E3448" s="7">
        <v>462.94</v>
      </c>
      <c r="F3448" s="7">
        <v>42826.13</v>
      </c>
      <c r="G3448" s="7">
        <v>81510</v>
      </c>
      <c r="H3448" s="7">
        <f t="shared" ref="H3448:H3472" si="99">SUM(F3448-24)</f>
        <v>42802.13</v>
      </c>
      <c r="I3448" s="15"/>
    </row>
    <row r="3449" spans="1:9" s="8" customFormat="1" ht="21" customHeight="1" x14ac:dyDescent="0.6">
      <c r="A3449" s="7">
        <v>24.719660099999999</v>
      </c>
      <c r="B3449" s="7">
        <v>34.7481334</v>
      </c>
      <c r="C3449" s="7">
        <v>676819.75</v>
      </c>
      <c r="D3449" s="7">
        <v>2735034.94</v>
      </c>
      <c r="E3449" s="7">
        <v>463.08</v>
      </c>
      <c r="F3449" s="7">
        <v>42838.51</v>
      </c>
      <c r="G3449" s="7">
        <v>81512</v>
      </c>
      <c r="H3449" s="7">
        <f t="shared" si="99"/>
        <v>42814.51</v>
      </c>
      <c r="I3449" s="15"/>
    </row>
    <row r="3450" spans="1:9" s="8" customFormat="1" ht="21" customHeight="1" x14ac:dyDescent="0.6">
      <c r="A3450" s="7">
        <v>24.719645700000001</v>
      </c>
      <c r="B3450" s="7">
        <v>34.748159000000001</v>
      </c>
      <c r="C3450" s="7">
        <v>676822.37</v>
      </c>
      <c r="D3450" s="7">
        <v>2735033.38</v>
      </c>
      <c r="E3450" s="7">
        <v>463.1</v>
      </c>
      <c r="F3450" s="7">
        <v>42825.63</v>
      </c>
      <c r="G3450" s="7">
        <v>81514</v>
      </c>
      <c r="H3450" s="7">
        <f t="shared" si="99"/>
        <v>42801.63</v>
      </c>
      <c r="I3450" s="15"/>
    </row>
    <row r="3451" spans="1:9" s="8" customFormat="1" ht="21" customHeight="1" x14ac:dyDescent="0.6">
      <c r="A3451" s="7">
        <v>24.719627500000001</v>
      </c>
      <c r="B3451" s="7">
        <v>34.748182499999999</v>
      </c>
      <c r="C3451" s="7">
        <v>676824.76</v>
      </c>
      <c r="D3451" s="7">
        <v>2735031.4</v>
      </c>
      <c r="E3451" s="7">
        <v>463.13</v>
      </c>
      <c r="F3451" s="7">
        <v>42819.59</v>
      </c>
      <c r="G3451" s="7">
        <v>81516</v>
      </c>
      <c r="H3451" s="7">
        <f t="shared" si="99"/>
        <v>42795.59</v>
      </c>
      <c r="I3451" s="15"/>
    </row>
    <row r="3452" spans="1:9" s="8" customFormat="1" ht="21" customHeight="1" x14ac:dyDescent="0.6">
      <c r="A3452" s="7">
        <v>24.719614700000001</v>
      </c>
      <c r="B3452" s="7">
        <v>34.748207800000003</v>
      </c>
      <c r="C3452" s="7">
        <v>676827.35</v>
      </c>
      <c r="D3452" s="7">
        <v>2735030.01</v>
      </c>
      <c r="E3452" s="7">
        <v>463.14</v>
      </c>
      <c r="F3452" s="7">
        <v>42833.05</v>
      </c>
      <c r="G3452" s="7">
        <v>81518</v>
      </c>
      <c r="H3452" s="7">
        <f t="shared" si="99"/>
        <v>42809.05</v>
      </c>
      <c r="I3452" s="15"/>
    </row>
    <row r="3453" spans="1:9" s="8" customFormat="1" ht="21" customHeight="1" x14ac:dyDescent="0.6">
      <c r="A3453" s="7">
        <v>24.7196015</v>
      </c>
      <c r="B3453" s="7">
        <v>34.748233599999999</v>
      </c>
      <c r="C3453" s="7">
        <v>676829.97</v>
      </c>
      <c r="D3453" s="7">
        <v>2735028.58</v>
      </c>
      <c r="E3453" s="7">
        <v>463.23</v>
      </c>
      <c r="F3453" s="7">
        <v>42845.88</v>
      </c>
      <c r="G3453" s="7">
        <v>81520</v>
      </c>
      <c r="H3453" s="7">
        <f t="shared" si="99"/>
        <v>42821.88</v>
      </c>
      <c r="I3453" s="15"/>
    </row>
    <row r="3454" spans="1:9" s="8" customFormat="1" ht="21" customHeight="1" x14ac:dyDescent="0.6">
      <c r="A3454" s="7">
        <v>24.719585500000001</v>
      </c>
      <c r="B3454" s="7">
        <v>34.748254799999998</v>
      </c>
      <c r="C3454" s="7">
        <v>676832.14</v>
      </c>
      <c r="D3454" s="7">
        <v>2735026.84</v>
      </c>
      <c r="E3454" s="7">
        <v>463.28</v>
      </c>
      <c r="F3454" s="7">
        <v>42845.63</v>
      </c>
      <c r="G3454" s="7">
        <v>81522</v>
      </c>
      <c r="H3454" s="7">
        <f t="shared" si="99"/>
        <v>42821.63</v>
      </c>
      <c r="I3454" s="15"/>
    </row>
    <row r="3455" spans="1:9" s="8" customFormat="1" ht="21" customHeight="1" x14ac:dyDescent="0.6">
      <c r="A3455" s="7">
        <v>24.7195684</v>
      </c>
      <c r="B3455" s="7">
        <v>34.7482775</v>
      </c>
      <c r="C3455" s="7">
        <v>676834.46</v>
      </c>
      <c r="D3455" s="7">
        <v>2735024.98</v>
      </c>
      <c r="E3455" s="7">
        <v>463.31</v>
      </c>
      <c r="F3455" s="7">
        <v>42845.14</v>
      </c>
      <c r="G3455" s="7">
        <v>81524</v>
      </c>
      <c r="H3455" s="7">
        <f t="shared" si="99"/>
        <v>42821.14</v>
      </c>
      <c r="I3455" s="15"/>
    </row>
    <row r="3456" spans="1:9" s="8" customFormat="1" ht="21" customHeight="1" x14ac:dyDescent="0.6">
      <c r="A3456" s="7">
        <v>24.7195502</v>
      </c>
      <c r="B3456" s="7">
        <v>34.748300399999998</v>
      </c>
      <c r="C3456" s="7">
        <v>676836.8</v>
      </c>
      <c r="D3456" s="7">
        <v>2735022.98</v>
      </c>
      <c r="E3456" s="7">
        <v>463.32</v>
      </c>
      <c r="F3456" s="7">
        <v>42854.28</v>
      </c>
      <c r="G3456" s="7">
        <v>81526</v>
      </c>
      <c r="H3456" s="7">
        <f t="shared" si="99"/>
        <v>42830.28</v>
      </c>
      <c r="I3456" s="15"/>
    </row>
    <row r="3457" spans="1:9" s="8" customFormat="1" ht="21" customHeight="1" x14ac:dyDescent="0.6">
      <c r="A3457" s="7">
        <v>24.719531799999999</v>
      </c>
      <c r="B3457" s="7">
        <v>34.748321900000001</v>
      </c>
      <c r="C3457" s="7">
        <v>676839</v>
      </c>
      <c r="D3457" s="7">
        <v>2735020.98</v>
      </c>
      <c r="E3457" s="7">
        <v>463.42</v>
      </c>
      <c r="F3457" s="7">
        <v>42847.48</v>
      </c>
      <c r="G3457" s="7">
        <v>81528</v>
      </c>
      <c r="H3457" s="7">
        <f t="shared" si="99"/>
        <v>42823.48</v>
      </c>
      <c r="I3457" s="15"/>
    </row>
    <row r="3458" spans="1:9" s="8" customFormat="1" ht="21" customHeight="1" x14ac:dyDescent="0.6">
      <c r="A3458" s="7">
        <v>24.719518900000001</v>
      </c>
      <c r="B3458" s="7">
        <v>34.748345800000003</v>
      </c>
      <c r="C3458" s="7">
        <v>676841.44</v>
      </c>
      <c r="D3458" s="7">
        <v>2735019.57</v>
      </c>
      <c r="E3458" s="7">
        <v>463.54</v>
      </c>
      <c r="F3458" s="7">
        <v>42850.16</v>
      </c>
      <c r="G3458" s="7">
        <v>81530</v>
      </c>
      <c r="H3458" s="7">
        <f t="shared" si="99"/>
        <v>42826.16</v>
      </c>
      <c r="I3458" s="15"/>
    </row>
    <row r="3459" spans="1:9" s="8" customFormat="1" ht="21" customHeight="1" x14ac:dyDescent="0.6">
      <c r="A3459" s="7">
        <v>24.719505600000002</v>
      </c>
      <c r="B3459" s="7">
        <v>34.7483711</v>
      </c>
      <c r="C3459" s="7">
        <v>676844.02</v>
      </c>
      <c r="D3459" s="7">
        <v>2735018.14</v>
      </c>
      <c r="E3459" s="7">
        <v>463.76</v>
      </c>
      <c r="F3459" s="7">
        <v>42856.51</v>
      </c>
      <c r="G3459" s="7">
        <v>81532</v>
      </c>
      <c r="H3459" s="7">
        <f t="shared" si="99"/>
        <v>42832.51</v>
      </c>
      <c r="I3459" s="15"/>
    </row>
    <row r="3460" spans="1:9" s="8" customFormat="1" ht="21" customHeight="1" x14ac:dyDescent="0.6">
      <c r="A3460" s="7">
        <v>24.719495299999998</v>
      </c>
      <c r="B3460" s="7">
        <v>34.748397900000001</v>
      </c>
      <c r="C3460" s="7">
        <v>676846.75</v>
      </c>
      <c r="D3460" s="7">
        <v>2735017.04</v>
      </c>
      <c r="E3460" s="7">
        <v>463.86</v>
      </c>
      <c r="F3460" s="7">
        <v>42864.06</v>
      </c>
      <c r="G3460" s="7">
        <v>81534</v>
      </c>
      <c r="H3460" s="7">
        <f t="shared" si="99"/>
        <v>42840.06</v>
      </c>
      <c r="I3460" s="15"/>
    </row>
    <row r="3461" spans="1:9" s="8" customFormat="1" ht="21" customHeight="1" x14ac:dyDescent="0.6">
      <c r="A3461" s="7">
        <v>24.719486700000001</v>
      </c>
      <c r="B3461" s="7">
        <v>34.7484264</v>
      </c>
      <c r="C3461" s="7">
        <v>676849.64</v>
      </c>
      <c r="D3461" s="7">
        <v>2735016.12</v>
      </c>
      <c r="E3461" s="7">
        <v>463.91</v>
      </c>
      <c r="F3461" s="7">
        <v>42873.77</v>
      </c>
      <c r="G3461" s="7">
        <v>81536</v>
      </c>
      <c r="H3461" s="7">
        <f t="shared" si="99"/>
        <v>42849.77</v>
      </c>
      <c r="I3461" s="15"/>
    </row>
    <row r="3462" spans="1:9" s="8" customFormat="1" ht="21" customHeight="1" x14ac:dyDescent="0.6">
      <c r="A3462" s="7">
        <v>24.719476499999999</v>
      </c>
      <c r="B3462" s="7">
        <v>34.748451600000003</v>
      </c>
      <c r="C3462" s="7">
        <v>676852.2</v>
      </c>
      <c r="D3462" s="7">
        <v>2735015.02</v>
      </c>
      <c r="E3462" s="7">
        <v>464.06</v>
      </c>
      <c r="F3462" s="7">
        <v>42867.66</v>
      </c>
      <c r="G3462" s="7">
        <v>81538</v>
      </c>
      <c r="H3462" s="7">
        <f t="shared" si="99"/>
        <v>42843.66</v>
      </c>
      <c r="I3462" s="15"/>
    </row>
    <row r="3463" spans="1:9" s="8" customFormat="1" ht="21" customHeight="1" x14ac:dyDescent="0.6">
      <c r="A3463" s="7">
        <v>24.719468299999999</v>
      </c>
      <c r="B3463" s="7">
        <v>34.7484787</v>
      </c>
      <c r="C3463" s="7">
        <v>676854.96</v>
      </c>
      <c r="D3463" s="7">
        <v>2735014.14</v>
      </c>
      <c r="E3463" s="7">
        <v>464.19</v>
      </c>
      <c r="F3463" s="7">
        <v>42873.62</v>
      </c>
      <c r="G3463" s="7">
        <v>81540</v>
      </c>
      <c r="H3463" s="7">
        <f t="shared" si="99"/>
        <v>42849.62</v>
      </c>
      <c r="I3463" s="15"/>
    </row>
    <row r="3464" spans="1:9" s="8" customFormat="1" ht="21" customHeight="1" x14ac:dyDescent="0.6">
      <c r="A3464" s="7">
        <v>24.7194611</v>
      </c>
      <c r="B3464" s="7">
        <v>34.7485061</v>
      </c>
      <c r="C3464" s="7">
        <v>676857.73</v>
      </c>
      <c r="D3464" s="7">
        <v>2735013.38</v>
      </c>
      <c r="E3464" s="7">
        <v>464.31</v>
      </c>
      <c r="F3464" s="7">
        <v>42889.18</v>
      </c>
      <c r="G3464" s="7">
        <v>81542</v>
      </c>
      <c r="H3464" s="7">
        <f t="shared" si="99"/>
        <v>42865.18</v>
      </c>
      <c r="I3464" s="15"/>
    </row>
    <row r="3465" spans="1:9" s="8" customFormat="1" ht="21" customHeight="1" x14ac:dyDescent="0.6">
      <c r="A3465" s="7">
        <v>24.7194459</v>
      </c>
      <c r="B3465" s="7">
        <v>34.748528700000001</v>
      </c>
      <c r="C3465" s="7">
        <v>676860.04</v>
      </c>
      <c r="D3465" s="7">
        <v>2735011.73</v>
      </c>
      <c r="E3465" s="7">
        <v>464.43</v>
      </c>
      <c r="F3465" s="7">
        <v>42894.87</v>
      </c>
      <c r="G3465" s="7">
        <v>81544</v>
      </c>
      <c r="H3465" s="7">
        <f t="shared" si="99"/>
        <v>42870.87</v>
      </c>
      <c r="I3465" s="15"/>
    </row>
    <row r="3466" spans="1:9" s="8" customFormat="1" ht="21" customHeight="1" x14ac:dyDescent="0.6">
      <c r="A3466" s="7">
        <v>24.7194276</v>
      </c>
      <c r="B3466" s="7">
        <v>34.748548100000001</v>
      </c>
      <c r="C3466" s="7">
        <v>676862.04</v>
      </c>
      <c r="D3466" s="7">
        <v>2735009.73</v>
      </c>
      <c r="E3466" s="7">
        <v>464.46</v>
      </c>
      <c r="F3466" s="7">
        <v>42871.82</v>
      </c>
      <c r="G3466" s="7">
        <v>81546</v>
      </c>
      <c r="H3466" s="7">
        <f t="shared" si="99"/>
        <v>42847.82</v>
      </c>
      <c r="I3466" s="15"/>
    </row>
    <row r="3467" spans="1:9" s="8" customFormat="1" ht="21" customHeight="1" x14ac:dyDescent="0.6">
      <c r="A3467" s="7">
        <v>24.7194124</v>
      </c>
      <c r="B3467" s="7">
        <v>34.748573200000003</v>
      </c>
      <c r="C3467" s="7">
        <v>676864.59</v>
      </c>
      <c r="D3467" s="7">
        <v>2735008.07</v>
      </c>
      <c r="E3467" s="7">
        <v>464.54</v>
      </c>
      <c r="F3467" s="7">
        <v>42882.54</v>
      </c>
      <c r="G3467" s="7">
        <v>81548</v>
      </c>
      <c r="H3467" s="7">
        <f t="shared" si="99"/>
        <v>42858.54</v>
      </c>
      <c r="I3467" s="15"/>
    </row>
    <row r="3468" spans="1:9" s="8" customFormat="1" ht="21" customHeight="1" x14ac:dyDescent="0.6">
      <c r="A3468" s="7">
        <v>24.719405299999998</v>
      </c>
      <c r="B3468" s="7">
        <v>34.748598000000001</v>
      </c>
      <c r="C3468" s="7">
        <v>676867.12</v>
      </c>
      <c r="D3468" s="7">
        <v>2735007.32</v>
      </c>
      <c r="E3468" s="7">
        <v>464.69</v>
      </c>
      <c r="F3468" s="7">
        <v>42887.03</v>
      </c>
      <c r="G3468" s="7">
        <v>81550</v>
      </c>
      <c r="H3468" s="7">
        <f t="shared" si="99"/>
        <v>42863.03</v>
      </c>
      <c r="I3468" s="15"/>
    </row>
    <row r="3469" spans="1:9" s="8" customFormat="1" ht="21" customHeight="1" x14ac:dyDescent="0.6">
      <c r="A3469" s="7">
        <v>24.719399599999999</v>
      </c>
      <c r="B3469" s="7">
        <v>34.748626700000003</v>
      </c>
      <c r="C3469" s="7">
        <v>676870.02</v>
      </c>
      <c r="D3469" s="7">
        <v>2735006.73</v>
      </c>
      <c r="E3469" s="7">
        <v>464.78</v>
      </c>
      <c r="F3469" s="7">
        <v>42896.74</v>
      </c>
      <c r="G3469" s="7">
        <v>81552</v>
      </c>
      <c r="H3469" s="7">
        <f t="shared" si="99"/>
        <v>42872.74</v>
      </c>
      <c r="I3469" s="15"/>
    </row>
    <row r="3470" spans="1:9" s="8" customFormat="1" ht="21" customHeight="1" x14ac:dyDescent="0.6">
      <c r="A3470" s="7">
        <v>24.719389899999999</v>
      </c>
      <c r="B3470" s="7">
        <v>34.748652999999997</v>
      </c>
      <c r="C3470" s="7">
        <v>676872.7</v>
      </c>
      <c r="D3470" s="7">
        <v>2735005.68</v>
      </c>
      <c r="E3470" s="7">
        <v>464.96</v>
      </c>
      <c r="F3470" s="7">
        <v>42897.08</v>
      </c>
      <c r="G3470" s="7">
        <v>81554</v>
      </c>
      <c r="H3470" s="7">
        <f t="shared" si="99"/>
        <v>42873.08</v>
      </c>
      <c r="I3470" s="15"/>
    </row>
    <row r="3471" spans="1:9" s="8" customFormat="1" ht="21" customHeight="1" x14ac:dyDescent="0.6">
      <c r="A3471" s="7">
        <v>24.719379199999999</v>
      </c>
      <c r="B3471" s="7">
        <v>34.74868</v>
      </c>
      <c r="C3471" s="7">
        <v>676875.45</v>
      </c>
      <c r="D3471" s="7">
        <v>2735004.53</v>
      </c>
      <c r="E3471" s="7">
        <v>465.06</v>
      </c>
      <c r="F3471" s="7">
        <v>42902.23</v>
      </c>
      <c r="G3471" s="7">
        <v>81556</v>
      </c>
      <c r="H3471" s="7">
        <f t="shared" si="99"/>
        <v>42878.23</v>
      </c>
      <c r="I3471" s="15"/>
    </row>
    <row r="3472" spans="1:9" s="8" customFormat="1" ht="21" customHeight="1" x14ac:dyDescent="0.6">
      <c r="A3472" s="7">
        <v>24.719364800000001</v>
      </c>
      <c r="B3472" s="7">
        <v>34.7487049</v>
      </c>
      <c r="C3472" s="7">
        <v>676877.98</v>
      </c>
      <c r="D3472" s="7">
        <v>2735002.97</v>
      </c>
      <c r="E3472" s="7">
        <v>465.21</v>
      </c>
      <c r="F3472" s="7">
        <v>42895.05</v>
      </c>
      <c r="G3472" s="7">
        <v>81558</v>
      </c>
      <c r="H3472" s="7">
        <f t="shared" si="99"/>
        <v>42871.05</v>
      </c>
      <c r="I3472" s="15"/>
    </row>
    <row r="3473" spans="1:9" s="8" customFormat="1" ht="21" customHeight="1" x14ac:dyDescent="0.6">
      <c r="A3473" s="7">
        <v>24.719354800000001</v>
      </c>
      <c r="B3473" s="7">
        <v>34.7487298</v>
      </c>
      <c r="C3473" s="7">
        <v>676880.52</v>
      </c>
      <c r="D3473" s="7">
        <v>2735001.89</v>
      </c>
      <c r="E3473" s="7">
        <v>465.41</v>
      </c>
      <c r="F3473" s="7">
        <v>42895.68</v>
      </c>
      <c r="G3473" s="7">
        <v>81600</v>
      </c>
      <c r="H3473" s="7">
        <f>SUM(F3473-31)</f>
        <v>42864.68</v>
      </c>
      <c r="I3473" s="15"/>
    </row>
    <row r="3474" spans="1:9" s="8" customFormat="1" ht="21" customHeight="1" x14ac:dyDescent="0.6">
      <c r="A3474" s="7">
        <v>24.719345499999999</v>
      </c>
      <c r="B3474" s="7">
        <v>34.748754499999997</v>
      </c>
      <c r="C3474" s="7">
        <v>676883.03</v>
      </c>
      <c r="D3474" s="7">
        <v>2735000.9</v>
      </c>
      <c r="E3474" s="7">
        <v>465.54</v>
      </c>
      <c r="F3474" s="7">
        <v>42893.77</v>
      </c>
      <c r="G3474" s="7">
        <v>81602</v>
      </c>
      <c r="H3474" s="7">
        <f t="shared" ref="H3474:H3537" si="100">SUM(F3474-31)</f>
        <v>42862.77</v>
      </c>
      <c r="I3474" s="15"/>
    </row>
    <row r="3475" spans="1:9" s="8" customFormat="1" ht="21" customHeight="1" x14ac:dyDescent="0.6">
      <c r="A3475" s="7">
        <v>24.719331499999999</v>
      </c>
      <c r="B3475" s="7">
        <v>34.748778600000001</v>
      </c>
      <c r="C3475" s="7">
        <v>676885.49</v>
      </c>
      <c r="D3475" s="7">
        <v>2734999.38</v>
      </c>
      <c r="E3475" s="7">
        <v>465.73</v>
      </c>
      <c r="F3475" s="7">
        <v>42888.83</v>
      </c>
      <c r="G3475" s="7">
        <v>81604</v>
      </c>
      <c r="H3475" s="7">
        <f t="shared" si="100"/>
        <v>42857.83</v>
      </c>
      <c r="I3475" s="15"/>
    </row>
    <row r="3476" spans="1:9" s="8" customFormat="1" ht="21" customHeight="1" x14ac:dyDescent="0.6">
      <c r="A3476" s="7">
        <v>24.719320100000001</v>
      </c>
      <c r="B3476" s="7">
        <v>34.748803899999999</v>
      </c>
      <c r="C3476" s="7">
        <v>676888.06</v>
      </c>
      <c r="D3476" s="7">
        <v>2734998.15</v>
      </c>
      <c r="E3476" s="7">
        <v>465.82</v>
      </c>
      <c r="F3476" s="7">
        <v>42884.78</v>
      </c>
      <c r="G3476" s="7">
        <v>81606</v>
      </c>
      <c r="H3476" s="7">
        <f t="shared" si="100"/>
        <v>42853.78</v>
      </c>
      <c r="I3476" s="15"/>
    </row>
    <row r="3477" spans="1:9" s="8" customFormat="1" ht="21" customHeight="1" x14ac:dyDescent="0.6">
      <c r="A3477" s="7">
        <v>24.719311000000001</v>
      </c>
      <c r="B3477" s="7">
        <v>34.748830300000002</v>
      </c>
      <c r="C3477" s="7">
        <v>676890.75</v>
      </c>
      <c r="D3477" s="7">
        <v>2734997.17</v>
      </c>
      <c r="E3477" s="7">
        <v>465.91</v>
      </c>
      <c r="F3477" s="7">
        <v>42887.360000000001</v>
      </c>
      <c r="G3477" s="7">
        <v>81608</v>
      </c>
      <c r="H3477" s="7">
        <f t="shared" si="100"/>
        <v>42856.36</v>
      </c>
      <c r="I3477" s="15"/>
    </row>
    <row r="3478" spans="1:9" s="8" customFormat="1" ht="21" customHeight="1" x14ac:dyDescent="0.6">
      <c r="A3478" s="7">
        <v>24.719295800000001</v>
      </c>
      <c r="B3478" s="7">
        <v>34.748852499999998</v>
      </c>
      <c r="C3478" s="7">
        <v>676893.02</v>
      </c>
      <c r="D3478" s="7">
        <v>2734995.52</v>
      </c>
      <c r="E3478" s="7">
        <v>466.07</v>
      </c>
      <c r="F3478" s="7">
        <v>42882.06</v>
      </c>
      <c r="G3478" s="7">
        <v>81610</v>
      </c>
      <c r="H3478" s="7">
        <f t="shared" si="100"/>
        <v>42851.06</v>
      </c>
      <c r="I3478" s="15"/>
    </row>
    <row r="3479" spans="1:9" s="8" customFormat="1" ht="21" customHeight="1" x14ac:dyDescent="0.6">
      <c r="A3479" s="7">
        <v>24.7192826</v>
      </c>
      <c r="B3479" s="7">
        <v>34.748877800000002</v>
      </c>
      <c r="C3479" s="7">
        <v>676895.59</v>
      </c>
      <c r="D3479" s="7">
        <v>2734994.09</v>
      </c>
      <c r="E3479" s="7">
        <v>466.19</v>
      </c>
      <c r="F3479" s="7">
        <v>42880.26</v>
      </c>
      <c r="G3479" s="7">
        <v>81612</v>
      </c>
      <c r="H3479" s="7">
        <f t="shared" si="100"/>
        <v>42849.26</v>
      </c>
      <c r="I3479" s="15"/>
    </row>
    <row r="3480" spans="1:9" s="8" customFormat="1" ht="21" customHeight="1" x14ac:dyDescent="0.6">
      <c r="A3480" s="7">
        <v>24.719269600000001</v>
      </c>
      <c r="B3480" s="7">
        <v>34.748905600000001</v>
      </c>
      <c r="C3480" s="7">
        <v>676898.43</v>
      </c>
      <c r="D3480" s="7">
        <v>2734992.69</v>
      </c>
      <c r="E3480" s="7">
        <v>466.42</v>
      </c>
      <c r="F3480" s="7">
        <v>42877.120000000003</v>
      </c>
      <c r="G3480" s="7">
        <v>81614</v>
      </c>
      <c r="H3480" s="7">
        <f t="shared" si="100"/>
        <v>42846.12</v>
      </c>
      <c r="I3480" s="15"/>
    </row>
    <row r="3481" spans="1:9" s="8" customFormat="1" ht="21" customHeight="1" x14ac:dyDescent="0.6">
      <c r="A3481" s="7">
        <v>24.719259000000001</v>
      </c>
      <c r="B3481" s="7">
        <v>34.748928599999999</v>
      </c>
      <c r="C3481" s="7">
        <v>676900.76</v>
      </c>
      <c r="D3481" s="7">
        <v>2734991.54</v>
      </c>
      <c r="E3481" s="7">
        <v>466.82</v>
      </c>
      <c r="F3481" s="7">
        <v>42877.29</v>
      </c>
      <c r="G3481" s="7">
        <v>81616</v>
      </c>
      <c r="H3481" s="7">
        <f t="shared" si="100"/>
        <v>42846.29</v>
      </c>
      <c r="I3481" s="15"/>
    </row>
    <row r="3482" spans="1:9" s="8" customFormat="1" ht="21" customHeight="1" x14ac:dyDescent="0.6">
      <c r="A3482" s="7">
        <v>24.719244100000001</v>
      </c>
      <c r="B3482" s="7">
        <v>34.748954400000002</v>
      </c>
      <c r="C3482" s="7">
        <v>676903.39</v>
      </c>
      <c r="D3482" s="7">
        <v>2734989.93</v>
      </c>
      <c r="E3482" s="7">
        <v>466.62</v>
      </c>
      <c r="F3482" s="7">
        <v>42874.29</v>
      </c>
      <c r="G3482" s="7">
        <v>81618</v>
      </c>
      <c r="H3482" s="7">
        <f t="shared" si="100"/>
        <v>42843.29</v>
      </c>
      <c r="I3482" s="15"/>
    </row>
    <row r="3483" spans="1:9" s="8" customFormat="1" ht="21" customHeight="1" x14ac:dyDescent="0.6">
      <c r="A3483" s="7">
        <v>24.719233299999999</v>
      </c>
      <c r="B3483" s="7">
        <v>34.748981200000003</v>
      </c>
      <c r="C3483" s="7">
        <v>676906.12</v>
      </c>
      <c r="D3483" s="7">
        <v>2734988.76</v>
      </c>
      <c r="E3483" s="7">
        <v>466.79</v>
      </c>
      <c r="F3483" s="7">
        <v>42876.36</v>
      </c>
      <c r="G3483" s="7">
        <v>81620</v>
      </c>
      <c r="H3483" s="7">
        <f t="shared" si="100"/>
        <v>42845.36</v>
      </c>
      <c r="I3483" s="15"/>
    </row>
    <row r="3484" spans="1:9" s="8" customFormat="1" ht="21" customHeight="1" x14ac:dyDescent="0.6">
      <c r="A3484" s="7">
        <v>24.719225099999999</v>
      </c>
      <c r="B3484" s="7">
        <v>34.749008400000001</v>
      </c>
      <c r="C3484" s="7">
        <v>676908.89</v>
      </c>
      <c r="D3484" s="7">
        <v>2734987.89</v>
      </c>
      <c r="E3484" s="7">
        <v>466.97</v>
      </c>
      <c r="F3484" s="7">
        <v>42879.11</v>
      </c>
      <c r="G3484" s="7">
        <v>81622</v>
      </c>
      <c r="H3484" s="7">
        <f t="shared" si="100"/>
        <v>42848.11</v>
      </c>
      <c r="I3484" s="15"/>
    </row>
    <row r="3485" spans="1:9" s="8" customFormat="1" ht="21" customHeight="1" x14ac:dyDescent="0.6">
      <c r="A3485" s="7">
        <v>24.7192154</v>
      </c>
      <c r="B3485" s="7">
        <v>34.749033900000001</v>
      </c>
      <c r="C3485" s="7">
        <v>676911.48</v>
      </c>
      <c r="D3485" s="7">
        <v>2734986.85</v>
      </c>
      <c r="E3485" s="7">
        <v>467.12</v>
      </c>
      <c r="F3485" s="7">
        <v>42882.75</v>
      </c>
      <c r="G3485" s="7">
        <v>81624</v>
      </c>
      <c r="H3485" s="7">
        <f t="shared" si="100"/>
        <v>42851.75</v>
      </c>
      <c r="I3485" s="15"/>
    </row>
    <row r="3486" spans="1:9" s="8" customFormat="1" ht="21" customHeight="1" x14ac:dyDescent="0.6">
      <c r="A3486" s="7">
        <v>24.719201600000002</v>
      </c>
      <c r="B3486" s="7">
        <v>34.749058499999997</v>
      </c>
      <c r="C3486" s="7">
        <v>676913.99</v>
      </c>
      <c r="D3486" s="7">
        <v>2734985.36</v>
      </c>
      <c r="E3486" s="7">
        <v>467.28</v>
      </c>
      <c r="F3486" s="7">
        <v>42883.49</v>
      </c>
      <c r="G3486" s="7">
        <v>81626</v>
      </c>
      <c r="H3486" s="7">
        <f t="shared" si="100"/>
        <v>42852.49</v>
      </c>
      <c r="I3486" s="15"/>
    </row>
    <row r="3487" spans="1:9" s="8" customFormat="1" ht="21" customHeight="1" x14ac:dyDescent="0.6">
      <c r="A3487" s="7">
        <v>24.719189499999999</v>
      </c>
      <c r="B3487" s="7">
        <v>34.749082600000001</v>
      </c>
      <c r="C3487" s="7">
        <v>676916.45</v>
      </c>
      <c r="D3487" s="7">
        <v>2734984.05</v>
      </c>
      <c r="E3487" s="7">
        <v>467.39</v>
      </c>
      <c r="F3487" s="7">
        <v>42884.65</v>
      </c>
      <c r="G3487" s="7">
        <v>81628</v>
      </c>
      <c r="H3487" s="7">
        <f t="shared" si="100"/>
        <v>42853.65</v>
      </c>
      <c r="I3487" s="15"/>
    </row>
    <row r="3488" spans="1:9" s="8" customFormat="1" ht="21" customHeight="1" x14ac:dyDescent="0.6">
      <c r="A3488" s="7">
        <v>24.719177200000001</v>
      </c>
      <c r="B3488" s="7">
        <v>34.749108999999997</v>
      </c>
      <c r="C3488" s="7">
        <v>676919.13</v>
      </c>
      <c r="D3488" s="7">
        <v>2734982.72</v>
      </c>
      <c r="E3488" s="7">
        <v>467.46</v>
      </c>
      <c r="F3488" s="7">
        <v>42885.09</v>
      </c>
      <c r="G3488" s="7">
        <v>81630</v>
      </c>
      <c r="H3488" s="7">
        <f t="shared" si="100"/>
        <v>42854.09</v>
      </c>
      <c r="I3488" s="15"/>
    </row>
    <row r="3489" spans="1:9" s="8" customFormat="1" ht="21" customHeight="1" x14ac:dyDescent="0.6">
      <c r="A3489" s="7">
        <v>24.719167800000001</v>
      </c>
      <c r="B3489" s="7">
        <v>34.7491348</v>
      </c>
      <c r="C3489" s="7">
        <v>676921.76</v>
      </c>
      <c r="D3489" s="7">
        <v>2734981.71</v>
      </c>
      <c r="E3489" s="7">
        <v>467.58</v>
      </c>
      <c r="F3489" s="7">
        <v>42890.5</v>
      </c>
      <c r="G3489" s="7">
        <v>81632</v>
      </c>
      <c r="H3489" s="7">
        <f t="shared" si="100"/>
        <v>42859.5</v>
      </c>
      <c r="I3489" s="15"/>
    </row>
    <row r="3490" spans="1:9" s="8" customFormat="1" ht="21" customHeight="1" x14ac:dyDescent="0.6">
      <c r="A3490" s="7">
        <v>24.7191568</v>
      </c>
      <c r="B3490" s="7">
        <v>34.749159800000001</v>
      </c>
      <c r="C3490" s="7">
        <v>676924.31</v>
      </c>
      <c r="D3490" s="7">
        <v>2734980.53</v>
      </c>
      <c r="E3490" s="7">
        <v>467.7</v>
      </c>
      <c r="F3490" s="7">
        <v>42894.61</v>
      </c>
      <c r="G3490" s="7">
        <v>81634</v>
      </c>
      <c r="H3490" s="7">
        <f t="shared" si="100"/>
        <v>42863.61</v>
      </c>
      <c r="I3490" s="15"/>
    </row>
    <row r="3491" spans="1:9" s="8" customFormat="1" ht="21" customHeight="1" x14ac:dyDescent="0.6">
      <c r="A3491" s="7">
        <v>24.719146800000001</v>
      </c>
      <c r="B3491" s="7">
        <v>34.7491871</v>
      </c>
      <c r="C3491" s="7">
        <v>676927.07</v>
      </c>
      <c r="D3491" s="7">
        <v>2734979.45</v>
      </c>
      <c r="E3491" s="7">
        <v>467.8</v>
      </c>
      <c r="F3491" s="7">
        <v>42894.76</v>
      </c>
      <c r="G3491" s="7">
        <v>81636</v>
      </c>
      <c r="H3491" s="7">
        <f t="shared" si="100"/>
        <v>42863.76</v>
      </c>
      <c r="I3491" s="15"/>
    </row>
    <row r="3492" spans="1:9" s="8" customFormat="1" ht="21" customHeight="1" x14ac:dyDescent="0.6">
      <c r="A3492" s="7">
        <v>24.719138099999999</v>
      </c>
      <c r="B3492" s="7">
        <v>34.749215399999997</v>
      </c>
      <c r="C3492" s="7">
        <v>676929.95</v>
      </c>
      <c r="D3492" s="7">
        <v>2734978.53</v>
      </c>
      <c r="E3492" s="7">
        <v>467.96</v>
      </c>
      <c r="F3492" s="7">
        <v>42896.03</v>
      </c>
      <c r="G3492" s="7">
        <v>81638</v>
      </c>
      <c r="H3492" s="7">
        <f t="shared" si="100"/>
        <v>42865.03</v>
      </c>
      <c r="I3492" s="15"/>
    </row>
    <row r="3493" spans="1:9" s="8" customFormat="1" ht="21" customHeight="1" x14ac:dyDescent="0.6">
      <c r="A3493" s="7">
        <v>24.719130400000001</v>
      </c>
      <c r="B3493" s="7">
        <v>34.749242899999999</v>
      </c>
      <c r="C3493" s="7">
        <v>676932.75</v>
      </c>
      <c r="D3493" s="7">
        <v>2734977.71</v>
      </c>
      <c r="E3493" s="7">
        <v>468.16</v>
      </c>
      <c r="F3493" s="7">
        <v>42900.97</v>
      </c>
      <c r="G3493" s="7">
        <v>81640</v>
      </c>
      <c r="H3493" s="7">
        <f t="shared" si="100"/>
        <v>42869.97</v>
      </c>
      <c r="I3493" s="15"/>
    </row>
    <row r="3494" spans="1:9" s="8" customFormat="1" ht="21" customHeight="1" x14ac:dyDescent="0.6">
      <c r="A3494" s="7">
        <v>24.719123</v>
      </c>
      <c r="B3494" s="7">
        <v>34.749270799999998</v>
      </c>
      <c r="C3494" s="7">
        <v>676935.58</v>
      </c>
      <c r="D3494" s="7">
        <v>2734976.92</v>
      </c>
      <c r="E3494" s="7">
        <v>468.33</v>
      </c>
      <c r="F3494" s="7">
        <v>42905.05</v>
      </c>
      <c r="G3494" s="7">
        <v>81642</v>
      </c>
      <c r="H3494" s="7">
        <f t="shared" si="100"/>
        <v>42874.05</v>
      </c>
      <c r="I3494" s="15"/>
    </row>
    <row r="3495" spans="1:9" s="8" customFormat="1" ht="21" customHeight="1" x14ac:dyDescent="0.6">
      <c r="A3495" s="7">
        <v>24.719114300000001</v>
      </c>
      <c r="B3495" s="7">
        <v>34.749298099999997</v>
      </c>
      <c r="C3495" s="7">
        <v>676938.36</v>
      </c>
      <c r="D3495" s="7">
        <v>2734976</v>
      </c>
      <c r="E3495" s="7">
        <v>468.48</v>
      </c>
      <c r="F3495" s="7">
        <v>42908.09</v>
      </c>
      <c r="G3495" s="7">
        <v>81644</v>
      </c>
      <c r="H3495" s="7">
        <f t="shared" si="100"/>
        <v>42877.09</v>
      </c>
      <c r="I3495" s="15"/>
    </row>
    <row r="3496" spans="1:9" s="8" customFormat="1" ht="21" customHeight="1" x14ac:dyDescent="0.6">
      <c r="A3496" s="7">
        <v>24.719105899999999</v>
      </c>
      <c r="B3496" s="7">
        <v>34.7493245</v>
      </c>
      <c r="C3496" s="7">
        <v>676941.04</v>
      </c>
      <c r="D3496" s="7">
        <v>2734975.1</v>
      </c>
      <c r="E3496" s="7">
        <v>468.52</v>
      </c>
      <c r="F3496" s="7">
        <v>42912.21</v>
      </c>
      <c r="G3496" s="7">
        <v>81646</v>
      </c>
      <c r="H3496" s="7">
        <f t="shared" si="100"/>
        <v>42881.21</v>
      </c>
      <c r="I3496" s="15"/>
    </row>
    <row r="3497" spans="1:9" s="8" customFormat="1" ht="21" customHeight="1" x14ac:dyDescent="0.6">
      <c r="A3497" s="7">
        <v>24.7190999</v>
      </c>
      <c r="B3497" s="7">
        <v>34.749352100000003</v>
      </c>
      <c r="C3497" s="7">
        <v>676943.83</v>
      </c>
      <c r="D3497" s="7">
        <v>2734974.46</v>
      </c>
      <c r="E3497" s="7">
        <v>468.55</v>
      </c>
      <c r="F3497" s="7">
        <v>42922.09</v>
      </c>
      <c r="G3497" s="7">
        <v>81648</v>
      </c>
      <c r="H3497" s="7">
        <f t="shared" si="100"/>
        <v>42891.09</v>
      </c>
      <c r="I3497" s="15"/>
    </row>
    <row r="3498" spans="1:9" s="8" customFormat="1" ht="21" customHeight="1" x14ac:dyDescent="0.6">
      <c r="A3498" s="7">
        <v>24.719089700000001</v>
      </c>
      <c r="B3498" s="7">
        <v>34.749377699999997</v>
      </c>
      <c r="C3498" s="7">
        <v>676946.44</v>
      </c>
      <c r="D3498" s="7">
        <v>2734973.37</v>
      </c>
      <c r="E3498" s="7">
        <v>468.57</v>
      </c>
      <c r="F3498" s="7">
        <v>42924.480000000003</v>
      </c>
      <c r="G3498" s="7">
        <v>81650</v>
      </c>
      <c r="H3498" s="7">
        <f t="shared" si="100"/>
        <v>42893.48</v>
      </c>
      <c r="I3498" s="15"/>
    </row>
    <row r="3499" spans="1:9" s="8" customFormat="1" ht="21" customHeight="1" x14ac:dyDescent="0.6">
      <c r="A3499" s="7">
        <v>24.719070599999998</v>
      </c>
      <c r="B3499" s="7">
        <v>34.749397700000003</v>
      </c>
      <c r="C3499" s="7">
        <v>676948.49</v>
      </c>
      <c r="D3499" s="7">
        <v>2734971.29</v>
      </c>
      <c r="E3499" s="7">
        <v>468.66</v>
      </c>
      <c r="F3499" s="7">
        <v>42920.2</v>
      </c>
      <c r="G3499" s="7">
        <v>81652</v>
      </c>
      <c r="H3499" s="7">
        <f t="shared" si="100"/>
        <v>42889.2</v>
      </c>
      <c r="I3499" s="15"/>
    </row>
    <row r="3500" spans="1:9" s="8" customFormat="1" ht="21" customHeight="1" x14ac:dyDescent="0.6">
      <c r="A3500" s="7">
        <v>24.719052900000001</v>
      </c>
      <c r="B3500" s="7">
        <v>34.749417800000003</v>
      </c>
      <c r="C3500" s="7">
        <v>676950.55</v>
      </c>
      <c r="D3500" s="7">
        <v>2734969.35</v>
      </c>
      <c r="E3500" s="7">
        <v>468.74</v>
      </c>
      <c r="F3500" s="7">
        <v>42913.279999999999</v>
      </c>
      <c r="G3500" s="7">
        <v>81654</v>
      </c>
      <c r="H3500" s="7">
        <f t="shared" si="100"/>
        <v>42882.28</v>
      </c>
      <c r="I3500" s="15"/>
    </row>
    <row r="3501" spans="1:9" s="8" customFormat="1" ht="21" customHeight="1" x14ac:dyDescent="0.6">
      <c r="A3501" s="7">
        <v>24.7190394</v>
      </c>
      <c r="B3501" s="7">
        <v>34.7494412</v>
      </c>
      <c r="C3501" s="7">
        <v>676952.94</v>
      </c>
      <c r="D3501" s="7">
        <v>2734967.88</v>
      </c>
      <c r="E3501" s="7">
        <v>468.91</v>
      </c>
      <c r="F3501" s="7">
        <v>42916.71</v>
      </c>
      <c r="G3501" s="7">
        <v>81656</v>
      </c>
      <c r="H3501" s="7">
        <f t="shared" si="100"/>
        <v>42885.71</v>
      </c>
      <c r="I3501" s="15"/>
    </row>
    <row r="3502" spans="1:9" s="8" customFormat="1" ht="21" customHeight="1" x14ac:dyDescent="0.6">
      <c r="A3502" s="7">
        <v>24.719022899999999</v>
      </c>
      <c r="B3502" s="7">
        <v>34.7494631</v>
      </c>
      <c r="C3502" s="7">
        <v>676955.17</v>
      </c>
      <c r="D3502" s="7">
        <v>2734966.08</v>
      </c>
      <c r="E3502" s="7">
        <v>469.11</v>
      </c>
      <c r="F3502" s="7">
        <v>42919.95</v>
      </c>
      <c r="G3502" s="7">
        <v>81658</v>
      </c>
      <c r="H3502" s="7">
        <f t="shared" si="100"/>
        <v>42888.95</v>
      </c>
      <c r="I3502" s="15"/>
    </row>
    <row r="3503" spans="1:9" s="8" customFormat="1" ht="21" customHeight="1" x14ac:dyDescent="0.6">
      <c r="A3503" s="7">
        <v>24.719007999999999</v>
      </c>
      <c r="B3503" s="7">
        <v>34.749482899999997</v>
      </c>
      <c r="C3503" s="7">
        <v>676957.2</v>
      </c>
      <c r="D3503" s="7">
        <v>2734964.47</v>
      </c>
      <c r="E3503" s="7">
        <v>469.24</v>
      </c>
      <c r="F3503" s="7">
        <v>42913.75</v>
      </c>
      <c r="G3503" s="7">
        <v>81700</v>
      </c>
      <c r="H3503" s="7">
        <f t="shared" si="100"/>
        <v>42882.75</v>
      </c>
      <c r="I3503" s="15"/>
    </row>
    <row r="3504" spans="1:9" s="8" customFormat="1" ht="21" customHeight="1" x14ac:dyDescent="0.6">
      <c r="A3504" s="7">
        <v>24.718995499999998</v>
      </c>
      <c r="B3504" s="7">
        <v>34.749502999999997</v>
      </c>
      <c r="C3504" s="7">
        <v>676959.26</v>
      </c>
      <c r="D3504" s="7">
        <v>2734963.1</v>
      </c>
      <c r="E3504" s="7">
        <v>469.31</v>
      </c>
      <c r="F3504" s="7">
        <v>42914.400000000001</v>
      </c>
      <c r="G3504" s="7">
        <v>81702</v>
      </c>
      <c r="H3504" s="7">
        <f t="shared" si="100"/>
        <v>42883.4</v>
      </c>
      <c r="I3504" s="15"/>
    </row>
    <row r="3505" spans="1:9" s="8" customFormat="1" ht="21" customHeight="1" x14ac:dyDescent="0.6">
      <c r="A3505" s="7">
        <v>24.718981400000001</v>
      </c>
      <c r="B3505" s="7">
        <v>34.749522200000001</v>
      </c>
      <c r="C3505" s="7">
        <v>676961.21</v>
      </c>
      <c r="D3505" s="7">
        <v>2734961.56</v>
      </c>
      <c r="E3505" s="7">
        <v>469.5</v>
      </c>
      <c r="F3505" s="7">
        <v>42912.07</v>
      </c>
      <c r="G3505" s="7">
        <v>81704</v>
      </c>
      <c r="H3505" s="7">
        <f t="shared" si="100"/>
        <v>42881.07</v>
      </c>
      <c r="I3505" s="15"/>
    </row>
    <row r="3506" spans="1:9" s="8" customFormat="1" ht="21" customHeight="1" x14ac:dyDescent="0.6">
      <c r="A3506" s="7">
        <v>24.718963200000001</v>
      </c>
      <c r="B3506" s="7">
        <v>34.749535700000003</v>
      </c>
      <c r="C3506" s="7">
        <v>676962.61</v>
      </c>
      <c r="D3506" s="7">
        <v>2734959.56</v>
      </c>
      <c r="E3506" s="7">
        <v>469.55</v>
      </c>
      <c r="F3506" s="7">
        <v>42899.15</v>
      </c>
      <c r="G3506" s="7">
        <v>81706</v>
      </c>
      <c r="H3506" s="7">
        <f t="shared" si="100"/>
        <v>42868.15</v>
      </c>
      <c r="I3506" s="15"/>
    </row>
    <row r="3507" spans="1:9" s="8" customFormat="1" ht="21" customHeight="1" x14ac:dyDescent="0.6">
      <c r="A3507" s="7">
        <v>24.718944400000002</v>
      </c>
      <c r="B3507" s="7">
        <v>34.749549000000002</v>
      </c>
      <c r="C3507" s="7">
        <v>676963.98</v>
      </c>
      <c r="D3507" s="7">
        <v>2734957.5</v>
      </c>
      <c r="E3507" s="7">
        <v>469.58</v>
      </c>
      <c r="F3507" s="7">
        <v>42890.69</v>
      </c>
      <c r="G3507" s="7">
        <v>81708</v>
      </c>
      <c r="H3507" s="7">
        <f t="shared" si="100"/>
        <v>42859.69</v>
      </c>
      <c r="I3507" s="15"/>
    </row>
    <row r="3508" spans="1:9" s="8" customFormat="1" ht="21" customHeight="1" x14ac:dyDescent="0.6">
      <c r="A3508" s="7">
        <v>24.718924000000001</v>
      </c>
      <c r="B3508" s="7">
        <v>34.749562900000001</v>
      </c>
      <c r="C3508" s="7">
        <v>676965.42</v>
      </c>
      <c r="D3508" s="7">
        <v>2734955.26</v>
      </c>
      <c r="E3508" s="7">
        <v>469.62</v>
      </c>
      <c r="F3508" s="7">
        <v>42887.89</v>
      </c>
      <c r="G3508" s="7">
        <v>81710</v>
      </c>
      <c r="H3508" s="7">
        <f t="shared" si="100"/>
        <v>42856.89</v>
      </c>
      <c r="I3508" s="15"/>
    </row>
    <row r="3509" spans="1:9" s="8" customFormat="1" ht="21" customHeight="1" x14ac:dyDescent="0.6">
      <c r="A3509" s="7">
        <v>24.7189032</v>
      </c>
      <c r="B3509" s="7">
        <v>34.749569399999999</v>
      </c>
      <c r="C3509" s="7">
        <v>676966.1</v>
      </c>
      <c r="D3509" s="7">
        <v>2734952.96</v>
      </c>
      <c r="E3509" s="7">
        <v>469.64</v>
      </c>
      <c r="F3509" s="7">
        <v>42878.26</v>
      </c>
      <c r="G3509" s="7">
        <v>81712</v>
      </c>
      <c r="H3509" s="7">
        <f t="shared" si="100"/>
        <v>42847.26</v>
      </c>
      <c r="I3509" s="15"/>
    </row>
    <row r="3510" spans="1:9" s="8" customFormat="1" ht="21" customHeight="1" x14ac:dyDescent="0.6">
      <c r="A3510" s="7">
        <v>24.718880800000001</v>
      </c>
      <c r="B3510" s="7">
        <v>34.749571199999998</v>
      </c>
      <c r="C3510" s="7">
        <v>676966.31</v>
      </c>
      <c r="D3510" s="7">
        <v>2734950.49</v>
      </c>
      <c r="E3510" s="7">
        <v>469.83</v>
      </c>
      <c r="F3510" s="7">
        <v>42863.29</v>
      </c>
      <c r="G3510" s="7">
        <v>81714</v>
      </c>
      <c r="H3510" s="7">
        <f t="shared" si="100"/>
        <v>42832.29</v>
      </c>
      <c r="I3510" s="15"/>
    </row>
    <row r="3511" spans="1:9" s="8" customFormat="1" ht="21" customHeight="1" x14ac:dyDescent="0.6">
      <c r="A3511" s="7">
        <v>24.718858900000001</v>
      </c>
      <c r="B3511" s="7">
        <v>34.749569899999997</v>
      </c>
      <c r="C3511" s="7">
        <v>676966.21</v>
      </c>
      <c r="D3511" s="7">
        <v>2734948.05</v>
      </c>
      <c r="E3511" s="7">
        <v>469.97</v>
      </c>
      <c r="F3511" s="7">
        <v>42846.42</v>
      </c>
      <c r="G3511" s="7">
        <v>81716</v>
      </c>
      <c r="H3511" s="7">
        <f t="shared" si="100"/>
        <v>42815.42</v>
      </c>
      <c r="I3511" s="15"/>
    </row>
    <row r="3512" spans="1:9" s="8" customFormat="1" ht="21" customHeight="1" x14ac:dyDescent="0.6">
      <c r="A3512" s="7">
        <v>24.718836799999998</v>
      </c>
      <c r="B3512" s="7">
        <v>34.749574299999999</v>
      </c>
      <c r="C3512" s="7">
        <v>676966.69</v>
      </c>
      <c r="D3512" s="7">
        <v>2734945.61</v>
      </c>
      <c r="E3512" s="7">
        <v>469.94</v>
      </c>
      <c r="F3512" s="7">
        <v>42835.08</v>
      </c>
      <c r="G3512" s="7">
        <v>81718</v>
      </c>
      <c r="H3512" s="7">
        <f t="shared" si="100"/>
        <v>42804.08</v>
      </c>
      <c r="I3512" s="15"/>
    </row>
    <row r="3513" spans="1:9" s="8" customFormat="1" ht="21" customHeight="1" x14ac:dyDescent="0.6">
      <c r="A3513" s="7">
        <v>24.718810999999999</v>
      </c>
      <c r="B3513" s="7">
        <v>34.749577299999999</v>
      </c>
      <c r="C3513" s="7">
        <v>676967.03</v>
      </c>
      <c r="D3513" s="7">
        <v>2734942.76</v>
      </c>
      <c r="E3513" s="7">
        <v>469.92</v>
      </c>
      <c r="F3513" s="7">
        <v>42829.81</v>
      </c>
      <c r="G3513" s="7">
        <v>81720</v>
      </c>
      <c r="H3513" s="7">
        <f t="shared" si="100"/>
        <v>42798.81</v>
      </c>
      <c r="I3513" s="15"/>
    </row>
    <row r="3514" spans="1:9" s="8" customFormat="1" ht="21" customHeight="1" x14ac:dyDescent="0.6">
      <c r="A3514" s="7">
        <v>24.7187865</v>
      </c>
      <c r="B3514" s="7">
        <v>34.749571199999998</v>
      </c>
      <c r="C3514" s="7">
        <v>676966.45</v>
      </c>
      <c r="D3514" s="7">
        <v>2734940.05</v>
      </c>
      <c r="E3514" s="7">
        <v>469.98</v>
      </c>
      <c r="F3514" s="7">
        <v>42808.959999999999</v>
      </c>
      <c r="G3514" s="7">
        <v>81722</v>
      </c>
      <c r="H3514" s="7">
        <f t="shared" si="100"/>
        <v>42777.96</v>
      </c>
      <c r="I3514" s="15"/>
    </row>
    <row r="3515" spans="1:9" s="8" customFormat="1" ht="21" customHeight="1" x14ac:dyDescent="0.6">
      <c r="A3515" s="7">
        <v>24.718763599999999</v>
      </c>
      <c r="B3515" s="7">
        <v>34.749566199999997</v>
      </c>
      <c r="C3515" s="7">
        <v>676965.98</v>
      </c>
      <c r="D3515" s="7">
        <v>2734937.5</v>
      </c>
      <c r="E3515" s="7">
        <v>470.06</v>
      </c>
      <c r="F3515" s="7">
        <v>42792.18</v>
      </c>
      <c r="G3515" s="7">
        <v>81724</v>
      </c>
      <c r="H3515" s="7">
        <f t="shared" si="100"/>
        <v>42761.18</v>
      </c>
      <c r="I3515" s="15"/>
    </row>
    <row r="3516" spans="1:9" s="8" customFormat="1" ht="21" customHeight="1" x14ac:dyDescent="0.6">
      <c r="A3516" s="7">
        <v>24.718743</v>
      </c>
      <c r="B3516" s="7">
        <v>34.749553800000001</v>
      </c>
      <c r="C3516" s="7">
        <v>676964.75</v>
      </c>
      <c r="D3516" s="7">
        <v>2734935.2</v>
      </c>
      <c r="E3516" s="7">
        <v>470.1</v>
      </c>
      <c r="F3516" s="7">
        <v>42779.66</v>
      </c>
      <c r="G3516" s="7">
        <v>81726</v>
      </c>
      <c r="H3516" s="7">
        <f t="shared" si="100"/>
        <v>42748.66</v>
      </c>
      <c r="I3516" s="15"/>
    </row>
    <row r="3517" spans="1:9" s="8" customFormat="1" ht="21" customHeight="1" x14ac:dyDescent="0.6">
      <c r="A3517" s="7">
        <v>24.718722700000001</v>
      </c>
      <c r="B3517" s="7">
        <v>34.749543600000003</v>
      </c>
      <c r="C3517" s="7">
        <v>676963.75</v>
      </c>
      <c r="D3517" s="7">
        <v>2734932.93</v>
      </c>
      <c r="E3517" s="7">
        <v>470.12</v>
      </c>
      <c r="F3517" s="7">
        <v>42766.400000000001</v>
      </c>
      <c r="G3517" s="7">
        <v>81728</v>
      </c>
      <c r="H3517" s="7">
        <f t="shared" si="100"/>
        <v>42735.4</v>
      </c>
      <c r="I3517" s="15"/>
    </row>
    <row r="3518" spans="1:9" s="8" customFormat="1" ht="21" customHeight="1" x14ac:dyDescent="0.6">
      <c r="A3518" s="7">
        <v>24.718701899999999</v>
      </c>
      <c r="B3518" s="7">
        <v>34.749548400000002</v>
      </c>
      <c r="C3518" s="7">
        <v>676964.26</v>
      </c>
      <c r="D3518" s="7">
        <v>2734930.64</v>
      </c>
      <c r="E3518" s="7">
        <v>470.26</v>
      </c>
      <c r="F3518" s="7">
        <v>42759.1</v>
      </c>
      <c r="G3518" s="7">
        <v>81730</v>
      </c>
      <c r="H3518" s="7">
        <f t="shared" si="100"/>
        <v>42728.1</v>
      </c>
      <c r="I3518" s="15"/>
    </row>
    <row r="3519" spans="1:9" s="8" customFormat="1" ht="21" customHeight="1" x14ac:dyDescent="0.6">
      <c r="A3519" s="7">
        <v>24.7186825</v>
      </c>
      <c r="B3519" s="7">
        <v>34.749560500000001</v>
      </c>
      <c r="C3519" s="7">
        <v>676965.51</v>
      </c>
      <c r="D3519" s="7">
        <v>2734928.5</v>
      </c>
      <c r="E3519" s="7">
        <v>470.41</v>
      </c>
      <c r="F3519" s="7">
        <v>42751.57</v>
      </c>
      <c r="G3519" s="7">
        <v>81732</v>
      </c>
      <c r="H3519" s="7">
        <f t="shared" si="100"/>
        <v>42720.57</v>
      </c>
      <c r="I3519" s="15"/>
    </row>
    <row r="3520" spans="1:9" s="8" customFormat="1" ht="21" customHeight="1" x14ac:dyDescent="0.6">
      <c r="A3520" s="7">
        <v>24.718663899999999</v>
      </c>
      <c r="B3520" s="7">
        <v>34.749576900000001</v>
      </c>
      <c r="C3520" s="7">
        <v>676967.2</v>
      </c>
      <c r="D3520" s="7">
        <v>2734926.47</v>
      </c>
      <c r="E3520" s="7">
        <v>470.51</v>
      </c>
      <c r="F3520" s="7">
        <v>42743.91</v>
      </c>
      <c r="G3520" s="7">
        <v>81734</v>
      </c>
      <c r="H3520" s="7">
        <f t="shared" si="100"/>
        <v>42712.91</v>
      </c>
      <c r="I3520" s="15"/>
    </row>
    <row r="3521" spans="1:9" s="8" customFormat="1" ht="21" customHeight="1" x14ac:dyDescent="0.6">
      <c r="A3521" s="7">
        <v>24.7186463</v>
      </c>
      <c r="B3521" s="7">
        <v>34.749592900000003</v>
      </c>
      <c r="C3521" s="7">
        <v>676968.84</v>
      </c>
      <c r="D3521" s="7">
        <v>2734924.54</v>
      </c>
      <c r="E3521" s="7">
        <v>470.62</v>
      </c>
      <c r="F3521" s="7">
        <v>42738.66</v>
      </c>
      <c r="G3521" s="7">
        <v>81736</v>
      </c>
      <c r="H3521" s="7">
        <f t="shared" si="100"/>
        <v>42707.66</v>
      </c>
      <c r="I3521" s="15"/>
    </row>
    <row r="3522" spans="1:9" s="8" customFormat="1" ht="21" customHeight="1" x14ac:dyDescent="0.6">
      <c r="A3522" s="7">
        <v>24.718629700000001</v>
      </c>
      <c r="B3522" s="7">
        <v>34.749608700000003</v>
      </c>
      <c r="C3522" s="7">
        <v>676970.46</v>
      </c>
      <c r="D3522" s="7">
        <v>2734922.72</v>
      </c>
      <c r="E3522" s="7">
        <v>470.65</v>
      </c>
      <c r="F3522" s="7">
        <v>42741.62</v>
      </c>
      <c r="G3522" s="7">
        <v>81738</v>
      </c>
      <c r="H3522" s="7">
        <f t="shared" si="100"/>
        <v>42710.62</v>
      </c>
      <c r="I3522" s="15"/>
    </row>
    <row r="3523" spans="1:9" s="8" customFormat="1" ht="21" customHeight="1" x14ac:dyDescent="0.6">
      <c r="A3523" s="7">
        <v>24.718610999999999</v>
      </c>
      <c r="B3523" s="7">
        <v>34.749624300000001</v>
      </c>
      <c r="C3523" s="7">
        <v>676972.07</v>
      </c>
      <c r="D3523" s="7">
        <v>2734920.67</v>
      </c>
      <c r="E3523" s="7">
        <v>470.78</v>
      </c>
      <c r="F3523" s="7">
        <v>42739.39</v>
      </c>
      <c r="G3523" s="7">
        <v>81740</v>
      </c>
      <c r="H3523" s="7">
        <f t="shared" si="100"/>
        <v>42708.39</v>
      </c>
      <c r="I3523" s="15"/>
    </row>
    <row r="3524" spans="1:9" s="8" customFormat="1" ht="21" customHeight="1" x14ac:dyDescent="0.6">
      <c r="A3524" s="7">
        <v>24.718593599999998</v>
      </c>
      <c r="B3524" s="7">
        <v>34.749641400000002</v>
      </c>
      <c r="C3524" s="7">
        <v>676973.82</v>
      </c>
      <c r="D3524" s="7">
        <v>2734918.77</v>
      </c>
      <c r="E3524" s="7">
        <v>470.98</v>
      </c>
      <c r="F3524" s="7">
        <v>42731.66</v>
      </c>
      <c r="G3524" s="7">
        <v>81742</v>
      </c>
      <c r="H3524" s="7">
        <f t="shared" si="100"/>
        <v>42700.66</v>
      </c>
      <c r="I3524" s="15"/>
    </row>
    <row r="3525" spans="1:9" s="8" customFormat="1" ht="21" customHeight="1" x14ac:dyDescent="0.6">
      <c r="A3525" s="7">
        <v>24.718579900000002</v>
      </c>
      <c r="B3525" s="7">
        <v>34.749661799999998</v>
      </c>
      <c r="C3525" s="7">
        <v>676975.91</v>
      </c>
      <c r="D3525" s="7">
        <v>2734917.27</v>
      </c>
      <c r="E3525" s="7">
        <v>471.06</v>
      </c>
      <c r="F3525" s="7">
        <v>42730.27</v>
      </c>
      <c r="G3525" s="7">
        <v>81744</v>
      </c>
      <c r="H3525" s="7">
        <f t="shared" si="100"/>
        <v>42699.27</v>
      </c>
      <c r="I3525" s="15"/>
    </row>
    <row r="3526" spans="1:9" s="8" customFormat="1" ht="21" customHeight="1" x14ac:dyDescent="0.6">
      <c r="A3526" s="7">
        <v>24.718563899999999</v>
      </c>
      <c r="B3526" s="7">
        <v>34.749680300000001</v>
      </c>
      <c r="C3526" s="7">
        <v>676977.8</v>
      </c>
      <c r="D3526" s="7">
        <v>2734915.52</v>
      </c>
      <c r="E3526" s="7">
        <v>471.15</v>
      </c>
      <c r="F3526" s="7">
        <v>42730.07</v>
      </c>
      <c r="G3526" s="7">
        <v>81746</v>
      </c>
      <c r="H3526" s="7">
        <f t="shared" si="100"/>
        <v>42699.07</v>
      </c>
      <c r="I3526" s="15"/>
    </row>
    <row r="3527" spans="1:9" s="8" customFormat="1" ht="21" customHeight="1" x14ac:dyDescent="0.6">
      <c r="A3527" s="7">
        <v>24.718546400000001</v>
      </c>
      <c r="B3527" s="7">
        <v>34.749694900000001</v>
      </c>
      <c r="C3527" s="7">
        <v>676979.3</v>
      </c>
      <c r="D3527" s="7">
        <v>2734913.61</v>
      </c>
      <c r="E3527" s="7">
        <v>471.28</v>
      </c>
      <c r="F3527" s="7">
        <v>42726.91</v>
      </c>
      <c r="G3527" s="7">
        <v>81748</v>
      </c>
      <c r="H3527" s="7">
        <f t="shared" si="100"/>
        <v>42695.91</v>
      </c>
      <c r="I3527" s="15"/>
    </row>
    <row r="3528" spans="1:9" s="8" customFormat="1" ht="21" customHeight="1" x14ac:dyDescent="0.6">
      <c r="A3528" s="7">
        <v>24.718528800000001</v>
      </c>
      <c r="B3528" s="7">
        <v>34.7497118</v>
      </c>
      <c r="C3528" s="7">
        <v>676981.03</v>
      </c>
      <c r="D3528" s="7">
        <v>2734911.68</v>
      </c>
      <c r="E3528" s="7">
        <v>471.36</v>
      </c>
      <c r="F3528" s="7">
        <v>42726.9</v>
      </c>
      <c r="G3528" s="7">
        <v>81750</v>
      </c>
      <c r="H3528" s="7">
        <f t="shared" si="100"/>
        <v>42695.9</v>
      </c>
      <c r="I3528" s="15"/>
    </row>
    <row r="3529" spans="1:9" s="8" customFormat="1" ht="21" customHeight="1" x14ac:dyDescent="0.6">
      <c r="A3529" s="7">
        <v>24.718509000000001</v>
      </c>
      <c r="B3529" s="7">
        <v>34.749726000000003</v>
      </c>
      <c r="C3529" s="7">
        <v>676982.5</v>
      </c>
      <c r="D3529" s="7">
        <v>2734909.5</v>
      </c>
      <c r="E3529" s="7">
        <v>471.36</v>
      </c>
      <c r="F3529" s="7">
        <v>42719.72</v>
      </c>
      <c r="G3529" s="7">
        <v>81752</v>
      </c>
      <c r="H3529" s="7">
        <f t="shared" si="100"/>
        <v>42688.72</v>
      </c>
      <c r="I3529" s="15"/>
    </row>
    <row r="3530" spans="1:9" s="8" customFormat="1" ht="21" customHeight="1" x14ac:dyDescent="0.6">
      <c r="A3530" s="7">
        <v>24.7184922</v>
      </c>
      <c r="B3530" s="7">
        <v>34.749738499999999</v>
      </c>
      <c r="C3530" s="7">
        <v>676983.79</v>
      </c>
      <c r="D3530" s="7">
        <v>2734907.66</v>
      </c>
      <c r="E3530" s="7">
        <v>471.55</v>
      </c>
      <c r="F3530" s="7">
        <v>42707.83</v>
      </c>
      <c r="G3530" s="7">
        <v>81754</v>
      </c>
      <c r="H3530" s="7">
        <f t="shared" si="100"/>
        <v>42676.83</v>
      </c>
      <c r="I3530" s="15"/>
    </row>
    <row r="3531" spans="1:9" s="8" customFormat="1" ht="21" customHeight="1" x14ac:dyDescent="0.6">
      <c r="A3531" s="7">
        <v>24.718477199999999</v>
      </c>
      <c r="B3531" s="7">
        <v>34.749755499999999</v>
      </c>
      <c r="C3531" s="7">
        <v>676985.53</v>
      </c>
      <c r="D3531" s="7">
        <v>2734906.02</v>
      </c>
      <c r="E3531" s="7">
        <v>471.69</v>
      </c>
      <c r="F3531" s="7">
        <v>42710.67</v>
      </c>
      <c r="G3531" s="7">
        <v>81756</v>
      </c>
      <c r="H3531" s="7">
        <f t="shared" si="100"/>
        <v>42679.67</v>
      </c>
      <c r="I3531" s="15"/>
    </row>
    <row r="3532" spans="1:9" s="8" customFormat="1" ht="21" customHeight="1" x14ac:dyDescent="0.6">
      <c r="A3532" s="7">
        <v>24.718464999999998</v>
      </c>
      <c r="B3532" s="7">
        <v>34.749774100000003</v>
      </c>
      <c r="C3532" s="7">
        <v>676987.43</v>
      </c>
      <c r="D3532" s="7">
        <v>2734904.7</v>
      </c>
      <c r="E3532" s="7">
        <v>471.76</v>
      </c>
      <c r="F3532" s="7">
        <v>42707.92</v>
      </c>
      <c r="G3532" s="7">
        <v>81758</v>
      </c>
      <c r="H3532" s="7">
        <f t="shared" si="100"/>
        <v>42676.92</v>
      </c>
      <c r="I3532" s="15"/>
    </row>
    <row r="3533" spans="1:9" s="8" customFormat="1" ht="21" customHeight="1" x14ac:dyDescent="0.6">
      <c r="A3533" s="7">
        <v>24.7184499</v>
      </c>
      <c r="B3533" s="7">
        <v>34.749789800000002</v>
      </c>
      <c r="C3533" s="7">
        <v>676989.04</v>
      </c>
      <c r="D3533" s="7">
        <v>2734903.04</v>
      </c>
      <c r="E3533" s="7">
        <v>471.87</v>
      </c>
      <c r="F3533" s="7">
        <v>42703.89</v>
      </c>
      <c r="G3533" s="7">
        <v>81800</v>
      </c>
      <c r="H3533" s="7">
        <f t="shared" si="100"/>
        <v>42672.89</v>
      </c>
      <c r="I3533" s="15"/>
    </row>
    <row r="3534" spans="1:9" s="8" customFormat="1" ht="21" customHeight="1" x14ac:dyDescent="0.6">
      <c r="A3534" s="7">
        <v>24.718435700000001</v>
      </c>
      <c r="B3534" s="7">
        <v>34.749808799999997</v>
      </c>
      <c r="C3534" s="7">
        <v>676990.98</v>
      </c>
      <c r="D3534" s="7">
        <v>2734901.5</v>
      </c>
      <c r="E3534" s="7">
        <v>472.03</v>
      </c>
      <c r="F3534" s="7">
        <v>42687.69</v>
      </c>
      <c r="G3534" s="7">
        <v>81802</v>
      </c>
      <c r="H3534" s="7">
        <f t="shared" si="100"/>
        <v>42656.69</v>
      </c>
      <c r="I3534" s="15"/>
    </row>
    <row r="3535" spans="1:9" s="8" customFormat="1" ht="21" customHeight="1" x14ac:dyDescent="0.6">
      <c r="A3535" s="7">
        <v>24.718421599999999</v>
      </c>
      <c r="B3535" s="7">
        <v>34.7498285</v>
      </c>
      <c r="C3535" s="7">
        <v>676993</v>
      </c>
      <c r="D3535" s="7">
        <v>2734899.96</v>
      </c>
      <c r="E3535" s="7">
        <v>472.16</v>
      </c>
      <c r="F3535" s="7">
        <v>42689.86</v>
      </c>
      <c r="G3535" s="7">
        <v>81804</v>
      </c>
      <c r="H3535" s="7">
        <f t="shared" si="100"/>
        <v>42658.86</v>
      </c>
      <c r="I3535" s="15"/>
    </row>
    <row r="3536" spans="1:9" s="8" customFormat="1" ht="21" customHeight="1" x14ac:dyDescent="0.6">
      <c r="A3536" s="7">
        <v>24.718407299999999</v>
      </c>
      <c r="B3536" s="7">
        <v>34.749848399999998</v>
      </c>
      <c r="C3536" s="7">
        <v>676995.02</v>
      </c>
      <c r="D3536" s="7">
        <v>2734898.41</v>
      </c>
      <c r="E3536" s="7">
        <v>472.31</v>
      </c>
      <c r="F3536" s="7">
        <v>42696.61</v>
      </c>
      <c r="G3536" s="7">
        <v>81806</v>
      </c>
      <c r="H3536" s="7">
        <f t="shared" si="100"/>
        <v>42665.61</v>
      </c>
      <c r="I3536" s="15"/>
    </row>
    <row r="3537" spans="1:9" s="8" customFormat="1" ht="21" customHeight="1" x14ac:dyDescent="0.6">
      <c r="A3537" s="7">
        <v>24.718387</v>
      </c>
      <c r="B3537" s="7">
        <v>34.749863300000001</v>
      </c>
      <c r="C3537" s="7">
        <v>676996.57</v>
      </c>
      <c r="D3537" s="7">
        <v>2734896.17</v>
      </c>
      <c r="E3537" s="7">
        <v>472.28</v>
      </c>
      <c r="F3537" s="7">
        <v>42688.99</v>
      </c>
      <c r="G3537" s="7">
        <v>81808</v>
      </c>
      <c r="H3537" s="7">
        <f t="shared" si="100"/>
        <v>42657.99</v>
      </c>
      <c r="I3537" s="15"/>
    </row>
    <row r="3538" spans="1:9" s="8" customFormat="1" ht="21" customHeight="1" x14ac:dyDescent="0.6">
      <c r="A3538" s="7">
        <v>24.718368300000002</v>
      </c>
      <c r="B3538" s="7">
        <v>34.749877300000001</v>
      </c>
      <c r="C3538" s="7">
        <v>676998.01</v>
      </c>
      <c r="D3538" s="7">
        <v>2734894.12</v>
      </c>
      <c r="E3538" s="7">
        <v>472.46</v>
      </c>
      <c r="F3538" s="7">
        <v>42684.1</v>
      </c>
      <c r="G3538" s="7">
        <v>81810</v>
      </c>
      <c r="H3538" s="7">
        <f t="shared" ref="H3538:H3601" si="101">SUM(F3538-31)</f>
        <v>42653.1</v>
      </c>
      <c r="I3538" s="15"/>
    </row>
    <row r="3539" spans="1:9" s="8" customFormat="1" ht="21" customHeight="1" x14ac:dyDescent="0.6">
      <c r="A3539" s="7">
        <v>24.718350699999998</v>
      </c>
      <c r="B3539" s="7">
        <v>34.7498912</v>
      </c>
      <c r="C3539" s="7">
        <v>676999.44</v>
      </c>
      <c r="D3539" s="7">
        <v>2734892.19</v>
      </c>
      <c r="E3539" s="7">
        <v>472.64</v>
      </c>
      <c r="F3539" s="7">
        <v>42676.22</v>
      </c>
      <c r="G3539" s="7">
        <v>81812</v>
      </c>
      <c r="H3539" s="7">
        <f t="shared" si="101"/>
        <v>42645.22</v>
      </c>
      <c r="I3539" s="15"/>
    </row>
    <row r="3540" spans="1:9" s="8" customFormat="1" ht="21" customHeight="1" x14ac:dyDescent="0.6">
      <c r="A3540" s="7">
        <v>24.718333999999999</v>
      </c>
      <c r="B3540" s="7">
        <v>34.7499082</v>
      </c>
      <c r="C3540" s="7">
        <v>677001.19</v>
      </c>
      <c r="D3540" s="7">
        <v>2734890.36</v>
      </c>
      <c r="E3540" s="7">
        <v>472.72</v>
      </c>
      <c r="F3540" s="7">
        <v>42669.39</v>
      </c>
      <c r="G3540" s="7">
        <v>81814</v>
      </c>
      <c r="H3540" s="7">
        <f t="shared" si="101"/>
        <v>42638.39</v>
      </c>
      <c r="I3540" s="15"/>
    </row>
    <row r="3541" spans="1:9" s="8" customFormat="1" ht="21" customHeight="1" x14ac:dyDescent="0.6">
      <c r="A3541" s="7">
        <v>24.718321799999998</v>
      </c>
      <c r="B3541" s="7">
        <v>34.749927200000002</v>
      </c>
      <c r="C3541" s="7">
        <v>677003.12</v>
      </c>
      <c r="D3541" s="7">
        <v>2734889.03</v>
      </c>
      <c r="E3541" s="7">
        <v>472.82</v>
      </c>
      <c r="F3541" s="7">
        <v>42672.73</v>
      </c>
      <c r="G3541" s="7">
        <v>81816</v>
      </c>
      <c r="H3541" s="7">
        <f t="shared" si="101"/>
        <v>42641.73</v>
      </c>
      <c r="I3541" s="15"/>
    </row>
    <row r="3542" spans="1:9" s="8" customFormat="1" ht="21" customHeight="1" x14ac:dyDescent="0.6">
      <c r="A3542" s="7">
        <v>24.718307800000002</v>
      </c>
      <c r="B3542" s="7">
        <v>34.749948699999997</v>
      </c>
      <c r="C3542" s="7">
        <v>677005.31</v>
      </c>
      <c r="D3542" s="7">
        <v>2734887.51</v>
      </c>
      <c r="E3542" s="7">
        <v>472.99</v>
      </c>
      <c r="F3542" s="7">
        <v>42671.12</v>
      </c>
      <c r="G3542" s="7">
        <v>81818</v>
      </c>
      <c r="H3542" s="7">
        <f t="shared" si="101"/>
        <v>42640.12</v>
      </c>
      <c r="I3542" s="15"/>
    </row>
    <row r="3543" spans="1:9" s="8" customFormat="1" ht="21" customHeight="1" x14ac:dyDescent="0.6">
      <c r="A3543" s="7">
        <v>24.718293599999999</v>
      </c>
      <c r="B3543" s="7">
        <v>34.749967400000003</v>
      </c>
      <c r="C3543" s="7">
        <v>677007.23</v>
      </c>
      <c r="D3543" s="7">
        <v>2734885.96</v>
      </c>
      <c r="E3543" s="7">
        <v>473.11</v>
      </c>
      <c r="F3543" s="7">
        <v>42670.2</v>
      </c>
      <c r="G3543" s="7">
        <v>81820</v>
      </c>
      <c r="H3543" s="7">
        <f t="shared" si="101"/>
        <v>42639.199999999997</v>
      </c>
      <c r="I3543" s="15"/>
    </row>
    <row r="3544" spans="1:9" s="8" customFormat="1" ht="21" customHeight="1" x14ac:dyDescent="0.6">
      <c r="A3544" s="7">
        <v>24.718278600000001</v>
      </c>
      <c r="B3544" s="7">
        <v>34.749985899999999</v>
      </c>
      <c r="C3544" s="7">
        <v>677009.13</v>
      </c>
      <c r="D3544" s="7">
        <v>2734884.32</v>
      </c>
      <c r="E3544" s="7">
        <v>473.18</v>
      </c>
      <c r="F3544" s="7">
        <v>42657.58</v>
      </c>
      <c r="G3544" s="7">
        <v>81822</v>
      </c>
      <c r="H3544" s="7">
        <f t="shared" si="101"/>
        <v>42626.58</v>
      </c>
      <c r="I3544" s="15"/>
    </row>
    <row r="3545" spans="1:9" s="8" customFormat="1" ht="21" customHeight="1" x14ac:dyDescent="0.6">
      <c r="A3545" s="7">
        <v>24.718270199999999</v>
      </c>
      <c r="B3545" s="7">
        <v>34.750008999999999</v>
      </c>
      <c r="C3545" s="7">
        <v>677011.47</v>
      </c>
      <c r="D3545" s="7">
        <v>2734883.42</v>
      </c>
      <c r="E3545" s="7">
        <v>473.33</v>
      </c>
      <c r="F3545" s="7">
        <v>42653.3</v>
      </c>
      <c r="G3545" s="7">
        <v>81824</v>
      </c>
      <c r="H3545" s="7">
        <f t="shared" si="101"/>
        <v>42622.3</v>
      </c>
      <c r="I3545" s="15"/>
    </row>
    <row r="3546" spans="1:9" s="8" customFormat="1" ht="21" customHeight="1" x14ac:dyDescent="0.6">
      <c r="A3546" s="7">
        <v>24.718272599999999</v>
      </c>
      <c r="B3546" s="7">
        <v>34.750036700000003</v>
      </c>
      <c r="C3546" s="7">
        <v>677014.26</v>
      </c>
      <c r="D3546" s="7">
        <v>2734883.72</v>
      </c>
      <c r="E3546" s="7">
        <v>473.41</v>
      </c>
      <c r="F3546" s="7">
        <v>42663.49</v>
      </c>
      <c r="G3546" s="7">
        <v>81826</v>
      </c>
      <c r="H3546" s="7">
        <f t="shared" si="101"/>
        <v>42632.49</v>
      </c>
      <c r="I3546" s="15"/>
    </row>
    <row r="3547" spans="1:9" s="8" customFormat="1" ht="21" customHeight="1" x14ac:dyDescent="0.6">
      <c r="A3547" s="7">
        <v>24.718267699999998</v>
      </c>
      <c r="B3547" s="7">
        <v>34.750058000000003</v>
      </c>
      <c r="C3547" s="7">
        <v>677016.43</v>
      </c>
      <c r="D3547" s="7">
        <v>2734883.21</v>
      </c>
      <c r="E3547" s="7">
        <v>473.55</v>
      </c>
      <c r="F3547" s="7">
        <v>42672.1</v>
      </c>
      <c r="G3547" s="7">
        <v>81828</v>
      </c>
      <c r="H3547" s="7">
        <f t="shared" si="101"/>
        <v>42641.1</v>
      </c>
      <c r="I3547" s="15"/>
    </row>
    <row r="3548" spans="1:9" s="8" customFormat="1" ht="21" customHeight="1" x14ac:dyDescent="0.6">
      <c r="A3548" s="7">
        <v>24.718269100000001</v>
      </c>
      <c r="B3548" s="7">
        <v>34.750082999999997</v>
      </c>
      <c r="C3548" s="7">
        <v>677018.96</v>
      </c>
      <c r="D3548" s="7">
        <v>2734883.39</v>
      </c>
      <c r="E3548" s="7">
        <v>473.31</v>
      </c>
      <c r="F3548" s="7">
        <v>42684.78</v>
      </c>
      <c r="G3548" s="7">
        <v>81830</v>
      </c>
      <c r="H3548" s="7">
        <f t="shared" si="101"/>
        <v>42653.78</v>
      </c>
      <c r="I3548" s="15"/>
    </row>
    <row r="3549" spans="1:9" s="8" customFormat="1" ht="21" customHeight="1" x14ac:dyDescent="0.6">
      <c r="A3549" s="7">
        <v>24.718264699999999</v>
      </c>
      <c r="B3549" s="7">
        <v>34.7501082</v>
      </c>
      <c r="C3549" s="7">
        <v>677021.52</v>
      </c>
      <c r="D3549" s="7">
        <v>2734882.94</v>
      </c>
      <c r="E3549" s="7">
        <v>473.39</v>
      </c>
      <c r="F3549" s="7">
        <v>42687.41</v>
      </c>
      <c r="G3549" s="7">
        <v>81832</v>
      </c>
      <c r="H3549" s="7">
        <f t="shared" si="101"/>
        <v>42656.41</v>
      </c>
      <c r="I3549" s="15"/>
    </row>
    <row r="3550" spans="1:9" s="8" customFormat="1" ht="21" customHeight="1" x14ac:dyDescent="0.6">
      <c r="A3550" s="7">
        <v>24.718261200000001</v>
      </c>
      <c r="B3550" s="7">
        <v>34.750133499999997</v>
      </c>
      <c r="C3550" s="7">
        <v>677024.08</v>
      </c>
      <c r="D3550" s="7">
        <v>2734882.59</v>
      </c>
      <c r="E3550" s="7">
        <v>473.44</v>
      </c>
      <c r="F3550" s="7">
        <v>42694.49</v>
      </c>
      <c r="G3550" s="7">
        <v>81834</v>
      </c>
      <c r="H3550" s="7">
        <f t="shared" si="101"/>
        <v>42663.49</v>
      </c>
      <c r="I3550" s="15"/>
    </row>
    <row r="3551" spans="1:9" s="8" customFormat="1" ht="21" customHeight="1" x14ac:dyDescent="0.6">
      <c r="A3551" s="7">
        <v>24.718261500000001</v>
      </c>
      <c r="B3551" s="7">
        <v>34.750157999999999</v>
      </c>
      <c r="C3551" s="7">
        <v>677026.56</v>
      </c>
      <c r="D3551" s="7">
        <v>2734882.65</v>
      </c>
      <c r="E3551" s="7">
        <v>473.44</v>
      </c>
      <c r="F3551" s="7">
        <v>42702.13</v>
      </c>
      <c r="G3551" s="7">
        <v>81836</v>
      </c>
      <c r="H3551" s="7">
        <f t="shared" si="101"/>
        <v>42671.13</v>
      </c>
      <c r="I3551" s="15"/>
    </row>
    <row r="3552" spans="1:9" s="8" customFormat="1" ht="21" customHeight="1" x14ac:dyDescent="0.6">
      <c r="A3552" s="7">
        <v>24.718258599999999</v>
      </c>
      <c r="B3552" s="7">
        <v>34.750182500000001</v>
      </c>
      <c r="C3552" s="7">
        <v>677029.03</v>
      </c>
      <c r="D3552" s="7">
        <v>2734882.36</v>
      </c>
      <c r="E3552" s="7">
        <v>473.4</v>
      </c>
      <c r="F3552" s="7">
        <v>42706.13</v>
      </c>
      <c r="G3552" s="7">
        <v>81838</v>
      </c>
      <c r="H3552" s="7">
        <f t="shared" si="101"/>
        <v>42675.13</v>
      </c>
      <c r="I3552" s="15"/>
    </row>
    <row r="3553" spans="1:9" s="8" customFormat="1" ht="21" customHeight="1" x14ac:dyDescent="0.6">
      <c r="A3553" s="7">
        <v>24.7182593</v>
      </c>
      <c r="B3553" s="7">
        <v>34.750204699999998</v>
      </c>
      <c r="C3553" s="7">
        <v>677031.29</v>
      </c>
      <c r="D3553" s="7">
        <v>2734882.47</v>
      </c>
      <c r="E3553" s="7">
        <v>473.34</v>
      </c>
      <c r="F3553" s="7">
        <v>42706.49</v>
      </c>
      <c r="G3553" s="7">
        <v>81840</v>
      </c>
      <c r="H3553" s="7">
        <f t="shared" si="101"/>
        <v>42675.49</v>
      </c>
      <c r="I3553" s="15"/>
    </row>
    <row r="3554" spans="1:9" s="8" customFormat="1" ht="21" customHeight="1" x14ac:dyDescent="0.6">
      <c r="A3554" s="7">
        <v>24.7182639</v>
      </c>
      <c r="B3554" s="7">
        <v>34.750230799999997</v>
      </c>
      <c r="C3554" s="7">
        <v>677033.92</v>
      </c>
      <c r="D3554" s="7">
        <v>2734883.01</v>
      </c>
      <c r="E3554" s="7">
        <v>473.49</v>
      </c>
      <c r="F3554" s="7">
        <v>42720.02</v>
      </c>
      <c r="G3554" s="7">
        <v>81842</v>
      </c>
      <c r="H3554" s="7">
        <f t="shared" si="101"/>
        <v>42689.02</v>
      </c>
      <c r="I3554" s="15"/>
    </row>
    <row r="3555" spans="1:9" s="8" customFormat="1" ht="21" customHeight="1" x14ac:dyDescent="0.6">
      <c r="A3555" s="7">
        <v>24.718267999999998</v>
      </c>
      <c r="B3555" s="7">
        <v>34.750253200000003</v>
      </c>
      <c r="C3555" s="7">
        <v>677036.17</v>
      </c>
      <c r="D3555" s="7">
        <v>2734883.5</v>
      </c>
      <c r="E3555" s="7">
        <v>473.51</v>
      </c>
      <c r="F3555" s="7">
        <v>42729.74</v>
      </c>
      <c r="G3555" s="7">
        <v>81844</v>
      </c>
      <c r="H3555" s="7">
        <f t="shared" si="101"/>
        <v>42698.74</v>
      </c>
      <c r="I3555" s="15"/>
    </row>
    <row r="3556" spans="1:9" s="8" customFormat="1" ht="21" customHeight="1" x14ac:dyDescent="0.6">
      <c r="A3556" s="7">
        <v>24.718275899999998</v>
      </c>
      <c r="B3556" s="7">
        <v>34.7502779</v>
      </c>
      <c r="C3556" s="7">
        <v>677038.67</v>
      </c>
      <c r="D3556" s="7">
        <v>2734884.41</v>
      </c>
      <c r="E3556" s="7">
        <v>473.54</v>
      </c>
      <c r="F3556" s="7">
        <v>42743.59</v>
      </c>
      <c r="G3556" s="7">
        <v>81846</v>
      </c>
      <c r="H3556" s="7">
        <f t="shared" si="101"/>
        <v>42712.59</v>
      </c>
      <c r="I3556" s="15"/>
    </row>
    <row r="3557" spans="1:9" s="8" customFormat="1" ht="21" customHeight="1" x14ac:dyDescent="0.6">
      <c r="A3557" s="7">
        <v>24.718283199999998</v>
      </c>
      <c r="B3557" s="7">
        <v>34.750299300000002</v>
      </c>
      <c r="C3557" s="7">
        <v>677040.83</v>
      </c>
      <c r="D3557" s="7">
        <v>2734885.24</v>
      </c>
      <c r="E3557" s="7">
        <v>473.21</v>
      </c>
      <c r="F3557" s="7">
        <v>42755.22</v>
      </c>
      <c r="G3557" s="7">
        <v>81848</v>
      </c>
      <c r="H3557" s="7">
        <f t="shared" si="101"/>
        <v>42724.22</v>
      </c>
      <c r="I3557" s="15"/>
    </row>
    <row r="3558" spans="1:9" s="8" customFormat="1" ht="21" customHeight="1" x14ac:dyDescent="0.6">
      <c r="A3558" s="7">
        <v>24.7182876</v>
      </c>
      <c r="B3558" s="7">
        <v>34.750327400000003</v>
      </c>
      <c r="C3558" s="7">
        <v>677043.66</v>
      </c>
      <c r="D3558" s="7">
        <v>2734885.76</v>
      </c>
      <c r="E3558" s="7">
        <v>473.18</v>
      </c>
      <c r="F3558" s="7">
        <v>42764.31</v>
      </c>
      <c r="G3558" s="7">
        <v>81850</v>
      </c>
      <c r="H3558" s="7">
        <f t="shared" si="101"/>
        <v>42733.31</v>
      </c>
      <c r="I3558" s="15"/>
    </row>
    <row r="3559" spans="1:9" s="8" customFormat="1" ht="21" customHeight="1" x14ac:dyDescent="0.6">
      <c r="A3559" s="7">
        <v>24.7182931</v>
      </c>
      <c r="B3559" s="7">
        <v>34.750350099999999</v>
      </c>
      <c r="C3559" s="7">
        <v>677045.94</v>
      </c>
      <c r="D3559" s="7">
        <v>2734886.4</v>
      </c>
      <c r="E3559" s="7">
        <v>473.4</v>
      </c>
      <c r="F3559" s="7">
        <v>42768.57</v>
      </c>
      <c r="G3559" s="7">
        <v>81852</v>
      </c>
      <c r="H3559" s="7">
        <f t="shared" si="101"/>
        <v>42737.57</v>
      </c>
      <c r="I3559" s="15"/>
    </row>
    <row r="3560" spans="1:9" s="8" customFormat="1" ht="21" customHeight="1" x14ac:dyDescent="0.6">
      <c r="A3560" s="7">
        <v>24.718304100000001</v>
      </c>
      <c r="B3560" s="7">
        <v>34.7503715</v>
      </c>
      <c r="C3560" s="7">
        <v>677048.09</v>
      </c>
      <c r="D3560" s="7">
        <v>2734887.65</v>
      </c>
      <c r="E3560" s="7">
        <v>473.45</v>
      </c>
      <c r="F3560" s="7">
        <v>42785.65</v>
      </c>
      <c r="G3560" s="7">
        <v>81854</v>
      </c>
      <c r="H3560" s="7">
        <f t="shared" si="101"/>
        <v>42754.65</v>
      </c>
      <c r="I3560" s="15"/>
    </row>
    <row r="3561" spans="1:9" s="8" customFormat="1" ht="21" customHeight="1" x14ac:dyDescent="0.6">
      <c r="A3561" s="7">
        <v>24.718316600000001</v>
      </c>
      <c r="B3561" s="7">
        <v>34.750390299999999</v>
      </c>
      <c r="C3561" s="7">
        <v>677049.99</v>
      </c>
      <c r="D3561" s="7">
        <v>2734889.05</v>
      </c>
      <c r="E3561" s="7">
        <v>473.31</v>
      </c>
      <c r="F3561" s="7">
        <v>42799.88</v>
      </c>
      <c r="G3561" s="7">
        <v>81856</v>
      </c>
      <c r="H3561" s="7">
        <f t="shared" si="101"/>
        <v>42768.88</v>
      </c>
      <c r="I3561" s="15"/>
    </row>
    <row r="3562" spans="1:9" s="8" customFormat="1" ht="21" customHeight="1" x14ac:dyDescent="0.6">
      <c r="A3562" s="7">
        <v>24.718335100000001</v>
      </c>
      <c r="B3562" s="7">
        <v>34.7504086</v>
      </c>
      <c r="C3562" s="7">
        <v>677051.81</v>
      </c>
      <c r="D3562" s="7">
        <v>2734891.13</v>
      </c>
      <c r="E3562" s="7">
        <v>473.25</v>
      </c>
      <c r="F3562" s="7">
        <v>42821.599999999999</v>
      </c>
      <c r="G3562" s="7">
        <v>81858</v>
      </c>
      <c r="H3562" s="7">
        <f t="shared" si="101"/>
        <v>42790.6</v>
      </c>
      <c r="I3562" s="15"/>
    </row>
    <row r="3563" spans="1:9" s="8" customFormat="1" ht="21" customHeight="1" x14ac:dyDescent="0.6">
      <c r="A3563" s="7">
        <v>24.718351899999998</v>
      </c>
      <c r="B3563" s="7">
        <v>34.750427000000002</v>
      </c>
      <c r="C3563" s="7">
        <v>677053.65</v>
      </c>
      <c r="D3563" s="7">
        <v>2734893.01</v>
      </c>
      <c r="E3563" s="7">
        <v>473.27</v>
      </c>
      <c r="F3563" s="7">
        <v>42853.17</v>
      </c>
      <c r="G3563" s="7">
        <v>81900</v>
      </c>
      <c r="H3563" s="7">
        <f t="shared" si="101"/>
        <v>42822.17</v>
      </c>
      <c r="I3563" s="15"/>
    </row>
    <row r="3564" spans="1:9" s="8" customFormat="1" ht="21" customHeight="1" x14ac:dyDescent="0.6">
      <c r="A3564" s="7">
        <v>24.718369500000001</v>
      </c>
      <c r="B3564" s="7">
        <v>34.750447600000001</v>
      </c>
      <c r="C3564" s="7">
        <v>677055.7</v>
      </c>
      <c r="D3564" s="7">
        <v>2734894.98</v>
      </c>
      <c r="E3564" s="7">
        <v>473.18</v>
      </c>
      <c r="F3564" s="7">
        <v>42878.89</v>
      </c>
      <c r="G3564" s="7">
        <v>81902</v>
      </c>
      <c r="H3564" s="7">
        <f t="shared" si="101"/>
        <v>42847.89</v>
      </c>
      <c r="I3564" s="15"/>
    </row>
    <row r="3565" spans="1:9" s="8" customFormat="1" ht="21" customHeight="1" x14ac:dyDescent="0.6">
      <c r="A3565" s="7">
        <v>24.718386500000001</v>
      </c>
      <c r="B3565" s="7">
        <v>34.750469000000002</v>
      </c>
      <c r="C3565" s="7">
        <v>677057.84</v>
      </c>
      <c r="D3565" s="7">
        <v>2734896.9</v>
      </c>
      <c r="E3565" s="7">
        <v>473.02</v>
      </c>
      <c r="F3565" s="7">
        <v>42904.62</v>
      </c>
      <c r="G3565" s="7">
        <v>81904</v>
      </c>
      <c r="H3565" s="7">
        <f t="shared" si="101"/>
        <v>42873.62</v>
      </c>
      <c r="I3565" s="15"/>
    </row>
    <row r="3566" spans="1:9" s="8" customFormat="1" ht="21" customHeight="1" x14ac:dyDescent="0.6">
      <c r="A3566" s="7">
        <v>24.7184028</v>
      </c>
      <c r="B3566" s="7">
        <v>34.750491599999997</v>
      </c>
      <c r="C3566" s="7">
        <v>677060.11</v>
      </c>
      <c r="D3566" s="7">
        <v>2734898.74</v>
      </c>
      <c r="E3566" s="7">
        <v>472.8</v>
      </c>
      <c r="F3566" s="7">
        <v>42936.98</v>
      </c>
      <c r="G3566" s="7">
        <v>81906</v>
      </c>
      <c r="H3566" s="7">
        <f t="shared" si="101"/>
        <v>42905.98</v>
      </c>
      <c r="I3566" s="15"/>
    </row>
    <row r="3567" spans="1:9" s="8" customFormat="1" ht="21" customHeight="1" x14ac:dyDescent="0.6">
      <c r="A3567" s="7">
        <v>24.718419099999998</v>
      </c>
      <c r="B3567" s="7">
        <v>34.750515300000004</v>
      </c>
      <c r="C3567" s="7">
        <v>677062.48</v>
      </c>
      <c r="D3567" s="7">
        <v>2734900.57</v>
      </c>
      <c r="E3567" s="7">
        <v>472.64</v>
      </c>
      <c r="F3567" s="7">
        <v>42975.9</v>
      </c>
      <c r="G3567" s="7">
        <v>81908</v>
      </c>
      <c r="H3567" s="7">
        <f t="shared" si="101"/>
        <v>42944.9</v>
      </c>
      <c r="I3567" s="15"/>
    </row>
    <row r="3568" spans="1:9" s="8" customFormat="1" ht="21" customHeight="1" x14ac:dyDescent="0.6">
      <c r="A3568" s="7">
        <v>24.7184308</v>
      </c>
      <c r="B3568" s="7">
        <v>34.750541900000002</v>
      </c>
      <c r="C3568" s="7">
        <v>677065.15</v>
      </c>
      <c r="D3568" s="7">
        <v>2734901.9</v>
      </c>
      <c r="E3568" s="7">
        <v>472.57</v>
      </c>
      <c r="F3568" s="7">
        <v>43022.89</v>
      </c>
      <c r="G3568" s="7">
        <v>81910</v>
      </c>
      <c r="H3568" s="7">
        <f t="shared" si="101"/>
        <v>42991.89</v>
      </c>
      <c r="I3568" s="15"/>
    </row>
    <row r="3569" spans="1:9" s="8" customFormat="1" ht="21" customHeight="1" x14ac:dyDescent="0.6">
      <c r="A3569" s="7">
        <v>24.7184408</v>
      </c>
      <c r="B3569" s="7">
        <v>34.7505685</v>
      </c>
      <c r="C3569" s="7">
        <v>677067.84</v>
      </c>
      <c r="D3569" s="7">
        <v>2734903.04</v>
      </c>
      <c r="E3569" s="7">
        <v>472.55</v>
      </c>
      <c r="F3569" s="7">
        <v>43031.51</v>
      </c>
      <c r="G3569" s="7">
        <v>81912</v>
      </c>
      <c r="H3569" s="7">
        <f t="shared" si="101"/>
        <v>43000.51</v>
      </c>
      <c r="I3569" s="15"/>
    </row>
    <row r="3570" spans="1:9" s="8" customFormat="1" ht="21" customHeight="1" x14ac:dyDescent="0.6">
      <c r="A3570" s="7">
        <v>24.7184499</v>
      </c>
      <c r="B3570" s="7">
        <v>34.750596000000002</v>
      </c>
      <c r="C3570" s="7">
        <v>677070.6</v>
      </c>
      <c r="D3570" s="7">
        <v>2734904.09</v>
      </c>
      <c r="E3570" s="7">
        <v>472.51</v>
      </c>
      <c r="F3570" s="7">
        <v>43080.63</v>
      </c>
      <c r="G3570" s="7">
        <v>81914</v>
      </c>
      <c r="H3570" s="7">
        <f t="shared" si="101"/>
        <v>43049.63</v>
      </c>
      <c r="I3570" s="15"/>
    </row>
    <row r="3571" spans="1:9" s="8" customFormat="1" ht="21" customHeight="1" x14ac:dyDescent="0.6">
      <c r="A3571" s="7">
        <v>24.718456100000001</v>
      </c>
      <c r="B3571" s="7">
        <v>34.750624899999998</v>
      </c>
      <c r="C3571" s="7">
        <v>677073.51</v>
      </c>
      <c r="D3571" s="7">
        <v>2734904.81</v>
      </c>
      <c r="E3571" s="7">
        <v>472.45</v>
      </c>
      <c r="F3571" s="7">
        <v>43133.55</v>
      </c>
      <c r="G3571" s="7">
        <v>81916</v>
      </c>
      <c r="H3571" s="7">
        <f t="shared" si="101"/>
        <v>43102.55</v>
      </c>
      <c r="I3571" s="15"/>
    </row>
    <row r="3572" spans="1:9" s="8" customFormat="1" ht="21" customHeight="1" x14ac:dyDescent="0.6">
      <c r="A3572" s="7">
        <v>24.718459800000002</v>
      </c>
      <c r="B3572" s="7">
        <v>34.750655199999997</v>
      </c>
      <c r="C3572" s="7">
        <v>677076.58</v>
      </c>
      <c r="D3572" s="7">
        <v>2734905.26</v>
      </c>
      <c r="E3572" s="7">
        <v>472.5</v>
      </c>
      <c r="F3572" s="7">
        <v>43177.71</v>
      </c>
      <c r="G3572" s="7">
        <v>81918</v>
      </c>
      <c r="H3572" s="7">
        <f t="shared" si="101"/>
        <v>43146.71</v>
      </c>
      <c r="I3572" s="15"/>
    </row>
    <row r="3573" spans="1:9" s="8" customFormat="1" ht="21" customHeight="1" x14ac:dyDescent="0.6">
      <c r="A3573" s="7">
        <v>24.718463700000001</v>
      </c>
      <c r="B3573" s="7">
        <v>34.750683000000002</v>
      </c>
      <c r="C3573" s="7">
        <v>677079.39</v>
      </c>
      <c r="D3573" s="7">
        <v>2734905.73</v>
      </c>
      <c r="E3573" s="7">
        <v>472.56</v>
      </c>
      <c r="F3573" s="7">
        <v>43196.5</v>
      </c>
      <c r="G3573" s="7">
        <v>81920</v>
      </c>
      <c r="H3573" s="7">
        <f t="shared" si="101"/>
        <v>43165.5</v>
      </c>
      <c r="I3573" s="15"/>
    </row>
    <row r="3574" spans="1:9" s="8" customFormat="1" ht="21" customHeight="1" x14ac:dyDescent="0.6">
      <c r="A3574" s="7">
        <v>24.718466500000002</v>
      </c>
      <c r="B3574" s="7">
        <v>34.750711699999997</v>
      </c>
      <c r="C3574" s="7">
        <v>677082.28</v>
      </c>
      <c r="D3574" s="7">
        <v>2734906.07</v>
      </c>
      <c r="E3574" s="7">
        <v>472.53</v>
      </c>
      <c r="F3574" s="7">
        <v>43208.97</v>
      </c>
      <c r="G3574" s="7">
        <v>81922</v>
      </c>
      <c r="H3574" s="7">
        <f t="shared" si="101"/>
        <v>43177.97</v>
      </c>
      <c r="I3574" s="15"/>
    </row>
    <row r="3575" spans="1:9" s="8" customFormat="1" ht="21" customHeight="1" x14ac:dyDescent="0.6">
      <c r="A3575" s="7">
        <v>24.71847</v>
      </c>
      <c r="B3575" s="7">
        <v>34.750741400000003</v>
      </c>
      <c r="C3575" s="7">
        <v>677085.28</v>
      </c>
      <c r="D3575" s="7">
        <v>2734906.5</v>
      </c>
      <c r="E3575" s="7">
        <v>472.51</v>
      </c>
      <c r="F3575" s="7">
        <v>43230.12</v>
      </c>
      <c r="G3575" s="7">
        <v>81924</v>
      </c>
      <c r="H3575" s="7">
        <f t="shared" si="101"/>
        <v>43199.12</v>
      </c>
      <c r="I3575" s="15"/>
    </row>
    <row r="3576" spans="1:9" s="8" customFormat="1" ht="21" customHeight="1" x14ac:dyDescent="0.6">
      <c r="A3576" s="7">
        <v>24.718473500000002</v>
      </c>
      <c r="B3576" s="7">
        <v>34.750769499999997</v>
      </c>
      <c r="C3576" s="7">
        <v>677088.13</v>
      </c>
      <c r="D3576" s="7">
        <v>2734906.92</v>
      </c>
      <c r="E3576" s="7">
        <v>472.55</v>
      </c>
      <c r="F3576" s="7">
        <v>43261.61</v>
      </c>
      <c r="G3576" s="7">
        <v>81926</v>
      </c>
      <c r="H3576" s="7">
        <f t="shared" si="101"/>
        <v>43230.61</v>
      </c>
      <c r="I3576" s="15"/>
    </row>
    <row r="3577" spans="1:9" s="8" customFormat="1" ht="21" customHeight="1" x14ac:dyDescent="0.6">
      <c r="A3577" s="7">
        <v>24.7184782</v>
      </c>
      <c r="B3577" s="7">
        <v>34.750799600000001</v>
      </c>
      <c r="C3577" s="7">
        <v>677091.16</v>
      </c>
      <c r="D3577" s="7">
        <v>2734907.49</v>
      </c>
      <c r="E3577" s="7">
        <v>472.56</v>
      </c>
      <c r="F3577" s="7">
        <v>43280.46</v>
      </c>
      <c r="G3577" s="7">
        <v>81928</v>
      </c>
      <c r="H3577" s="7">
        <f t="shared" si="101"/>
        <v>43249.46</v>
      </c>
      <c r="I3577" s="15"/>
    </row>
    <row r="3578" spans="1:9" s="8" customFormat="1" ht="21" customHeight="1" x14ac:dyDescent="0.6">
      <c r="A3578" s="7">
        <v>24.718480100000001</v>
      </c>
      <c r="B3578" s="7">
        <v>34.7508287</v>
      </c>
      <c r="C3578" s="7">
        <v>677094.1</v>
      </c>
      <c r="D3578" s="7">
        <v>2734907.73</v>
      </c>
      <c r="E3578" s="7">
        <v>472.65</v>
      </c>
      <c r="F3578" s="7">
        <v>43299.82</v>
      </c>
      <c r="G3578" s="7">
        <v>81930</v>
      </c>
      <c r="H3578" s="7">
        <f t="shared" si="101"/>
        <v>43268.82</v>
      </c>
      <c r="I3578" s="15"/>
    </row>
    <row r="3579" spans="1:9" s="8" customFormat="1" ht="21" customHeight="1" x14ac:dyDescent="0.6">
      <c r="A3579" s="7">
        <v>24.718481400000002</v>
      </c>
      <c r="B3579" s="7">
        <v>34.750855399999999</v>
      </c>
      <c r="C3579" s="7">
        <v>677096.8</v>
      </c>
      <c r="D3579" s="7">
        <v>2734907.9</v>
      </c>
      <c r="E3579" s="7">
        <v>472.69</v>
      </c>
      <c r="F3579" s="7">
        <v>43298.66</v>
      </c>
      <c r="G3579" s="7">
        <v>81932</v>
      </c>
      <c r="H3579" s="7">
        <f t="shared" si="101"/>
        <v>43267.66</v>
      </c>
      <c r="I3579" s="15"/>
    </row>
    <row r="3580" spans="1:9" s="8" customFormat="1" ht="21" customHeight="1" x14ac:dyDescent="0.6">
      <c r="A3580" s="7">
        <v>24.7184825</v>
      </c>
      <c r="B3580" s="7">
        <v>34.7508841</v>
      </c>
      <c r="C3580" s="7">
        <v>677099.71</v>
      </c>
      <c r="D3580" s="7">
        <v>2734908.07</v>
      </c>
      <c r="E3580" s="7">
        <v>472.71</v>
      </c>
      <c r="F3580" s="7">
        <v>43322.02</v>
      </c>
      <c r="G3580" s="7">
        <v>81934</v>
      </c>
      <c r="H3580" s="7">
        <f t="shared" si="101"/>
        <v>43291.02</v>
      </c>
      <c r="I3580" s="15"/>
    </row>
    <row r="3581" spans="1:9" s="8" customFormat="1" ht="21" customHeight="1" x14ac:dyDescent="0.6">
      <c r="A3581" s="7">
        <v>24.718484</v>
      </c>
      <c r="B3581" s="7">
        <v>34.750914000000002</v>
      </c>
      <c r="C3581" s="7">
        <v>677102.72</v>
      </c>
      <c r="D3581" s="7">
        <v>2734908.27</v>
      </c>
      <c r="E3581" s="7">
        <v>472.79</v>
      </c>
      <c r="F3581" s="7">
        <v>43332.77</v>
      </c>
      <c r="G3581" s="7">
        <v>81936</v>
      </c>
      <c r="H3581" s="7">
        <f t="shared" si="101"/>
        <v>43301.77</v>
      </c>
      <c r="I3581" s="15"/>
    </row>
    <row r="3582" spans="1:9" s="8" customFormat="1" ht="21" customHeight="1" x14ac:dyDescent="0.6">
      <c r="A3582" s="7">
        <v>24.7184803</v>
      </c>
      <c r="B3582" s="7">
        <v>34.750942500000001</v>
      </c>
      <c r="C3582" s="7">
        <v>677105.61</v>
      </c>
      <c r="D3582" s="7">
        <v>2734907.9</v>
      </c>
      <c r="E3582" s="7">
        <v>472.86</v>
      </c>
      <c r="F3582" s="7">
        <v>43337.57</v>
      </c>
      <c r="G3582" s="7">
        <v>81938</v>
      </c>
      <c r="H3582" s="7">
        <f t="shared" si="101"/>
        <v>43306.57</v>
      </c>
      <c r="I3582" s="15"/>
    </row>
    <row r="3583" spans="1:9" s="8" customFormat="1" ht="21" customHeight="1" x14ac:dyDescent="0.6">
      <c r="A3583" s="7">
        <v>24.718476899999999</v>
      </c>
      <c r="B3583" s="7">
        <v>34.750971100000001</v>
      </c>
      <c r="C3583" s="7">
        <v>677108.51</v>
      </c>
      <c r="D3583" s="7">
        <v>2734907.56</v>
      </c>
      <c r="E3583" s="7">
        <v>472.94</v>
      </c>
      <c r="F3583" s="7">
        <v>43344.62</v>
      </c>
      <c r="G3583" s="7">
        <v>81940</v>
      </c>
      <c r="H3583" s="7">
        <f t="shared" si="101"/>
        <v>43313.62</v>
      </c>
      <c r="I3583" s="15"/>
    </row>
    <row r="3584" spans="1:9" s="8" customFormat="1" ht="21" customHeight="1" x14ac:dyDescent="0.6">
      <c r="A3584" s="7">
        <v>24.7184746</v>
      </c>
      <c r="B3584" s="7">
        <v>34.751000599999998</v>
      </c>
      <c r="C3584" s="7">
        <v>677111.5</v>
      </c>
      <c r="D3584" s="7">
        <v>2734907.34</v>
      </c>
      <c r="E3584" s="7">
        <v>473.04</v>
      </c>
      <c r="F3584" s="7">
        <v>43355.839999999997</v>
      </c>
      <c r="G3584" s="7">
        <v>81942</v>
      </c>
      <c r="H3584" s="7">
        <f t="shared" si="101"/>
        <v>43324.84</v>
      </c>
      <c r="I3584" s="15"/>
    </row>
    <row r="3585" spans="1:9" s="8" customFormat="1" ht="21" customHeight="1" x14ac:dyDescent="0.6">
      <c r="A3585" s="7">
        <v>24.718469200000001</v>
      </c>
      <c r="B3585" s="7">
        <v>34.751027899999997</v>
      </c>
      <c r="C3585" s="7">
        <v>677114.27</v>
      </c>
      <c r="D3585" s="7">
        <v>2734906.79</v>
      </c>
      <c r="E3585" s="7">
        <v>473.2</v>
      </c>
      <c r="F3585" s="7">
        <v>43360.94</v>
      </c>
      <c r="G3585" s="7">
        <v>81944</v>
      </c>
      <c r="H3585" s="7">
        <f t="shared" si="101"/>
        <v>43329.94</v>
      </c>
      <c r="I3585" s="15"/>
    </row>
    <row r="3586" spans="1:9" s="8" customFormat="1" ht="21" customHeight="1" x14ac:dyDescent="0.6">
      <c r="A3586" s="7">
        <v>24.718465599999998</v>
      </c>
      <c r="B3586" s="7">
        <v>34.751055700000002</v>
      </c>
      <c r="C3586" s="7">
        <v>677117.09</v>
      </c>
      <c r="D3586" s="7">
        <v>2734906.42</v>
      </c>
      <c r="E3586" s="7">
        <v>473.34</v>
      </c>
      <c r="F3586" s="7">
        <v>43369.27</v>
      </c>
      <c r="G3586" s="7">
        <v>81946</v>
      </c>
      <c r="H3586" s="7">
        <f t="shared" si="101"/>
        <v>43338.27</v>
      </c>
      <c r="I3586" s="15"/>
    </row>
    <row r="3587" spans="1:9" s="8" customFormat="1" ht="21" customHeight="1" x14ac:dyDescent="0.6">
      <c r="A3587" s="7">
        <v>24.718460799999999</v>
      </c>
      <c r="B3587" s="7">
        <v>34.751083100000002</v>
      </c>
      <c r="C3587" s="7">
        <v>677119.86</v>
      </c>
      <c r="D3587" s="7">
        <v>2734905.93</v>
      </c>
      <c r="E3587" s="7">
        <v>473.67</v>
      </c>
      <c r="F3587" s="7">
        <v>43366.32</v>
      </c>
      <c r="G3587" s="7">
        <v>81948</v>
      </c>
      <c r="H3587" s="7">
        <f t="shared" si="101"/>
        <v>43335.32</v>
      </c>
      <c r="I3587" s="15"/>
    </row>
    <row r="3588" spans="1:9" s="8" customFormat="1" ht="21" customHeight="1" x14ac:dyDescent="0.6">
      <c r="A3588" s="7">
        <v>24.7184539</v>
      </c>
      <c r="B3588" s="7">
        <v>34.751103800000003</v>
      </c>
      <c r="C3588" s="7">
        <v>677121.97</v>
      </c>
      <c r="D3588" s="7">
        <v>2734905.18</v>
      </c>
      <c r="E3588" s="7">
        <v>473.93</v>
      </c>
      <c r="F3588" s="7">
        <v>43358.48</v>
      </c>
      <c r="G3588" s="7">
        <v>81950</v>
      </c>
      <c r="H3588" s="7">
        <f t="shared" si="101"/>
        <v>43327.48</v>
      </c>
      <c r="I3588" s="15"/>
    </row>
    <row r="3589" spans="1:9" s="8" customFormat="1" ht="21" customHeight="1" x14ac:dyDescent="0.6">
      <c r="A3589" s="7">
        <v>24.718443400000002</v>
      </c>
      <c r="B3589" s="7">
        <v>34.751125600000002</v>
      </c>
      <c r="C3589" s="7">
        <v>677124.19</v>
      </c>
      <c r="D3589" s="7">
        <v>2734904.05</v>
      </c>
      <c r="E3589" s="7">
        <v>473.74</v>
      </c>
      <c r="F3589" s="7">
        <v>43345.599999999999</v>
      </c>
      <c r="G3589" s="7">
        <v>81952</v>
      </c>
      <c r="H3589" s="7">
        <f t="shared" si="101"/>
        <v>43314.6</v>
      </c>
      <c r="I3589" s="15"/>
    </row>
    <row r="3590" spans="1:9" s="8" customFormat="1" ht="21" customHeight="1" x14ac:dyDescent="0.6">
      <c r="A3590" s="7">
        <v>24.718440900000001</v>
      </c>
      <c r="B3590" s="7">
        <v>34.751153799999997</v>
      </c>
      <c r="C3590" s="7">
        <v>677127.05</v>
      </c>
      <c r="D3590" s="7">
        <v>2734903.81</v>
      </c>
      <c r="E3590" s="7">
        <v>473.54</v>
      </c>
      <c r="F3590" s="7">
        <v>43365.57</v>
      </c>
      <c r="G3590" s="7">
        <v>81954</v>
      </c>
      <c r="H3590" s="7">
        <f t="shared" si="101"/>
        <v>43334.57</v>
      </c>
      <c r="I3590" s="15"/>
    </row>
    <row r="3591" spans="1:9" s="8" customFormat="1" ht="21" customHeight="1" x14ac:dyDescent="0.6">
      <c r="A3591" s="7">
        <v>24.7184381</v>
      </c>
      <c r="B3591" s="7">
        <v>34.7511832</v>
      </c>
      <c r="C3591" s="7">
        <v>677130.02</v>
      </c>
      <c r="D3591" s="7">
        <v>2734903.54</v>
      </c>
      <c r="E3591" s="7">
        <v>473.51</v>
      </c>
      <c r="F3591" s="7">
        <v>43381.83</v>
      </c>
      <c r="G3591" s="7">
        <v>81956</v>
      </c>
      <c r="H3591" s="7">
        <f t="shared" si="101"/>
        <v>43350.83</v>
      </c>
      <c r="I3591" s="15"/>
    </row>
    <row r="3592" spans="1:9" s="8" customFormat="1" ht="21" customHeight="1" x14ac:dyDescent="0.6">
      <c r="A3592" s="7">
        <v>24.718435899999999</v>
      </c>
      <c r="B3592" s="7">
        <v>34.751210200000003</v>
      </c>
      <c r="C3592" s="7">
        <v>677132.76</v>
      </c>
      <c r="D3592" s="7">
        <v>2734903.33</v>
      </c>
      <c r="E3592" s="7">
        <v>473.58</v>
      </c>
      <c r="F3592" s="7">
        <v>43392.55</v>
      </c>
      <c r="G3592" s="7">
        <v>81958</v>
      </c>
      <c r="H3592" s="7">
        <f t="shared" si="101"/>
        <v>43361.55</v>
      </c>
      <c r="I3592" s="15"/>
    </row>
    <row r="3593" spans="1:9" s="8" customFormat="1" ht="21" customHeight="1" x14ac:dyDescent="0.6">
      <c r="A3593" s="7">
        <v>24.718434800000001</v>
      </c>
      <c r="B3593" s="7">
        <v>34.751238399999998</v>
      </c>
      <c r="C3593" s="7">
        <v>677135.62</v>
      </c>
      <c r="D3593" s="7">
        <v>2734903.24</v>
      </c>
      <c r="E3593" s="7">
        <v>473.64</v>
      </c>
      <c r="F3593" s="7">
        <v>43406.5</v>
      </c>
      <c r="G3593" s="7">
        <v>82000</v>
      </c>
      <c r="H3593" s="7">
        <f t="shared" si="101"/>
        <v>43375.5</v>
      </c>
      <c r="I3593" s="15"/>
    </row>
    <row r="3594" spans="1:9" s="8" customFormat="1" ht="21" customHeight="1" x14ac:dyDescent="0.6">
      <c r="A3594" s="7">
        <v>24.7184268</v>
      </c>
      <c r="B3594" s="7">
        <v>34.751266000000001</v>
      </c>
      <c r="C3594" s="7">
        <v>677138.42</v>
      </c>
      <c r="D3594" s="7">
        <v>2734902.4</v>
      </c>
      <c r="E3594" s="7">
        <v>473.73</v>
      </c>
      <c r="F3594" s="7">
        <v>43392.02</v>
      </c>
      <c r="G3594" s="7">
        <v>82002</v>
      </c>
      <c r="H3594" s="7">
        <f t="shared" si="101"/>
        <v>43361.02</v>
      </c>
      <c r="I3594" s="15"/>
    </row>
    <row r="3595" spans="1:9" s="8" customFormat="1" ht="21" customHeight="1" x14ac:dyDescent="0.6">
      <c r="A3595" s="7">
        <v>24.718423600000001</v>
      </c>
      <c r="B3595" s="7">
        <v>34.751294000000001</v>
      </c>
      <c r="C3595" s="7">
        <v>677141.26</v>
      </c>
      <c r="D3595" s="7">
        <v>2734902.07</v>
      </c>
      <c r="E3595" s="7">
        <v>473.82</v>
      </c>
      <c r="F3595" s="7">
        <v>43389.66</v>
      </c>
      <c r="G3595" s="7">
        <v>82004</v>
      </c>
      <c r="H3595" s="7">
        <f t="shared" si="101"/>
        <v>43358.66</v>
      </c>
      <c r="I3595" s="15"/>
    </row>
    <row r="3596" spans="1:9" s="8" customFormat="1" ht="21" customHeight="1" x14ac:dyDescent="0.6">
      <c r="A3596" s="7">
        <v>24.718419799999999</v>
      </c>
      <c r="B3596" s="7">
        <v>34.751322899999998</v>
      </c>
      <c r="C3596" s="7">
        <v>677144.18</v>
      </c>
      <c r="D3596" s="7">
        <v>2734901.69</v>
      </c>
      <c r="E3596" s="7">
        <v>473.88</v>
      </c>
      <c r="F3596" s="7">
        <v>43398.85</v>
      </c>
      <c r="G3596" s="7">
        <v>82006</v>
      </c>
      <c r="H3596" s="7">
        <f t="shared" si="101"/>
        <v>43367.85</v>
      </c>
      <c r="I3596" s="15"/>
    </row>
    <row r="3597" spans="1:9" s="8" customFormat="1" ht="21" customHeight="1" x14ac:dyDescent="0.6">
      <c r="A3597" s="7">
        <v>24.718413200000001</v>
      </c>
      <c r="B3597" s="7">
        <v>34.751350700000003</v>
      </c>
      <c r="C3597" s="7">
        <v>677147</v>
      </c>
      <c r="D3597" s="7">
        <v>2734901</v>
      </c>
      <c r="E3597" s="7">
        <v>473.92</v>
      </c>
      <c r="F3597" s="7">
        <v>43386.15</v>
      </c>
      <c r="G3597" s="7">
        <v>82008</v>
      </c>
      <c r="H3597" s="7">
        <f t="shared" si="101"/>
        <v>43355.15</v>
      </c>
      <c r="I3597" s="15"/>
    </row>
    <row r="3598" spans="1:9" s="8" customFormat="1" ht="21" customHeight="1" x14ac:dyDescent="0.6">
      <c r="A3598" s="7">
        <v>24.7184086</v>
      </c>
      <c r="B3598" s="7">
        <v>34.751378699999997</v>
      </c>
      <c r="C3598" s="7">
        <v>677149.84</v>
      </c>
      <c r="D3598" s="7">
        <v>2734900.53</v>
      </c>
      <c r="E3598" s="7">
        <v>473.98</v>
      </c>
      <c r="F3598" s="7">
        <v>43382.03</v>
      </c>
      <c r="G3598" s="7">
        <v>82010</v>
      </c>
      <c r="H3598" s="7">
        <f t="shared" si="101"/>
        <v>43351.03</v>
      </c>
      <c r="I3598" s="15"/>
    </row>
    <row r="3599" spans="1:9" s="8" customFormat="1" ht="21" customHeight="1" x14ac:dyDescent="0.6">
      <c r="A3599" s="7">
        <v>24.7184062</v>
      </c>
      <c r="B3599" s="7">
        <v>34.751390600000001</v>
      </c>
      <c r="C3599" s="7">
        <v>677151.06</v>
      </c>
      <c r="D3599" s="7">
        <v>2734900.27</v>
      </c>
      <c r="E3599" s="7">
        <v>474.03</v>
      </c>
      <c r="F3599" s="7">
        <v>43394.16</v>
      </c>
      <c r="G3599" s="7">
        <v>82012</v>
      </c>
      <c r="H3599" s="7">
        <f t="shared" si="101"/>
        <v>43363.16</v>
      </c>
      <c r="I3599" s="15"/>
    </row>
    <row r="3600" spans="1:9" s="8" customFormat="1" ht="21" customHeight="1" x14ac:dyDescent="0.6">
      <c r="A3600" s="7">
        <v>24.718402099999999</v>
      </c>
      <c r="B3600" s="7">
        <v>34.751376</v>
      </c>
      <c r="C3600" s="7">
        <v>677149.58</v>
      </c>
      <c r="D3600" s="7">
        <v>2734899.79</v>
      </c>
      <c r="E3600" s="7">
        <v>473.87</v>
      </c>
      <c r="F3600" s="7">
        <v>43364.78</v>
      </c>
      <c r="G3600" s="7">
        <v>82014</v>
      </c>
      <c r="H3600" s="7">
        <f t="shared" si="101"/>
        <v>43333.78</v>
      </c>
      <c r="I3600" s="15"/>
    </row>
    <row r="3601" spans="1:9" s="8" customFormat="1" ht="21" customHeight="1" x14ac:dyDescent="0.6">
      <c r="A3601" s="7">
        <v>24.718402900000001</v>
      </c>
      <c r="B3601" s="7">
        <v>34.751385399999997</v>
      </c>
      <c r="C3601" s="7">
        <v>677150.54</v>
      </c>
      <c r="D3601" s="7">
        <v>2734899.9</v>
      </c>
      <c r="E3601" s="7">
        <v>474</v>
      </c>
      <c r="F3601" s="7">
        <v>43362.32</v>
      </c>
      <c r="G3601" s="7">
        <v>82016</v>
      </c>
      <c r="H3601" s="7">
        <f t="shared" si="101"/>
        <v>43331.32</v>
      </c>
      <c r="I3601" s="15"/>
    </row>
    <row r="3602" spans="1:9" s="8" customFormat="1" ht="21" customHeight="1" x14ac:dyDescent="0.6">
      <c r="A3602" s="7">
        <v>24.718401199999999</v>
      </c>
      <c r="B3602" s="7">
        <v>34.751405900000002</v>
      </c>
      <c r="C3602" s="7">
        <v>677152.61</v>
      </c>
      <c r="D3602" s="7">
        <v>2734899.74</v>
      </c>
      <c r="E3602" s="7">
        <v>474</v>
      </c>
      <c r="F3602" s="7">
        <v>43372.93</v>
      </c>
      <c r="G3602" s="7">
        <v>82018</v>
      </c>
      <c r="H3602" s="7">
        <f t="shared" ref="H3602:H3665" si="102">SUM(F3602-31)</f>
        <v>43341.93</v>
      </c>
      <c r="I3602" s="15"/>
    </row>
    <row r="3603" spans="1:9" s="8" customFormat="1" ht="21" customHeight="1" x14ac:dyDescent="0.6">
      <c r="A3603" s="7">
        <v>24.718400599999999</v>
      </c>
      <c r="B3603" s="7">
        <v>34.751432100000002</v>
      </c>
      <c r="C3603" s="7">
        <v>677155.26</v>
      </c>
      <c r="D3603" s="7">
        <v>2734899.7</v>
      </c>
      <c r="E3603" s="7">
        <v>474.08</v>
      </c>
      <c r="F3603" s="7">
        <v>43403.42</v>
      </c>
      <c r="G3603" s="7">
        <v>82020</v>
      </c>
      <c r="H3603" s="7">
        <f t="shared" si="102"/>
        <v>43372.42</v>
      </c>
      <c r="I3603" s="15"/>
    </row>
    <row r="3604" spans="1:9" s="8" customFormat="1" ht="21" customHeight="1" x14ac:dyDescent="0.6">
      <c r="A3604" s="7">
        <v>24.7183952</v>
      </c>
      <c r="B3604" s="7">
        <v>34.751458</v>
      </c>
      <c r="C3604" s="7">
        <v>677157.88</v>
      </c>
      <c r="D3604" s="7">
        <v>2734899.15</v>
      </c>
      <c r="E3604" s="7">
        <v>474.2</v>
      </c>
      <c r="F3604" s="7">
        <v>43405.24</v>
      </c>
      <c r="G3604" s="7">
        <v>82022</v>
      </c>
      <c r="H3604" s="7">
        <f t="shared" si="102"/>
        <v>43374.239999999998</v>
      </c>
      <c r="I3604" s="15"/>
    </row>
    <row r="3605" spans="1:9" s="8" customFormat="1" ht="21" customHeight="1" x14ac:dyDescent="0.6">
      <c r="A3605" s="7">
        <v>24.718389200000001</v>
      </c>
      <c r="B3605" s="7">
        <v>34.751484400000002</v>
      </c>
      <c r="C3605" s="7">
        <v>677160.56</v>
      </c>
      <c r="D3605" s="7">
        <v>2734898.51</v>
      </c>
      <c r="E3605" s="7">
        <v>474.24</v>
      </c>
      <c r="F3605" s="7">
        <v>43408.41</v>
      </c>
      <c r="G3605" s="7">
        <v>82024</v>
      </c>
      <c r="H3605" s="7">
        <f t="shared" si="102"/>
        <v>43377.41</v>
      </c>
      <c r="I3605" s="15"/>
    </row>
    <row r="3606" spans="1:9" s="8" customFormat="1" ht="21" customHeight="1" x14ac:dyDescent="0.6">
      <c r="A3606" s="7">
        <v>24.7183852</v>
      </c>
      <c r="B3606" s="7">
        <v>34.751510699999997</v>
      </c>
      <c r="C3606" s="7">
        <v>677163.24</v>
      </c>
      <c r="D3606" s="7">
        <v>2734898.1</v>
      </c>
      <c r="E3606" s="7">
        <v>474.31</v>
      </c>
      <c r="F3606" s="7">
        <v>43409.94</v>
      </c>
      <c r="G3606" s="7">
        <v>82026</v>
      </c>
      <c r="H3606" s="7">
        <f t="shared" si="102"/>
        <v>43378.94</v>
      </c>
      <c r="I3606" s="15"/>
    </row>
    <row r="3607" spans="1:9" s="8" customFormat="1" ht="21" customHeight="1" x14ac:dyDescent="0.6">
      <c r="A3607" s="7">
        <v>24.718380499999999</v>
      </c>
      <c r="B3607" s="7">
        <v>34.751538500000002</v>
      </c>
      <c r="C3607" s="7">
        <v>677166.05</v>
      </c>
      <c r="D3607" s="7">
        <v>2734897.62</v>
      </c>
      <c r="E3607" s="7">
        <v>474.4</v>
      </c>
      <c r="F3607" s="7">
        <v>43412</v>
      </c>
      <c r="G3607" s="7">
        <v>82028</v>
      </c>
      <c r="H3607" s="7">
        <f t="shared" si="102"/>
        <v>43381</v>
      </c>
      <c r="I3607" s="15"/>
    </row>
    <row r="3608" spans="1:9" s="8" customFormat="1" ht="21" customHeight="1" x14ac:dyDescent="0.6">
      <c r="A3608" s="7">
        <v>24.718374699999998</v>
      </c>
      <c r="B3608" s="7">
        <v>34.751566400000002</v>
      </c>
      <c r="C3608" s="7">
        <v>677168.88</v>
      </c>
      <c r="D3608" s="7">
        <v>2734897.01</v>
      </c>
      <c r="E3608" s="7">
        <v>474.54</v>
      </c>
      <c r="F3608" s="7">
        <v>43400.92</v>
      </c>
      <c r="G3608" s="7">
        <v>82030</v>
      </c>
      <c r="H3608" s="7">
        <f t="shared" si="102"/>
        <v>43369.919999999998</v>
      </c>
      <c r="I3608" s="15"/>
    </row>
    <row r="3609" spans="1:9" s="8" customFormat="1" ht="21" customHeight="1" x14ac:dyDescent="0.6">
      <c r="A3609" s="7">
        <v>24.7183706</v>
      </c>
      <c r="B3609" s="7">
        <v>34.751594500000003</v>
      </c>
      <c r="C3609" s="7">
        <v>677171.73</v>
      </c>
      <c r="D3609" s="7">
        <v>2734896.59</v>
      </c>
      <c r="E3609" s="7">
        <v>474.66</v>
      </c>
      <c r="F3609" s="7">
        <v>43401.279999999999</v>
      </c>
      <c r="G3609" s="7">
        <v>82032</v>
      </c>
      <c r="H3609" s="7">
        <f t="shared" si="102"/>
        <v>43370.28</v>
      </c>
      <c r="I3609" s="15"/>
    </row>
    <row r="3610" spans="1:9" s="8" customFormat="1" ht="21" customHeight="1" x14ac:dyDescent="0.6">
      <c r="A3610" s="7">
        <v>24.718363100000001</v>
      </c>
      <c r="B3610" s="7">
        <v>34.751621900000004</v>
      </c>
      <c r="C3610" s="7">
        <v>677174.52</v>
      </c>
      <c r="D3610" s="7">
        <v>2734895.8</v>
      </c>
      <c r="E3610" s="7">
        <v>474.74</v>
      </c>
      <c r="F3610" s="7">
        <v>43397.77</v>
      </c>
      <c r="G3610" s="7">
        <v>82034</v>
      </c>
      <c r="H3610" s="7">
        <f t="shared" si="102"/>
        <v>43366.77</v>
      </c>
      <c r="I3610" s="15"/>
    </row>
    <row r="3611" spans="1:9" s="8" customFormat="1" ht="21" customHeight="1" x14ac:dyDescent="0.6">
      <c r="A3611" s="7">
        <v>24.7183557</v>
      </c>
      <c r="B3611" s="7">
        <v>34.751649899999997</v>
      </c>
      <c r="C3611" s="7">
        <v>677177.36</v>
      </c>
      <c r="D3611" s="7">
        <v>2734895.02</v>
      </c>
      <c r="E3611" s="7">
        <v>474.79</v>
      </c>
      <c r="F3611" s="7">
        <v>43381.21</v>
      </c>
      <c r="G3611" s="7">
        <v>82036</v>
      </c>
      <c r="H3611" s="7">
        <f t="shared" si="102"/>
        <v>43350.21</v>
      </c>
      <c r="I3611" s="15"/>
    </row>
    <row r="3612" spans="1:9" s="8" customFormat="1" ht="21" customHeight="1" x14ac:dyDescent="0.6">
      <c r="A3612" s="7">
        <v>24.718345899999999</v>
      </c>
      <c r="B3612" s="7">
        <v>34.751678699999999</v>
      </c>
      <c r="C3612" s="7">
        <v>677180.29</v>
      </c>
      <c r="D3612" s="7">
        <v>2734893.96</v>
      </c>
      <c r="E3612" s="7">
        <v>474.95</v>
      </c>
      <c r="F3612" s="7">
        <v>43370.66</v>
      </c>
      <c r="G3612" s="7">
        <v>82038</v>
      </c>
      <c r="H3612" s="7">
        <f t="shared" si="102"/>
        <v>43339.66</v>
      </c>
      <c r="I3612" s="15"/>
    </row>
    <row r="3613" spans="1:9" s="8" customFormat="1" ht="21" customHeight="1" x14ac:dyDescent="0.6">
      <c r="A3613" s="7">
        <v>24.718340399999999</v>
      </c>
      <c r="B3613" s="7">
        <v>34.7517073</v>
      </c>
      <c r="C3613" s="7">
        <v>677183.18</v>
      </c>
      <c r="D3613" s="7">
        <v>2734893.39</v>
      </c>
      <c r="E3613" s="7">
        <v>475.08</v>
      </c>
      <c r="F3613" s="7">
        <v>43370.78</v>
      </c>
      <c r="G3613" s="7">
        <v>82040</v>
      </c>
      <c r="H3613" s="7">
        <f t="shared" si="102"/>
        <v>43339.78</v>
      </c>
      <c r="I3613" s="15"/>
    </row>
    <row r="3614" spans="1:9" s="8" customFormat="1" ht="21" customHeight="1" x14ac:dyDescent="0.6">
      <c r="A3614" s="7">
        <v>24.718335799999998</v>
      </c>
      <c r="B3614" s="7">
        <v>34.751736000000001</v>
      </c>
      <c r="C3614" s="7">
        <v>677186.1</v>
      </c>
      <c r="D3614" s="7">
        <v>2734892.92</v>
      </c>
      <c r="E3614" s="7">
        <v>475.18</v>
      </c>
      <c r="F3614" s="7">
        <v>43375.040000000001</v>
      </c>
      <c r="G3614" s="7">
        <v>82042</v>
      </c>
      <c r="H3614" s="7">
        <f t="shared" si="102"/>
        <v>43344.04</v>
      </c>
      <c r="I3614" s="15"/>
    </row>
    <row r="3615" spans="1:9" s="8" customFormat="1" ht="21" customHeight="1" x14ac:dyDescent="0.6">
      <c r="A3615" s="7">
        <v>24.718332499999999</v>
      </c>
      <c r="B3615" s="7">
        <v>34.7517657</v>
      </c>
      <c r="C3615" s="7">
        <v>677189.11</v>
      </c>
      <c r="D3615" s="7">
        <v>2734892.59</v>
      </c>
      <c r="E3615" s="7">
        <v>475.28</v>
      </c>
      <c r="F3615" s="7">
        <v>43381.27</v>
      </c>
      <c r="G3615" s="7">
        <v>82044</v>
      </c>
      <c r="H3615" s="7">
        <f t="shared" si="102"/>
        <v>43350.27</v>
      </c>
      <c r="I3615" s="15"/>
    </row>
    <row r="3616" spans="1:9" s="8" customFormat="1" ht="21" customHeight="1" x14ac:dyDescent="0.6">
      <c r="A3616" s="7">
        <v>24.718327500000001</v>
      </c>
      <c r="B3616" s="7">
        <v>34.7517949</v>
      </c>
      <c r="C3616" s="7">
        <v>677192.07</v>
      </c>
      <c r="D3616" s="7">
        <v>2734892.08</v>
      </c>
      <c r="E3616" s="7">
        <v>475.36</v>
      </c>
      <c r="F3616" s="7">
        <v>43396.94</v>
      </c>
      <c r="G3616" s="7">
        <v>82046</v>
      </c>
      <c r="H3616" s="7">
        <f t="shared" si="102"/>
        <v>43365.94</v>
      </c>
      <c r="I3616" s="15"/>
    </row>
    <row r="3617" spans="1:9" s="8" customFormat="1" ht="21" customHeight="1" x14ac:dyDescent="0.6">
      <c r="A3617" s="7">
        <v>24.718317500000001</v>
      </c>
      <c r="B3617" s="7">
        <v>34.751821499999998</v>
      </c>
      <c r="C3617" s="7">
        <v>677194.77</v>
      </c>
      <c r="D3617" s="7">
        <v>2734891</v>
      </c>
      <c r="E3617" s="7">
        <v>475.42</v>
      </c>
      <c r="F3617" s="7">
        <v>43388.480000000003</v>
      </c>
      <c r="G3617" s="7">
        <v>82048</v>
      </c>
      <c r="H3617" s="7">
        <f t="shared" si="102"/>
        <v>43357.48</v>
      </c>
      <c r="I3617" s="15"/>
    </row>
    <row r="3618" spans="1:9" s="8" customFormat="1" ht="21" customHeight="1" x14ac:dyDescent="0.6">
      <c r="A3618" s="7">
        <v>24.718303800000001</v>
      </c>
      <c r="B3618" s="7">
        <v>34.751848500000001</v>
      </c>
      <c r="C3618" s="7">
        <v>677197.52</v>
      </c>
      <c r="D3618" s="7">
        <v>2734889.52</v>
      </c>
      <c r="E3618" s="7">
        <v>475.48</v>
      </c>
      <c r="F3618" s="7">
        <v>43368.99</v>
      </c>
      <c r="G3618" s="7">
        <v>82050</v>
      </c>
      <c r="H3618" s="7">
        <f t="shared" si="102"/>
        <v>43337.99</v>
      </c>
      <c r="I3618" s="15"/>
    </row>
    <row r="3619" spans="1:9" s="8" customFormat="1" ht="21" customHeight="1" x14ac:dyDescent="0.6">
      <c r="A3619" s="7">
        <v>24.718290199999998</v>
      </c>
      <c r="B3619" s="7">
        <v>34.751873099999997</v>
      </c>
      <c r="C3619" s="7">
        <v>677200.04</v>
      </c>
      <c r="D3619" s="7">
        <v>2734888.05</v>
      </c>
      <c r="E3619" s="7">
        <v>475.66</v>
      </c>
      <c r="F3619" s="7">
        <v>43344.87</v>
      </c>
      <c r="G3619" s="7">
        <v>82052</v>
      </c>
      <c r="H3619" s="7">
        <f t="shared" si="102"/>
        <v>43313.87</v>
      </c>
      <c r="I3619" s="15"/>
    </row>
    <row r="3620" spans="1:9" s="8" customFormat="1" ht="21" customHeight="1" x14ac:dyDescent="0.6">
      <c r="A3620" s="7">
        <v>24.7182788</v>
      </c>
      <c r="B3620" s="7">
        <v>34.751897800000002</v>
      </c>
      <c r="C3620" s="7">
        <v>677202.55</v>
      </c>
      <c r="D3620" s="7">
        <v>2734886.82</v>
      </c>
      <c r="E3620" s="7">
        <v>475.75</v>
      </c>
      <c r="F3620" s="7">
        <v>43307.97</v>
      </c>
      <c r="G3620" s="7">
        <v>82054</v>
      </c>
      <c r="H3620" s="7">
        <f t="shared" si="102"/>
        <v>43276.97</v>
      </c>
      <c r="I3620" s="15"/>
    </row>
    <row r="3621" spans="1:9" s="8" customFormat="1" ht="21" customHeight="1" x14ac:dyDescent="0.6">
      <c r="A3621" s="7">
        <v>24.7182724</v>
      </c>
      <c r="B3621" s="7">
        <v>34.7519268</v>
      </c>
      <c r="C3621" s="7">
        <v>677205.49</v>
      </c>
      <c r="D3621" s="7">
        <v>2734886.14</v>
      </c>
      <c r="E3621" s="7">
        <v>475.84</v>
      </c>
      <c r="F3621" s="7">
        <v>43312.97</v>
      </c>
      <c r="G3621" s="7">
        <v>82056</v>
      </c>
      <c r="H3621" s="7">
        <f t="shared" si="102"/>
        <v>43281.97</v>
      </c>
      <c r="I3621" s="15"/>
    </row>
    <row r="3622" spans="1:9" s="8" customFormat="1" ht="21" customHeight="1" x14ac:dyDescent="0.6">
      <c r="A3622" s="7">
        <v>24.7182645</v>
      </c>
      <c r="B3622" s="7">
        <v>34.751954400000002</v>
      </c>
      <c r="C3622" s="7">
        <v>677208.3</v>
      </c>
      <c r="D3622" s="7">
        <v>2734885.31</v>
      </c>
      <c r="E3622" s="7">
        <v>475.91</v>
      </c>
      <c r="F3622" s="7">
        <v>43310.14</v>
      </c>
      <c r="G3622" s="7">
        <v>82058</v>
      </c>
      <c r="H3622" s="7">
        <f t="shared" si="102"/>
        <v>43279.14</v>
      </c>
      <c r="I3622" s="15"/>
    </row>
    <row r="3623" spans="1:9" s="8" customFormat="1" ht="21" customHeight="1" x14ac:dyDescent="0.6">
      <c r="A3623" s="7">
        <v>24.718256799999999</v>
      </c>
      <c r="B3623" s="7">
        <v>34.751982099999999</v>
      </c>
      <c r="C3623" s="7">
        <v>677211.11</v>
      </c>
      <c r="D3623" s="7">
        <v>2734884.49</v>
      </c>
      <c r="E3623" s="7">
        <v>476.03</v>
      </c>
      <c r="F3623" s="7">
        <v>43331.519999999997</v>
      </c>
      <c r="G3623" s="7">
        <v>82100</v>
      </c>
      <c r="H3623" s="7">
        <f t="shared" si="102"/>
        <v>43300.52</v>
      </c>
      <c r="I3623" s="15"/>
    </row>
    <row r="3624" spans="1:9" s="8" customFormat="1" ht="21" customHeight="1" x14ac:dyDescent="0.6">
      <c r="A3624" s="7">
        <v>24.718248899999999</v>
      </c>
      <c r="B3624" s="7">
        <v>34.752009999999999</v>
      </c>
      <c r="C3624" s="7">
        <v>677213.94</v>
      </c>
      <c r="D3624" s="7">
        <v>2734883.65</v>
      </c>
      <c r="E3624" s="7">
        <v>476.11</v>
      </c>
      <c r="F3624" s="7">
        <v>43333.26</v>
      </c>
      <c r="G3624" s="7">
        <v>82102</v>
      </c>
      <c r="H3624" s="7">
        <f t="shared" si="102"/>
        <v>43302.26</v>
      </c>
      <c r="I3624" s="15"/>
    </row>
    <row r="3625" spans="1:9" s="8" customFormat="1" ht="21" customHeight="1" x14ac:dyDescent="0.6">
      <c r="A3625" s="7">
        <v>24.718242700000001</v>
      </c>
      <c r="B3625" s="7">
        <v>34.752039099999998</v>
      </c>
      <c r="C3625" s="7">
        <v>677216.89</v>
      </c>
      <c r="D3625" s="7">
        <v>2734883</v>
      </c>
      <c r="E3625" s="7">
        <v>476.19</v>
      </c>
      <c r="F3625" s="7">
        <v>43333.7</v>
      </c>
      <c r="G3625" s="7">
        <v>82104</v>
      </c>
      <c r="H3625" s="7">
        <f t="shared" si="102"/>
        <v>43302.7</v>
      </c>
      <c r="I3625" s="15"/>
    </row>
    <row r="3626" spans="1:9" s="8" customFormat="1" ht="21" customHeight="1" x14ac:dyDescent="0.6">
      <c r="A3626" s="7">
        <v>24.718236900000001</v>
      </c>
      <c r="B3626" s="7">
        <v>34.752066800000001</v>
      </c>
      <c r="C3626" s="7">
        <v>677219.7</v>
      </c>
      <c r="D3626" s="7">
        <v>2734882.39</v>
      </c>
      <c r="E3626" s="7">
        <v>476.34</v>
      </c>
      <c r="F3626" s="7">
        <v>43336.21</v>
      </c>
      <c r="G3626" s="7">
        <v>82106</v>
      </c>
      <c r="H3626" s="7">
        <f t="shared" si="102"/>
        <v>43305.21</v>
      </c>
      <c r="I3626" s="15"/>
    </row>
    <row r="3627" spans="1:9" s="8" customFormat="1" ht="21" customHeight="1" x14ac:dyDescent="0.6">
      <c r="A3627" s="7">
        <v>24.7182317</v>
      </c>
      <c r="B3627" s="7">
        <v>34.752094300000003</v>
      </c>
      <c r="C3627" s="7">
        <v>677222.5</v>
      </c>
      <c r="D3627" s="7">
        <v>2734881.86</v>
      </c>
      <c r="E3627" s="7">
        <v>476.44</v>
      </c>
      <c r="F3627" s="7">
        <v>43338.79</v>
      </c>
      <c r="G3627" s="7">
        <v>82108</v>
      </c>
      <c r="H3627" s="7">
        <f t="shared" si="102"/>
        <v>43307.79</v>
      </c>
      <c r="I3627" s="15"/>
    </row>
    <row r="3628" spans="1:9" s="8" customFormat="1" ht="21" customHeight="1" x14ac:dyDescent="0.6">
      <c r="A3628" s="7">
        <v>24.7182256</v>
      </c>
      <c r="B3628" s="7">
        <v>34.752123300000001</v>
      </c>
      <c r="C3628" s="7">
        <v>677225.44</v>
      </c>
      <c r="D3628" s="7">
        <v>2734881.22</v>
      </c>
      <c r="E3628" s="7">
        <v>476.48</v>
      </c>
      <c r="F3628" s="7">
        <v>43346.18</v>
      </c>
      <c r="G3628" s="7">
        <v>82110</v>
      </c>
      <c r="H3628" s="7">
        <f t="shared" si="102"/>
        <v>43315.18</v>
      </c>
      <c r="I3628" s="15"/>
    </row>
    <row r="3629" spans="1:9" s="8" customFormat="1" ht="21" customHeight="1" x14ac:dyDescent="0.6">
      <c r="A3629" s="7">
        <v>24.7182137</v>
      </c>
      <c r="B3629" s="7">
        <v>34.752149099999997</v>
      </c>
      <c r="C3629" s="7">
        <v>677228.06</v>
      </c>
      <c r="D3629" s="7">
        <v>2734879.93</v>
      </c>
      <c r="E3629" s="7">
        <v>476.56</v>
      </c>
      <c r="F3629" s="7">
        <v>43349.95</v>
      </c>
      <c r="G3629" s="7">
        <v>82112</v>
      </c>
      <c r="H3629" s="7">
        <f t="shared" si="102"/>
        <v>43318.95</v>
      </c>
      <c r="I3629" s="15"/>
    </row>
    <row r="3630" spans="1:9" s="8" customFormat="1" ht="21" customHeight="1" x14ac:dyDescent="0.6">
      <c r="A3630" s="7">
        <v>24.718200499999998</v>
      </c>
      <c r="B3630" s="7">
        <v>34.752175299999998</v>
      </c>
      <c r="C3630" s="7">
        <v>677230.73</v>
      </c>
      <c r="D3630" s="7">
        <v>2734878.5</v>
      </c>
      <c r="E3630" s="7">
        <v>476.61</v>
      </c>
      <c r="F3630" s="7">
        <v>43327.75</v>
      </c>
      <c r="G3630" s="7">
        <v>82114</v>
      </c>
      <c r="H3630" s="7">
        <f t="shared" si="102"/>
        <v>43296.75</v>
      </c>
      <c r="I3630" s="15"/>
    </row>
    <row r="3631" spans="1:9" s="8" customFormat="1" ht="21" customHeight="1" x14ac:dyDescent="0.6">
      <c r="A3631" s="7">
        <v>24.7181906</v>
      </c>
      <c r="B3631" s="7">
        <v>34.7522035</v>
      </c>
      <c r="C3631" s="7">
        <v>677233.6</v>
      </c>
      <c r="D3631" s="7">
        <v>2734877.44</v>
      </c>
      <c r="E3631" s="7">
        <v>476.7</v>
      </c>
      <c r="F3631" s="7">
        <v>43313.54</v>
      </c>
      <c r="G3631" s="7">
        <v>82116</v>
      </c>
      <c r="H3631" s="7">
        <f t="shared" si="102"/>
        <v>43282.54</v>
      </c>
      <c r="I3631" s="15"/>
    </row>
    <row r="3632" spans="1:9" s="8" customFormat="1" ht="21" customHeight="1" x14ac:dyDescent="0.6">
      <c r="A3632" s="7">
        <v>24.718184699999998</v>
      </c>
      <c r="B3632" s="7">
        <v>34.752232300000003</v>
      </c>
      <c r="C3632" s="7">
        <v>677236.53</v>
      </c>
      <c r="D3632" s="7">
        <v>2734876.83</v>
      </c>
      <c r="E3632" s="7">
        <v>476.81</v>
      </c>
      <c r="F3632" s="7">
        <v>43318.04</v>
      </c>
      <c r="G3632" s="7">
        <v>82118</v>
      </c>
      <c r="H3632" s="7">
        <f t="shared" si="102"/>
        <v>43287.040000000001</v>
      </c>
      <c r="I3632" s="15"/>
    </row>
    <row r="3633" spans="1:9" s="8" customFormat="1" ht="21" customHeight="1" x14ac:dyDescent="0.6">
      <c r="A3633" s="7">
        <v>24.718181000000001</v>
      </c>
      <c r="B3633" s="7">
        <v>34.752261799999999</v>
      </c>
      <c r="C3633" s="7">
        <v>677239.51</v>
      </c>
      <c r="D3633" s="7">
        <v>2734876.46</v>
      </c>
      <c r="E3633" s="7">
        <v>476.97</v>
      </c>
      <c r="F3633" s="7">
        <v>43325.87</v>
      </c>
      <c r="G3633" s="7">
        <v>82120</v>
      </c>
      <c r="H3633" s="7">
        <f t="shared" si="102"/>
        <v>43294.87</v>
      </c>
      <c r="I3633" s="15"/>
    </row>
    <row r="3634" spans="1:9" s="8" customFormat="1" ht="21" customHeight="1" x14ac:dyDescent="0.6">
      <c r="A3634" s="7">
        <v>24.718175500000001</v>
      </c>
      <c r="B3634" s="7">
        <v>34.752288800000002</v>
      </c>
      <c r="C3634" s="7">
        <v>677242.25</v>
      </c>
      <c r="D3634" s="7">
        <v>2734875.88</v>
      </c>
      <c r="E3634" s="7">
        <v>477.11</v>
      </c>
      <c r="F3634" s="7">
        <v>43333.29</v>
      </c>
      <c r="G3634" s="7">
        <v>82122</v>
      </c>
      <c r="H3634" s="7">
        <f t="shared" si="102"/>
        <v>43302.29</v>
      </c>
      <c r="I3634" s="15"/>
    </row>
    <row r="3635" spans="1:9" s="8" customFormat="1" ht="21" customHeight="1" x14ac:dyDescent="0.6">
      <c r="A3635" s="7">
        <v>24.718169400000001</v>
      </c>
      <c r="B3635" s="7">
        <v>34.752317699999999</v>
      </c>
      <c r="C3635" s="7">
        <v>677245.18</v>
      </c>
      <c r="D3635" s="7">
        <v>2734875.25</v>
      </c>
      <c r="E3635" s="7">
        <v>477.19</v>
      </c>
      <c r="F3635" s="7">
        <v>43348.84</v>
      </c>
      <c r="G3635" s="7">
        <v>82124</v>
      </c>
      <c r="H3635" s="7">
        <f t="shared" si="102"/>
        <v>43317.84</v>
      </c>
      <c r="I3635" s="15"/>
    </row>
    <row r="3636" spans="1:9" s="8" customFormat="1" ht="21" customHeight="1" x14ac:dyDescent="0.6">
      <c r="A3636" s="7">
        <v>24.718162299999999</v>
      </c>
      <c r="B3636" s="7">
        <v>34.752347</v>
      </c>
      <c r="C3636" s="7">
        <v>677248.16</v>
      </c>
      <c r="D3636" s="7">
        <v>2734874.49</v>
      </c>
      <c r="E3636" s="7">
        <v>477.33</v>
      </c>
      <c r="F3636" s="7">
        <v>43344.66</v>
      </c>
      <c r="G3636" s="7">
        <v>82126</v>
      </c>
      <c r="H3636" s="7">
        <f t="shared" si="102"/>
        <v>43313.66</v>
      </c>
      <c r="I3636" s="15"/>
    </row>
    <row r="3637" spans="1:9" s="8" customFormat="1" ht="21" customHeight="1" x14ac:dyDescent="0.6">
      <c r="A3637" s="7">
        <v>24.718156</v>
      </c>
      <c r="B3637" s="7">
        <v>34.752375800000003</v>
      </c>
      <c r="C3637" s="7">
        <v>677251.08</v>
      </c>
      <c r="D3637" s="7">
        <v>2734873.83</v>
      </c>
      <c r="E3637" s="7">
        <v>477.48</v>
      </c>
      <c r="F3637" s="7">
        <v>43349.05</v>
      </c>
      <c r="G3637" s="7">
        <v>82128</v>
      </c>
      <c r="H3637" s="7">
        <f t="shared" si="102"/>
        <v>43318.05</v>
      </c>
      <c r="I3637" s="15"/>
    </row>
    <row r="3638" spans="1:9" s="8" customFormat="1" ht="21" customHeight="1" x14ac:dyDescent="0.6">
      <c r="A3638" s="7">
        <v>24.718148500000002</v>
      </c>
      <c r="B3638" s="7">
        <v>34.752403100000002</v>
      </c>
      <c r="C3638" s="7">
        <v>677253.85</v>
      </c>
      <c r="D3638" s="7">
        <v>2734873.04</v>
      </c>
      <c r="E3638" s="7">
        <v>477.63</v>
      </c>
      <c r="F3638" s="7">
        <v>43343</v>
      </c>
      <c r="G3638" s="7">
        <v>82130</v>
      </c>
      <c r="H3638" s="7">
        <f t="shared" si="102"/>
        <v>43312</v>
      </c>
      <c r="I3638" s="15"/>
    </row>
    <row r="3639" spans="1:9" s="8" customFormat="1" ht="21" customHeight="1" x14ac:dyDescent="0.6">
      <c r="A3639" s="7">
        <v>24.718136000000001</v>
      </c>
      <c r="B3639" s="7">
        <v>34.7524272</v>
      </c>
      <c r="C3639" s="7">
        <v>677256.3</v>
      </c>
      <c r="D3639" s="7">
        <v>2734871.69</v>
      </c>
      <c r="E3639" s="7">
        <v>477.73</v>
      </c>
      <c r="F3639" s="7">
        <v>43336.4</v>
      </c>
      <c r="G3639" s="7">
        <v>82132</v>
      </c>
      <c r="H3639" s="7">
        <f t="shared" si="102"/>
        <v>43305.4</v>
      </c>
      <c r="I3639" s="15"/>
    </row>
    <row r="3640" spans="1:9" s="8" customFormat="1" ht="21" customHeight="1" x14ac:dyDescent="0.6">
      <c r="A3640" s="7">
        <v>24.718126600000002</v>
      </c>
      <c r="B3640" s="7">
        <v>34.752452699999999</v>
      </c>
      <c r="C3640" s="7">
        <v>677258.9</v>
      </c>
      <c r="D3640" s="7">
        <v>2734870.68</v>
      </c>
      <c r="E3640" s="7">
        <v>477.87</v>
      </c>
      <c r="F3640" s="7">
        <v>43325.55</v>
      </c>
      <c r="G3640" s="7">
        <v>82134</v>
      </c>
      <c r="H3640" s="7">
        <f t="shared" si="102"/>
        <v>43294.55</v>
      </c>
      <c r="I3640" s="15"/>
    </row>
    <row r="3641" spans="1:9" s="8" customFormat="1" ht="21" customHeight="1" x14ac:dyDescent="0.6">
      <c r="A3641" s="7">
        <v>24.718121199999999</v>
      </c>
      <c r="B3641" s="7">
        <v>34.752479899999997</v>
      </c>
      <c r="C3641" s="7">
        <v>677261.66</v>
      </c>
      <c r="D3641" s="7">
        <v>2734870.11</v>
      </c>
      <c r="E3641" s="7">
        <v>477.86</v>
      </c>
      <c r="F3641" s="7">
        <v>43325.07</v>
      </c>
      <c r="G3641" s="7">
        <v>82136</v>
      </c>
      <c r="H3641" s="7">
        <f t="shared" si="102"/>
        <v>43294.07</v>
      </c>
      <c r="I3641" s="15"/>
    </row>
    <row r="3642" spans="1:9" s="8" customFormat="1" ht="21" customHeight="1" x14ac:dyDescent="0.6">
      <c r="A3642" s="7">
        <v>24.718105699999999</v>
      </c>
      <c r="B3642" s="7">
        <v>34.752503400000002</v>
      </c>
      <c r="C3642" s="7">
        <v>677264.06</v>
      </c>
      <c r="D3642" s="7">
        <v>2734868.43</v>
      </c>
      <c r="E3642" s="7">
        <v>477.99</v>
      </c>
      <c r="F3642" s="7">
        <v>43312.08</v>
      </c>
      <c r="G3642" s="7">
        <v>82138</v>
      </c>
      <c r="H3642" s="7">
        <f t="shared" si="102"/>
        <v>43281.08</v>
      </c>
      <c r="I3642" s="15"/>
    </row>
    <row r="3643" spans="1:9" s="8" customFormat="1" ht="21" customHeight="1" x14ac:dyDescent="0.6">
      <c r="A3643" s="7">
        <v>24.718090100000001</v>
      </c>
      <c r="B3643" s="7">
        <v>34.752527200000003</v>
      </c>
      <c r="C3643" s="7">
        <v>677266.49</v>
      </c>
      <c r="D3643" s="7">
        <v>2734866.74</v>
      </c>
      <c r="E3643" s="7">
        <v>478.13</v>
      </c>
      <c r="F3643" s="7">
        <v>43290.91</v>
      </c>
      <c r="G3643" s="7">
        <v>82140</v>
      </c>
      <c r="H3643" s="7">
        <f t="shared" si="102"/>
        <v>43259.91</v>
      </c>
      <c r="I3643" s="15"/>
    </row>
    <row r="3644" spans="1:9" s="8" customFormat="1" ht="21" customHeight="1" x14ac:dyDescent="0.6">
      <c r="A3644" s="7">
        <v>24.718076199999999</v>
      </c>
      <c r="B3644" s="7">
        <v>34.752551799999999</v>
      </c>
      <c r="C3644" s="7">
        <v>677269</v>
      </c>
      <c r="D3644" s="7">
        <v>2734865.23</v>
      </c>
      <c r="E3644" s="7">
        <v>478.35</v>
      </c>
      <c r="F3644" s="7">
        <v>43275.66</v>
      </c>
      <c r="G3644" s="7">
        <v>82142</v>
      </c>
      <c r="H3644" s="7">
        <f t="shared" si="102"/>
        <v>43244.66</v>
      </c>
      <c r="I3644" s="15"/>
    </row>
    <row r="3645" spans="1:9" s="8" customFormat="1" ht="21" customHeight="1" x14ac:dyDescent="0.6">
      <c r="A3645" s="7">
        <v>24.718063999999998</v>
      </c>
      <c r="B3645" s="7">
        <v>34.752575299999997</v>
      </c>
      <c r="C3645" s="7">
        <v>677271.4</v>
      </c>
      <c r="D3645" s="7">
        <v>2734863.9</v>
      </c>
      <c r="E3645" s="7">
        <v>478.55</v>
      </c>
      <c r="F3645" s="7">
        <v>43241.58</v>
      </c>
      <c r="G3645" s="7">
        <v>82144</v>
      </c>
      <c r="H3645" s="7">
        <f t="shared" si="102"/>
        <v>43210.58</v>
      </c>
      <c r="I3645" s="15"/>
    </row>
    <row r="3646" spans="1:9" s="8" customFormat="1" ht="21" customHeight="1" x14ac:dyDescent="0.6">
      <c r="A3646" s="7">
        <v>24.718059799999999</v>
      </c>
      <c r="B3646" s="7">
        <v>34.752601900000002</v>
      </c>
      <c r="C3646" s="7">
        <v>677274.09</v>
      </c>
      <c r="D3646" s="7">
        <v>2734863.48</v>
      </c>
      <c r="E3646" s="7">
        <v>478.65</v>
      </c>
      <c r="F3646" s="7">
        <v>43229.71</v>
      </c>
      <c r="G3646" s="7">
        <v>82146</v>
      </c>
      <c r="H3646" s="7">
        <f t="shared" si="102"/>
        <v>43198.71</v>
      </c>
      <c r="I3646" s="15"/>
    </row>
    <row r="3647" spans="1:9" s="8" customFormat="1" ht="21" customHeight="1" x14ac:dyDescent="0.6">
      <c r="A3647" s="7">
        <v>24.718059700000001</v>
      </c>
      <c r="B3647" s="7">
        <v>34.752631600000001</v>
      </c>
      <c r="C3647" s="7">
        <v>677277.1</v>
      </c>
      <c r="D3647" s="7">
        <v>2734863.51</v>
      </c>
      <c r="E3647" s="7">
        <v>478.81</v>
      </c>
      <c r="F3647" s="7">
        <v>43235.66</v>
      </c>
      <c r="G3647" s="7">
        <v>82148</v>
      </c>
      <c r="H3647" s="7">
        <f t="shared" si="102"/>
        <v>43204.66</v>
      </c>
      <c r="I3647" s="15"/>
    </row>
    <row r="3648" spans="1:9" s="8" customFormat="1" ht="21" customHeight="1" x14ac:dyDescent="0.6">
      <c r="A3648" s="7">
        <v>24.718063300000001</v>
      </c>
      <c r="B3648" s="7">
        <v>34.752660400000003</v>
      </c>
      <c r="C3648" s="7">
        <v>677280</v>
      </c>
      <c r="D3648" s="7">
        <v>2734863.94</v>
      </c>
      <c r="E3648" s="7">
        <v>478.96</v>
      </c>
      <c r="F3648" s="7">
        <v>43245.53</v>
      </c>
      <c r="G3648" s="7">
        <v>82150</v>
      </c>
      <c r="H3648" s="7">
        <f t="shared" si="102"/>
        <v>43214.53</v>
      </c>
      <c r="I3648" s="15"/>
    </row>
    <row r="3649" spans="1:9" s="8" customFormat="1" ht="21" customHeight="1" x14ac:dyDescent="0.6">
      <c r="A3649" s="7">
        <v>24.718062400000001</v>
      </c>
      <c r="B3649" s="7">
        <v>34.752689599999997</v>
      </c>
      <c r="C3649" s="7">
        <v>677282.96</v>
      </c>
      <c r="D3649" s="7">
        <v>2734863.87</v>
      </c>
      <c r="E3649" s="7">
        <v>479.16</v>
      </c>
      <c r="F3649" s="7">
        <v>43247.55</v>
      </c>
      <c r="G3649" s="7">
        <v>82152</v>
      </c>
      <c r="H3649" s="7">
        <f t="shared" si="102"/>
        <v>43216.55</v>
      </c>
      <c r="I3649" s="15"/>
    </row>
    <row r="3650" spans="1:9" s="8" customFormat="1" ht="21" customHeight="1" x14ac:dyDescent="0.6">
      <c r="A3650" s="7">
        <v>24.7180611</v>
      </c>
      <c r="B3650" s="7">
        <v>34.752719399999997</v>
      </c>
      <c r="C3650" s="7">
        <v>677285.98</v>
      </c>
      <c r="D3650" s="7">
        <v>2734863.77</v>
      </c>
      <c r="E3650" s="7">
        <v>479.34</v>
      </c>
      <c r="F3650" s="7">
        <v>43251.01</v>
      </c>
      <c r="G3650" s="7">
        <v>82154</v>
      </c>
      <c r="H3650" s="7">
        <f t="shared" si="102"/>
        <v>43220.01</v>
      </c>
      <c r="I3650" s="15"/>
    </row>
    <row r="3651" spans="1:9" s="8" customFormat="1" ht="21" customHeight="1" x14ac:dyDescent="0.6">
      <c r="A3651" s="7">
        <v>24.718058299999999</v>
      </c>
      <c r="B3651" s="7">
        <v>34.752749199999997</v>
      </c>
      <c r="C3651" s="7">
        <v>677289</v>
      </c>
      <c r="D3651" s="7">
        <v>2734863.5</v>
      </c>
      <c r="E3651" s="7">
        <v>479.45</v>
      </c>
      <c r="F3651" s="7">
        <v>43245.18</v>
      </c>
      <c r="G3651" s="7">
        <v>82156</v>
      </c>
      <c r="H3651" s="7">
        <f t="shared" si="102"/>
        <v>43214.18</v>
      </c>
      <c r="I3651" s="15"/>
    </row>
    <row r="3652" spans="1:9" s="8" customFormat="1" ht="21" customHeight="1" x14ac:dyDescent="0.6">
      <c r="A3652" s="7">
        <v>24.718053699999999</v>
      </c>
      <c r="B3652" s="7">
        <v>34.752777500000001</v>
      </c>
      <c r="C3652" s="7">
        <v>677291.87</v>
      </c>
      <c r="D3652" s="7">
        <v>2734863.03</v>
      </c>
      <c r="E3652" s="7">
        <v>479.68</v>
      </c>
      <c r="F3652" s="7">
        <v>43230.43</v>
      </c>
      <c r="G3652" s="7">
        <v>82158</v>
      </c>
      <c r="H3652" s="7">
        <f t="shared" si="102"/>
        <v>43199.43</v>
      </c>
      <c r="I3652" s="15"/>
    </row>
    <row r="3653" spans="1:9" s="8" customFormat="1" ht="21" customHeight="1" x14ac:dyDescent="0.6">
      <c r="A3653" s="7">
        <v>24.7180477</v>
      </c>
      <c r="B3653" s="7">
        <v>34.7528054</v>
      </c>
      <c r="C3653" s="7">
        <v>677294.69</v>
      </c>
      <c r="D3653" s="7">
        <v>2734862.4</v>
      </c>
      <c r="E3653" s="7">
        <v>479.85</v>
      </c>
      <c r="F3653" s="7">
        <v>43206.78</v>
      </c>
      <c r="G3653" s="7">
        <v>82200</v>
      </c>
      <c r="H3653" s="7">
        <f t="shared" si="102"/>
        <v>43175.78</v>
      </c>
      <c r="I3653" s="15"/>
    </row>
    <row r="3654" spans="1:9" s="8" customFormat="1" ht="21" customHeight="1" x14ac:dyDescent="0.6">
      <c r="A3654" s="7">
        <v>24.718038199999999</v>
      </c>
      <c r="B3654" s="7">
        <v>34.752832599999998</v>
      </c>
      <c r="C3654" s="7">
        <v>677297.46</v>
      </c>
      <c r="D3654" s="7">
        <v>2734861.38</v>
      </c>
      <c r="E3654" s="7">
        <v>480.08</v>
      </c>
      <c r="F3654" s="7">
        <v>43177.98</v>
      </c>
      <c r="G3654" s="7">
        <v>82202</v>
      </c>
      <c r="H3654" s="7">
        <f t="shared" si="102"/>
        <v>43146.98</v>
      </c>
      <c r="I3654" s="15"/>
    </row>
    <row r="3655" spans="1:9" s="8" customFormat="1" ht="21" customHeight="1" x14ac:dyDescent="0.6">
      <c r="A3655" s="7">
        <v>24.718028799999999</v>
      </c>
      <c r="B3655" s="7">
        <v>34.752858400000001</v>
      </c>
      <c r="C3655" s="7">
        <v>677300.08</v>
      </c>
      <c r="D3655" s="7">
        <v>2734860.37</v>
      </c>
      <c r="E3655" s="7">
        <v>480.26</v>
      </c>
      <c r="F3655" s="7">
        <v>43149.8</v>
      </c>
      <c r="G3655" s="7">
        <v>82204</v>
      </c>
      <c r="H3655" s="7">
        <f t="shared" si="102"/>
        <v>43118.8</v>
      </c>
      <c r="I3655" s="15"/>
    </row>
    <row r="3656" spans="1:9" s="8" customFormat="1" ht="21" customHeight="1" x14ac:dyDescent="0.6">
      <c r="A3656" s="7">
        <v>24.718013800000001</v>
      </c>
      <c r="B3656" s="7">
        <v>34.752879499999999</v>
      </c>
      <c r="C3656" s="7">
        <v>677302.24</v>
      </c>
      <c r="D3656" s="7">
        <v>2734858.73</v>
      </c>
      <c r="E3656" s="7">
        <v>480.52</v>
      </c>
      <c r="F3656" s="7">
        <v>43113.01</v>
      </c>
      <c r="G3656" s="7">
        <v>82206</v>
      </c>
      <c r="H3656" s="7">
        <f t="shared" si="102"/>
        <v>43082.01</v>
      </c>
      <c r="I3656" s="15"/>
    </row>
    <row r="3657" spans="1:9" s="8" customFormat="1" ht="21" customHeight="1" x14ac:dyDescent="0.6">
      <c r="A3657" s="7">
        <v>24.7180018</v>
      </c>
      <c r="B3657" s="7">
        <v>34.752903799999999</v>
      </c>
      <c r="C3657" s="7">
        <v>677304.72</v>
      </c>
      <c r="D3657" s="7">
        <v>2734857.44</v>
      </c>
      <c r="E3657" s="7">
        <v>480.78</v>
      </c>
      <c r="F3657" s="7">
        <v>43082.27</v>
      </c>
      <c r="G3657" s="7">
        <v>82208</v>
      </c>
      <c r="H3657" s="7">
        <f t="shared" si="102"/>
        <v>43051.27</v>
      </c>
      <c r="I3657" s="15"/>
    </row>
    <row r="3658" spans="1:9" s="8" customFormat="1" ht="21" customHeight="1" x14ac:dyDescent="0.6">
      <c r="A3658" s="7">
        <v>24.717990400000001</v>
      </c>
      <c r="B3658" s="7">
        <v>34.752927800000002</v>
      </c>
      <c r="C3658" s="7">
        <v>677307.16</v>
      </c>
      <c r="D3658" s="7">
        <v>2734856.21</v>
      </c>
      <c r="E3658" s="7">
        <v>481.1</v>
      </c>
      <c r="F3658" s="7">
        <v>43058.22</v>
      </c>
      <c r="G3658" s="7">
        <v>82210</v>
      </c>
      <c r="H3658" s="7">
        <f t="shared" si="102"/>
        <v>43027.22</v>
      </c>
      <c r="I3658" s="15"/>
    </row>
    <row r="3659" spans="1:9" s="8" customFormat="1" ht="21" customHeight="1" x14ac:dyDescent="0.6">
      <c r="A3659" s="7">
        <v>24.717977399999999</v>
      </c>
      <c r="B3659" s="7">
        <v>34.7529501</v>
      </c>
      <c r="C3659" s="7">
        <v>677309.43999999994</v>
      </c>
      <c r="D3659" s="7">
        <v>2734854.8</v>
      </c>
      <c r="E3659" s="7">
        <v>481.39</v>
      </c>
      <c r="F3659" s="7">
        <v>43032.13</v>
      </c>
      <c r="G3659" s="7">
        <v>82212</v>
      </c>
      <c r="H3659" s="7">
        <f t="shared" si="102"/>
        <v>43001.13</v>
      </c>
      <c r="I3659" s="15"/>
    </row>
    <row r="3660" spans="1:9" s="8" customFormat="1" ht="21" customHeight="1" x14ac:dyDescent="0.6">
      <c r="A3660" s="7">
        <v>24.717963900000001</v>
      </c>
      <c r="B3660" s="7">
        <v>34.752971500000001</v>
      </c>
      <c r="C3660" s="7">
        <v>677311.62</v>
      </c>
      <c r="D3660" s="7">
        <v>2734853.33</v>
      </c>
      <c r="E3660" s="7">
        <v>481.59</v>
      </c>
      <c r="F3660" s="7">
        <v>43001.79</v>
      </c>
      <c r="G3660" s="7">
        <v>82214</v>
      </c>
      <c r="H3660" s="7">
        <f t="shared" si="102"/>
        <v>42970.79</v>
      </c>
      <c r="I3660" s="15"/>
    </row>
    <row r="3661" spans="1:9" s="8" customFormat="1" ht="21" customHeight="1" x14ac:dyDescent="0.6">
      <c r="A3661" s="7">
        <v>24.7179568</v>
      </c>
      <c r="B3661" s="7">
        <v>34.752995200000001</v>
      </c>
      <c r="C3661" s="7">
        <v>677314.03</v>
      </c>
      <c r="D3661" s="7">
        <v>2734852.57</v>
      </c>
      <c r="E3661" s="7">
        <v>481.79</v>
      </c>
      <c r="F3661" s="7">
        <v>42983.64</v>
      </c>
      <c r="G3661" s="7">
        <v>82216</v>
      </c>
      <c r="H3661" s="7">
        <f t="shared" si="102"/>
        <v>42952.639999999999</v>
      </c>
      <c r="I3661" s="15"/>
    </row>
    <row r="3662" spans="1:9" s="8" customFormat="1" ht="21" customHeight="1" x14ac:dyDescent="0.6">
      <c r="A3662" s="7">
        <v>24.7179465</v>
      </c>
      <c r="B3662" s="7">
        <v>34.753014899999997</v>
      </c>
      <c r="C3662" s="7">
        <v>677316.04</v>
      </c>
      <c r="D3662" s="7">
        <v>2734851.46</v>
      </c>
      <c r="E3662" s="7">
        <v>482.11</v>
      </c>
      <c r="F3662" s="7">
        <v>42967.8</v>
      </c>
      <c r="G3662" s="7">
        <v>82218</v>
      </c>
      <c r="H3662" s="7">
        <f t="shared" si="102"/>
        <v>42936.800000000003</v>
      </c>
      <c r="I3662" s="15"/>
    </row>
    <row r="3663" spans="1:9" s="8" customFormat="1" ht="21" customHeight="1" x14ac:dyDescent="0.6">
      <c r="A3663" s="7">
        <v>24.717927599999999</v>
      </c>
      <c r="B3663" s="7">
        <v>34.753026599999998</v>
      </c>
      <c r="C3663" s="7">
        <v>677317.24</v>
      </c>
      <c r="D3663" s="7">
        <v>2734849.38</v>
      </c>
      <c r="E3663" s="7">
        <v>482.47</v>
      </c>
      <c r="F3663" s="7">
        <v>42942.63</v>
      </c>
      <c r="G3663" s="7">
        <v>82220</v>
      </c>
      <c r="H3663" s="7">
        <f t="shared" si="102"/>
        <v>42911.63</v>
      </c>
      <c r="I3663" s="15"/>
    </row>
    <row r="3664" spans="1:9" s="8" customFormat="1" ht="21" customHeight="1" x14ac:dyDescent="0.6">
      <c r="A3664" s="7">
        <v>24.7179061</v>
      </c>
      <c r="B3664" s="7">
        <v>34.753036700000003</v>
      </c>
      <c r="C3664" s="7">
        <v>677318.3</v>
      </c>
      <c r="D3664" s="7">
        <v>2734847.01</v>
      </c>
      <c r="E3664" s="7">
        <v>482.72</v>
      </c>
      <c r="F3664" s="7">
        <v>42912.86</v>
      </c>
      <c r="G3664" s="7">
        <v>82222</v>
      </c>
      <c r="H3664" s="7">
        <f t="shared" si="102"/>
        <v>42881.86</v>
      </c>
      <c r="I3664" s="15"/>
    </row>
    <row r="3665" spans="1:9" s="8" customFormat="1" ht="21" customHeight="1" x14ac:dyDescent="0.6">
      <c r="A3665" s="7">
        <v>24.717885200000001</v>
      </c>
      <c r="B3665" s="7">
        <v>34.753049500000003</v>
      </c>
      <c r="C3665" s="7">
        <v>677319.62</v>
      </c>
      <c r="D3665" s="7">
        <v>2734844.71</v>
      </c>
      <c r="E3665" s="7">
        <v>482.98</v>
      </c>
      <c r="F3665" s="7">
        <v>42882.080000000002</v>
      </c>
      <c r="G3665" s="7">
        <v>82224</v>
      </c>
      <c r="H3665" s="7">
        <f t="shared" si="102"/>
        <v>42851.08</v>
      </c>
      <c r="I3665" s="15"/>
    </row>
    <row r="3666" spans="1:9" s="8" customFormat="1" ht="21" customHeight="1" x14ac:dyDescent="0.6">
      <c r="A3666" s="7">
        <v>24.717864599999999</v>
      </c>
      <c r="B3666" s="7">
        <v>34.753061099999996</v>
      </c>
      <c r="C3666" s="7">
        <v>677320.83</v>
      </c>
      <c r="D3666" s="7">
        <v>2734842.45</v>
      </c>
      <c r="E3666" s="7">
        <v>483.29</v>
      </c>
      <c r="F3666" s="7">
        <v>42855.46</v>
      </c>
      <c r="G3666" s="7">
        <v>82226</v>
      </c>
      <c r="H3666" s="7">
        <f t="shared" ref="H3666:H3729" si="103">SUM(F3666-31)</f>
        <v>42824.46</v>
      </c>
      <c r="I3666" s="15"/>
    </row>
    <row r="3667" spans="1:9" s="8" customFormat="1" ht="21" customHeight="1" x14ac:dyDescent="0.6">
      <c r="A3667" s="7">
        <v>24.717844899999999</v>
      </c>
      <c r="B3667" s="7">
        <v>34.753069699999998</v>
      </c>
      <c r="C3667" s="7">
        <v>677321.73</v>
      </c>
      <c r="D3667" s="7">
        <v>2734840.27</v>
      </c>
      <c r="E3667" s="7">
        <v>483.56</v>
      </c>
      <c r="F3667" s="7">
        <v>42825.45</v>
      </c>
      <c r="G3667" s="7">
        <v>82228</v>
      </c>
      <c r="H3667" s="7">
        <f t="shared" si="103"/>
        <v>42794.45</v>
      </c>
      <c r="I3667" s="15"/>
    </row>
    <row r="3668" spans="1:9" s="8" customFormat="1" ht="21" customHeight="1" x14ac:dyDescent="0.6">
      <c r="A3668" s="7">
        <v>24.717829999999999</v>
      </c>
      <c r="B3668" s="7">
        <v>34.7530833</v>
      </c>
      <c r="C3668" s="7">
        <v>677323.12</v>
      </c>
      <c r="D3668" s="7">
        <v>2734838.64</v>
      </c>
      <c r="E3668" s="7">
        <v>483.72</v>
      </c>
      <c r="F3668" s="7">
        <v>42804.75</v>
      </c>
      <c r="G3668" s="7">
        <v>82230</v>
      </c>
      <c r="H3668" s="7">
        <f t="shared" si="103"/>
        <v>42773.75</v>
      </c>
      <c r="I3668" s="15"/>
    </row>
    <row r="3669" spans="1:9" s="8" customFormat="1" ht="21" customHeight="1" x14ac:dyDescent="0.6">
      <c r="A3669" s="7">
        <v>24.717812200000001</v>
      </c>
      <c r="B3669" s="7">
        <v>34.753092899999999</v>
      </c>
      <c r="C3669" s="7">
        <v>677324.11</v>
      </c>
      <c r="D3669" s="7">
        <v>2734836.68</v>
      </c>
      <c r="E3669" s="7">
        <v>483.91</v>
      </c>
      <c r="F3669" s="7">
        <v>42786.43</v>
      </c>
      <c r="G3669" s="7">
        <v>82232</v>
      </c>
      <c r="H3669" s="7">
        <f t="shared" si="103"/>
        <v>42755.43</v>
      </c>
      <c r="I3669" s="15"/>
    </row>
    <row r="3670" spans="1:9" s="8" customFormat="1" ht="21" customHeight="1" x14ac:dyDescent="0.6">
      <c r="A3670" s="7">
        <v>24.717791500000001</v>
      </c>
      <c r="B3670" s="7">
        <v>34.753098899999998</v>
      </c>
      <c r="C3670" s="7">
        <v>677324.75</v>
      </c>
      <c r="D3670" s="7">
        <v>2734834.4</v>
      </c>
      <c r="E3670" s="7">
        <v>484.17</v>
      </c>
      <c r="F3670" s="7">
        <v>42763.25</v>
      </c>
      <c r="G3670" s="7">
        <v>82234</v>
      </c>
      <c r="H3670" s="7">
        <f t="shared" si="103"/>
        <v>42732.25</v>
      </c>
      <c r="I3670" s="15"/>
    </row>
    <row r="3671" spans="1:9" s="8" customFormat="1" ht="21" customHeight="1" x14ac:dyDescent="0.6">
      <c r="A3671" s="7">
        <v>24.7177726</v>
      </c>
      <c r="B3671" s="7">
        <v>34.7530991</v>
      </c>
      <c r="C3671" s="7">
        <v>677324.80000000005</v>
      </c>
      <c r="D3671" s="7">
        <v>2734832.3</v>
      </c>
      <c r="E3671" s="7">
        <v>484.36</v>
      </c>
      <c r="F3671" s="7">
        <v>42742.29</v>
      </c>
      <c r="G3671" s="7">
        <v>82236</v>
      </c>
      <c r="H3671" s="7">
        <f t="shared" si="103"/>
        <v>42711.29</v>
      </c>
      <c r="I3671" s="15"/>
    </row>
    <row r="3672" spans="1:9" s="8" customFormat="1" ht="21" customHeight="1" x14ac:dyDescent="0.6">
      <c r="A3672" s="7">
        <v>24.717755100000002</v>
      </c>
      <c r="B3672" s="7">
        <v>34.753095799999997</v>
      </c>
      <c r="C3672" s="7">
        <v>677324.49</v>
      </c>
      <c r="D3672" s="7">
        <v>2734830.36</v>
      </c>
      <c r="E3672" s="7">
        <v>484.81</v>
      </c>
      <c r="F3672" s="7">
        <v>42724.480000000003</v>
      </c>
      <c r="G3672" s="7">
        <v>82238</v>
      </c>
      <c r="H3672" s="7">
        <f t="shared" si="103"/>
        <v>42693.48</v>
      </c>
      <c r="I3672" s="15"/>
    </row>
    <row r="3673" spans="1:9" s="8" customFormat="1" ht="21" customHeight="1" x14ac:dyDescent="0.6">
      <c r="A3673" s="7">
        <v>24.717736599999999</v>
      </c>
      <c r="B3673" s="7">
        <v>34.753100000000003</v>
      </c>
      <c r="C3673" s="7">
        <v>677324.94</v>
      </c>
      <c r="D3673" s="7">
        <v>2734828.32</v>
      </c>
      <c r="E3673" s="7">
        <v>484.97</v>
      </c>
      <c r="F3673" s="7">
        <v>42707.21</v>
      </c>
      <c r="G3673" s="7">
        <v>82240</v>
      </c>
      <c r="H3673" s="7">
        <f t="shared" si="103"/>
        <v>42676.21</v>
      </c>
      <c r="I3673" s="15"/>
    </row>
    <row r="3674" spans="1:9" s="8" customFormat="1" ht="21" customHeight="1" x14ac:dyDescent="0.6">
      <c r="A3674" s="7">
        <v>24.7177212</v>
      </c>
      <c r="B3674" s="7">
        <v>34.753105099999999</v>
      </c>
      <c r="C3674" s="7">
        <v>677325.48</v>
      </c>
      <c r="D3674" s="7">
        <v>2734826.62</v>
      </c>
      <c r="E3674" s="7">
        <v>485.21</v>
      </c>
      <c r="F3674" s="7">
        <v>42686.74</v>
      </c>
      <c r="G3674" s="7">
        <v>82242</v>
      </c>
      <c r="H3674" s="7">
        <f t="shared" si="103"/>
        <v>42655.74</v>
      </c>
      <c r="I3674" s="15"/>
    </row>
    <row r="3675" spans="1:9" s="8" customFormat="1" ht="21" customHeight="1" x14ac:dyDescent="0.6">
      <c r="A3675" s="7">
        <v>24.717706199999999</v>
      </c>
      <c r="B3675" s="7">
        <v>34.7531198</v>
      </c>
      <c r="C3675" s="7">
        <v>677326.99</v>
      </c>
      <c r="D3675" s="7">
        <v>2734824.98</v>
      </c>
      <c r="E3675" s="7">
        <v>485.2</v>
      </c>
      <c r="F3675" s="7">
        <v>42673.87</v>
      </c>
      <c r="G3675" s="7">
        <v>82244</v>
      </c>
      <c r="H3675" s="7">
        <f t="shared" si="103"/>
        <v>42642.87</v>
      </c>
      <c r="I3675" s="15"/>
    </row>
    <row r="3676" spans="1:9" s="8" customFormat="1" ht="21" customHeight="1" x14ac:dyDescent="0.6">
      <c r="A3676" s="7">
        <v>24.717692599999999</v>
      </c>
      <c r="B3676" s="7">
        <v>34.753128599999997</v>
      </c>
      <c r="C3676" s="7">
        <v>677327.9</v>
      </c>
      <c r="D3676" s="7">
        <v>2734823.48</v>
      </c>
      <c r="E3676" s="7">
        <v>485.44</v>
      </c>
      <c r="F3676" s="7">
        <v>42660.11</v>
      </c>
      <c r="G3676" s="7">
        <v>82246</v>
      </c>
      <c r="H3676" s="7">
        <f t="shared" si="103"/>
        <v>42629.11</v>
      </c>
      <c r="I3676" s="15"/>
    </row>
    <row r="3677" spans="1:9" s="8" customFormat="1" ht="21" customHeight="1" x14ac:dyDescent="0.6">
      <c r="A3677" s="7">
        <v>24.717674899999999</v>
      </c>
      <c r="B3677" s="7">
        <v>34.753137700000003</v>
      </c>
      <c r="C3677" s="7">
        <v>677328.85</v>
      </c>
      <c r="D3677" s="7">
        <v>2734821.54</v>
      </c>
      <c r="E3677" s="7">
        <v>485.64</v>
      </c>
      <c r="F3677" s="7">
        <v>42640.01</v>
      </c>
      <c r="G3677" s="7">
        <v>82248</v>
      </c>
      <c r="H3677" s="7">
        <f t="shared" si="103"/>
        <v>42609.01</v>
      </c>
      <c r="I3677" s="15"/>
    </row>
    <row r="3678" spans="1:9" s="8" customFormat="1" ht="21" customHeight="1" x14ac:dyDescent="0.6">
      <c r="A3678" s="7">
        <v>24.717661400000001</v>
      </c>
      <c r="B3678" s="7">
        <v>34.753148699999997</v>
      </c>
      <c r="C3678" s="7">
        <v>677329.98</v>
      </c>
      <c r="D3678" s="7">
        <v>2734820.06</v>
      </c>
      <c r="E3678" s="7">
        <v>485.95</v>
      </c>
      <c r="F3678" s="7">
        <v>42622.39</v>
      </c>
      <c r="G3678" s="7">
        <v>82250</v>
      </c>
      <c r="H3678" s="7">
        <f t="shared" si="103"/>
        <v>42591.39</v>
      </c>
      <c r="I3678" s="15"/>
    </row>
    <row r="3679" spans="1:9" s="8" customFormat="1" ht="21" customHeight="1" x14ac:dyDescent="0.6">
      <c r="A3679" s="7">
        <v>24.717652900000001</v>
      </c>
      <c r="B3679" s="7">
        <v>34.753159699999998</v>
      </c>
      <c r="C3679" s="7">
        <v>677331.1</v>
      </c>
      <c r="D3679" s="7">
        <v>2734819.13</v>
      </c>
      <c r="E3679" s="7">
        <v>486.41</v>
      </c>
      <c r="F3679" s="7">
        <v>42614.63</v>
      </c>
      <c r="G3679" s="7">
        <v>82252</v>
      </c>
      <c r="H3679" s="7">
        <f t="shared" si="103"/>
        <v>42583.63</v>
      </c>
      <c r="I3679" s="15"/>
    </row>
    <row r="3680" spans="1:9" s="8" customFormat="1" ht="21" customHeight="1" x14ac:dyDescent="0.6">
      <c r="A3680" s="7">
        <v>24.717638600000001</v>
      </c>
      <c r="B3680" s="7">
        <v>34.753169200000002</v>
      </c>
      <c r="C3680" s="7">
        <v>677332.08</v>
      </c>
      <c r="D3680" s="7">
        <v>2734817.55</v>
      </c>
      <c r="E3680" s="7">
        <v>486.71</v>
      </c>
      <c r="F3680" s="7">
        <v>42604.3</v>
      </c>
      <c r="G3680" s="7">
        <v>82254</v>
      </c>
      <c r="H3680" s="7">
        <f t="shared" si="103"/>
        <v>42573.3</v>
      </c>
      <c r="I3680" s="15"/>
    </row>
    <row r="3681" spans="1:9" s="8" customFormat="1" ht="21" customHeight="1" x14ac:dyDescent="0.6">
      <c r="A3681" s="7">
        <v>24.717620199999999</v>
      </c>
      <c r="B3681" s="7">
        <v>34.753177200000003</v>
      </c>
      <c r="C3681" s="7">
        <v>677332.92</v>
      </c>
      <c r="D3681" s="7">
        <v>2734815.53</v>
      </c>
      <c r="E3681" s="7">
        <v>487.16</v>
      </c>
      <c r="F3681" s="7">
        <v>42586.13</v>
      </c>
      <c r="G3681" s="7">
        <v>82256</v>
      </c>
      <c r="H3681" s="7">
        <f t="shared" si="103"/>
        <v>42555.13</v>
      </c>
      <c r="I3681" s="15"/>
    </row>
    <row r="3682" spans="1:9" s="8" customFormat="1" ht="21" customHeight="1" x14ac:dyDescent="0.6">
      <c r="A3682" s="7">
        <v>24.717602800000002</v>
      </c>
      <c r="B3682" s="7">
        <v>34.753183100000001</v>
      </c>
      <c r="C3682" s="7">
        <v>677333.54</v>
      </c>
      <c r="D3682" s="7">
        <v>2734813.61</v>
      </c>
      <c r="E3682" s="7">
        <v>487.33</v>
      </c>
      <c r="F3682" s="7">
        <v>42569.09</v>
      </c>
      <c r="G3682" s="7">
        <v>82258</v>
      </c>
      <c r="H3682" s="7">
        <f t="shared" si="103"/>
        <v>42538.09</v>
      </c>
      <c r="I3682" s="15"/>
    </row>
    <row r="3683" spans="1:9" s="8" customFormat="1" ht="21" customHeight="1" x14ac:dyDescent="0.6">
      <c r="A3683" s="7">
        <v>24.717586600000001</v>
      </c>
      <c r="B3683" s="7">
        <v>34.753192300000002</v>
      </c>
      <c r="C3683" s="7">
        <v>677334.49</v>
      </c>
      <c r="D3683" s="7">
        <v>2734811.82</v>
      </c>
      <c r="E3683" s="7">
        <v>487.4</v>
      </c>
      <c r="F3683" s="7">
        <v>42555.12</v>
      </c>
      <c r="G3683" s="7">
        <v>82300</v>
      </c>
      <c r="H3683" s="7">
        <f t="shared" si="103"/>
        <v>42524.12</v>
      </c>
      <c r="I3683" s="15"/>
    </row>
    <row r="3684" spans="1:9" s="8" customFormat="1" ht="21" customHeight="1" x14ac:dyDescent="0.6">
      <c r="A3684" s="7">
        <v>24.717567500000001</v>
      </c>
      <c r="B3684" s="7">
        <v>34.753200399999997</v>
      </c>
      <c r="C3684" s="7">
        <v>677335.34</v>
      </c>
      <c r="D3684" s="7">
        <v>2734809.72</v>
      </c>
      <c r="E3684" s="7">
        <v>487.34</v>
      </c>
      <c r="F3684" s="7">
        <v>42542.45</v>
      </c>
      <c r="G3684" s="7">
        <v>82302</v>
      </c>
      <c r="H3684" s="7">
        <f t="shared" si="103"/>
        <v>42511.45</v>
      </c>
      <c r="I3684" s="15"/>
    </row>
    <row r="3685" spans="1:9" s="8" customFormat="1" ht="21" customHeight="1" x14ac:dyDescent="0.6">
      <c r="A3685" s="7">
        <v>24.7175479</v>
      </c>
      <c r="B3685" s="7">
        <v>34.753205999999999</v>
      </c>
      <c r="C3685" s="7">
        <v>677335.93</v>
      </c>
      <c r="D3685" s="7">
        <v>2734807.56</v>
      </c>
      <c r="E3685" s="7">
        <v>487.71</v>
      </c>
      <c r="F3685" s="7">
        <v>42523.93</v>
      </c>
      <c r="G3685" s="7">
        <v>82304</v>
      </c>
      <c r="H3685" s="7">
        <f t="shared" si="103"/>
        <v>42492.93</v>
      </c>
      <c r="I3685" s="15"/>
    </row>
    <row r="3686" spans="1:9" s="8" customFormat="1" ht="21" customHeight="1" x14ac:dyDescent="0.6">
      <c r="A3686" s="7">
        <v>24.7175303</v>
      </c>
      <c r="B3686" s="7">
        <v>34.753210500000002</v>
      </c>
      <c r="C3686" s="7">
        <v>677336.41</v>
      </c>
      <c r="D3686" s="7">
        <v>2734805.62</v>
      </c>
      <c r="E3686" s="7">
        <v>487.74</v>
      </c>
      <c r="F3686" s="7">
        <v>42508.24</v>
      </c>
      <c r="G3686" s="7">
        <v>82306</v>
      </c>
      <c r="H3686" s="7">
        <f t="shared" si="103"/>
        <v>42477.24</v>
      </c>
      <c r="I3686" s="15"/>
    </row>
    <row r="3687" spans="1:9" s="8" customFormat="1" ht="21" customHeight="1" x14ac:dyDescent="0.6">
      <c r="A3687" s="7">
        <v>24.717512500000002</v>
      </c>
      <c r="B3687" s="7">
        <v>34.753212300000001</v>
      </c>
      <c r="C3687" s="7">
        <v>677336.62</v>
      </c>
      <c r="D3687" s="7">
        <v>2734803.64</v>
      </c>
      <c r="E3687" s="7">
        <v>488</v>
      </c>
      <c r="F3687" s="7">
        <v>42496.86</v>
      </c>
      <c r="G3687" s="7">
        <v>82308</v>
      </c>
      <c r="H3687" s="7">
        <f t="shared" si="103"/>
        <v>42465.86</v>
      </c>
      <c r="I3687" s="15"/>
    </row>
    <row r="3688" spans="1:9" s="8" customFormat="1" ht="21" customHeight="1" x14ac:dyDescent="0.6">
      <c r="A3688" s="7">
        <v>24.7174938</v>
      </c>
      <c r="B3688" s="7">
        <v>34.753210699999997</v>
      </c>
      <c r="C3688" s="7">
        <v>677336.48</v>
      </c>
      <c r="D3688" s="7">
        <v>2734801.57</v>
      </c>
      <c r="E3688" s="7">
        <v>488.31</v>
      </c>
      <c r="F3688" s="7">
        <v>42484.98</v>
      </c>
      <c r="G3688" s="7">
        <v>82310</v>
      </c>
      <c r="H3688" s="7">
        <f t="shared" si="103"/>
        <v>42453.98</v>
      </c>
      <c r="I3688" s="15"/>
    </row>
    <row r="3689" spans="1:9" s="8" customFormat="1" ht="21" customHeight="1" x14ac:dyDescent="0.6">
      <c r="A3689" s="7">
        <v>24.717481599999999</v>
      </c>
      <c r="B3689" s="7">
        <v>34.753219899999998</v>
      </c>
      <c r="C3689" s="7">
        <v>677337.44</v>
      </c>
      <c r="D3689" s="7">
        <v>2734800.23</v>
      </c>
      <c r="E3689" s="7">
        <v>488.67</v>
      </c>
      <c r="F3689" s="7">
        <v>42469.68</v>
      </c>
      <c r="G3689" s="7">
        <v>82312</v>
      </c>
      <c r="H3689" s="7">
        <f t="shared" si="103"/>
        <v>42438.68</v>
      </c>
      <c r="I3689" s="15"/>
    </row>
    <row r="3690" spans="1:9" s="8" customFormat="1" ht="21" customHeight="1" x14ac:dyDescent="0.6">
      <c r="A3690" s="7">
        <v>24.717480800000001</v>
      </c>
      <c r="B3690" s="7">
        <v>34.753236800000003</v>
      </c>
      <c r="C3690" s="7">
        <v>677339.14</v>
      </c>
      <c r="D3690" s="7">
        <v>2734800.17</v>
      </c>
      <c r="E3690" s="7">
        <v>488.92</v>
      </c>
      <c r="F3690" s="7">
        <v>42468.84</v>
      </c>
      <c r="G3690" s="7">
        <v>82314</v>
      </c>
      <c r="H3690" s="7">
        <f t="shared" si="103"/>
        <v>42437.84</v>
      </c>
      <c r="I3690" s="15"/>
    </row>
    <row r="3691" spans="1:9" s="8" customFormat="1" ht="21" customHeight="1" x14ac:dyDescent="0.6">
      <c r="A3691" s="7">
        <v>24.717484800000001</v>
      </c>
      <c r="B3691" s="7">
        <v>34.753258700000004</v>
      </c>
      <c r="C3691" s="7">
        <v>677341.35</v>
      </c>
      <c r="D3691" s="7">
        <v>2734800.64</v>
      </c>
      <c r="E3691" s="7">
        <v>488.77</v>
      </c>
      <c r="F3691" s="7">
        <v>42468.639999999999</v>
      </c>
      <c r="G3691" s="7">
        <v>82316</v>
      </c>
      <c r="H3691" s="7">
        <f t="shared" si="103"/>
        <v>42437.64</v>
      </c>
      <c r="I3691" s="15"/>
    </row>
    <row r="3692" spans="1:9" s="8" customFormat="1" ht="21" customHeight="1" x14ac:dyDescent="0.6">
      <c r="A3692" s="7">
        <v>24.717489400000002</v>
      </c>
      <c r="B3692" s="7">
        <v>34.753281700000002</v>
      </c>
      <c r="C3692" s="7">
        <v>677343.67</v>
      </c>
      <c r="D3692" s="7">
        <v>2734801.18</v>
      </c>
      <c r="E3692" s="7">
        <v>488.76</v>
      </c>
      <c r="F3692" s="7">
        <v>42469.16</v>
      </c>
      <c r="G3692" s="7">
        <v>82318</v>
      </c>
      <c r="H3692" s="7">
        <f t="shared" si="103"/>
        <v>42438.16</v>
      </c>
      <c r="I3692" s="15"/>
    </row>
    <row r="3693" spans="1:9" s="8" customFormat="1" ht="21" customHeight="1" x14ac:dyDescent="0.6">
      <c r="A3693" s="7">
        <v>24.717495100000001</v>
      </c>
      <c r="B3693" s="7">
        <v>34.753290700000001</v>
      </c>
      <c r="C3693" s="7">
        <v>677344.58</v>
      </c>
      <c r="D3693" s="7">
        <v>2734801.82</v>
      </c>
      <c r="E3693" s="7">
        <v>488.75</v>
      </c>
      <c r="F3693" s="7">
        <v>42481.91</v>
      </c>
      <c r="G3693" s="7">
        <v>82320</v>
      </c>
      <c r="H3693" s="7">
        <f t="shared" si="103"/>
        <v>42450.91</v>
      </c>
      <c r="I3693" s="15"/>
    </row>
    <row r="3694" spans="1:9" s="8" customFormat="1" ht="21" customHeight="1" x14ac:dyDescent="0.6">
      <c r="A3694" s="7">
        <v>24.717497999999999</v>
      </c>
      <c r="B3694" s="7">
        <v>34.753306299999998</v>
      </c>
      <c r="C3694" s="7">
        <v>677346.15</v>
      </c>
      <c r="D3694" s="7">
        <v>2734802.16</v>
      </c>
      <c r="E3694" s="7">
        <v>488.57</v>
      </c>
      <c r="F3694" s="7">
        <v>42474.04</v>
      </c>
      <c r="G3694" s="7">
        <v>82322</v>
      </c>
      <c r="H3694" s="7">
        <f t="shared" si="103"/>
        <v>42443.040000000001</v>
      </c>
      <c r="I3694" s="15"/>
    </row>
    <row r="3695" spans="1:9" s="8" customFormat="1" ht="21" customHeight="1" x14ac:dyDescent="0.6">
      <c r="A3695" s="7">
        <v>24.7175057</v>
      </c>
      <c r="B3695" s="7">
        <v>34.753327599999999</v>
      </c>
      <c r="C3695" s="7">
        <v>677348.3</v>
      </c>
      <c r="D3695" s="7">
        <v>2734803.05</v>
      </c>
      <c r="E3695" s="7">
        <v>488.34</v>
      </c>
      <c r="F3695" s="7">
        <v>42476.95</v>
      </c>
      <c r="G3695" s="7">
        <v>82324</v>
      </c>
      <c r="H3695" s="7">
        <f t="shared" si="103"/>
        <v>42445.95</v>
      </c>
      <c r="I3695" s="15"/>
    </row>
    <row r="3696" spans="1:9" s="8" customFormat="1" ht="21" customHeight="1" x14ac:dyDescent="0.6">
      <c r="A3696" s="7">
        <v>24.717514900000001</v>
      </c>
      <c r="B3696" s="7">
        <v>34.7533508</v>
      </c>
      <c r="C3696" s="7">
        <v>677350.63</v>
      </c>
      <c r="D3696" s="7">
        <v>2734804.09</v>
      </c>
      <c r="E3696" s="7">
        <v>488.15</v>
      </c>
      <c r="F3696" s="7">
        <v>42481.33</v>
      </c>
      <c r="G3696" s="7">
        <v>82326</v>
      </c>
      <c r="H3696" s="7">
        <f t="shared" si="103"/>
        <v>42450.33</v>
      </c>
      <c r="I3696" s="15"/>
    </row>
    <row r="3697" spans="1:9" s="8" customFormat="1" ht="21" customHeight="1" x14ac:dyDescent="0.6">
      <c r="A3697" s="7">
        <v>24.717524000000001</v>
      </c>
      <c r="B3697" s="7">
        <v>34.753373500000002</v>
      </c>
      <c r="C3697" s="7">
        <v>677352.91</v>
      </c>
      <c r="D3697" s="7">
        <v>2734805.13</v>
      </c>
      <c r="E3697" s="7">
        <v>487.9</v>
      </c>
      <c r="F3697" s="7">
        <v>42484.160000000003</v>
      </c>
      <c r="G3697" s="7">
        <v>82328</v>
      </c>
      <c r="H3697" s="7">
        <f t="shared" si="103"/>
        <v>42453.16</v>
      </c>
      <c r="I3697" s="15"/>
    </row>
    <row r="3698" spans="1:9" s="8" customFormat="1" ht="21" customHeight="1" x14ac:dyDescent="0.6">
      <c r="A3698" s="7">
        <v>24.717526299999999</v>
      </c>
      <c r="B3698" s="7">
        <v>34.753393899999999</v>
      </c>
      <c r="C3698" s="7">
        <v>677354.97</v>
      </c>
      <c r="D3698" s="7">
        <v>2734805.41</v>
      </c>
      <c r="E3698" s="7">
        <v>487.89</v>
      </c>
      <c r="F3698" s="7">
        <v>42482.17</v>
      </c>
      <c r="G3698" s="7">
        <v>82330</v>
      </c>
      <c r="H3698" s="7">
        <f t="shared" si="103"/>
        <v>42451.17</v>
      </c>
      <c r="I3698" s="15"/>
    </row>
    <row r="3699" spans="1:9" s="8" customFormat="1" ht="21" customHeight="1" x14ac:dyDescent="0.6">
      <c r="A3699" s="7">
        <v>24.717538900000001</v>
      </c>
      <c r="B3699" s="7">
        <v>34.753411</v>
      </c>
      <c r="C3699" s="7">
        <v>677356.69</v>
      </c>
      <c r="D3699" s="7">
        <v>2734806.82</v>
      </c>
      <c r="E3699" s="7">
        <v>487.76</v>
      </c>
      <c r="F3699" s="7">
        <v>42490.66</v>
      </c>
      <c r="G3699" s="7">
        <v>82332</v>
      </c>
      <c r="H3699" s="7">
        <f t="shared" si="103"/>
        <v>42459.66</v>
      </c>
      <c r="I3699" s="15"/>
    </row>
    <row r="3700" spans="1:9" s="8" customFormat="1" ht="21" customHeight="1" x14ac:dyDescent="0.6">
      <c r="A3700" s="7">
        <v>24.7175473</v>
      </c>
      <c r="B3700" s="7">
        <v>34.7534256</v>
      </c>
      <c r="C3700" s="7">
        <v>677358.15</v>
      </c>
      <c r="D3700" s="7">
        <v>2734807.77</v>
      </c>
      <c r="E3700" s="7">
        <v>487.89</v>
      </c>
      <c r="F3700" s="7">
        <v>42496.99</v>
      </c>
      <c r="G3700" s="7">
        <v>82334</v>
      </c>
      <c r="H3700" s="7">
        <f t="shared" si="103"/>
        <v>42465.99</v>
      </c>
      <c r="I3700" s="15"/>
    </row>
    <row r="3701" spans="1:9" s="8" customFormat="1" ht="21" customHeight="1" x14ac:dyDescent="0.6">
      <c r="A3701" s="7">
        <v>24.717550200000002</v>
      </c>
      <c r="B3701" s="7">
        <v>34.753443599999997</v>
      </c>
      <c r="C3701" s="7">
        <v>677359.97</v>
      </c>
      <c r="D3701" s="7">
        <v>2734808.12</v>
      </c>
      <c r="E3701" s="7">
        <v>487.9</v>
      </c>
      <c r="F3701" s="7">
        <v>42495.09</v>
      </c>
      <c r="G3701" s="7">
        <v>82336</v>
      </c>
      <c r="H3701" s="7">
        <f t="shared" si="103"/>
        <v>42464.09</v>
      </c>
      <c r="I3701" s="15"/>
    </row>
    <row r="3702" spans="1:9" s="8" customFormat="1" ht="21" customHeight="1" x14ac:dyDescent="0.6">
      <c r="A3702" s="7">
        <v>24.717552000000001</v>
      </c>
      <c r="B3702" s="7">
        <v>34.753471599999997</v>
      </c>
      <c r="C3702" s="7">
        <v>677362.79</v>
      </c>
      <c r="D3702" s="7">
        <v>2734808.36</v>
      </c>
      <c r="E3702" s="7">
        <v>487.69</v>
      </c>
      <c r="F3702" s="7">
        <v>42496.06</v>
      </c>
      <c r="G3702" s="7">
        <v>82338</v>
      </c>
      <c r="H3702" s="7">
        <f t="shared" si="103"/>
        <v>42465.06</v>
      </c>
      <c r="I3702" s="15"/>
    </row>
    <row r="3703" spans="1:9" s="8" customFormat="1" ht="21" customHeight="1" x14ac:dyDescent="0.6">
      <c r="A3703" s="7">
        <v>24.7175592</v>
      </c>
      <c r="B3703" s="7">
        <v>34.753497600000003</v>
      </c>
      <c r="C3703" s="7">
        <v>677365.42</v>
      </c>
      <c r="D3703" s="7">
        <v>2734809.18</v>
      </c>
      <c r="E3703" s="7">
        <v>487.68</v>
      </c>
      <c r="F3703" s="7">
        <v>42496.2</v>
      </c>
      <c r="G3703" s="7">
        <v>82340</v>
      </c>
      <c r="H3703" s="7">
        <f t="shared" si="103"/>
        <v>42465.2</v>
      </c>
      <c r="I3703" s="15"/>
    </row>
    <row r="3704" spans="1:9" s="8" customFormat="1" ht="21" customHeight="1" x14ac:dyDescent="0.6">
      <c r="A3704" s="7">
        <v>24.717567500000001</v>
      </c>
      <c r="B3704" s="7">
        <v>34.753523399999999</v>
      </c>
      <c r="C3704" s="7">
        <v>677368.01</v>
      </c>
      <c r="D3704" s="7">
        <v>2734810.13</v>
      </c>
      <c r="E3704" s="7">
        <v>487.68</v>
      </c>
      <c r="F3704" s="7">
        <v>42504.71</v>
      </c>
      <c r="G3704" s="7">
        <v>82342</v>
      </c>
      <c r="H3704" s="7">
        <f t="shared" si="103"/>
        <v>42473.71</v>
      </c>
      <c r="I3704" s="15"/>
    </row>
    <row r="3705" spans="1:9" s="8" customFormat="1" ht="21" customHeight="1" x14ac:dyDescent="0.6">
      <c r="A3705" s="7">
        <v>24.717571199999998</v>
      </c>
      <c r="B3705" s="7">
        <v>34.753546900000003</v>
      </c>
      <c r="C3705" s="7">
        <v>677370.39</v>
      </c>
      <c r="D3705" s="7">
        <v>2734810.58</v>
      </c>
      <c r="E3705" s="7">
        <v>487.72</v>
      </c>
      <c r="F3705" s="7">
        <v>42505.22</v>
      </c>
      <c r="G3705" s="7">
        <v>82344</v>
      </c>
      <c r="H3705" s="7">
        <f t="shared" si="103"/>
        <v>42474.22</v>
      </c>
      <c r="I3705" s="15"/>
    </row>
    <row r="3706" spans="1:9" s="8" customFormat="1" ht="21" customHeight="1" x14ac:dyDescent="0.6">
      <c r="A3706" s="7">
        <v>24.717572499999999</v>
      </c>
      <c r="B3706" s="7">
        <v>34.753572699999999</v>
      </c>
      <c r="C3706" s="7">
        <v>677373</v>
      </c>
      <c r="D3706" s="7">
        <v>2734810.76</v>
      </c>
      <c r="E3706" s="7">
        <v>487.69</v>
      </c>
      <c r="F3706" s="7">
        <v>42502.01</v>
      </c>
      <c r="G3706" s="7">
        <v>82346</v>
      </c>
      <c r="H3706" s="7">
        <f t="shared" si="103"/>
        <v>42471.01</v>
      </c>
      <c r="I3706" s="15"/>
    </row>
    <row r="3707" spans="1:9" s="8" customFormat="1" ht="21" customHeight="1" x14ac:dyDescent="0.6">
      <c r="A3707" s="7">
        <v>24.7175765</v>
      </c>
      <c r="B3707" s="7">
        <v>34.753598599999997</v>
      </c>
      <c r="C3707" s="7">
        <v>677375.61</v>
      </c>
      <c r="D3707" s="7">
        <v>2734811.24</v>
      </c>
      <c r="E3707" s="7">
        <v>487.49</v>
      </c>
      <c r="F3707" s="7">
        <v>42509.46</v>
      </c>
      <c r="G3707" s="7">
        <v>82348</v>
      </c>
      <c r="H3707" s="7">
        <f t="shared" si="103"/>
        <v>42478.46</v>
      </c>
      <c r="I3707" s="15"/>
    </row>
    <row r="3708" spans="1:9" s="8" customFormat="1" ht="21" customHeight="1" x14ac:dyDescent="0.6">
      <c r="A3708" s="7">
        <v>24.717579000000001</v>
      </c>
      <c r="B3708" s="7">
        <v>34.753626099999998</v>
      </c>
      <c r="C3708" s="7">
        <v>677378.39</v>
      </c>
      <c r="D3708" s="7">
        <v>2734811.55</v>
      </c>
      <c r="E3708" s="7">
        <v>487.27</v>
      </c>
      <c r="F3708" s="7">
        <v>42507.88</v>
      </c>
      <c r="G3708" s="7">
        <v>82350</v>
      </c>
      <c r="H3708" s="7">
        <f t="shared" si="103"/>
        <v>42476.88</v>
      </c>
      <c r="I3708" s="15"/>
    </row>
    <row r="3709" spans="1:9" s="8" customFormat="1" ht="21" customHeight="1" x14ac:dyDescent="0.6">
      <c r="A3709" s="7">
        <v>24.717580600000002</v>
      </c>
      <c r="B3709" s="7">
        <v>34.753654300000001</v>
      </c>
      <c r="C3709" s="7">
        <v>677381.25</v>
      </c>
      <c r="D3709" s="7">
        <v>2734811.77</v>
      </c>
      <c r="E3709" s="7">
        <v>487.47</v>
      </c>
      <c r="F3709" s="7">
        <v>42513.15</v>
      </c>
      <c r="G3709" s="7">
        <v>82352</v>
      </c>
      <c r="H3709" s="7">
        <f t="shared" si="103"/>
        <v>42482.15</v>
      </c>
      <c r="I3709" s="15"/>
    </row>
    <row r="3710" spans="1:9" s="8" customFormat="1" ht="21" customHeight="1" x14ac:dyDescent="0.6">
      <c r="A3710" s="7">
        <v>24.717584899999999</v>
      </c>
      <c r="B3710" s="7">
        <v>34.753674400000001</v>
      </c>
      <c r="C3710" s="7">
        <v>677383.26</v>
      </c>
      <c r="D3710" s="7">
        <v>2734812.26</v>
      </c>
      <c r="E3710" s="7">
        <v>487.5</v>
      </c>
      <c r="F3710" s="7">
        <v>42514.09</v>
      </c>
      <c r="G3710" s="7">
        <v>82354</v>
      </c>
      <c r="H3710" s="7">
        <f t="shared" si="103"/>
        <v>42483.09</v>
      </c>
      <c r="I3710" s="15"/>
    </row>
    <row r="3711" spans="1:9" s="8" customFormat="1" ht="21" customHeight="1" x14ac:dyDescent="0.6">
      <c r="A3711" s="7">
        <v>24.717586600000001</v>
      </c>
      <c r="B3711" s="7">
        <v>34.753700100000003</v>
      </c>
      <c r="C3711" s="7">
        <v>677385.87</v>
      </c>
      <c r="D3711" s="7">
        <v>2734812.49</v>
      </c>
      <c r="E3711" s="7">
        <v>487.41</v>
      </c>
      <c r="F3711" s="7">
        <v>42519.57</v>
      </c>
      <c r="G3711" s="7">
        <v>82356</v>
      </c>
      <c r="H3711" s="7">
        <f t="shared" si="103"/>
        <v>42488.57</v>
      </c>
      <c r="I3711" s="15"/>
    </row>
    <row r="3712" spans="1:9" s="8" customFormat="1" ht="21" customHeight="1" x14ac:dyDescent="0.6">
      <c r="A3712" s="7">
        <v>24.717587699999999</v>
      </c>
      <c r="B3712" s="7">
        <v>34.753726100000002</v>
      </c>
      <c r="C3712" s="7">
        <v>677388.49</v>
      </c>
      <c r="D3712" s="7">
        <v>2734812.64</v>
      </c>
      <c r="E3712" s="7">
        <v>487.31</v>
      </c>
      <c r="F3712" s="7">
        <v>42523.23</v>
      </c>
      <c r="G3712" s="7">
        <v>82358</v>
      </c>
      <c r="H3712" s="7">
        <f t="shared" si="103"/>
        <v>42492.23</v>
      </c>
      <c r="I3712" s="15"/>
    </row>
    <row r="3713" spans="1:9" s="8" customFormat="1" ht="21" customHeight="1" x14ac:dyDescent="0.6">
      <c r="A3713" s="7">
        <v>24.7175875</v>
      </c>
      <c r="B3713" s="7">
        <v>34.753748799999997</v>
      </c>
      <c r="C3713" s="7">
        <v>677390.79</v>
      </c>
      <c r="D3713" s="7">
        <v>2734812.65</v>
      </c>
      <c r="E3713" s="7">
        <v>487.6</v>
      </c>
      <c r="F3713" s="7">
        <v>42519.3</v>
      </c>
      <c r="G3713" s="7">
        <v>82400</v>
      </c>
      <c r="H3713" s="7">
        <f t="shared" si="103"/>
        <v>42488.3</v>
      </c>
      <c r="I3713" s="15"/>
    </row>
    <row r="3714" spans="1:9" s="8" customFormat="1" ht="21" customHeight="1" x14ac:dyDescent="0.6">
      <c r="A3714" s="7">
        <v>24.717585</v>
      </c>
      <c r="B3714" s="7">
        <v>34.753770699999997</v>
      </c>
      <c r="C3714" s="7">
        <v>677393.01</v>
      </c>
      <c r="D3714" s="7">
        <v>2734812.4</v>
      </c>
      <c r="E3714" s="7">
        <v>487.66</v>
      </c>
      <c r="F3714" s="7">
        <v>42519.64</v>
      </c>
      <c r="G3714" s="7">
        <v>82402</v>
      </c>
      <c r="H3714" s="7">
        <f t="shared" si="103"/>
        <v>42488.639999999999</v>
      </c>
      <c r="I3714" s="15"/>
    </row>
    <row r="3715" spans="1:9" s="8" customFormat="1" ht="21" customHeight="1" x14ac:dyDescent="0.6">
      <c r="A3715" s="7">
        <v>24.717583600000001</v>
      </c>
      <c r="B3715" s="7">
        <v>34.753797200000001</v>
      </c>
      <c r="C3715" s="7">
        <v>677395.69</v>
      </c>
      <c r="D3715" s="7">
        <v>2734812.27</v>
      </c>
      <c r="E3715" s="7">
        <v>487.67</v>
      </c>
      <c r="F3715" s="7">
        <v>42523.45</v>
      </c>
      <c r="G3715" s="7">
        <v>82404</v>
      </c>
      <c r="H3715" s="7">
        <f t="shared" si="103"/>
        <v>42492.45</v>
      </c>
      <c r="I3715" s="15"/>
    </row>
    <row r="3716" spans="1:9" s="8" customFormat="1" ht="21" customHeight="1" x14ac:dyDescent="0.6">
      <c r="A3716" s="7">
        <v>24.717580999999999</v>
      </c>
      <c r="B3716" s="7">
        <v>34.753819300000004</v>
      </c>
      <c r="C3716" s="7">
        <v>677397.93</v>
      </c>
      <c r="D3716" s="7">
        <v>2734812.02</v>
      </c>
      <c r="E3716" s="7">
        <v>487.84</v>
      </c>
      <c r="F3716" s="7">
        <v>42521.97</v>
      </c>
      <c r="G3716" s="7">
        <v>82406</v>
      </c>
      <c r="H3716" s="7">
        <f t="shared" si="103"/>
        <v>42490.97</v>
      </c>
      <c r="I3716" s="15"/>
    </row>
    <row r="3717" spans="1:9" s="8" customFormat="1" ht="21" customHeight="1" x14ac:dyDescent="0.6">
      <c r="A3717" s="7">
        <v>24.717578</v>
      </c>
      <c r="B3717" s="7">
        <v>34.753839300000003</v>
      </c>
      <c r="C3717" s="7">
        <v>677399.96</v>
      </c>
      <c r="D3717" s="7">
        <v>2734811.71</v>
      </c>
      <c r="E3717" s="7">
        <v>487.91</v>
      </c>
      <c r="F3717" s="7">
        <v>42517.68</v>
      </c>
      <c r="G3717" s="7">
        <v>82408</v>
      </c>
      <c r="H3717" s="7">
        <f t="shared" si="103"/>
        <v>42486.68</v>
      </c>
      <c r="I3717" s="15"/>
    </row>
    <row r="3718" spans="1:9" s="8" customFormat="1" ht="21" customHeight="1" x14ac:dyDescent="0.6">
      <c r="A3718" s="7">
        <v>24.717577500000001</v>
      </c>
      <c r="B3718" s="7">
        <v>34.753862400000003</v>
      </c>
      <c r="C3718" s="7">
        <v>677402.3</v>
      </c>
      <c r="D3718" s="7">
        <v>2734811.69</v>
      </c>
      <c r="E3718" s="7">
        <v>488.04</v>
      </c>
      <c r="F3718" s="7">
        <v>42517.27</v>
      </c>
      <c r="G3718" s="7">
        <v>82410</v>
      </c>
      <c r="H3718" s="7">
        <f t="shared" si="103"/>
        <v>42486.27</v>
      </c>
      <c r="I3718" s="15"/>
    </row>
    <row r="3719" spans="1:9" s="8" customFormat="1" ht="21" customHeight="1" x14ac:dyDescent="0.6">
      <c r="A3719" s="7">
        <v>24.717578499999998</v>
      </c>
      <c r="B3719" s="7">
        <v>34.753886000000001</v>
      </c>
      <c r="C3719" s="7">
        <v>677404.68</v>
      </c>
      <c r="D3719" s="7">
        <v>2734811.83</v>
      </c>
      <c r="E3719" s="7">
        <v>488.03</v>
      </c>
      <c r="F3719" s="7">
        <v>42519.78</v>
      </c>
      <c r="G3719" s="7">
        <v>82412</v>
      </c>
      <c r="H3719" s="7">
        <f t="shared" si="103"/>
        <v>42488.78</v>
      </c>
      <c r="I3719" s="15"/>
    </row>
    <row r="3720" spans="1:9" s="8" customFormat="1" ht="21" customHeight="1" x14ac:dyDescent="0.6">
      <c r="A3720" s="7">
        <v>24.7175783</v>
      </c>
      <c r="B3720" s="7">
        <v>34.753912300000003</v>
      </c>
      <c r="C3720" s="7">
        <v>677407.35</v>
      </c>
      <c r="D3720" s="7">
        <v>2734811.84</v>
      </c>
      <c r="E3720" s="7">
        <v>488.14</v>
      </c>
      <c r="F3720" s="7">
        <v>42513.05</v>
      </c>
      <c r="G3720" s="7">
        <v>82414</v>
      </c>
      <c r="H3720" s="7">
        <f t="shared" si="103"/>
        <v>42482.05</v>
      </c>
      <c r="I3720" s="15"/>
    </row>
    <row r="3721" spans="1:9" s="8" customFormat="1" ht="21" customHeight="1" x14ac:dyDescent="0.6">
      <c r="A3721" s="7">
        <v>24.717573399999999</v>
      </c>
      <c r="B3721" s="7">
        <v>34.7539351</v>
      </c>
      <c r="C3721" s="7">
        <v>677409.66</v>
      </c>
      <c r="D3721" s="7">
        <v>2734811.32</v>
      </c>
      <c r="E3721" s="7">
        <v>488.37</v>
      </c>
      <c r="F3721" s="7">
        <v>42511.97</v>
      </c>
      <c r="G3721" s="7">
        <v>82416</v>
      </c>
      <c r="H3721" s="7">
        <f t="shared" si="103"/>
        <v>42480.97</v>
      </c>
      <c r="I3721" s="15"/>
    </row>
    <row r="3722" spans="1:9" s="8" customFormat="1" ht="21" customHeight="1" x14ac:dyDescent="0.6">
      <c r="A3722" s="7">
        <v>24.717562999999998</v>
      </c>
      <c r="B3722" s="7">
        <v>34.753954800000002</v>
      </c>
      <c r="C3722" s="7">
        <v>677411.67</v>
      </c>
      <c r="D3722" s="7">
        <v>2734810.21</v>
      </c>
      <c r="E3722" s="7">
        <v>488.68</v>
      </c>
      <c r="F3722" s="7">
        <v>42517.54</v>
      </c>
      <c r="G3722" s="7">
        <v>82418</v>
      </c>
      <c r="H3722" s="7">
        <f t="shared" si="103"/>
        <v>42486.54</v>
      </c>
      <c r="I3722" s="15"/>
    </row>
    <row r="3723" spans="1:9" s="8" customFormat="1" ht="21" customHeight="1" x14ac:dyDescent="0.6">
      <c r="A3723" s="7">
        <v>24.717558100000002</v>
      </c>
      <c r="B3723" s="7">
        <v>34.753976899999998</v>
      </c>
      <c r="C3723" s="7">
        <v>677413.91</v>
      </c>
      <c r="D3723" s="7">
        <v>2734809.69</v>
      </c>
      <c r="E3723" s="7">
        <v>488.86</v>
      </c>
      <c r="F3723" s="7">
        <v>42505.73</v>
      </c>
      <c r="G3723" s="7">
        <v>82420</v>
      </c>
      <c r="H3723" s="7">
        <f t="shared" si="103"/>
        <v>42474.73</v>
      </c>
      <c r="I3723" s="15"/>
    </row>
    <row r="3724" spans="1:9" s="8" customFormat="1" ht="21" customHeight="1" x14ac:dyDescent="0.6">
      <c r="A3724" s="7">
        <v>24.7175501</v>
      </c>
      <c r="B3724" s="7">
        <v>34.753998799999998</v>
      </c>
      <c r="C3724" s="7">
        <v>677416.14</v>
      </c>
      <c r="D3724" s="7">
        <v>2734808.83</v>
      </c>
      <c r="E3724" s="7">
        <v>489.01</v>
      </c>
      <c r="F3724" s="7">
        <v>42491.02</v>
      </c>
      <c r="G3724" s="7">
        <v>82422</v>
      </c>
      <c r="H3724" s="7">
        <f t="shared" si="103"/>
        <v>42460.02</v>
      </c>
      <c r="I3724" s="15"/>
    </row>
    <row r="3725" spans="1:9" s="8" customFormat="1" ht="21" customHeight="1" x14ac:dyDescent="0.6">
      <c r="A3725" s="7">
        <v>24.7175422</v>
      </c>
      <c r="B3725" s="7">
        <v>34.754022999999997</v>
      </c>
      <c r="C3725" s="7">
        <v>677418.6</v>
      </c>
      <c r="D3725" s="7">
        <v>2734807.98</v>
      </c>
      <c r="E3725" s="7">
        <v>489.17</v>
      </c>
      <c r="F3725" s="7">
        <v>42479.61</v>
      </c>
      <c r="G3725" s="7">
        <v>82424</v>
      </c>
      <c r="H3725" s="7">
        <f t="shared" si="103"/>
        <v>42448.61</v>
      </c>
      <c r="I3725" s="15"/>
    </row>
    <row r="3726" spans="1:9" s="8" customFormat="1" ht="21" customHeight="1" x14ac:dyDescent="0.6">
      <c r="A3726" s="7">
        <v>24.7175382</v>
      </c>
      <c r="B3726" s="7">
        <v>34.754044</v>
      </c>
      <c r="C3726" s="7">
        <v>677420.73</v>
      </c>
      <c r="D3726" s="7">
        <v>2734807.56</v>
      </c>
      <c r="E3726" s="7">
        <v>489.44</v>
      </c>
      <c r="F3726" s="7">
        <v>42474.080000000002</v>
      </c>
      <c r="G3726" s="7">
        <v>82426</v>
      </c>
      <c r="H3726" s="7">
        <f t="shared" si="103"/>
        <v>42443.08</v>
      </c>
      <c r="I3726" s="15"/>
    </row>
    <row r="3727" spans="1:9" s="8" customFormat="1" ht="21" customHeight="1" x14ac:dyDescent="0.6">
      <c r="A3727" s="7">
        <v>24.717534000000001</v>
      </c>
      <c r="B3727" s="7">
        <v>34.754066899999998</v>
      </c>
      <c r="C3727" s="7">
        <v>677423.05</v>
      </c>
      <c r="D3727" s="7">
        <v>2734807.13</v>
      </c>
      <c r="E3727" s="7">
        <v>489.64</v>
      </c>
      <c r="F3727" s="7">
        <v>42470.58</v>
      </c>
      <c r="G3727" s="7">
        <v>82428</v>
      </c>
      <c r="H3727" s="7">
        <f t="shared" si="103"/>
        <v>42439.58</v>
      </c>
      <c r="I3727" s="15"/>
    </row>
    <row r="3728" spans="1:9" s="8" customFormat="1" ht="21" customHeight="1" x14ac:dyDescent="0.6">
      <c r="A3728" s="7">
        <v>24.717525699999999</v>
      </c>
      <c r="B3728" s="7">
        <v>34.754089399999998</v>
      </c>
      <c r="C3728" s="7">
        <v>677425.34</v>
      </c>
      <c r="D3728" s="7">
        <v>2734806.24</v>
      </c>
      <c r="E3728" s="7">
        <v>489.72</v>
      </c>
      <c r="F3728" s="7">
        <v>42461.47</v>
      </c>
      <c r="G3728" s="7">
        <v>82430</v>
      </c>
      <c r="H3728" s="7">
        <f t="shared" si="103"/>
        <v>42430.47</v>
      </c>
      <c r="I3728" s="15"/>
    </row>
    <row r="3729" spans="1:9" s="8" customFormat="1" ht="21" customHeight="1" x14ac:dyDescent="0.6">
      <c r="A3729" s="7">
        <v>24.717520499999999</v>
      </c>
      <c r="B3729" s="7">
        <v>34.7541151</v>
      </c>
      <c r="C3729" s="7">
        <v>677427.95</v>
      </c>
      <c r="D3729" s="7">
        <v>2734805.7</v>
      </c>
      <c r="E3729" s="7">
        <v>489.95</v>
      </c>
      <c r="F3729" s="7">
        <v>42452.33</v>
      </c>
      <c r="G3729" s="7">
        <v>82432</v>
      </c>
      <c r="H3729" s="7">
        <f t="shared" si="103"/>
        <v>42421.33</v>
      </c>
      <c r="I3729" s="15"/>
    </row>
    <row r="3730" spans="1:9" s="8" customFormat="1" ht="21" customHeight="1" x14ac:dyDescent="0.6">
      <c r="A3730" s="7">
        <v>24.717516799999999</v>
      </c>
      <c r="B3730" s="7">
        <v>34.754138400000002</v>
      </c>
      <c r="C3730" s="7">
        <v>677430.31</v>
      </c>
      <c r="D3730" s="7">
        <v>2734805.32</v>
      </c>
      <c r="E3730" s="7">
        <v>490.06</v>
      </c>
      <c r="F3730" s="7">
        <v>42439.39</v>
      </c>
      <c r="G3730" s="7">
        <v>82434</v>
      </c>
      <c r="H3730" s="7">
        <f t="shared" ref="H3730:H3742" si="104">SUM(F3730-31)</f>
        <v>42408.39</v>
      </c>
      <c r="I3730" s="15"/>
    </row>
    <row r="3731" spans="1:9" s="8" customFormat="1" ht="21" customHeight="1" x14ac:dyDescent="0.6">
      <c r="A3731" s="7">
        <v>24.7175148</v>
      </c>
      <c r="B3731" s="7">
        <v>34.754162299999997</v>
      </c>
      <c r="C3731" s="7">
        <v>677432.72</v>
      </c>
      <c r="D3731" s="7">
        <v>2734805.13</v>
      </c>
      <c r="E3731" s="7">
        <v>490.44</v>
      </c>
      <c r="F3731" s="7">
        <v>42433.82</v>
      </c>
      <c r="G3731" s="7">
        <v>82436</v>
      </c>
      <c r="H3731" s="7">
        <f t="shared" si="104"/>
        <v>42402.82</v>
      </c>
      <c r="I3731" s="15"/>
    </row>
    <row r="3732" spans="1:9" s="8" customFormat="1" ht="21" customHeight="1" x14ac:dyDescent="0.6">
      <c r="A3732" s="7">
        <v>24.717514600000001</v>
      </c>
      <c r="B3732" s="7">
        <v>34.754185800000002</v>
      </c>
      <c r="C3732" s="7">
        <v>677435.11</v>
      </c>
      <c r="D3732" s="7">
        <v>2734805.13</v>
      </c>
      <c r="E3732" s="7">
        <v>490.89</v>
      </c>
      <c r="F3732" s="7">
        <v>42428.97</v>
      </c>
      <c r="G3732" s="7">
        <v>82438</v>
      </c>
      <c r="H3732" s="7">
        <f t="shared" si="104"/>
        <v>42397.97</v>
      </c>
      <c r="I3732" s="15"/>
    </row>
    <row r="3733" spans="1:9" s="8" customFormat="1" ht="21" customHeight="1" x14ac:dyDescent="0.6">
      <c r="A3733" s="7">
        <v>24.717518699999999</v>
      </c>
      <c r="B3733" s="7">
        <v>34.754209600000003</v>
      </c>
      <c r="C3733" s="7">
        <v>677437.51</v>
      </c>
      <c r="D3733" s="7">
        <v>2734805.62</v>
      </c>
      <c r="E3733" s="7">
        <v>491.2</v>
      </c>
      <c r="F3733" s="7">
        <v>42422.43</v>
      </c>
      <c r="G3733" s="7">
        <v>82440</v>
      </c>
      <c r="H3733" s="7">
        <f t="shared" si="104"/>
        <v>42391.43</v>
      </c>
      <c r="I3733" s="15"/>
    </row>
    <row r="3734" spans="1:9" s="8" customFormat="1" ht="21" customHeight="1" x14ac:dyDescent="0.6">
      <c r="A3734" s="7">
        <v>24.717512800000002</v>
      </c>
      <c r="B3734" s="7">
        <v>34.754231900000001</v>
      </c>
      <c r="C3734" s="7">
        <v>677439.78</v>
      </c>
      <c r="D3734" s="7">
        <v>2734805</v>
      </c>
      <c r="E3734" s="7">
        <v>491.62</v>
      </c>
      <c r="F3734" s="7">
        <v>42406.63</v>
      </c>
      <c r="G3734" s="7">
        <v>82442</v>
      </c>
      <c r="H3734" s="7">
        <f t="shared" si="104"/>
        <v>42375.63</v>
      </c>
      <c r="I3734" s="15"/>
    </row>
    <row r="3735" spans="1:9" s="8" customFormat="1" ht="21" customHeight="1" x14ac:dyDescent="0.6">
      <c r="A3735" s="7">
        <v>24.717506499999999</v>
      </c>
      <c r="B3735" s="7">
        <v>34.754249000000002</v>
      </c>
      <c r="C3735" s="7">
        <v>677441.51</v>
      </c>
      <c r="D3735" s="7">
        <v>2734804.33</v>
      </c>
      <c r="E3735" s="7">
        <v>492.01</v>
      </c>
      <c r="F3735" s="7">
        <v>42392.46</v>
      </c>
      <c r="G3735" s="7">
        <v>82444</v>
      </c>
      <c r="H3735" s="7">
        <f t="shared" si="104"/>
        <v>42361.46</v>
      </c>
      <c r="I3735" s="15"/>
    </row>
    <row r="3736" spans="1:9" s="8" customFormat="1" ht="21" customHeight="1" x14ac:dyDescent="0.6">
      <c r="A3736" s="7">
        <v>24.717501599999999</v>
      </c>
      <c r="B3736" s="7">
        <v>34.754268799999998</v>
      </c>
      <c r="C3736" s="7">
        <v>677443.52</v>
      </c>
      <c r="D3736" s="7">
        <v>2734803.81</v>
      </c>
      <c r="E3736" s="7">
        <v>492.45</v>
      </c>
      <c r="F3736" s="7">
        <v>42387.08</v>
      </c>
      <c r="G3736" s="7">
        <v>82446</v>
      </c>
      <c r="H3736" s="7">
        <f t="shared" si="104"/>
        <v>42356.08</v>
      </c>
      <c r="I3736" s="15"/>
    </row>
    <row r="3737" spans="1:9" s="8" customFormat="1" ht="21" customHeight="1" x14ac:dyDescent="0.6">
      <c r="A3737" s="7">
        <v>24.717495599999999</v>
      </c>
      <c r="B3737" s="7">
        <v>34.754287599999998</v>
      </c>
      <c r="C3737" s="7">
        <v>677445.44</v>
      </c>
      <c r="D3737" s="7">
        <v>2734803.17</v>
      </c>
      <c r="E3737" s="7">
        <v>492.87</v>
      </c>
      <c r="F3737" s="7">
        <v>42375.519999999997</v>
      </c>
      <c r="G3737" s="7">
        <v>82448</v>
      </c>
      <c r="H3737" s="7">
        <f t="shared" si="104"/>
        <v>42344.52</v>
      </c>
      <c r="I3737" s="15"/>
    </row>
    <row r="3738" spans="1:9" s="8" customFormat="1" ht="21" customHeight="1" x14ac:dyDescent="0.6">
      <c r="A3738" s="7">
        <v>24.717489100000002</v>
      </c>
      <c r="B3738" s="7">
        <v>34.754304900000001</v>
      </c>
      <c r="C3738" s="7">
        <v>677447.2</v>
      </c>
      <c r="D3738" s="7">
        <v>2734802.47</v>
      </c>
      <c r="E3738" s="7">
        <v>493.14</v>
      </c>
      <c r="F3738" s="7">
        <v>42358.92</v>
      </c>
      <c r="G3738" s="7">
        <v>82450</v>
      </c>
      <c r="H3738" s="7">
        <f t="shared" si="104"/>
        <v>42327.92</v>
      </c>
      <c r="I3738" s="15"/>
    </row>
    <row r="3739" spans="1:9" s="8" customFormat="1" ht="21" customHeight="1" x14ac:dyDescent="0.6">
      <c r="A3739" s="7">
        <v>24.7174762</v>
      </c>
      <c r="B3739" s="7">
        <v>34.754316199999998</v>
      </c>
      <c r="C3739" s="7">
        <v>677448.36</v>
      </c>
      <c r="D3739" s="7">
        <v>2734801.05</v>
      </c>
      <c r="E3739" s="7">
        <v>493.53</v>
      </c>
      <c r="F3739" s="7">
        <v>42346.39</v>
      </c>
      <c r="G3739" s="7">
        <v>82452</v>
      </c>
      <c r="H3739" s="7">
        <f t="shared" si="104"/>
        <v>42315.39</v>
      </c>
      <c r="I3739" s="15"/>
    </row>
    <row r="3740" spans="1:9" s="8" customFormat="1" ht="21" customHeight="1" x14ac:dyDescent="0.6">
      <c r="A3740" s="7">
        <v>24.7174622</v>
      </c>
      <c r="B3740" s="7">
        <v>34.754331899999997</v>
      </c>
      <c r="C3740" s="7">
        <v>677449.96</v>
      </c>
      <c r="D3740" s="7">
        <v>2734799.53</v>
      </c>
      <c r="E3740" s="7">
        <v>493.84</v>
      </c>
      <c r="F3740" s="7">
        <v>42335.07</v>
      </c>
      <c r="G3740" s="7">
        <v>82454</v>
      </c>
      <c r="H3740" s="7">
        <f t="shared" si="104"/>
        <v>42304.07</v>
      </c>
      <c r="I3740" s="15"/>
    </row>
    <row r="3741" spans="1:9" s="8" customFormat="1" ht="21" customHeight="1" x14ac:dyDescent="0.6">
      <c r="A3741" s="7">
        <v>24.717451400000002</v>
      </c>
      <c r="B3741" s="7">
        <v>34.754348800000002</v>
      </c>
      <c r="C3741" s="7">
        <v>677451.68</v>
      </c>
      <c r="D3741" s="7">
        <v>2734798.34</v>
      </c>
      <c r="E3741" s="7">
        <v>494.09</v>
      </c>
      <c r="F3741" s="7">
        <v>42319.18</v>
      </c>
      <c r="G3741" s="7">
        <v>82456</v>
      </c>
      <c r="H3741" s="7">
        <f t="shared" si="104"/>
        <v>42288.18</v>
      </c>
      <c r="I3741" s="15"/>
    </row>
    <row r="3742" spans="1:9" s="8" customFormat="1" ht="21" customHeight="1" x14ac:dyDescent="0.6">
      <c r="A3742" s="7">
        <v>24.717441099999998</v>
      </c>
      <c r="B3742" s="7">
        <v>34.754366599999997</v>
      </c>
      <c r="C3742" s="7">
        <v>677453.51</v>
      </c>
      <c r="D3742" s="7">
        <v>2734797.23</v>
      </c>
      <c r="E3742" s="7">
        <v>494.4</v>
      </c>
      <c r="F3742" s="7">
        <v>42301.29</v>
      </c>
      <c r="G3742" s="7">
        <v>82458</v>
      </c>
      <c r="H3742" s="7">
        <f t="shared" si="104"/>
        <v>42270.29</v>
      </c>
      <c r="I3742" s="15"/>
    </row>
    <row r="3743" spans="1:9" s="8" customFormat="1" ht="21" customHeight="1" x14ac:dyDescent="0.6">
      <c r="A3743" s="7">
        <v>24.7174297</v>
      </c>
      <c r="B3743" s="7">
        <v>34.754382800000002</v>
      </c>
      <c r="C3743" s="7">
        <v>677455.16</v>
      </c>
      <c r="D3743" s="7">
        <v>2734795.99</v>
      </c>
      <c r="E3743" s="7">
        <v>494.69</v>
      </c>
      <c r="F3743" s="7">
        <v>42294.15</v>
      </c>
      <c r="G3743" s="7">
        <v>82500</v>
      </c>
      <c r="H3743" s="7">
        <f>SUM(F3743-46)</f>
        <v>42248.15</v>
      </c>
      <c r="I3743" s="15"/>
    </row>
    <row r="3744" spans="1:9" s="8" customFormat="1" ht="21" customHeight="1" x14ac:dyDescent="0.6">
      <c r="A3744" s="7">
        <v>24.717421999999999</v>
      </c>
      <c r="B3744" s="7">
        <v>34.754399300000003</v>
      </c>
      <c r="C3744" s="7">
        <v>677456.84</v>
      </c>
      <c r="D3744" s="7">
        <v>2734795.16</v>
      </c>
      <c r="E3744" s="7">
        <v>495.08</v>
      </c>
      <c r="F3744" s="7">
        <v>42276.88</v>
      </c>
      <c r="G3744" s="7">
        <v>82502</v>
      </c>
      <c r="H3744" s="7">
        <f t="shared" ref="H3744:H3807" si="105">SUM(F3744-46)</f>
        <v>42230.879999999997</v>
      </c>
      <c r="I3744" s="15"/>
    </row>
    <row r="3745" spans="1:9" s="8" customFormat="1" ht="21" customHeight="1" x14ac:dyDescent="0.6">
      <c r="A3745" s="7">
        <v>24.717415599999999</v>
      </c>
      <c r="B3745" s="7">
        <v>34.754417500000002</v>
      </c>
      <c r="C3745" s="7">
        <v>677458.68</v>
      </c>
      <c r="D3745" s="7">
        <v>2734794.47</v>
      </c>
      <c r="E3745" s="7">
        <v>495.35</v>
      </c>
      <c r="F3745" s="7">
        <v>42263.37</v>
      </c>
      <c r="G3745" s="7">
        <v>82504</v>
      </c>
      <c r="H3745" s="7">
        <f t="shared" si="105"/>
        <v>42217.37</v>
      </c>
      <c r="I3745" s="15"/>
    </row>
    <row r="3746" spans="1:9" s="8" customFormat="1" ht="21" customHeight="1" x14ac:dyDescent="0.6">
      <c r="A3746" s="7">
        <v>24.717407099999999</v>
      </c>
      <c r="B3746" s="7">
        <v>34.7544355</v>
      </c>
      <c r="C3746" s="7">
        <v>677460.52</v>
      </c>
      <c r="D3746" s="7">
        <v>2734793.56</v>
      </c>
      <c r="E3746" s="7">
        <v>495.55</v>
      </c>
      <c r="F3746" s="7">
        <v>42257.79</v>
      </c>
      <c r="G3746" s="7">
        <v>82506</v>
      </c>
      <c r="H3746" s="7">
        <f t="shared" si="105"/>
        <v>42211.79</v>
      </c>
      <c r="I3746" s="15"/>
    </row>
    <row r="3747" spans="1:9" s="8" customFormat="1" ht="21" customHeight="1" x14ac:dyDescent="0.6">
      <c r="A3747" s="7">
        <v>24.717402700000001</v>
      </c>
      <c r="B3747" s="7">
        <v>34.754457899999998</v>
      </c>
      <c r="C3747" s="7">
        <v>677462.79</v>
      </c>
      <c r="D3747" s="7">
        <v>2734793.1</v>
      </c>
      <c r="E3747" s="7">
        <v>495.7</v>
      </c>
      <c r="F3747" s="7">
        <v>42244.95</v>
      </c>
      <c r="G3747" s="7">
        <v>82508</v>
      </c>
      <c r="H3747" s="7">
        <f t="shared" si="105"/>
        <v>42198.95</v>
      </c>
      <c r="I3747" s="15"/>
    </row>
    <row r="3748" spans="1:9" s="8" customFormat="1" ht="21" customHeight="1" x14ac:dyDescent="0.6">
      <c r="A3748" s="7">
        <v>24.717397800000001</v>
      </c>
      <c r="B3748" s="7">
        <v>34.754479000000003</v>
      </c>
      <c r="C3748" s="7">
        <v>677464.93</v>
      </c>
      <c r="D3748" s="7">
        <v>2734792.58</v>
      </c>
      <c r="E3748" s="7">
        <v>495.8</v>
      </c>
      <c r="F3748" s="7">
        <v>42232.3</v>
      </c>
      <c r="G3748" s="7">
        <v>82510</v>
      </c>
      <c r="H3748" s="7">
        <f t="shared" si="105"/>
        <v>42186.3</v>
      </c>
      <c r="I3748" s="15"/>
    </row>
    <row r="3749" spans="1:9" s="8" customFormat="1" ht="21" customHeight="1" x14ac:dyDescent="0.6">
      <c r="A3749" s="7">
        <v>24.717390000000002</v>
      </c>
      <c r="B3749" s="7">
        <v>34.754501400000002</v>
      </c>
      <c r="C3749" s="7">
        <v>677467.21</v>
      </c>
      <c r="D3749" s="7">
        <v>2734791.74</v>
      </c>
      <c r="E3749" s="7">
        <v>495.69</v>
      </c>
      <c r="F3749" s="7">
        <v>42222.33</v>
      </c>
      <c r="G3749" s="7">
        <v>82512</v>
      </c>
      <c r="H3749" s="7">
        <f t="shared" si="105"/>
        <v>42176.33</v>
      </c>
      <c r="I3749" s="15"/>
    </row>
    <row r="3750" spans="1:9" s="8" customFormat="1" ht="21" customHeight="1" x14ac:dyDescent="0.6">
      <c r="A3750" s="7">
        <v>24.717382099999998</v>
      </c>
      <c r="B3750" s="7">
        <v>34.754522399999999</v>
      </c>
      <c r="C3750" s="7">
        <v>677469.35</v>
      </c>
      <c r="D3750" s="7">
        <v>2734790.9</v>
      </c>
      <c r="E3750" s="7">
        <v>495.53</v>
      </c>
      <c r="F3750" s="7">
        <v>42211.08</v>
      </c>
      <c r="G3750" s="7">
        <v>82514</v>
      </c>
      <c r="H3750" s="7">
        <f t="shared" si="105"/>
        <v>42165.08</v>
      </c>
      <c r="I3750" s="15"/>
    </row>
    <row r="3751" spans="1:9" s="8" customFormat="1" ht="21" customHeight="1" x14ac:dyDescent="0.6">
      <c r="A3751" s="7">
        <v>24.717373299999998</v>
      </c>
      <c r="B3751" s="7">
        <v>34.754542100000002</v>
      </c>
      <c r="C3751" s="7">
        <v>677471.36</v>
      </c>
      <c r="D3751" s="7">
        <v>2734789.95</v>
      </c>
      <c r="E3751" s="7">
        <v>495.28</v>
      </c>
      <c r="F3751" s="7">
        <v>42201.1</v>
      </c>
      <c r="G3751" s="7">
        <v>82516</v>
      </c>
      <c r="H3751" s="7">
        <f t="shared" si="105"/>
        <v>42155.1</v>
      </c>
      <c r="I3751" s="15"/>
    </row>
    <row r="3752" spans="1:9" s="8" customFormat="1" ht="21" customHeight="1" x14ac:dyDescent="0.6">
      <c r="A3752" s="7">
        <v>24.717366500000001</v>
      </c>
      <c r="B3752" s="7">
        <v>34.754564799999997</v>
      </c>
      <c r="C3752" s="7">
        <v>677473.66</v>
      </c>
      <c r="D3752" s="7">
        <v>2734789.23</v>
      </c>
      <c r="E3752" s="7">
        <v>495.03</v>
      </c>
      <c r="F3752" s="7">
        <v>42189.35</v>
      </c>
      <c r="G3752" s="7">
        <v>82518</v>
      </c>
      <c r="H3752" s="7">
        <f t="shared" si="105"/>
        <v>42143.35</v>
      </c>
      <c r="I3752" s="15"/>
    </row>
    <row r="3753" spans="1:9" s="8" customFormat="1" ht="21" customHeight="1" x14ac:dyDescent="0.6">
      <c r="A3753" s="7">
        <v>24.717360800000002</v>
      </c>
      <c r="B3753" s="7">
        <v>34.754586000000003</v>
      </c>
      <c r="C3753" s="7">
        <v>677475.81</v>
      </c>
      <c r="D3753" s="7">
        <v>2734788.62</v>
      </c>
      <c r="E3753" s="7">
        <v>494.72</v>
      </c>
      <c r="F3753" s="7">
        <v>42179.07</v>
      </c>
      <c r="G3753" s="7">
        <v>82520</v>
      </c>
      <c r="H3753" s="7">
        <f t="shared" si="105"/>
        <v>42133.07</v>
      </c>
      <c r="I3753" s="15"/>
    </row>
    <row r="3754" spans="1:9" s="8" customFormat="1" ht="21" customHeight="1" x14ac:dyDescent="0.6">
      <c r="A3754" s="7">
        <v>24.717356899999999</v>
      </c>
      <c r="B3754" s="7">
        <v>34.754611699999998</v>
      </c>
      <c r="C3754" s="7">
        <v>677478.42</v>
      </c>
      <c r="D3754" s="7">
        <v>2734788.23</v>
      </c>
      <c r="E3754" s="7">
        <v>494.42</v>
      </c>
      <c r="F3754" s="7">
        <v>42172.02</v>
      </c>
      <c r="G3754" s="7">
        <v>82522</v>
      </c>
      <c r="H3754" s="7">
        <f t="shared" si="105"/>
        <v>42126.02</v>
      </c>
      <c r="I3754" s="15"/>
    </row>
    <row r="3755" spans="1:9" s="8" customFormat="1" ht="21" customHeight="1" x14ac:dyDescent="0.6">
      <c r="A3755" s="7">
        <v>24.717352099999999</v>
      </c>
      <c r="B3755" s="7">
        <v>34.754635</v>
      </c>
      <c r="C3755" s="7">
        <v>677480.78</v>
      </c>
      <c r="D3755" s="7">
        <v>2734787.72</v>
      </c>
      <c r="E3755" s="7">
        <v>494.29</v>
      </c>
      <c r="F3755" s="7">
        <v>42180.800000000003</v>
      </c>
      <c r="G3755" s="7">
        <v>82524</v>
      </c>
      <c r="H3755" s="7">
        <f t="shared" si="105"/>
        <v>42134.8</v>
      </c>
      <c r="I3755" s="15"/>
    </row>
    <row r="3756" spans="1:9" s="8" customFormat="1" ht="21" customHeight="1" x14ac:dyDescent="0.6">
      <c r="A3756" s="7">
        <v>24.717341999999999</v>
      </c>
      <c r="B3756" s="7">
        <v>34.754654600000002</v>
      </c>
      <c r="C3756" s="7">
        <v>677482.78</v>
      </c>
      <c r="D3756" s="7">
        <v>2734786.62</v>
      </c>
      <c r="E3756" s="7">
        <v>493.91</v>
      </c>
      <c r="F3756" s="7">
        <v>42162.66</v>
      </c>
      <c r="G3756" s="7">
        <v>82526</v>
      </c>
      <c r="H3756" s="7">
        <f t="shared" si="105"/>
        <v>42116.66</v>
      </c>
      <c r="I3756" s="15"/>
    </row>
    <row r="3757" spans="1:9" s="8" customFormat="1" ht="21" customHeight="1" x14ac:dyDescent="0.6">
      <c r="A3757" s="7">
        <v>24.7173309</v>
      </c>
      <c r="B3757" s="7">
        <v>34.754676699999997</v>
      </c>
      <c r="C3757" s="7">
        <v>677485.03</v>
      </c>
      <c r="D3757" s="7">
        <v>2734785.43</v>
      </c>
      <c r="E3757" s="7">
        <v>493.57</v>
      </c>
      <c r="F3757" s="7">
        <v>42145.29</v>
      </c>
      <c r="G3757" s="7">
        <v>82528</v>
      </c>
      <c r="H3757" s="7">
        <f t="shared" si="105"/>
        <v>42099.29</v>
      </c>
      <c r="I3757" s="15"/>
    </row>
    <row r="3758" spans="1:9" s="8" customFormat="1" ht="21" customHeight="1" x14ac:dyDescent="0.6">
      <c r="A3758" s="7">
        <v>24.7173227</v>
      </c>
      <c r="B3758" s="7">
        <v>34.754698900000001</v>
      </c>
      <c r="C3758" s="7">
        <v>677487.29</v>
      </c>
      <c r="D3758" s="7">
        <v>2734784.55</v>
      </c>
      <c r="E3758" s="7">
        <v>493.2</v>
      </c>
      <c r="F3758" s="7">
        <v>42147.69</v>
      </c>
      <c r="G3758" s="7">
        <v>82530</v>
      </c>
      <c r="H3758" s="7">
        <f t="shared" si="105"/>
        <v>42101.69</v>
      </c>
      <c r="I3758" s="15"/>
    </row>
    <row r="3759" spans="1:9" s="8" customFormat="1" ht="21" customHeight="1" x14ac:dyDescent="0.6">
      <c r="A3759" s="7">
        <v>24.717313900000001</v>
      </c>
      <c r="B3759" s="7">
        <v>34.754720499999998</v>
      </c>
      <c r="C3759" s="7">
        <v>677489.49</v>
      </c>
      <c r="D3759" s="7">
        <v>2734783.61</v>
      </c>
      <c r="E3759" s="7">
        <v>492.79</v>
      </c>
      <c r="F3759" s="7">
        <v>42153.06</v>
      </c>
      <c r="G3759" s="7">
        <v>82532</v>
      </c>
      <c r="H3759" s="7">
        <f t="shared" si="105"/>
        <v>42107.06</v>
      </c>
      <c r="I3759" s="15"/>
    </row>
    <row r="3760" spans="1:9" s="8" customFormat="1" ht="21" customHeight="1" x14ac:dyDescent="0.6">
      <c r="A3760" s="7">
        <v>24.717303600000001</v>
      </c>
      <c r="B3760" s="7">
        <v>34.754742100000001</v>
      </c>
      <c r="C3760" s="7">
        <v>677491.69</v>
      </c>
      <c r="D3760" s="7">
        <v>2734782.49</v>
      </c>
      <c r="E3760" s="7">
        <v>492.38</v>
      </c>
      <c r="F3760" s="7">
        <v>42117.14</v>
      </c>
      <c r="G3760" s="7">
        <v>82534</v>
      </c>
      <c r="H3760" s="7">
        <f t="shared" si="105"/>
        <v>42071.14</v>
      </c>
      <c r="I3760" s="15"/>
    </row>
    <row r="3761" spans="1:9" s="8" customFormat="1" ht="21" customHeight="1" x14ac:dyDescent="0.6">
      <c r="A3761" s="7">
        <v>24.7172926</v>
      </c>
      <c r="B3761" s="7">
        <v>34.754766400000001</v>
      </c>
      <c r="C3761" s="7">
        <v>677494.16</v>
      </c>
      <c r="D3761" s="7">
        <v>2734781.3</v>
      </c>
      <c r="E3761" s="7">
        <v>492.19</v>
      </c>
      <c r="F3761" s="7">
        <v>42121.11</v>
      </c>
      <c r="G3761" s="7">
        <v>82536</v>
      </c>
      <c r="H3761" s="7">
        <f t="shared" si="105"/>
        <v>42075.11</v>
      </c>
      <c r="I3761" s="15"/>
    </row>
    <row r="3762" spans="1:9" s="8" customFormat="1" ht="21" customHeight="1" x14ac:dyDescent="0.6">
      <c r="A3762" s="7">
        <v>24.717280899999999</v>
      </c>
      <c r="B3762" s="7">
        <v>34.754787999999998</v>
      </c>
      <c r="C3762" s="7">
        <v>677496.37</v>
      </c>
      <c r="D3762" s="7">
        <v>2734780.03</v>
      </c>
      <c r="E3762" s="7">
        <v>492</v>
      </c>
      <c r="F3762" s="7">
        <v>42127.87</v>
      </c>
      <c r="G3762" s="7">
        <v>82538</v>
      </c>
      <c r="H3762" s="7">
        <f t="shared" si="105"/>
        <v>42081.87</v>
      </c>
      <c r="I3762" s="15"/>
    </row>
    <row r="3763" spans="1:9" s="8" customFormat="1" ht="21" customHeight="1" x14ac:dyDescent="0.6">
      <c r="A3763" s="7">
        <v>24.717269399999999</v>
      </c>
      <c r="B3763" s="7">
        <v>34.7548089</v>
      </c>
      <c r="C3763" s="7">
        <v>677498.49</v>
      </c>
      <c r="D3763" s="7">
        <v>2734778.79</v>
      </c>
      <c r="E3763" s="7">
        <v>491.71</v>
      </c>
      <c r="F3763" s="7">
        <v>42107.27</v>
      </c>
      <c r="G3763" s="7">
        <v>82540</v>
      </c>
      <c r="H3763" s="7">
        <f t="shared" si="105"/>
        <v>42061.27</v>
      </c>
      <c r="I3763" s="15"/>
    </row>
    <row r="3764" spans="1:9" s="8" customFormat="1" ht="21" customHeight="1" x14ac:dyDescent="0.6">
      <c r="A3764" s="7">
        <v>24.717258000000001</v>
      </c>
      <c r="B3764" s="7">
        <v>34.754829800000003</v>
      </c>
      <c r="C3764" s="7">
        <v>677500.62</v>
      </c>
      <c r="D3764" s="7">
        <v>2734777.55</v>
      </c>
      <c r="E3764" s="7">
        <v>491.41</v>
      </c>
      <c r="F3764" s="7">
        <v>42133.31</v>
      </c>
      <c r="G3764" s="7">
        <v>82542</v>
      </c>
      <c r="H3764" s="7">
        <f t="shared" si="105"/>
        <v>42087.31</v>
      </c>
      <c r="I3764" s="15"/>
    </row>
    <row r="3765" spans="1:9" s="8" customFormat="1" ht="21" customHeight="1" x14ac:dyDescent="0.6">
      <c r="A3765" s="7">
        <v>24.717244999999998</v>
      </c>
      <c r="B3765" s="7">
        <v>34.754847499999997</v>
      </c>
      <c r="C3765" s="7">
        <v>677502.43</v>
      </c>
      <c r="D3765" s="7">
        <v>2734776.14</v>
      </c>
      <c r="E3765" s="7">
        <v>491.2</v>
      </c>
      <c r="F3765" s="7">
        <v>42120.37</v>
      </c>
      <c r="G3765" s="7">
        <v>82544</v>
      </c>
      <c r="H3765" s="7">
        <f t="shared" si="105"/>
        <v>42074.37</v>
      </c>
      <c r="I3765" s="15"/>
    </row>
    <row r="3766" spans="1:9" s="8" customFormat="1" ht="21" customHeight="1" x14ac:dyDescent="0.6">
      <c r="A3766" s="7">
        <v>24.717235899999999</v>
      </c>
      <c r="B3766" s="7">
        <v>34.754866800000002</v>
      </c>
      <c r="C3766" s="7">
        <v>677504.4</v>
      </c>
      <c r="D3766" s="7">
        <v>2734775.16</v>
      </c>
      <c r="E3766" s="7">
        <v>490.94</v>
      </c>
      <c r="F3766" s="7">
        <v>42093.17</v>
      </c>
      <c r="G3766" s="7">
        <v>82546</v>
      </c>
      <c r="H3766" s="7">
        <f t="shared" si="105"/>
        <v>42047.17</v>
      </c>
      <c r="I3766" s="15"/>
    </row>
    <row r="3767" spans="1:9" s="8" customFormat="1" ht="21" customHeight="1" x14ac:dyDescent="0.6">
      <c r="A3767" s="7">
        <v>24.717223799999999</v>
      </c>
      <c r="B3767" s="7">
        <v>34.754885899999998</v>
      </c>
      <c r="C3767" s="7">
        <v>677506.35</v>
      </c>
      <c r="D3767" s="7">
        <v>2734773.84</v>
      </c>
      <c r="E3767" s="7">
        <v>490.66</v>
      </c>
      <c r="F3767" s="7">
        <v>42058.98</v>
      </c>
      <c r="G3767" s="7">
        <v>82548</v>
      </c>
      <c r="H3767" s="7">
        <f t="shared" si="105"/>
        <v>42012.98</v>
      </c>
      <c r="I3767" s="15"/>
    </row>
    <row r="3768" spans="1:9" s="8" customFormat="1" ht="21" customHeight="1" x14ac:dyDescent="0.6">
      <c r="A3768" s="7">
        <v>24.717207800000001</v>
      </c>
      <c r="B3768" s="7">
        <v>34.754901699999998</v>
      </c>
      <c r="C3768" s="7">
        <v>677507.96</v>
      </c>
      <c r="D3768" s="7">
        <v>2734772.08</v>
      </c>
      <c r="E3768" s="7">
        <v>490.3</v>
      </c>
      <c r="F3768" s="7">
        <v>42033.68</v>
      </c>
      <c r="G3768" s="7">
        <v>82550</v>
      </c>
      <c r="H3768" s="7">
        <f t="shared" si="105"/>
        <v>41987.68</v>
      </c>
      <c r="I3768" s="15"/>
    </row>
    <row r="3769" spans="1:9" s="8" customFormat="1" ht="21" customHeight="1" x14ac:dyDescent="0.6">
      <c r="A3769" s="7">
        <v>24.7171895</v>
      </c>
      <c r="B3769" s="7">
        <v>34.754915199999999</v>
      </c>
      <c r="C3769" s="7">
        <v>677509.36</v>
      </c>
      <c r="D3769" s="7">
        <v>2734770.07</v>
      </c>
      <c r="E3769" s="7">
        <v>489.96</v>
      </c>
      <c r="F3769" s="7">
        <v>42030.77</v>
      </c>
      <c r="G3769" s="7">
        <v>82552</v>
      </c>
      <c r="H3769" s="7">
        <f t="shared" si="105"/>
        <v>41984.77</v>
      </c>
      <c r="I3769" s="15"/>
    </row>
    <row r="3770" spans="1:9" s="8" customFormat="1" ht="21" customHeight="1" x14ac:dyDescent="0.6">
      <c r="A3770" s="7">
        <v>24.717171799999999</v>
      </c>
      <c r="B3770" s="7">
        <v>34.754929500000003</v>
      </c>
      <c r="C3770" s="7">
        <v>677510.83</v>
      </c>
      <c r="D3770" s="7">
        <v>2734768.13</v>
      </c>
      <c r="E3770" s="7">
        <v>489.54</v>
      </c>
      <c r="F3770" s="7">
        <v>41997.120000000003</v>
      </c>
      <c r="G3770" s="7">
        <v>82554</v>
      </c>
      <c r="H3770" s="7">
        <f t="shared" si="105"/>
        <v>41951.12</v>
      </c>
      <c r="I3770" s="15"/>
    </row>
    <row r="3771" spans="1:9" s="8" customFormat="1" ht="21" customHeight="1" x14ac:dyDescent="0.6">
      <c r="A3771" s="7">
        <v>24.7171542</v>
      </c>
      <c r="B3771" s="7">
        <v>34.754944299999998</v>
      </c>
      <c r="C3771" s="7">
        <v>677512.36</v>
      </c>
      <c r="D3771" s="7">
        <v>2734766.21</v>
      </c>
      <c r="E3771" s="7">
        <v>489.12</v>
      </c>
      <c r="F3771" s="7">
        <v>41976.9</v>
      </c>
      <c r="G3771" s="7">
        <v>82556</v>
      </c>
      <c r="H3771" s="7">
        <f t="shared" si="105"/>
        <v>41930.9</v>
      </c>
      <c r="I3771" s="15"/>
    </row>
    <row r="3772" spans="1:9" s="8" customFormat="1" ht="21" customHeight="1" x14ac:dyDescent="0.6">
      <c r="A3772" s="7">
        <v>24.717137999999998</v>
      </c>
      <c r="B3772" s="7">
        <v>34.754958000000002</v>
      </c>
      <c r="C3772" s="7">
        <v>677513.76</v>
      </c>
      <c r="D3772" s="7">
        <v>2734764.42</v>
      </c>
      <c r="E3772" s="7">
        <v>488.74</v>
      </c>
      <c r="F3772" s="7">
        <v>41974.93</v>
      </c>
      <c r="G3772" s="7">
        <v>82558</v>
      </c>
      <c r="H3772" s="7">
        <f t="shared" si="105"/>
        <v>41928.93</v>
      </c>
      <c r="I3772" s="15"/>
    </row>
    <row r="3773" spans="1:9" s="8" customFormat="1" ht="21" customHeight="1" x14ac:dyDescent="0.6">
      <c r="A3773" s="7">
        <v>24.7171214</v>
      </c>
      <c r="B3773" s="7">
        <v>34.754973800000002</v>
      </c>
      <c r="C3773" s="7">
        <v>677515.39</v>
      </c>
      <c r="D3773" s="7">
        <v>2734762.61</v>
      </c>
      <c r="E3773" s="7">
        <v>488.44</v>
      </c>
      <c r="F3773" s="7">
        <v>41953.96</v>
      </c>
      <c r="G3773" s="7">
        <v>82600</v>
      </c>
      <c r="H3773" s="7">
        <f t="shared" si="105"/>
        <v>41907.96</v>
      </c>
      <c r="I3773" s="15"/>
    </row>
    <row r="3774" spans="1:9" s="8" customFormat="1" ht="21" customHeight="1" x14ac:dyDescent="0.6">
      <c r="A3774" s="7">
        <v>24.717104500000001</v>
      </c>
      <c r="B3774" s="7">
        <v>34.754989700000003</v>
      </c>
      <c r="C3774" s="7">
        <v>677517.02</v>
      </c>
      <c r="D3774" s="7">
        <v>2734760.76</v>
      </c>
      <c r="E3774" s="7">
        <v>488.03</v>
      </c>
      <c r="F3774" s="7">
        <v>41944.69</v>
      </c>
      <c r="G3774" s="7">
        <v>82602</v>
      </c>
      <c r="H3774" s="7">
        <f t="shared" si="105"/>
        <v>41898.69</v>
      </c>
      <c r="I3774" s="15"/>
    </row>
    <row r="3775" spans="1:9" s="8" customFormat="1" ht="21" customHeight="1" x14ac:dyDescent="0.6">
      <c r="A3775" s="7">
        <v>24.717090299999999</v>
      </c>
      <c r="B3775" s="7">
        <v>34.755007200000001</v>
      </c>
      <c r="C3775" s="7">
        <v>677518.81</v>
      </c>
      <c r="D3775" s="7">
        <v>2734759.21</v>
      </c>
      <c r="E3775" s="7">
        <v>487.6</v>
      </c>
      <c r="F3775" s="7">
        <v>41906.79</v>
      </c>
      <c r="G3775" s="7">
        <v>82604</v>
      </c>
      <c r="H3775" s="7">
        <f t="shared" si="105"/>
        <v>41860.79</v>
      </c>
      <c r="I3775" s="15"/>
    </row>
    <row r="3776" spans="1:9" s="8" customFormat="1" ht="21" customHeight="1" x14ac:dyDescent="0.6">
      <c r="A3776" s="7">
        <v>24.7170731</v>
      </c>
      <c r="B3776" s="7">
        <v>34.755024599999999</v>
      </c>
      <c r="C3776" s="7">
        <v>677520.6</v>
      </c>
      <c r="D3776" s="7">
        <v>2734757.32</v>
      </c>
      <c r="E3776" s="7">
        <v>487.23</v>
      </c>
      <c r="F3776" s="7">
        <v>41887.230000000003</v>
      </c>
      <c r="G3776" s="7">
        <v>82606</v>
      </c>
      <c r="H3776" s="7">
        <f t="shared" si="105"/>
        <v>41841.230000000003</v>
      </c>
      <c r="I3776" s="15"/>
    </row>
    <row r="3777" spans="1:9" s="8" customFormat="1" ht="21" customHeight="1" x14ac:dyDescent="0.6">
      <c r="A3777" s="7">
        <v>24.717052800000001</v>
      </c>
      <c r="B3777" s="7">
        <v>34.755038999999996</v>
      </c>
      <c r="C3777" s="7">
        <v>677522.08</v>
      </c>
      <c r="D3777" s="7">
        <v>2734755.1</v>
      </c>
      <c r="E3777" s="7">
        <v>486.8</v>
      </c>
      <c r="F3777" s="7">
        <v>41902.839999999997</v>
      </c>
      <c r="G3777" s="7">
        <v>82608</v>
      </c>
      <c r="H3777" s="7">
        <f t="shared" si="105"/>
        <v>41856.839999999997</v>
      </c>
      <c r="I3777" s="15"/>
    </row>
    <row r="3778" spans="1:9" s="8" customFormat="1" ht="21" customHeight="1" x14ac:dyDescent="0.6">
      <c r="A3778" s="7">
        <v>24.717036</v>
      </c>
      <c r="B3778" s="7">
        <v>34.755052999999997</v>
      </c>
      <c r="C3778" s="7">
        <v>677523.52</v>
      </c>
      <c r="D3778" s="7">
        <v>2734753.26</v>
      </c>
      <c r="E3778" s="7">
        <v>486.45</v>
      </c>
      <c r="F3778" s="7">
        <v>41889.21</v>
      </c>
      <c r="G3778" s="7">
        <v>82610</v>
      </c>
      <c r="H3778" s="7">
        <f t="shared" si="105"/>
        <v>41843.21</v>
      </c>
      <c r="I3778" s="15"/>
    </row>
    <row r="3779" spans="1:9" s="8" customFormat="1" ht="21" customHeight="1" x14ac:dyDescent="0.6">
      <c r="A3779" s="7">
        <v>24.717022199999999</v>
      </c>
      <c r="B3779" s="7">
        <v>34.755068899999998</v>
      </c>
      <c r="C3779" s="7">
        <v>677525.15</v>
      </c>
      <c r="D3779" s="7">
        <v>2734751.75</v>
      </c>
      <c r="E3779" s="7">
        <v>485.96</v>
      </c>
      <c r="F3779" s="7">
        <v>41913.08</v>
      </c>
      <c r="G3779" s="7">
        <v>82612</v>
      </c>
      <c r="H3779" s="7">
        <f t="shared" si="105"/>
        <v>41867.08</v>
      </c>
      <c r="I3779" s="15"/>
    </row>
    <row r="3780" spans="1:9" s="8" customFormat="1" ht="21" customHeight="1" x14ac:dyDescent="0.6">
      <c r="A3780" s="7">
        <v>24.717009600000001</v>
      </c>
      <c r="B3780" s="7">
        <v>34.755088499999999</v>
      </c>
      <c r="C3780" s="7">
        <v>677527.15</v>
      </c>
      <c r="D3780" s="7">
        <v>2734750.38</v>
      </c>
      <c r="E3780" s="7">
        <v>485.54</v>
      </c>
      <c r="F3780" s="7">
        <v>41899.339999999997</v>
      </c>
      <c r="G3780" s="7">
        <v>82614</v>
      </c>
      <c r="H3780" s="7">
        <f t="shared" si="105"/>
        <v>41853.339999999997</v>
      </c>
      <c r="I3780" s="15"/>
    </row>
    <row r="3781" spans="1:9" s="8" customFormat="1" ht="21" customHeight="1" x14ac:dyDescent="0.6">
      <c r="A3781" s="7">
        <v>24.716990800000001</v>
      </c>
      <c r="B3781" s="7">
        <v>34.755100900000002</v>
      </c>
      <c r="C3781" s="7">
        <v>677528.43</v>
      </c>
      <c r="D3781" s="7">
        <v>2734748.31</v>
      </c>
      <c r="E3781" s="7">
        <v>485.17</v>
      </c>
      <c r="F3781" s="7">
        <v>41869.35</v>
      </c>
      <c r="G3781" s="7">
        <v>82616</v>
      </c>
      <c r="H3781" s="7">
        <f t="shared" si="105"/>
        <v>41823.35</v>
      </c>
      <c r="I3781" s="15"/>
    </row>
    <row r="3782" spans="1:9" s="8" customFormat="1" ht="21" customHeight="1" x14ac:dyDescent="0.6">
      <c r="A3782" s="7">
        <v>24.7169737</v>
      </c>
      <c r="B3782" s="7">
        <v>34.755113600000001</v>
      </c>
      <c r="C3782" s="7">
        <v>677529.74</v>
      </c>
      <c r="D3782" s="7">
        <v>2734746.43</v>
      </c>
      <c r="E3782" s="7">
        <v>484.67</v>
      </c>
      <c r="F3782" s="7">
        <v>41924.19</v>
      </c>
      <c r="G3782" s="7">
        <v>82618</v>
      </c>
      <c r="H3782" s="7">
        <f t="shared" si="105"/>
        <v>41878.19</v>
      </c>
      <c r="I3782" s="15"/>
    </row>
    <row r="3783" spans="1:9" s="8" customFormat="1" ht="21" customHeight="1" x14ac:dyDescent="0.6">
      <c r="A3783" s="7">
        <v>24.716960499999999</v>
      </c>
      <c r="B3783" s="7">
        <v>34.7551311</v>
      </c>
      <c r="C3783" s="7">
        <v>677531.53</v>
      </c>
      <c r="D3783" s="7">
        <v>2734744.99</v>
      </c>
      <c r="E3783" s="7">
        <v>484.23</v>
      </c>
      <c r="F3783" s="7">
        <v>41888.870000000003</v>
      </c>
      <c r="G3783" s="7">
        <v>82620</v>
      </c>
      <c r="H3783" s="7">
        <f t="shared" si="105"/>
        <v>41842.870000000003</v>
      </c>
      <c r="I3783" s="15"/>
    </row>
    <row r="3784" spans="1:9" s="8" customFormat="1" ht="21" customHeight="1" x14ac:dyDescent="0.6">
      <c r="A3784" s="7">
        <v>24.7169469</v>
      </c>
      <c r="B3784" s="7">
        <v>34.755148499999997</v>
      </c>
      <c r="C3784" s="7">
        <v>677533.3</v>
      </c>
      <c r="D3784" s="7">
        <v>2734743.51</v>
      </c>
      <c r="E3784" s="7">
        <v>483.78</v>
      </c>
      <c r="F3784" s="7">
        <v>41870.589999999997</v>
      </c>
      <c r="G3784" s="7">
        <v>82622</v>
      </c>
      <c r="H3784" s="7">
        <f t="shared" si="105"/>
        <v>41824.589999999997</v>
      </c>
      <c r="I3784" s="15"/>
    </row>
    <row r="3785" spans="1:9" s="8" customFormat="1" ht="21" customHeight="1" x14ac:dyDescent="0.6">
      <c r="A3785" s="7">
        <v>24.7169338</v>
      </c>
      <c r="B3785" s="7">
        <v>34.755160199999999</v>
      </c>
      <c r="C3785" s="7">
        <v>677534.51</v>
      </c>
      <c r="D3785" s="7">
        <v>2734742.07</v>
      </c>
      <c r="E3785" s="7">
        <v>483.44</v>
      </c>
      <c r="F3785" s="7">
        <v>41851.51</v>
      </c>
      <c r="G3785" s="7">
        <v>82624</v>
      </c>
      <c r="H3785" s="7">
        <f t="shared" si="105"/>
        <v>41805.51</v>
      </c>
      <c r="I3785" s="15"/>
    </row>
    <row r="3786" spans="1:9" s="8" customFormat="1" ht="21" customHeight="1" x14ac:dyDescent="0.6">
      <c r="A3786" s="7">
        <v>24.716921500000002</v>
      </c>
      <c r="B3786" s="7">
        <v>34.7551731</v>
      </c>
      <c r="C3786" s="7">
        <v>677535.83</v>
      </c>
      <c r="D3786" s="7">
        <v>2734740.73</v>
      </c>
      <c r="E3786" s="7">
        <v>483.07</v>
      </c>
      <c r="F3786" s="7">
        <v>41861.199999999997</v>
      </c>
      <c r="G3786" s="7">
        <v>82626</v>
      </c>
      <c r="H3786" s="7">
        <f t="shared" si="105"/>
        <v>41815.199999999997</v>
      </c>
      <c r="I3786" s="15"/>
    </row>
    <row r="3787" spans="1:9" s="8" customFormat="1" ht="21" customHeight="1" x14ac:dyDescent="0.6">
      <c r="A3787" s="7">
        <v>24.716909399999999</v>
      </c>
      <c r="B3787" s="7">
        <v>34.755181499999999</v>
      </c>
      <c r="C3787" s="7">
        <v>677536.7</v>
      </c>
      <c r="D3787" s="7">
        <v>2734739.4</v>
      </c>
      <c r="E3787" s="7">
        <v>482.79</v>
      </c>
      <c r="F3787" s="7">
        <v>41866.21</v>
      </c>
      <c r="G3787" s="7">
        <v>82628</v>
      </c>
      <c r="H3787" s="7">
        <f t="shared" si="105"/>
        <v>41820.21</v>
      </c>
      <c r="I3787" s="15"/>
    </row>
    <row r="3788" spans="1:9" s="8" customFormat="1" ht="21" customHeight="1" x14ac:dyDescent="0.6">
      <c r="A3788" s="7">
        <v>24.7168925</v>
      </c>
      <c r="B3788" s="7">
        <v>34.755186199999997</v>
      </c>
      <c r="C3788" s="7">
        <v>677537.2</v>
      </c>
      <c r="D3788" s="7">
        <v>2734737.53</v>
      </c>
      <c r="E3788" s="7">
        <v>482.58</v>
      </c>
      <c r="F3788" s="7">
        <v>41833.79</v>
      </c>
      <c r="G3788" s="7">
        <v>82630</v>
      </c>
      <c r="H3788" s="7">
        <f t="shared" si="105"/>
        <v>41787.79</v>
      </c>
      <c r="I3788" s="15"/>
    </row>
    <row r="3789" spans="1:9" s="8" customFormat="1" ht="21" customHeight="1" x14ac:dyDescent="0.6">
      <c r="A3789" s="7">
        <v>24.716874700000002</v>
      </c>
      <c r="B3789" s="7">
        <v>34.755187499999998</v>
      </c>
      <c r="C3789" s="7">
        <v>677537.36</v>
      </c>
      <c r="D3789" s="7">
        <v>2734735.56</v>
      </c>
      <c r="E3789" s="7">
        <v>482.08</v>
      </c>
      <c r="F3789" s="7">
        <v>41851.31</v>
      </c>
      <c r="G3789" s="7">
        <v>82632</v>
      </c>
      <c r="H3789" s="7">
        <f t="shared" si="105"/>
        <v>41805.31</v>
      </c>
      <c r="I3789" s="15"/>
    </row>
    <row r="3790" spans="1:9" s="8" customFormat="1" ht="21" customHeight="1" x14ac:dyDescent="0.6">
      <c r="A3790" s="7">
        <v>24.716857099999999</v>
      </c>
      <c r="B3790" s="7">
        <v>34.755189899999998</v>
      </c>
      <c r="C3790" s="7">
        <v>677537.63</v>
      </c>
      <c r="D3790" s="7">
        <v>2734733.61</v>
      </c>
      <c r="E3790" s="7">
        <v>481.63</v>
      </c>
      <c r="F3790" s="7">
        <v>41853.050000000003</v>
      </c>
      <c r="G3790" s="7">
        <v>82634</v>
      </c>
      <c r="H3790" s="7">
        <f t="shared" si="105"/>
        <v>41807.050000000003</v>
      </c>
      <c r="I3790" s="15"/>
    </row>
    <row r="3791" spans="1:9" s="8" customFormat="1" ht="21" customHeight="1" x14ac:dyDescent="0.6">
      <c r="A3791" s="7">
        <v>24.716840300000001</v>
      </c>
      <c r="B3791" s="7">
        <v>34.7551925</v>
      </c>
      <c r="C3791" s="7">
        <v>677537.91</v>
      </c>
      <c r="D3791" s="7">
        <v>2734731.76</v>
      </c>
      <c r="E3791" s="7">
        <v>481.31</v>
      </c>
      <c r="F3791" s="7">
        <v>41851.31</v>
      </c>
      <c r="G3791" s="7">
        <v>82636</v>
      </c>
      <c r="H3791" s="7">
        <f t="shared" si="105"/>
        <v>41805.31</v>
      </c>
      <c r="I3791" s="15"/>
    </row>
    <row r="3792" spans="1:9" s="8" customFormat="1" ht="21" customHeight="1" x14ac:dyDescent="0.6">
      <c r="A3792" s="7">
        <v>24.716823300000001</v>
      </c>
      <c r="B3792" s="7">
        <v>34.755201700000001</v>
      </c>
      <c r="C3792" s="7">
        <v>677538.87</v>
      </c>
      <c r="D3792" s="7">
        <v>2734729.88</v>
      </c>
      <c r="E3792" s="7">
        <v>480.91</v>
      </c>
      <c r="F3792" s="7">
        <v>41837.32</v>
      </c>
      <c r="G3792" s="7">
        <v>82638</v>
      </c>
      <c r="H3792" s="7">
        <f t="shared" si="105"/>
        <v>41791.32</v>
      </c>
      <c r="I3792" s="15"/>
    </row>
    <row r="3793" spans="1:9" s="8" customFormat="1" ht="21" customHeight="1" x14ac:dyDescent="0.6">
      <c r="A3793" s="7">
        <v>24.716804199999999</v>
      </c>
      <c r="B3793" s="7">
        <v>34.755206000000001</v>
      </c>
      <c r="C3793" s="7">
        <v>677539.33</v>
      </c>
      <c r="D3793" s="7">
        <v>2734727.78</v>
      </c>
      <c r="E3793" s="7">
        <v>480.42</v>
      </c>
      <c r="F3793" s="7">
        <v>41858.980000000003</v>
      </c>
      <c r="G3793" s="7">
        <v>82640</v>
      </c>
      <c r="H3793" s="7">
        <f t="shared" si="105"/>
        <v>41812.980000000003</v>
      </c>
      <c r="I3793" s="15"/>
    </row>
    <row r="3794" spans="1:9" s="8" customFormat="1" ht="21" customHeight="1" x14ac:dyDescent="0.6">
      <c r="A3794" s="7">
        <v>24.7167852</v>
      </c>
      <c r="B3794" s="7">
        <v>34.755219500000003</v>
      </c>
      <c r="C3794" s="7">
        <v>677540.72</v>
      </c>
      <c r="D3794" s="7">
        <v>2734725.69</v>
      </c>
      <c r="E3794" s="7">
        <v>479.95</v>
      </c>
      <c r="F3794" s="7">
        <v>41808.07</v>
      </c>
      <c r="G3794" s="7">
        <v>82642</v>
      </c>
      <c r="H3794" s="7">
        <f t="shared" si="105"/>
        <v>41762.07</v>
      </c>
      <c r="I3794" s="15"/>
    </row>
    <row r="3795" spans="1:9" s="8" customFormat="1" ht="21" customHeight="1" x14ac:dyDescent="0.6">
      <c r="A3795" s="7">
        <v>24.7167657</v>
      </c>
      <c r="B3795" s="7">
        <v>34.755226399999998</v>
      </c>
      <c r="C3795" s="7">
        <v>677541.45</v>
      </c>
      <c r="D3795" s="7">
        <v>2734723.54</v>
      </c>
      <c r="E3795" s="7">
        <v>479.61</v>
      </c>
      <c r="F3795" s="7">
        <v>41804.050000000003</v>
      </c>
      <c r="G3795" s="7">
        <v>82644</v>
      </c>
      <c r="H3795" s="7">
        <f t="shared" si="105"/>
        <v>41758.050000000003</v>
      </c>
      <c r="I3795" s="15"/>
    </row>
    <row r="3796" spans="1:9" s="8" customFormat="1" ht="21" customHeight="1" x14ac:dyDescent="0.6">
      <c r="A3796" s="7">
        <v>24.7167487</v>
      </c>
      <c r="B3796" s="7">
        <v>34.755236199999999</v>
      </c>
      <c r="C3796" s="7">
        <v>677542.46</v>
      </c>
      <c r="D3796" s="7">
        <v>2734721.67</v>
      </c>
      <c r="E3796" s="7">
        <v>479.5</v>
      </c>
      <c r="F3796" s="7">
        <v>41860.720000000001</v>
      </c>
      <c r="G3796" s="7">
        <v>82646</v>
      </c>
      <c r="H3796" s="7">
        <f t="shared" si="105"/>
        <v>41814.720000000001</v>
      </c>
      <c r="I3796" s="15"/>
    </row>
    <row r="3797" spans="1:9" s="8" customFormat="1" ht="21" customHeight="1" x14ac:dyDescent="0.6">
      <c r="A3797" s="7">
        <v>24.716732</v>
      </c>
      <c r="B3797" s="7">
        <v>34.755249999999997</v>
      </c>
      <c r="C3797" s="7">
        <v>677543.88</v>
      </c>
      <c r="D3797" s="7">
        <v>2734719.84</v>
      </c>
      <c r="E3797" s="7">
        <v>479.26</v>
      </c>
      <c r="F3797" s="7">
        <v>41922.400000000001</v>
      </c>
      <c r="G3797" s="7">
        <v>82648</v>
      </c>
      <c r="H3797" s="7">
        <f t="shared" si="105"/>
        <v>41876.400000000001</v>
      </c>
      <c r="I3797" s="15"/>
    </row>
    <row r="3798" spans="1:9" s="8" customFormat="1" ht="21" customHeight="1" x14ac:dyDescent="0.6">
      <c r="A3798" s="7">
        <v>24.716715300000001</v>
      </c>
      <c r="B3798" s="7">
        <v>34.7552606</v>
      </c>
      <c r="C3798" s="7">
        <v>677544.97</v>
      </c>
      <c r="D3798" s="7">
        <v>2734718</v>
      </c>
      <c r="E3798" s="7">
        <v>478.96</v>
      </c>
      <c r="F3798" s="7">
        <v>41963.66</v>
      </c>
      <c r="G3798" s="7">
        <v>82650</v>
      </c>
      <c r="H3798" s="7">
        <f t="shared" si="105"/>
        <v>41917.660000000003</v>
      </c>
      <c r="I3798" s="15"/>
    </row>
    <row r="3799" spans="1:9" s="8" customFormat="1" ht="21" customHeight="1" x14ac:dyDescent="0.6">
      <c r="A3799" s="7">
        <v>24.7166973</v>
      </c>
      <c r="B3799" s="7">
        <v>34.755274300000004</v>
      </c>
      <c r="C3799" s="7">
        <v>677546.39</v>
      </c>
      <c r="D3799" s="7">
        <v>2734716.03</v>
      </c>
      <c r="E3799" s="7">
        <v>478.77</v>
      </c>
      <c r="F3799" s="7">
        <v>41960.35</v>
      </c>
      <c r="G3799" s="7">
        <v>82652</v>
      </c>
      <c r="H3799" s="7">
        <f t="shared" si="105"/>
        <v>41914.35</v>
      </c>
      <c r="I3799" s="15"/>
    </row>
    <row r="3800" spans="1:9" s="8" customFormat="1" ht="21" customHeight="1" x14ac:dyDescent="0.6">
      <c r="A3800" s="7">
        <v>24.716684000000001</v>
      </c>
      <c r="B3800" s="7">
        <v>34.755293399999999</v>
      </c>
      <c r="C3800" s="7">
        <v>677548.34</v>
      </c>
      <c r="D3800" s="7">
        <v>2734714.58</v>
      </c>
      <c r="E3800" s="7">
        <v>478.52</v>
      </c>
      <c r="F3800" s="7">
        <v>41980.89</v>
      </c>
      <c r="G3800" s="7">
        <v>82654</v>
      </c>
      <c r="H3800" s="7">
        <f t="shared" si="105"/>
        <v>41934.89</v>
      </c>
      <c r="I3800" s="15"/>
    </row>
    <row r="3801" spans="1:9" s="8" customFormat="1" ht="21" customHeight="1" x14ac:dyDescent="0.6">
      <c r="A3801" s="7">
        <v>24.716674399999999</v>
      </c>
      <c r="B3801" s="7">
        <v>34.755313100000002</v>
      </c>
      <c r="C3801" s="7">
        <v>677550.34</v>
      </c>
      <c r="D3801" s="7">
        <v>2734713.54</v>
      </c>
      <c r="E3801" s="7">
        <v>478.19</v>
      </c>
      <c r="F3801" s="7">
        <v>42026.68</v>
      </c>
      <c r="G3801" s="7">
        <v>82656</v>
      </c>
      <c r="H3801" s="7">
        <f t="shared" si="105"/>
        <v>41980.68</v>
      </c>
      <c r="I3801" s="15"/>
    </row>
    <row r="3802" spans="1:9" s="8" customFormat="1" ht="21" customHeight="1" x14ac:dyDescent="0.6">
      <c r="A3802" s="7">
        <v>24.716666499999999</v>
      </c>
      <c r="B3802" s="7">
        <v>34.755336999999997</v>
      </c>
      <c r="C3802" s="7">
        <v>677552.78</v>
      </c>
      <c r="D3802" s="7">
        <v>2734712.7</v>
      </c>
      <c r="E3802" s="7">
        <v>477.81</v>
      </c>
      <c r="F3802" s="7">
        <v>42102.47</v>
      </c>
      <c r="G3802" s="7">
        <v>82658</v>
      </c>
      <c r="H3802" s="7">
        <f t="shared" si="105"/>
        <v>42056.47</v>
      </c>
      <c r="I3802" s="15"/>
    </row>
    <row r="3803" spans="1:9" s="8" customFormat="1" ht="21" customHeight="1" x14ac:dyDescent="0.6">
      <c r="A3803" s="7">
        <v>24.7166669</v>
      </c>
      <c r="B3803" s="7">
        <v>34.755361600000001</v>
      </c>
      <c r="C3803" s="7">
        <v>677555.26</v>
      </c>
      <c r="D3803" s="7">
        <v>2734712.78</v>
      </c>
      <c r="E3803" s="7">
        <v>477.67</v>
      </c>
      <c r="F3803" s="7">
        <v>42191.53</v>
      </c>
      <c r="G3803" s="7">
        <v>82700</v>
      </c>
      <c r="H3803" s="7">
        <f t="shared" si="105"/>
        <v>42145.53</v>
      </c>
      <c r="I3803" s="15"/>
    </row>
    <row r="3804" spans="1:9" s="8" customFormat="1" ht="21" customHeight="1" x14ac:dyDescent="0.6">
      <c r="A3804" s="7">
        <v>24.716663</v>
      </c>
      <c r="B3804" s="7">
        <v>34.755384100000001</v>
      </c>
      <c r="C3804" s="7">
        <v>677557.55</v>
      </c>
      <c r="D3804" s="7">
        <v>2734712.37</v>
      </c>
      <c r="E3804" s="7">
        <v>477.52</v>
      </c>
      <c r="F3804" s="7">
        <v>42271.97</v>
      </c>
      <c r="G3804" s="7">
        <v>82702</v>
      </c>
      <c r="H3804" s="7">
        <f t="shared" si="105"/>
        <v>42225.97</v>
      </c>
      <c r="I3804" s="15"/>
    </row>
    <row r="3805" spans="1:9" s="8" customFormat="1" ht="21" customHeight="1" x14ac:dyDescent="0.6">
      <c r="A3805" s="7">
        <v>24.716657600000001</v>
      </c>
      <c r="B3805" s="7">
        <v>34.755405799999998</v>
      </c>
      <c r="C3805" s="7">
        <v>677559.75</v>
      </c>
      <c r="D3805" s="7">
        <v>2734711.8</v>
      </c>
      <c r="E3805" s="7">
        <v>477.29</v>
      </c>
      <c r="F3805" s="7">
        <v>42276.45</v>
      </c>
      <c r="G3805" s="7">
        <v>82704</v>
      </c>
      <c r="H3805" s="7">
        <f t="shared" si="105"/>
        <v>42230.45</v>
      </c>
      <c r="I3805" s="15"/>
    </row>
    <row r="3806" spans="1:9" s="8" customFormat="1" ht="21" customHeight="1" x14ac:dyDescent="0.6">
      <c r="A3806" s="7">
        <v>24.716656700000001</v>
      </c>
      <c r="B3806" s="7">
        <v>34.755430199999999</v>
      </c>
      <c r="C3806" s="7">
        <v>677562.22</v>
      </c>
      <c r="D3806" s="7">
        <v>2734711.73</v>
      </c>
      <c r="E3806" s="7">
        <v>477.11</v>
      </c>
      <c r="F3806" s="7">
        <v>42223.28</v>
      </c>
      <c r="G3806" s="7">
        <v>82706</v>
      </c>
      <c r="H3806" s="7">
        <f t="shared" si="105"/>
        <v>42177.279999999999</v>
      </c>
      <c r="I3806" s="15"/>
    </row>
    <row r="3807" spans="1:9" s="8" customFormat="1" ht="21" customHeight="1" x14ac:dyDescent="0.6">
      <c r="A3807" s="7">
        <v>24.716657099999999</v>
      </c>
      <c r="B3807" s="7">
        <v>34.7554552</v>
      </c>
      <c r="C3807" s="7">
        <v>677564.75</v>
      </c>
      <c r="D3807" s="7">
        <v>2734711.8</v>
      </c>
      <c r="E3807" s="7">
        <v>477.04</v>
      </c>
      <c r="F3807" s="7">
        <v>42114.239999999998</v>
      </c>
      <c r="G3807" s="7">
        <v>82708</v>
      </c>
      <c r="H3807" s="7">
        <f t="shared" si="105"/>
        <v>42068.24</v>
      </c>
      <c r="I3807" s="15"/>
    </row>
    <row r="3808" spans="1:9" s="8" customFormat="1" ht="21" customHeight="1" x14ac:dyDescent="0.6">
      <c r="A3808" s="7">
        <v>24.716660000000001</v>
      </c>
      <c r="B3808" s="7">
        <v>34.755480300000002</v>
      </c>
      <c r="C3808" s="7">
        <v>677567.28</v>
      </c>
      <c r="D3808" s="7">
        <v>2734712.16</v>
      </c>
      <c r="E3808" s="7">
        <v>477.02</v>
      </c>
      <c r="F3808" s="7">
        <v>41979.24</v>
      </c>
      <c r="G3808" s="7">
        <v>82710</v>
      </c>
      <c r="H3808" s="7">
        <f t="shared" ref="H3808:H3871" si="106">SUM(F3808-46)</f>
        <v>41933.24</v>
      </c>
      <c r="I3808" s="15"/>
    </row>
    <row r="3809" spans="1:9" s="8" customFormat="1" ht="21" customHeight="1" x14ac:dyDescent="0.6">
      <c r="A3809" s="7">
        <v>24.716665599999999</v>
      </c>
      <c r="B3809" s="7">
        <v>34.755504500000001</v>
      </c>
      <c r="C3809" s="7">
        <v>677569.73</v>
      </c>
      <c r="D3809" s="7">
        <v>2734712.82</v>
      </c>
      <c r="E3809" s="7">
        <v>476.93</v>
      </c>
      <c r="F3809" s="7">
        <v>41899.019999999997</v>
      </c>
      <c r="G3809" s="7">
        <v>82712</v>
      </c>
      <c r="H3809" s="7">
        <f t="shared" si="106"/>
        <v>41853.019999999997</v>
      </c>
      <c r="I3809" s="15"/>
    </row>
    <row r="3810" spans="1:9" s="8" customFormat="1" ht="21" customHeight="1" x14ac:dyDescent="0.6">
      <c r="A3810" s="7">
        <v>24.716670799999999</v>
      </c>
      <c r="B3810" s="7">
        <v>34.755529099999997</v>
      </c>
      <c r="C3810" s="7">
        <v>677572.2</v>
      </c>
      <c r="D3810" s="7">
        <v>2734713.42</v>
      </c>
      <c r="E3810" s="7">
        <v>476.74</v>
      </c>
      <c r="F3810" s="7">
        <v>41871.64</v>
      </c>
      <c r="G3810" s="7">
        <v>82714</v>
      </c>
      <c r="H3810" s="7">
        <f t="shared" si="106"/>
        <v>41825.64</v>
      </c>
      <c r="I3810" s="15"/>
    </row>
    <row r="3811" spans="1:9" s="8" customFormat="1" ht="21" customHeight="1" x14ac:dyDescent="0.6">
      <c r="A3811" s="7">
        <v>24.7166791</v>
      </c>
      <c r="B3811" s="7">
        <v>34.755552899999998</v>
      </c>
      <c r="C3811" s="7">
        <v>677574.61</v>
      </c>
      <c r="D3811" s="7">
        <v>2734714.37</v>
      </c>
      <c r="E3811" s="7">
        <v>476.61</v>
      </c>
      <c r="F3811" s="7">
        <v>41893.589999999997</v>
      </c>
      <c r="G3811" s="7">
        <v>82716</v>
      </c>
      <c r="H3811" s="7">
        <f t="shared" si="106"/>
        <v>41847.589999999997</v>
      </c>
      <c r="I3811" s="15"/>
    </row>
    <row r="3812" spans="1:9" s="8" customFormat="1" ht="21" customHeight="1" x14ac:dyDescent="0.6">
      <c r="A3812" s="7">
        <v>24.716681900000001</v>
      </c>
      <c r="B3812" s="7">
        <v>34.755579900000001</v>
      </c>
      <c r="C3812" s="7">
        <v>677577.33</v>
      </c>
      <c r="D3812" s="7">
        <v>2734714.72</v>
      </c>
      <c r="E3812" s="7">
        <v>476.43</v>
      </c>
      <c r="F3812" s="7">
        <v>41956.480000000003</v>
      </c>
      <c r="G3812" s="7">
        <v>82718</v>
      </c>
      <c r="H3812" s="7">
        <f t="shared" si="106"/>
        <v>41910.480000000003</v>
      </c>
      <c r="I3812" s="15"/>
    </row>
    <row r="3813" spans="1:9" s="8" customFormat="1" ht="21" customHeight="1" x14ac:dyDescent="0.6">
      <c r="A3813" s="7">
        <v>24.7166809</v>
      </c>
      <c r="B3813" s="7">
        <v>34.755605099999997</v>
      </c>
      <c r="C3813" s="7">
        <v>677579.89</v>
      </c>
      <c r="D3813" s="7">
        <v>2734714.63</v>
      </c>
      <c r="E3813" s="7">
        <v>476.58</v>
      </c>
      <c r="F3813" s="7">
        <v>42093.47</v>
      </c>
      <c r="G3813" s="7">
        <v>82720</v>
      </c>
      <c r="H3813" s="7">
        <f t="shared" si="106"/>
        <v>42047.47</v>
      </c>
      <c r="I3813" s="15"/>
    </row>
    <row r="3814" spans="1:9" s="8" customFormat="1" ht="21" customHeight="1" x14ac:dyDescent="0.6">
      <c r="A3814" s="7">
        <v>24.716682299999999</v>
      </c>
      <c r="B3814" s="7">
        <v>34.7556297</v>
      </c>
      <c r="C3814" s="7">
        <v>677582.37</v>
      </c>
      <c r="D3814" s="7">
        <v>2734714.82</v>
      </c>
      <c r="E3814" s="7">
        <v>476.41</v>
      </c>
      <c r="F3814" s="7">
        <v>42256.07</v>
      </c>
      <c r="G3814" s="7">
        <v>82722</v>
      </c>
      <c r="H3814" s="7">
        <f t="shared" si="106"/>
        <v>42210.07</v>
      </c>
      <c r="I3814" s="15"/>
    </row>
    <row r="3815" spans="1:9" s="8" customFormat="1" ht="21" customHeight="1" x14ac:dyDescent="0.6">
      <c r="A3815" s="7">
        <v>24.716684699999998</v>
      </c>
      <c r="B3815" s="7">
        <v>34.755659000000001</v>
      </c>
      <c r="C3815" s="7">
        <v>677585.33</v>
      </c>
      <c r="D3815" s="7">
        <v>2734715.13</v>
      </c>
      <c r="E3815" s="7">
        <v>476.27</v>
      </c>
      <c r="F3815" s="7">
        <v>42372.74</v>
      </c>
      <c r="G3815" s="7">
        <v>82724</v>
      </c>
      <c r="H3815" s="7">
        <f t="shared" si="106"/>
        <v>42326.74</v>
      </c>
      <c r="I3815" s="15"/>
    </row>
    <row r="3816" spans="1:9" s="8" customFormat="1" ht="21" customHeight="1" x14ac:dyDescent="0.6">
      <c r="A3816" s="7">
        <v>24.716683100000001</v>
      </c>
      <c r="B3816" s="7">
        <v>34.755685700000001</v>
      </c>
      <c r="C3816" s="7">
        <v>677588.04</v>
      </c>
      <c r="D3816" s="7">
        <v>2734714.99</v>
      </c>
      <c r="E3816" s="7">
        <v>476.25</v>
      </c>
      <c r="F3816" s="7">
        <v>42366.05</v>
      </c>
      <c r="G3816" s="7">
        <v>82726</v>
      </c>
      <c r="H3816" s="7">
        <f t="shared" si="106"/>
        <v>42320.05</v>
      </c>
      <c r="I3816" s="15"/>
    </row>
    <row r="3817" spans="1:9" s="8" customFormat="1" ht="21" customHeight="1" x14ac:dyDescent="0.6">
      <c r="A3817" s="7">
        <v>24.716680100000001</v>
      </c>
      <c r="B3817" s="7">
        <v>34.755713800000002</v>
      </c>
      <c r="C3817" s="7">
        <v>677590.88</v>
      </c>
      <c r="D3817" s="7">
        <v>2734714.69</v>
      </c>
      <c r="E3817" s="7">
        <v>476.35</v>
      </c>
      <c r="F3817" s="7">
        <v>42318.25</v>
      </c>
      <c r="G3817" s="7">
        <v>82728</v>
      </c>
      <c r="H3817" s="7">
        <f t="shared" si="106"/>
        <v>42272.25</v>
      </c>
      <c r="I3817" s="15"/>
    </row>
    <row r="3818" spans="1:9" s="8" customFormat="1" ht="21" customHeight="1" x14ac:dyDescent="0.6">
      <c r="A3818" s="7">
        <v>24.7166815</v>
      </c>
      <c r="B3818" s="7">
        <v>34.755741399999998</v>
      </c>
      <c r="C3818" s="7">
        <v>677593.67</v>
      </c>
      <c r="D3818" s="7">
        <v>2734714.89</v>
      </c>
      <c r="E3818" s="7">
        <v>476.33</v>
      </c>
      <c r="F3818" s="7">
        <v>42246.06</v>
      </c>
      <c r="G3818" s="7">
        <v>82730</v>
      </c>
      <c r="H3818" s="7">
        <f t="shared" si="106"/>
        <v>42200.06</v>
      </c>
      <c r="I3818" s="15"/>
    </row>
    <row r="3819" spans="1:9" s="8" customFormat="1" ht="21" customHeight="1" x14ac:dyDescent="0.6">
      <c r="A3819" s="7">
        <v>24.716686200000002</v>
      </c>
      <c r="B3819" s="7">
        <v>34.7557683</v>
      </c>
      <c r="C3819" s="7">
        <v>677596.38</v>
      </c>
      <c r="D3819" s="7">
        <v>2734715.44</v>
      </c>
      <c r="E3819" s="7">
        <v>476.16</v>
      </c>
      <c r="F3819" s="7">
        <v>42150.879999999997</v>
      </c>
      <c r="G3819" s="7">
        <v>82732</v>
      </c>
      <c r="H3819" s="7">
        <f t="shared" si="106"/>
        <v>42104.88</v>
      </c>
      <c r="I3819" s="15"/>
    </row>
    <row r="3820" spans="1:9" s="8" customFormat="1" ht="21" customHeight="1" x14ac:dyDescent="0.6">
      <c r="A3820" s="7">
        <v>24.716701</v>
      </c>
      <c r="B3820" s="7">
        <v>34.755792800000002</v>
      </c>
      <c r="C3820" s="7">
        <v>677598.84</v>
      </c>
      <c r="D3820" s="7">
        <v>2734717.11</v>
      </c>
      <c r="E3820" s="7">
        <v>476.12</v>
      </c>
      <c r="F3820" s="7">
        <v>42037.56</v>
      </c>
      <c r="G3820" s="7">
        <v>82734</v>
      </c>
      <c r="H3820" s="7">
        <f t="shared" si="106"/>
        <v>41991.56</v>
      </c>
      <c r="I3820" s="15"/>
    </row>
    <row r="3821" spans="1:9" s="8" customFormat="1" ht="21" customHeight="1" x14ac:dyDescent="0.6">
      <c r="A3821" s="7">
        <v>24.7167137</v>
      </c>
      <c r="B3821" s="7">
        <v>34.755815200000001</v>
      </c>
      <c r="C3821" s="7">
        <v>677601.09</v>
      </c>
      <c r="D3821" s="7">
        <v>2734718.55</v>
      </c>
      <c r="E3821" s="7">
        <v>476.11</v>
      </c>
      <c r="F3821" s="7">
        <v>41937.33</v>
      </c>
      <c r="G3821" s="7">
        <v>82736</v>
      </c>
      <c r="H3821" s="7">
        <f t="shared" si="106"/>
        <v>41891.33</v>
      </c>
      <c r="I3821" s="15"/>
    </row>
    <row r="3822" spans="1:9" s="8" customFormat="1" ht="21" customHeight="1" x14ac:dyDescent="0.6">
      <c r="A3822" s="7">
        <v>24.716722699999998</v>
      </c>
      <c r="B3822" s="7">
        <v>34.755839700000003</v>
      </c>
      <c r="C3822" s="7">
        <v>677603.55</v>
      </c>
      <c r="D3822" s="7">
        <v>2734719.58</v>
      </c>
      <c r="E3822" s="7">
        <v>475.97</v>
      </c>
      <c r="F3822" s="7">
        <v>41856.269999999997</v>
      </c>
      <c r="G3822" s="7">
        <v>82738</v>
      </c>
      <c r="H3822" s="7">
        <f t="shared" si="106"/>
        <v>41810.269999999997</v>
      </c>
      <c r="I3822" s="15"/>
    </row>
    <row r="3823" spans="1:9" s="8" customFormat="1" ht="21" customHeight="1" x14ac:dyDescent="0.6">
      <c r="A3823" s="7">
        <v>24.716734500000001</v>
      </c>
      <c r="B3823" s="7">
        <v>34.755862499999999</v>
      </c>
      <c r="C3823" s="7">
        <v>677605.85</v>
      </c>
      <c r="D3823" s="7">
        <v>2734720.91</v>
      </c>
      <c r="E3823" s="7">
        <v>475.9</v>
      </c>
      <c r="F3823" s="7">
        <v>41801.43</v>
      </c>
      <c r="G3823" s="7">
        <v>82740</v>
      </c>
      <c r="H3823" s="7">
        <f t="shared" si="106"/>
        <v>41755.43</v>
      </c>
      <c r="I3823" s="15"/>
    </row>
    <row r="3824" spans="1:9" s="8" customFormat="1" ht="21" customHeight="1" x14ac:dyDescent="0.6">
      <c r="A3824" s="7">
        <v>24.7167429</v>
      </c>
      <c r="B3824" s="7">
        <v>34.755886599999997</v>
      </c>
      <c r="C3824" s="7">
        <v>677608.27</v>
      </c>
      <c r="D3824" s="7">
        <v>2734721.87</v>
      </c>
      <c r="E3824" s="7">
        <v>475.83</v>
      </c>
      <c r="F3824" s="7">
        <v>41744.53</v>
      </c>
      <c r="G3824" s="7">
        <v>82742</v>
      </c>
      <c r="H3824" s="7">
        <f t="shared" si="106"/>
        <v>41698.53</v>
      </c>
      <c r="I3824" s="15"/>
    </row>
    <row r="3825" spans="1:9" s="8" customFormat="1" ht="21" customHeight="1" x14ac:dyDescent="0.6">
      <c r="A3825" s="7">
        <v>24.7167554</v>
      </c>
      <c r="B3825" s="7">
        <v>34.755908400000003</v>
      </c>
      <c r="C3825" s="7">
        <v>677610.46</v>
      </c>
      <c r="D3825" s="7">
        <v>2734723.29</v>
      </c>
      <c r="E3825" s="7">
        <v>475.57</v>
      </c>
      <c r="F3825" s="7">
        <v>41698.449999999997</v>
      </c>
      <c r="G3825" s="7">
        <v>82744</v>
      </c>
      <c r="H3825" s="7">
        <f t="shared" si="106"/>
        <v>41652.449999999997</v>
      </c>
      <c r="I3825" s="15"/>
    </row>
    <row r="3826" spans="1:9" s="8" customFormat="1" ht="21" customHeight="1" x14ac:dyDescent="0.6">
      <c r="A3826" s="7">
        <v>24.7167727</v>
      </c>
      <c r="B3826" s="7">
        <v>34.755926899999999</v>
      </c>
      <c r="C3826" s="7">
        <v>677612.31</v>
      </c>
      <c r="D3826" s="7">
        <v>2734725.22</v>
      </c>
      <c r="E3826" s="7">
        <v>475.34</v>
      </c>
      <c r="F3826" s="7">
        <v>41671.22</v>
      </c>
      <c r="G3826" s="7">
        <v>82746</v>
      </c>
      <c r="H3826" s="7">
        <f t="shared" si="106"/>
        <v>41625.22</v>
      </c>
      <c r="I3826" s="15"/>
    </row>
    <row r="3827" spans="1:9" s="8" customFormat="1" ht="21" customHeight="1" x14ac:dyDescent="0.6">
      <c r="A3827" s="7">
        <v>24.716788000000001</v>
      </c>
      <c r="B3827" s="7">
        <v>34.755949299999997</v>
      </c>
      <c r="C3827" s="7">
        <v>677614.55</v>
      </c>
      <c r="D3827" s="7">
        <v>2734726.94</v>
      </c>
      <c r="E3827" s="7">
        <v>475.35</v>
      </c>
      <c r="F3827" s="7">
        <v>41640.54</v>
      </c>
      <c r="G3827" s="7">
        <v>82748</v>
      </c>
      <c r="H3827" s="7">
        <f t="shared" si="106"/>
        <v>41594.54</v>
      </c>
      <c r="I3827" s="15"/>
    </row>
    <row r="3828" spans="1:9" s="8" customFormat="1" ht="21" customHeight="1" x14ac:dyDescent="0.6">
      <c r="A3828" s="7">
        <v>24.7167949</v>
      </c>
      <c r="B3828" s="7">
        <v>34.755972200000002</v>
      </c>
      <c r="C3828" s="7">
        <v>677616.86</v>
      </c>
      <c r="D3828" s="7">
        <v>2734727.74</v>
      </c>
      <c r="E3828" s="7">
        <v>475.36</v>
      </c>
      <c r="F3828" s="7">
        <v>41580.93</v>
      </c>
      <c r="G3828" s="7">
        <v>82750</v>
      </c>
      <c r="H3828" s="7">
        <f t="shared" si="106"/>
        <v>41534.93</v>
      </c>
      <c r="I3828" s="15"/>
    </row>
    <row r="3829" spans="1:9" s="8" customFormat="1" ht="21" customHeight="1" x14ac:dyDescent="0.6">
      <c r="A3829" s="7">
        <v>24.716805099999998</v>
      </c>
      <c r="B3829" s="7">
        <v>34.755996500000002</v>
      </c>
      <c r="C3829" s="7">
        <v>677619.3</v>
      </c>
      <c r="D3829" s="7">
        <v>2734728.9</v>
      </c>
      <c r="E3829" s="7">
        <v>475.13</v>
      </c>
      <c r="F3829" s="7">
        <v>41500.18</v>
      </c>
      <c r="G3829" s="7">
        <v>82752</v>
      </c>
      <c r="H3829" s="7">
        <f t="shared" si="106"/>
        <v>41454.18</v>
      </c>
      <c r="I3829" s="15"/>
    </row>
    <row r="3830" spans="1:9" s="8" customFormat="1" ht="21" customHeight="1" x14ac:dyDescent="0.6">
      <c r="A3830" s="7">
        <v>24.7168232</v>
      </c>
      <c r="B3830" s="7">
        <v>34.756013799999998</v>
      </c>
      <c r="C3830" s="7">
        <v>677621.03</v>
      </c>
      <c r="D3830" s="7">
        <v>2734730.93</v>
      </c>
      <c r="E3830" s="7">
        <v>474.92</v>
      </c>
      <c r="F3830" s="7">
        <v>41456.269999999997</v>
      </c>
      <c r="G3830" s="7">
        <v>82754</v>
      </c>
      <c r="H3830" s="7">
        <f t="shared" si="106"/>
        <v>41410.269999999997</v>
      </c>
      <c r="I3830" s="15"/>
    </row>
    <row r="3831" spans="1:9" s="8" customFormat="1" ht="21" customHeight="1" x14ac:dyDescent="0.6">
      <c r="A3831" s="7">
        <v>24.7168381</v>
      </c>
      <c r="B3831" s="7">
        <v>34.756035300000001</v>
      </c>
      <c r="C3831" s="7">
        <v>677623.19</v>
      </c>
      <c r="D3831" s="7">
        <v>2734732.61</v>
      </c>
      <c r="E3831" s="7">
        <v>474.75</v>
      </c>
      <c r="F3831" s="7">
        <v>41401.47</v>
      </c>
      <c r="G3831" s="7">
        <v>82756</v>
      </c>
      <c r="H3831" s="7">
        <f t="shared" si="106"/>
        <v>41355.47</v>
      </c>
      <c r="I3831" s="15"/>
    </row>
    <row r="3832" spans="1:9" s="8" customFormat="1" ht="21" customHeight="1" x14ac:dyDescent="0.6">
      <c r="A3832" s="7">
        <v>24.716855500000001</v>
      </c>
      <c r="B3832" s="7">
        <v>34.7560541</v>
      </c>
      <c r="C3832" s="7">
        <v>677625.06</v>
      </c>
      <c r="D3832" s="7">
        <v>2734734.56</v>
      </c>
      <c r="E3832" s="7">
        <v>474.52</v>
      </c>
      <c r="F3832" s="7">
        <v>41370.75</v>
      </c>
      <c r="G3832" s="7">
        <v>82758</v>
      </c>
      <c r="H3832" s="7">
        <f t="shared" si="106"/>
        <v>41324.75</v>
      </c>
      <c r="I3832" s="15"/>
    </row>
    <row r="3833" spans="1:9" s="8" customFormat="1" ht="21" customHeight="1" x14ac:dyDescent="0.6">
      <c r="A3833" s="7">
        <v>24.7168727</v>
      </c>
      <c r="B3833" s="7">
        <v>34.756071400000003</v>
      </c>
      <c r="C3833" s="7">
        <v>677626.78</v>
      </c>
      <c r="D3833" s="7">
        <v>2734736.49</v>
      </c>
      <c r="E3833" s="7">
        <v>474.25</v>
      </c>
      <c r="F3833" s="7">
        <v>41403.58</v>
      </c>
      <c r="G3833" s="7">
        <v>82800</v>
      </c>
      <c r="H3833" s="7">
        <f t="shared" si="106"/>
        <v>41357.58</v>
      </c>
      <c r="I3833" s="15"/>
    </row>
    <row r="3834" spans="1:9" s="8" customFormat="1" ht="21" customHeight="1" x14ac:dyDescent="0.6">
      <c r="A3834" s="7">
        <v>24.716893299999999</v>
      </c>
      <c r="B3834" s="7">
        <v>34.7560869</v>
      </c>
      <c r="C3834" s="7">
        <v>677628.33</v>
      </c>
      <c r="D3834" s="7">
        <v>2734738.78</v>
      </c>
      <c r="E3834" s="7">
        <v>473.95</v>
      </c>
      <c r="F3834" s="7">
        <v>41450.379999999997</v>
      </c>
      <c r="G3834" s="7">
        <v>82802</v>
      </c>
      <c r="H3834" s="7">
        <f t="shared" si="106"/>
        <v>41404.379999999997</v>
      </c>
      <c r="I3834" s="15"/>
    </row>
    <row r="3835" spans="1:9" s="8" customFormat="1" ht="21" customHeight="1" x14ac:dyDescent="0.6">
      <c r="A3835" s="7">
        <v>24.716907899999999</v>
      </c>
      <c r="B3835" s="7">
        <v>34.7561076</v>
      </c>
      <c r="C3835" s="7">
        <v>677630.39</v>
      </c>
      <c r="D3835" s="7">
        <v>2734740.43</v>
      </c>
      <c r="E3835" s="7">
        <v>473.73</v>
      </c>
      <c r="F3835" s="7">
        <v>41336.5</v>
      </c>
      <c r="G3835" s="7">
        <v>82804</v>
      </c>
      <c r="H3835" s="7">
        <f t="shared" si="106"/>
        <v>41290.5</v>
      </c>
      <c r="I3835" s="15"/>
    </row>
    <row r="3836" spans="1:9" s="8" customFormat="1" ht="21" customHeight="1" x14ac:dyDescent="0.6">
      <c r="A3836" s="7">
        <v>24.716922799999999</v>
      </c>
      <c r="B3836" s="7">
        <v>34.756128599999997</v>
      </c>
      <c r="C3836" s="7">
        <v>677632.5</v>
      </c>
      <c r="D3836" s="7">
        <v>2734742.11</v>
      </c>
      <c r="E3836" s="7">
        <v>473.51</v>
      </c>
      <c r="F3836" s="7">
        <v>41088.050000000003</v>
      </c>
      <c r="G3836" s="7">
        <v>82806</v>
      </c>
      <c r="H3836" s="7">
        <f t="shared" si="106"/>
        <v>41042.050000000003</v>
      </c>
      <c r="I3836" s="15"/>
    </row>
    <row r="3837" spans="1:9" s="8" customFormat="1" ht="21" customHeight="1" x14ac:dyDescent="0.6">
      <c r="A3837" s="7">
        <v>24.7169387</v>
      </c>
      <c r="B3837" s="7">
        <v>34.756147300000002</v>
      </c>
      <c r="C3837" s="7">
        <v>677634.37</v>
      </c>
      <c r="D3837" s="7">
        <v>2734743.9</v>
      </c>
      <c r="E3837" s="7">
        <v>473.32</v>
      </c>
      <c r="F3837" s="7">
        <v>40924.160000000003</v>
      </c>
      <c r="G3837" s="7">
        <v>82808</v>
      </c>
      <c r="H3837" s="7">
        <f t="shared" si="106"/>
        <v>40878.160000000003</v>
      </c>
      <c r="I3837" s="15"/>
    </row>
    <row r="3838" spans="1:9" s="8" customFormat="1" ht="21" customHeight="1" x14ac:dyDescent="0.6">
      <c r="A3838" s="7">
        <v>24.716955299999999</v>
      </c>
      <c r="B3838" s="7">
        <v>34.756164400000003</v>
      </c>
      <c r="C3838" s="7">
        <v>677636.08</v>
      </c>
      <c r="D3838" s="7">
        <v>2734745.76</v>
      </c>
      <c r="E3838" s="7">
        <v>473.12</v>
      </c>
      <c r="F3838" s="7">
        <v>40826.49</v>
      </c>
      <c r="G3838" s="7">
        <v>82810</v>
      </c>
      <c r="H3838" s="7">
        <f t="shared" si="106"/>
        <v>40780.49</v>
      </c>
      <c r="I3838" s="15"/>
    </row>
    <row r="3839" spans="1:9" s="8" customFormat="1" ht="21" customHeight="1" x14ac:dyDescent="0.6">
      <c r="A3839" s="7">
        <v>24.7169645</v>
      </c>
      <c r="B3839" s="7">
        <v>34.756185199999997</v>
      </c>
      <c r="C3839" s="7">
        <v>677638.17</v>
      </c>
      <c r="D3839" s="7">
        <v>2734746.8</v>
      </c>
      <c r="E3839" s="7">
        <v>473.12</v>
      </c>
      <c r="F3839" s="7">
        <v>40752.26</v>
      </c>
      <c r="G3839" s="7">
        <v>82812</v>
      </c>
      <c r="H3839" s="7">
        <f t="shared" si="106"/>
        <v>40706.26</v>
      </c>
      <c r="I3839" s="15"/>
    </row>
    <row r="3840" spans="1:9" s="8" customFormat="1" ht="21" customHeight="1" x14ac:dyDescent="0.6">
      <c r="A3840" s="7">
        <v>24.7169682</v>
      </c>
      <c r="B3840" s="7">
        <v>34.756205700000002</v>
      </c>
      <c r="C3840" s="7">
        <v>677640.24</v>
      </c>
      <c r="D3840" s="7">
        <v>2734747.24</v>
      </c>
      <c r="E3840" s="7">
        <v>473.03</v>
      </c>
      <c r="F3840" s="7">
        <v>40673.94</v>
      </c>
      <c r="G3840" s="7">
        <v>82814</v>
      </c>
      <c r="H3840" s="7">
        <f t="shared" si="106"/>
        <v>40627.94</v>
      </c>
      <c r="I3840" s="15"/>
    </row>
    <row r="3841" spans="1:9" s="8" customFormat="1" ht="21" customHeight="1" x14ac:dyDescent="0.6">
      <c r="A3841" s="7">
        <v>24.7169673</v>
      </c>
      <c r="B3841" s="7">
        <v>34.756224600000003</v>
      </c>
      <c r="C3841" s="7">
        <v>677642.15</v>
      </c>
      <c r="D3841" s="7">
        <v>2734747.16</v>
      </c>
      <c r="E3841" s="7">
        <v>473.05</v>
      </c>
      <c r="F3841" s="7">
        <v>40623.42</v>
      </c>
      <c r="G3841" s="7">
        <v>82816</v>
      </c>
      <c r="H3841" s="7">
        <f t="shared" si="106"/>
        <v>40577.42</v>
      </c>
      <c r="I3841" s="15"/>
    </row>
    <row r="3842" spans="1:9" s="8" customFormat="1" ht="21" customHeight="1" x14ac:dyDescent="0.6">
      <c r="A3842" s="7">
        <v>24.716966500000002</v>
      </c>
      <c r="B3842" s="7">
        <v>34.756238400000001</v>
      </c>
      <c r="C3842" s="7">
        <v>677643.55</v>
      </c>
      <c r="D3842" s="7">
        <v>2734747.09</v>
      </c>
      <c r="E3842" s="7">
        <v>473.28</v>
      </c>
      <c r="F3842" s="7">
        <v>40590.629999999997</v>
      </c>
      <c r="G3842" s="7">
        <v>82818</v>
      </c>
      <c r="H3842" s="7">
        <f t="shared" si="106"/>
        <v>40544.629999999997</v>
      </c>
      <c r="I3842" s="15"/>
    </row>
    <row r="3843" spans="1:9" s="8" customFormat="1" ht="21" customHeight="1" x14ac:dyDescent="0.6">
      <c r="A3843" s="7">
        <v>24.716965099999999</v>
      </c>
      <c r="B3843" s="7">
        <v>34.756238600000003</v>
      </c>
      <c r="C3843" s="7">
        <v>677643.57</v>
      </c>
      <c r="D3843" s="7">
        <v>2734746.94</v>
      </c>
      <c r="E3843" s="7">
        <v>473.24</v>
      </c>
      <c r="F3843" s="7">
        <v>40586.269999999997</v>
      </c>
      <c r="G3843" s="7">
        <v>82820</v>
      </c>
      <c r="H3843" s="7">
        <f t="shared" si="106"/>
        <v>40540.269999999997</v>
      </c>
      <c r="I3843" s="15"/>
    </row>
    <row r="3844" spans="1:9" s="8" customFormat="1" ht="21" customHeight="1" x14ac:dyDescent="0.6">
      <c r="A3844" s="7">
        <v>24.716964099999998</v>
      </c>
      <c r="B3844" s="7">
        <v>34.7562389</v>
      </c>
      <c r="C3844" s="7">
        <v>677643.61</v>
      </c>
      <c r="D3844" s="7">
        <v>2734746.83</v>
      </c>
      <c r="E3844" s="7">
        <v>473.15</v>
      </c>
      <c r="F3844" s="7">
        <v>40588.269999999997</v>
      </c>
      <c r="G3844" s="7">
        <v>82822</v>
      </c>
      <c r="H3844" s="7">
        <f t="shared" si="106"/>
        <v>40542.269999999997</v>
      </c>
      <c r="I3844" s="15"/>
    </row>
    <row r="3845" spans="1:9" s="8" customFormat="1" ht="21" customHeight="1" x14ac:dyDescent="0.6">
      <c r="A3845" s="7">
        <v>24.7169624</v>
      </c>
      <c r="B3845" s="7">
        <v>34.756254900000002</v>
      </c>
      <c r="C3845" s="7">
        <v>677645.23</v>
      </c>
      <c r="D3845" s="7">
        <v>2734746.66</v>
      </c>
      <c r="E3845" s="7">
        <v>473.04</v>
      </c>
      <c r="F3845" s="7">
        <v>40563.72</v>
      </c>
      <c r="G3845" s="7">
        <v>82824</v>
      </c>
      <c r="H3845" s="7">
        <f t="shared" si="106"/>
        <v>40517.72</v>
      </c>
      <c r="I3845" s="15"/>
    </row>
    <row r="3846" spans="1:9" s="8" customFormat="1" ht="21" customHeight="1" x14ac:dyDescent="0.6">
      <c r="A3846" s="7">
        <v>24.7169624</v>
      </c>
      <c r="B3846" s="7">
        <v>34.7562766</v>
      </c>
      <c r="C3846" s="7">
        <v>677647.42</v>
      </c>
      <c r="D3846" s="7">
        <v>2734746.69</v>
      </c>
      <c r="E3846" s="7">
        <v>472.99</v>
      </c>
      <c r="F3846" s="7">
        <v>40520.83</v>
      </c>
      <c r="G3846" s="7">
        <v>82826</v>
      </c>
      <c r="H3846" s="7">
        <f t="shared" si="106"/>
        <v>40474.83</v>
      </c>
      <c r="I3846" s="15"/>
    </row>
    <row r="3847" spans="1:9" s="8" customFormat="1" ht="21" customHeight="1" x14ac:dyDescent="0.6">
      <c r="A3847" s="7">
        <v>24.716966800000002</v>
      </c>
      <c r="B3847" s="7">
        <v>34.756299200000001</v>
      </c>
      <c r="C3847" s="7">
        <v>677649.7</v>
      </c>
      <c r="D3847" s="7">
        <v>2734747.2</v>
      </c>
      <c r="E3847" s="7">
        <v>472.96</v>
      </c>
      <c r="F3847" s="7">
        <v>40466.86</v>
      </c>
      <c r="G3847" s="7">
        <v>82828</v>
      </c>
      <c r="H3847" s="7">
        <f t="shared" si="106"/>
        <v>40420.86</v>
      </c>
      <c r="I3847" s="15"/>
    </row>
    <row r="3848" spans="1:9" s="8" customFormat="1" ht="21" customHeight="1" x14ac:dyDescent="0.6">
      <c r="A3848" s="7">
        <v>24.7169724</v>
      </c>
      <c r="B3848" s="7">
        <v>34.756324200000002</v>
      </c>
      <c r="C3848" s="7">
        <v>677652.22</v>
      </c>
      <c r="D3848" s="7">
        <v>2734747.85</v>
      </c>
      <c r="E3848" s="7">
        <v>472.92</v>
      </c>
      <c r="F3848" s="7">
        <v>40428.67</v>
      </c>
      <c r="G3848" s="7">
        <v>82830</v>
      </c>
      <c r="H3848" s="7">
        <f t="shared" si="106"/>
        <v>40382.67</v>
      </c>
      <c r="I3848" s="15"/>
    </row>
    <row r="3849" spans="1:9" s="8" customFormat="1" ht="21" customHeight="1" x14ac:dyDescent="0.6">
      <c r="A3849" s="7">
        <v>24.716975399999999</v>
      </c>
      <c r="B3849" s="7">
        <v>34.756348600000003</v>
      </c>
      <c r="C3849" s="7">
        <v>677654.68</v>
      </c>
      <c r="D3849" s="7">
        <v>2734748.23</v>
      </c>
      <c r="E3849" s="7">
        <v>472.92</v>
      </c>
      <c r="F3849" s="7">
        <v>40445.269999999997</v>
      </c>
      <c r="G3849" s="7">
        <v>82832</v>
      </c>
      <c r="H3849" s="7">
        <f t="shared" si="106"/>
        <v>40399.269999999997</v>
      </c>
      <c r="I3849" s="15"/>
    </row>
    <row r="3850" spans="1:9" s="8" customFormat="1" ht="21" customHeight="1" x14ac:dyDescent="0.6">
      <c r="A3850" s="7">
        <v>24.716975699999999</v>
      </c>
      <c r="B3850" s="7">
        <v>34.756373000000004</v>
      </c>
      <c r="C3850" s="7">
        <v>677657.15</v>
      </c>
      <c r="D3850" s="7">
        <v>2734748.29</v>
      </c>
      <c r="E3850" s="7">
        <v>472.8</v>
      </c>
      <c r="F3850" s="7">
        <v>40446.36</v>
      </c>
      <c r="G3850" s="7">
        <v>82834</v>
      </c>
      <c r="H3850" s="7">
        <f t="shared" si="106"/>
        <v>40400.36</v>
      </c>
      <c r="I3850" s="15"/>
    </row>
    <row r="3851" spans="1:9" s="8" customFormat="1" ht="21" customHeight="1" x14ac:dyDescent="0.6">
      <c r="A3851" s="7">
        <v>24.7169773</v>
      </c>
      <c r="B3851" s="7">
        <v>34.756399799999997</v>
      </c>
      <c r="C3851" s="7">
        <v>677659.86</v>
      </c>
      <c r="D3851" s="7">
        <v>2734748.5</v>
      </c>
      <c r="E3851" s="7">
        <v>472.78</v>
      </c>
      <c r="F3851" s="7">
        <v>40442.99</v>
      </c>
      <c r="G3851" s="7">
        <v>82836</v>
      </c>
      <c r="H3851" s="7">
        <f t="shared" si="106"/>
        <v>40396.99</v>
      </c>
      <c r="I3851" s="15"/>
    </row>
    <row r="3852" spans="1:9" s="8" customFormat="1" ht="21" customHeight="1" x14ac:dyDescent="0.6">
      <c r="A3852" s="7">
        <v>24.716981799999999</v>
      </c>
      <c r="B3852" s="7">
        <v>34.7564268</v>
      </c>
      <c r="C3852" s="7">
        <v>677662.59</v>
      </c>
      <c r="D3852" s="7">
        <v>2734749.04</v>
      </c>
      <c r="E3852" s="7">
        <v>472.72</v>
      </c>
      <c r="F3852" s="7">
        <v>40478.53</v>
      </c>
      <c r="G3852" s="7">
        <v>82838</v>
      </c>
      <c r="H3852" s="7">
        <f t="shared" si="106"/>
        <v>40432.53</v>
      </c>
      <c r="I3852" s="15"/>
    </row>
    <row r="3853" spans="1:9" s="8" customFormat="1" ht="21" customHeight="1" x14ac:dyDescent="0.6">
      <c r="A3853" s="7">
        <v>24.716985000000001</v>
      </c>
      <c r="B3853" s="7">
        <v>34.756451499999997</v>
      </c>
      <c r="C3853" s="7">
        <v>677665.08</v>
      </c>
      <c r="D3853" s="7">
        <v>2734749.42</v>
      </c>
      <c r="E3853" s="7">
        <v>472.92</v>
      </c>
      <c r="F3853" s="7">
        <v>40545.919999999998</v>
      </c>
      <c r="G3853" s="7">
        <v>82840</v>
      </c>
      <c r="H3853" s="7">
        <f t="shared" si="106"/>
        <v>40499.919999999998</v>
      </c>
      <c r="I3853" s="15"/>
    </row>
    <row r="3854" spans="1:9" s="8" customFormat="1" ht="21" customHeight="1" x14ac:dyDescent="0.6">
      <c r="A3854" s="7">
        <v>24.716988400000002</v>
      </c>
      <c r="B3854" s="7">
        <v>34.756475100000003</v>
      </c>
      <c r="C3854" s="7">
        <v>677667.46</v>
      </c>
      <c r="D3854" s="7">
        <v>2734749.82</v>
      </c>
      <c r="E3854" s="7">
        <v>473.1</v>
      </c>
      <c r="F3854" s="7">
        <v>40615.26</v>
      </c>
      <c r="G3854" s="7">
        <v>82842</v>
      </c>
      <c r="H3854" s="7">
        <f t="shared" si="106"/>
        <v>40569.26</v>
      </c>
      <c r="I3854" s="15"/>
    </row>
    <row r="3855" spans="1:9" s="8" customFormat="1" ht="21" customHeight="1" x14ac:dyDescent="0.6">
      <c r="A3855" s="7">
        <v>24.716993599999999</v>
      </c>
      <c r="B3855" s="7">
        <v>34.756498499999999</v>
      </c>
      <c r="C3855" s="7">
        <v>677669.82</v>
      </c>
      <c r="D3855" s="7">
        <v>2734750.43</v>
      </c>
      <c r="E3855" s="7">
        <v>473.06</v>
      </c>
      <c r="F3855" s="7">
        <v>40674.86</v>
      </c>
      <c r="G3855" s="7">
        <v>82844</v>
      </c>
      <c r="H3855" s="7">
        <f t="shared" si="106"/>
        <v>40628.86</v>
      </c>
      <c r="I3855" s="15"/>
    </row>
    <row r="3856" spans="1:9" s="8" customFormat="1" ht="21" customHeight="1" x14ac:dyDescent="0.6">
      <c r="A3856" s="7">
        <v>24.716993899999999</v>
      </c>
      <c r="B3856" s="7">
        <v>34.756513599999998</v>
      </c>
      <c r="C3856" s="7">
        <v>677671.35</v>
      </c>
      <c r="D3856" s="7">
        <v>2734750.48</v>
      </c>
      <c r="E3856" s="7">
        <v>473.18</v>
      </c>
      <c r="F3856" s="7">
        <v>40740.18</v>
      </c>
      <c r="G3856" s="7">
        <v>82846</v>
      </c>
      <c r="H3856" s="7">
        <f t="shared" si="106"/>
        <v>40694.18</v>
      </c>
      <c r="I3856" s="15"/>
    </row>
    <row r="3857" spans="1:9" s="8" customFormat="1" ht="21" customHeight="1" x14ac:dyDescent="0.6">
      <c r="A3857" s="7">
        <v>24.716987199999998</v>
      </c>
      <c r="B3857" s="7">
        <v>34.756529200000003</v>
      </c>
      <c r="C3857" s="7">
        <v>677672.94</v>
      </c>
      <c r="D3857" s="7">
        <v>2734749.77</v>
      </c>
      <c r="E3857" s="7">
        <v>473.16</v>
      </c>
      <c r="F3857" s="7">
        <v>40771.07</v>
      </c>
      <c r="G3857" s="7">
        <v>82848</v>
      </c>
      <c r="H3857" s="7">
        <f t="shared" si="106"/>
        <v>40725.07</v>
      </c>
      <c r="I3857" s="15"/>
    </row>
    <row r="3858" spans="1:9" s="8" customFormat="1" ht="21" customHeight="1" x14ac:dyDescent="0.6">
      <c r="A3858" s="7">
        <v>24.716972999999999</v>
      </c>
      <c r="B3858" s="7">
        <v>34.756546999999998</v>
      </c>
      <c r="C3858" s="7">
        <v>677674.76</v>
      </c>
      <c r="D3858" s="7">
        <v>2734748.22</v>
      </c>
      <c r="E3858" s="7">
        <v>473</v>
      </c>
      <c r="F3858" s="7">
        <v>40734.25</v>
      </c>
      <c r="G3858" s="7">
        <v>82850</v>
      </c>
      <c r="H3858" s="7">
        <f t="shared" si="106"/>
        <v>40688.25</v>
      </c>
      <c r="I3858" s="15"/>
    </row>
    <row r="3859" spans="1:9" s="8" customFormat="1" ht="21" customHeight="1" x14ac:dyDescent="0.6">
      <c r="A3859" s="7">
        <v>24.716951699999999</v>
      </c>
      <c r="B3859" s="7">
        <v>34.756555400000003</v>
      </c>
      <c r="C3859" s="7">
        <v>677675.64</v>
      </c>
      <c r="D3859" s="7">
        <v>2734745.87</v>
      </c>
      <c r="E3859" s="7">
        <v>473.13</v>
      </c>
      <c r="F3859" s="7">
        <v>40650.53</v>
      </c>
      <c r="G3859" s="7">
        <v>82852</v>
      </c>
      <c r="H3859" s="7">
        <f t="shared" si="106"/>
        <v>40604.53</v>
      </c>
      <c r="I3859" s="15"/>
    </row>
    <row r="3860" spans="1:9" s="8" customFormat="1" ht="21" customHeight="1" x14ac:dyDescent="0.6">
      <c r="A3860" s="7">
        <v>24.716927299999998</v>
      </c>
      <c r="B3860" s="7">
        <v>34.756555300000002</v>
      </c>
      <c r="C3860" s="7">
        <v>677675.66</v>
      </c>
      <c r="D3860" s="7">
        <v>2734743.16</v>
      </c>
      <c r="E3860" s="7">
        <v>473.14</v>
      </c>
      <c r="F3860" s="7">
        <v>40599.629999999997</v>
      </c>
      <c r="G3860" s="7">
        <v>82854</v>
      </c>
      <c r="H3860" s="7">
        <f t="shared" si="106"/>
        <v>40553.629999999997</v>
      </c>
      <c r="I3860" s="15"/>
    </row>
    <row r="3861" spans="1:9" s="8" customFormat="1" ht="21" customHeight="1" x14ac:dyDescent="0.6">
      <c r="A3861" s="7">
        <v>24.7169025</v>
      </c>
      <c r="B3861" s="7">
        <v>34.756554199999997</v>
      </c>
      <c r="C3861" s="7">
        <v>677675.59</v>
      </c>
      <c r="D3861" s="7">
        <v>2734740.41</v>
      </c>
      <c r="E3861" s="7">
        <v>473.38</v>
      </c>
      <c r="F3861" s="7">
        <v>40530.94</v>
      </c>
      <c r="G3861" s="7">
        <v>82856</v>
      </c>
      <c r="H3861" s="7">
        <f t="shared" si="106"/>
        <v>40484.94</v>
      </c>
      <c r="I3861" s="15"/>
    </row>
    <row r="3862" spans="1:9" s="8" customFormat="1" ht="21" customHeight="1" x14ac:dyDescent="0.6">
      <c r="A3862" s="7">
        <v>24.716881999999998</v>
      </c>
      <c r="B3862" s="7">
        <v>34.756557899999997</v>
      </c>
      <c r="C3862" s="7">
        <v>677675.99</v>
      </c>
      <c r="D3862" s="7">
        <v>2734738.15</v>
      </c>
      <c r="E3862" s="7">
        <v>473.52</v>
      </c>
      <c r="F3862" s="7">
        <v>40472.519999999997</v>
      </c>
      <c r="G3862" s="7">
        <v>82858</v>
      </c>
      <c r="H3862" s="7">
        <f t="shared" si="106"/>
        <v>40426.519999999997</v>
      </c>
      <c r="I3862" s="15"/>
    </row>
    <row r="3863" spans="1:9" s="8" customFormat="1" ht="21" customHeight="1" x14ac:dyDescent="0.6">
      <c r="A3863" s="7">
        <v>24.716866400000001</v>
      </c>
      <c r="B3863" s="7">
        <v>34.756562600000002</v>
      </c>
      <c r="C3863" s="7">
        <v>677676.49</v>
      </c>
      <c r="D3863" s="7">
        <v>2734736.42</v>
      </c>
      <c r="E3863" s="7">
        <v>473.55</v>
      </c>
      <c r="F3863" s="7">
        <v>40467.06</v>
      </c>
      <c r="G3863" s="7">
        <v>82900</v>
      </c>
      <c r="H3863" s="7">
        <f t="shared" si="106"/>
        <v>40421.06</v>
      </c>
      <c r="I3863" s="15"/>
    </row>
    <row r="3864" spans="1:9" s="8" customFormat="1" ht="21" customHeight="1" x14ac:dyDescent="0.6">
      <c r="A3864" s="7">
        <v>24.716844999999999</v>
      </c>
      <c r="B3864" s="7">
        <v>34.756562600000002</v>
      </c>
      <c r="C3864" s="7">
        <v>677676.52</v>
      </c>
      <c r="D3864" s="7">
        <v>2734734.06</v>
      </c>
      <c r="E3864" s="7">
        <v>473.67</v>
      </c>
      <c r="F3864" s="7">
        <v>40448.019999999997</v>
      </c>
      <c r="G3864" s="7">
        <v>82902</v>
      </c>
      <c r="H3864" s="7">
        <f t="shared" si="106"/>
        <v>40402.019999999997</v>
      </c>
      <c r="I3864" s="15"/>
    </row>
    <row r="3865" spans="1:9" s="8" customFormat="1" ht="21" customHeight="1" x14ac:dyDescent="0.6">
      <c r="A3865" s="7">
        <v>24.7168198</v>
      </c>
      <c r="B3865" s="7">
        <v>34.756557999999998</v>
      </c>
      <c r="C3865" s="7">
        <v>677676.09</v>
      </c>
      <c r="D3865" s="7">
        <v>2734731.26</v>
      </c>
      <c r="E3865" s="7">
        <v>473.73</v>
      </c>
      <c r="F3865" s="7">
        <v>40407.279999999999</v>
      </c>
      <c r="G3865" s="7">
        <v>82904</v>
      </c>
      <c r="H3865" s="7">
        <f t="shared" si="106"/>
        <v>40361.279999999999</v>
      </c>
      <c r="I3865" s="15"/>
    </row>
    <row r="3866" spans="1:9" s="8" customFormat="1" ht="21" customHeight="1" x14ac:dyDescent="0.6">
      <c r="A3866" s="7">
        <v>24.716794700000001</v>
      </c>
      <c r="B3866" s="7">
        <v>34.756559099999997</v>
      </c>
      <c r="C3866" s="7">
        <v>677676.24</v>
      </c>
      <c r="D3866" s="7">
        <v>2734728.48</v>
      </c>
      <c r="E3866" s="7">
        <v>473.81</v>
      </c>
      <c r="F3866" s="7">
        <v>40403.26</v>
      </c>
      <c r="G3866" s="7">
        <v>82906</v>
      </c>
      <c r="H3866" s="7">
        <f t="shared" si="106"/>
        <v>40357.26</v>
      </c>
      <c r="I3866" s="15"/>
    </row>
    <row r="3867" spans="1:9" s="8" customFormat="1" ht="21" customHeight="1" x14ac:dyDescent="0.6">
      <c r="A3867" s="7">
        <v>24.716769599999999</v>
      </c>
      <c r="B3867" s="7">
        <v>34.756563499999999</v>
      </c>
      <c r="C3867" s="7">
        <v>677676.72</v>
      </c>
      <c r="D3867" s="7">
        <v>2734725.71</v>
      </c>
      <c r="E3867" s="7">
        <v>473.92</v>
      </c>
      <c r="F3867" s="7">
        <v>40382.57</v>
      </c>
      <c r="G3867" s="7">
        <v>82908</v>
      </c>
      <c r="H3867" s="7">
        <f t="shared" si="106"/>
        <v>40336.57</v>
      </c>
      <c r="I3867" s="15"/>
    </row>
    <row r="3868" spans="1:9" s="8" customFormat="1" ht="21" customHeight="1" x14ac:dyDescent="0.6">
      <c r="A3868" s="7">
        <v>24.716745400000001</v>
      </c>
      <c r="B3868" s="7">
        <v>34.756568700000003</v>
      </c>
      <c r="C3868" s="7">
        <v>677677.28</v>
      </c>
      <c r="D3868" s="7">
        <v>2734723.04</v>
      </c>
      <c r="E3868" s="7">
        <v>474.11</v>
      </c>
      <c r="F3868" s="7">
        <v>40377.81</v>
      </c>
      <c r="G3868" s="7">
        <v>82910</v>
      </c>
      <c r="H3868" s="7">
        <f t="shared" si="106"/>
        <v>40331.81</v>
      </c>
      <c r="I3868" s="15"/>
    </row>
    <row r="3869" spans="1:9" s="8" customFormat="1" ht="21" customHeight="1" x14ac:dyDescent="0.6">
      <c r="A3869" s="7">
        <v>24.716721700000001</v>
      </c>
      <c r="B3869" s="7">
        <v>34.7565746</v>
      </c>
      <c r="C3869" s="7">
        <v>677677.91</v>
      </c>
      <c r="D3869" s="7">
        <v>2734720.42</v>
      </c>
      <c r="E3869" s="7">
        <v>474.14</v>
      </c>
      <c r="F3869" s="7">
        <v>40401.01</v>
      </c>
      <c r="G3869" s="7">
        <v>82912</v>
      </c>
      <c r="H3869" s="7">
        <f t="shared" si="106"/>
        <v>40355.01</v>
      </c>
      <c r="I3869" s="15"/>
    </row>
    <row r="3870" spans="1:9" s="8" customFormat="1" ht="21" customHeight="1" x14ac:dyDescent="0.6">
      <c r="A3870" s="7">
        <v>24.716697400000001</v>
      </c>
      <c r="B3870" s="7">
        <v>34.75658</v>
      </c>
      <c r="C3870" s="7">
        <v>677678.49</v>
      </c>
      <c r="D3870" s="7">
        <v>2734717.73</v>
      </c>
      <c r="E3870" s="7">
        <v>474.2</v>
      </c>
      <c r="F3870" s="7">
        <v>40439.21</v>
      </c>
      <c r="G3870" s="7">
        <v>82914</v>
      </c>
      <c r="H3870" s="7">
        <f t="shared" si="106"/>
        <v>40393.21</v>
      </c>
      <c r="I3870" s="15"/>
    </row>
    <row r="3871" spans="1:9" s="8" customFormat="1" ht="21" customHeight="1" x14ac:dyDescent="0.6">
      <c r="A3871" s="7">
        <v>24.716673700000001</v>
      </c>
      <c r="B3871" s="7">
        <v>34.756586400000003</v>
      </c>
      <c r="C3871" s="7">
        <v>677679.17</v>
      </c>
      <c r="D3871" s="7">
        <v>2734715.11</v>
      </c>
      <c r="E3871" s="7">
        <v>474.33</v>
      </c>
      <c r="F3871" s="7">
        <v>40503.379999999997</v>
      </c>
      <c r="G3871" s="7">
        <v>82916</v>
      </c>
      <c r="H3871" s="7">
        <f t="shared" si="106"/>
        <v>40457.379999999997</v>
      </c>
      <c r="I3871" s="15"/>
    </row>
    <row r="3872" spans="1:9" s="8" customFormat="1" ht="21" customHeight="1" x14ac:dyDescent="0.6">
      <c r="A3872" s="7">
        <v>24.7166481</v>
      </c>
      <c r="B3872" s="7">
        <v>34.756587400000001</v>
      </c>
      <c r="C3872" s="7">
        <v>677679.31</v>
      </c>
      <c r="D3872" s="7">
        <v>2734712.28</v>
      </c>
      <c r="E3872" s="7">
        <v>474.47</v>
      </c>
      <c r="F3872" s="7">
        <v>40513.589999999997</v>
      </c>
      <c r="G3872" s="7">
        <v>82918</v>
      </c>
      <c r="H3872" s="7">
        <f t="shared" ref="H3872:H3922" si="107">SUM(F3872-46)</f>
        <v>40467.589999999997</v>
      </c>
      <c r="I3872" s="15"/>
    </row>
    <row r="3873" spans="1:9" s="8" customFormat="1" ht="21" customHeight="1" x14ac:dyDescent="0.6">
      <c r="A3873" s="7">
        <v>24.716621499999999</v>
      </c>
      <c r="B3873" s="7">
        <v>34.756585999999999</v>
      </c>
      <c r="C3873" s="7">
        <v>677679.21</v>
      </c>
      <c r="D3873" s="7">
        <v>2734709.34</v>
      </c>
      <c r="E3873" s="7">
        <v>474.54</v>
      </c>
      <c r="F3873" s="7">
        <v>40562.949999999997</v>
      </c>
      <c r="G3873" s="7">
        <v>82920</v>
      </c>
      <c r="H3873" s="7">
        <f t="shared" si="107"/>
        <v>40516.949999999997</v>
      </c>
      <c r="I3873" s="15"/>
    </row>
    <row r="3874" spans="1:9" s="8" customFormat="1" ht="21" customHeight="1" x14ac:dyDescent="0.6">
      <c r="A3874" s="7">
        <v>24.716597199999999</v>
      </c>
      <c r="B3874" s="7">
        <v>34.756589900000002</v>
      </c>
      <c r="C3874" s="7">
        <v>677679.63</v>
      </c>
      <c r="D3874" s="7">
        <v>2734706.64</v>
      </c>
      <c r="E3874" s="7">
        <v>474.67</v>
      </c>
      <c r="F3874" s="7">
        <v>40608.89</v>
      </c>
      <c r="G3874" s="7">
        <v>82922</v>
      </c>
      <c r="H3874" s="7">
        <f t="shared" si="107"/>
        <v>40562.89</v>
      </c>
      <c r="I3874" s="15"/>
    </row>
    <row r="3875" spans="1:9" s="8" customFormat="1" ht="21" customHeight="1" x14ac:dyDescent="0.6">
      <c r="A3875" s="7">
        <v>24.716571099999999</v>
      </c>
      <c r="B3875" s="7">
        <v>34.756593500000001</v>
      </c>
      <c r="C3875" s="7">
        <v>677680.03</v>
      </c>
      <c r="D3875" s="7">
        <v>2734703.76</v>
      </c>
      <c r="E3875" s="7">
        <v>474.72</v>
      </c>
      <c r="F3875" s="7">
        <v>40660.07</v>
      </c>
      <c r="G3875" s="7">
        <v>82924</v>
      </c>
      <c r="H3875" s="7">
        <f t="shared" si="107"/>
        <v>40614.07</v>
      </c>
      <c r="I3875" s="15"/>
    </row>
    <row r="3876" spans="1:9" s="8" customFormat="1" ht="21" customHeight="1" x14ac:dyDescent="0.6">
      <c r="A3876" s="7">
        <v>24.716543699999999</v>
      </c>
      <c r="B3876" s="7">
        <v>34.756594999999997</v>
      </c>
      <c r="C3876" s="7">
        <v>677680.23</v>
      </c>
      <c r="D3876" s="7">
        <v>2734700.73</v>
      </c>
      <c r="E3876" s="7">
        <v>474.91</v>
      </c>
      <c r="F3876" s="7">
        <v>40624.79</v>
      </c>
      <c r="G3876" s="7">
        <v>82926</v>
      </c>
      <c r="H3876" s="7">
        <f t="shared" si="107"/>
        <v>40578.79</v>
      </c>
      <c r="I3876" s="15"/>
    </row>
    <row r="3877" spans="1:9" s="8" customFormat="1" ht="21" customHeight="1" x14ac:dyDescent="0.6">
      <c r="A3877" s="7">
        <v>24.716518399999998</v>
      </c>
      <c r="B3877" s="7">
        <v>34.756589900000002</v>
      </c>
      <c r="C3877" s="7">
        <v>677679.75</v>
      </c>
      <c r="D3877" s="7">
        <v>2734697.91</v>
      </c>
      <c r="E3877" s="7">
        <v>475.13</v>
      </c>
      <c r="F3877" s="7">
        <v>40698.54</v>
      </c>
      <c r="G3877" s="7">
        <v>82928</v>
      </c>
      <c r="H3877" s="7">
        <f t="shared" si="107"/>
        <v>40652.54</v>
      </c>
      <c r="I3877" s="15"/>
    </row>
    <row r="3878" spans="1:9" s="8" customFormat="1" ht="21" customHeight="1" x14ac:dyDescent="0.6">
      <c r="A3878" s="7">
        <v>24.716493799999999</v>
      </c>
      <c r="B3878" s="7">
        <v>34.756590500000001</v>
      </c>
      <c r="C3878" s="7">
        <v>677679.84</v>
      </c>
      <c r="D3878" s="7">
        <v>2734695.19</v>
      </c>
      <c r="E3878" s="7">
        <v>475.22</v>
      </c>
      <c r="F3878" s="7">
        <v>40722.089999999997</v>
      </c>
      <c r="G3878" s="7">
        <v>82930</v>
      </c>
      <c r="H3878" s="7">
        <f t="shared" si="107"/>
        <v>40676.089999999997</v>
      </c>
      <c r="I3878" s="15"/>
    </row>
    <row r="3879" spans="1:9" s="8" customFormat="1" ht="21" customHeight="1" x14ac:dyDescent="0.6">
      <c r="A3879" s="7">
        <v>24.716467699999999</v>
      </c>
      <c r="B3879" s="7">
        <v>34.756597599999999</v>
      </c>
      <c r="C3879" s="7">
        <v>677680.59</v>
      </c>
      <c r="D3879" s="7">
        <v>2734692.31</v>
      </c>
      <c r="E3879" s="7">
        <v>475.32</v>
      </c>
      <c r="F3879" s="7">
        <v>40745.360000000001</v>
      </c>
      <c r="G3879" s="7">
        <v>82932</v>
      </c>
      <c r="H3879" s="7">
        <f t="shared" si="107"/>
        <v>40699.360000000001</v>
      </c>
      <c r="I3879" s="15"/>
    </row>
    <row r="3880" spans="1:9" s="8" customFormat="1" ht="21" customHeight="1" x14ac:dyDescent="0.6">
      <c r="A3880" s="7">
        <v>24.7164438</v>
      </c>
      <c r="B3880" s="7">
        <v>34.756604500000002</v>
      </c>
      <c r="C3880" s="7">
        <v>677681.33</v>
      </c>
      <c r="D3880" s="7">
        <v>2734689.67</v>
      </c>
      <c r="E3880" s="7">
        <v>475.51</v>
      </c>
      <c r="F3880" s="7">
        <v>40796.92</v>
      </c>
      <c r="G3880" s="7">
        <v>82934</v>
      </c>
      <c r="H3880" s="7">
        <f t="shared" si="107"/>
        <v>40750.92</v>
      </c>
      <c r="I3880" s="15"/>
    </row>
    <row r="3881" spans="1:9" s="8" customFormat="1" ht="21" customHeight="1" x14ac:dyDescent="0.6">
      <c r="A3881" s="7">
        <v>24.716417199999999</v>
      </c>
      <c r="B3881" s="7">
        <v>34.756606300000001</v>
      </c>
      <c r="C3881" s="7">
        <v>677681.55</v>
      </c>
      <c r="D3881" s="7">
        <v>2734686.73</v>
      </c>
      <c r="E3881" s="7">
        <v>475.56</v>
      </c>
      <c r="F3881" s="7">
        <v>40855.49</v>
      </c>
      <c r="G3881" s="7">
        <v>82936</v>
      </c>
      <c r="H3881" s="7">
        <f t="shared" si="107"/>
        <v>40809.49</v>
      </c>
      <c r="I3881" s="15"/>
    </row>
    <row r="3882" spans="1:9" s="8" customFormat="1" ht="21" customHeight="1" x14ac:dyDescent="0.6">
      <c r="A3882" s="7">
        <v>24.716391300000002</v>
      </c>
      <c r="B3882" s="7">
        <v>34.756607899999999</v>
      </c>
      <c r="C3882" s="7">
        <v>677681.74</v>
      </c>
      <c r="D3882" s="7">
        <v>2734683.86</v>
      </c>
      <c r="E3882" s="7">
        <v>475.65</v>
      </c>
      <c r="F3882" s="7">
        <v>40886.92</v>
      </c>
      <c r="G3882" s="7">
        <v>82938</v>
      </c>
      <c r="H3882" s="7">
        <f t="shared" si="107"/>
        <v>40840.92</v>
      </c>
      <c r="I3882" s="15"/>
    </row>
    <row r="3883" spans="1:9" s="8" customFormat="1" ht="21" customHeight="1" x14ac:dyDescent="0.6">
      <c r="A3883" s="7">
        <v>24.7163653</v>
      </c>
      <c r="B3883" s="7">
        <v>34.756611399999997</v>
      </c>
      <c r="C3883" s="7">
        <v>677682.14</v>
      </c>
      <c r="D3883" s="7">
        <v>2734680.99</v>
      </c>
      <c r="E3883" s="7">
        <v>475.78</v>
      </c>
      <c r="F3883" s="7">
        <v>40912.559999999998</v>
      </c>
      <c r="G3883" s="7">
        <v>82940</v>
      </c>
      <c r="H3883" s="7">
        <f t="shared" si="107"/>
        <v>40866.559999999998</v>
      </c>
      <c r="I3883" s="15"/>
    </row>
    <row r="3884" spans="1:9" s="8" customFormat="1" ht="21" customHeight="1" x14ac:dyDescent="0.6">
      <c r="A3884" s="7">
        <v>24.716343899999998</v>
      </c>
      <c r="B3884" s="7">
        <v>34.756624799999997</v>
      </c>
      <c r="C3884" s="7">
        <v>677683.52</v>
      </c>
      <c r="D3884" s="7">
        <v>2734678.64</v>
      </c>
      <c r="E3884" s="7">
        <v>475.95</v>
      </c>
      <c r="F3884" s="7">
        <v>40940.720000000001</v>
      </c>
      <c r="G3884" s="7">
        <v>82942</v>
      </c>
      <c r="H3884" s="7">
        <f t="shared" si="107"/>
        <v>40894.720000000001</v>
      </c>
      <c r="I3884" s="15"/>
    </row>
    <row r="3885" spans="1:9" s="8" customFormat="1" ht="21" customHeight="1" x14ac:dyDescent="0.6">
      <c r="A3885" s="7">
        <v>24.716321700000002</v>
      </c>
      <c r="B3885" s="7">
        <v>34.756642999999997</v>
      </c>
      <c r="C3885" s="7">
        <v>677685.4</v>
      </c>
      <c r="D3885" s="7">
        <v>2734676.2</v>
      </c>
      <c r="E3885" s="7">
        <v>476.05</v>
      </c>
      <c r="F3885" s="7">
        <v>40963.730000000003</v>
      </c>
      <c r="G3885" s="7">
        <v>82944</v>
      </c>
      <c r="H3885" s="7">
        <f t="shared" si="107"/>
        <v>40917.730000000003</v>
      </c>
      <c r="I3885" s="15"/>
    </row>
    <row r="3886" spans="1:9" s="8" customFormat="1" ht="21" customHeight="1" x14ac:dyDescent="0.6">
      <c r="A3886" s="7">
        <v>24.7162975</v>
      </c>
      <c r="B3886" s="7">
        <v>34.756655700000003</v>
      </c>
      <c r="C3886" s="7">
        <v>677686.72</v>
      </c>
      <c r="D3886" s="7">
        <v>2734673.53</v>
      </c>
      <c r="E3886" s="7">
        <v>476.15</v>
      </c>
      <c r="F3886" s="7">
        <v>40958.75</v>
      </c>
      <c r="G3886" s="7">
        <v>82946</v>
      </c>
      <c r="H3886" s="7">
        <f t="shared" si="107"/>
        <v>40912.75</v>
      </c>
      <c r="I3886" s="15"/>
    </row>
    <row r="3887" spans="1:9" s="8" customFormat="1" ht="21" customHeight="1" x14ac:dyDescent="0.6">
      <c r="A3887" s="7">
        <v>24.716271299999999</v>
      </c>
      <c r="B3887" s="7">
        <v>34.756662900000002</v>
      </c>
      <c r="C3887" s="7">
        <v>677687.48</v>
      </c>
      <c r="D3887" s="7">
        <v>2734670.65</v>
      </c>
      <c r="E3887" s="7">
        <v>476.26</v>
      </c>
      <c r="F3887" s="7">
        <v>40969.21</v>
      </c>
      <c r="G3887" s="7">
        <v>82948</v>
      </c>
      <c r="H3887" s="7">
        <f t="shared" si="107"/>
        <v>40923.21</v>
      </c>
      <c r="I3887" s="15"/>
    </row>
    <row r="3888" spans="1:9" s="8" customFormat="1" ht="21" customHeight="1" x14ac:dyDescent="0.6">
      <c r="A3888" s="7">
        <v>24.716245000000001</v>
      </c>
      <c r="B3888" s="7">
        <v>34.756671300000001</v>
      </c>
      <c r="C3888" s="7">
        <v>677688.37</v>
      </c>
      <c r="D3888" s="7">
        <v>2734667.75</v>
      </c>
      <c r="E3888" s="7">
        <v>476.38</v>
      </c>
      <c r="F3888" s="7">
        <v>41009.82</v>
      </c>
      <c r="G3888" s="7">
        <v>82950</v>
      </c>
      <c r="H3888" s="7">
        <f t="shared" si="107"/>
        <v>40963.82</v>
      </c>
      <c r="I3888" s="15"/>
    </row>
    <row r="3889" spans="1:9" s="8" customFormat="1" ht="21" customHeight="1" x14ac:dyDescent="0.6">
      <c r="A3889" s="7">
        <v>24.716219899999999</v>
      </c>
      <c r="B3889" s="7">
        <v>34.7566755</v>
      </c>
      <c r="C3889" s="7">
        <v>677688.83</v>
      </c>
      <c r="D3889" s="7">
        <v>2734664.97</v>
      </c>
      <c r="E3889" s="7">
        <v>476.47</v>
      </c>
      <c r="F3889" s="7">
        <v>41054.199999999997</v>
      </c>
      <c r="G3889" s="7">
        <v>82952</v>
      </c>
      <c r="H3889" s="7">
        <f t="shared" si="107"/>
        <v>41008.199999999997</v>
      </c>
      <c r="I3889" s="15"/>
    </row>
    <row r="3890" spans="1:9" s="8" customFormat="1" ht="21" customHeight="1" x14ac:dyDescent="0.6">
      <c r="A3890" s="7">
        <v>24.716194099999999</v>
      </c>
      <c r="B3890" s="7">
        <v>34.756681200000003</v>
      </c>
      <c r="C3890" s="7">
        <v>677689.45</v>
      </c>
      <c r="D3890" s="7">
        <v>2734662.12</v>
      </c>
      <c r="E3890" s="7">
        <v>476.5</v>
      </c>
      <c r="F3890" s="7">
        <v>41131.4</v>
      </c>
      <c r="G3890" s="7">
        <v>82954</v>
      </c>
      <c r="H3890" s="7">
        <f t="shared" si="107"/>
        <v>41085.4</v>
      </c>
      <c r="I3890" s="15"/>
    </row>
    <row r="3891" spans="1:9" s="8" customFormat="1" ht="21" customHeight="1" x14ac:dyDescent="0.6">
      <c r="A3891" s="7">
        <v>24.716168199999998</v>
      </c>
      <c r="B3891" s="7">
        <v>34.756687700000001</v>
      </c>
      <c r="C3891" s="7">
        <v>677690.13</v>
      </c>
      <c r="D3891" s="7">
        <v>2734659.26</v>
      </c>
      <c r="E3891" s="7">
        <v>476.64</v>
      </c>
      <c r="F3891" s="7">
        <v>41139.870000000003</v>
      </c>
      <c r="G3891" s="7">
        <v>82956</v>
      </c>
      <c r="H3891" s="7">
        <f t="shared" si="107"/>
        <v>41093.870000000003</v>
      </c>
      <c r="I3891" s="15"/>
    </row>
    <row r="3892" spans="1:9" s="8" customFormat="1" ht="21" customHeight="1" x14ac:dyDescent="0.6">
      <c r="A3892" s="7">
        <v>24.7161425</v>
      </c>
      <c r="B3892" s="7">
        <v>34.756696099999999</v>
      </c>
      <c r="C3892" s="7">
        <v>677691.02</v>
      </c>
      <c r="D3892" s="7">
        <v>2734656.42</v>
      </c>
      <c r="E3892" s="7">
        <v>476.83</v>
      </c>
      <c r="F3892" s="7">
        <v>41200.720000000001</v>
      </c>
      <c r="G3892" s="7">
        <v>82958</v>
      </c>
      <c r="H3892" s="7">
        <f t="shared" si="107"/>
        <v>41154.720000000001</v>
      </c>
      <c r="I3892" s="15"/>
    </row>
    <row r="3893" spans="1:9" s="8" customFormat="1" ht="21" customHeight="1" x14ac:dyDescent="0.6">
      <c r="A3893" s="7">
        <v>24.716115599999998</v>
      </c>
      <c r="B3893" s="7">
        <v>34.756701200000002</v>
      </c>
      <c r="C3893" s="7">
        <v>677691.58</v>
      </c>
      <c r="D3893" s="7">
        <v>2734653.45</v>
      </c>
      <c r="E3893" s="7">
        <v>476.89</v>
      </c>
      <c r="F3893" s="7">
        <v>41213.279999999999</v>
      </c>
      <c r="G3893" s="7">
        <v>83000</v>
      </c>
      <c r="H3893" s="7">
        <f t="shared" si="107"/>
        <v>41167.279999999999</v>
      </c>
      <c r="I3893" s="15"/>
    </row>
    <row r="3894" spans="1:9" s="8" customFormat="1" ht="21" customHeight="1" x14ac:dyDescent="0.6">
      <c r="A3894" s="7">
        <v>24.716088800000001</v>
      </c>
      <c r="B3894" s="7">
        <v>34.756708199999998</v>
      </c>
      <c r="C3894" s="7">
        <v>677692.33</v>
      </c>
      <c r="D3894" s="7">
        <v>2734650.49</v>
      </c>
      <c r="E3894" s="7">
        <v>477</v>
      </c>
      <c r="F3894" s="7">
        <v>41295.65</v>
      </c>
      <c r="G3894" s="7">
        <v>83002</v>
      </c>
      <c r="H3894" s="7">
        <f t="shared" si="107"/>
        <v>41249.65</v>
      </c>
      <c r="I3894" s="15"/>
    </row>
    <row r="3895" spans="1:9" s="8" customFormat="1" ht="21" customHeight="1" x14ac:dyDescent="0.6">
      <c r="A3895" s="7">
        <v>24.716062000000001</v>
      </c>
      <c r="B3895" s="7">
        <v>34.756711000000003</v>
      </c>
      <c r="C3895" s="7">
        <v>677692.64</v>
      </c>
      <c r="D3895" s="7">
        <v>2734647.52</v>
      </c>
      <c r="E3895" s="7">
        <v>477.18</v>
      </c>
      <c r="F3895" s="7">
        <v>41300.410000000003</v>
      </c>
      <c r="G3895" s="7">
        <v>83004</v>
      </c>
      <c r="H3895" s="7">
        <f t="shared" si="107"/>
        <v>41254.410000000003</v>
      </c>
      <c r="I3895" s="15"/>
    </row>
    <row r="3896" spans="1:9" s="8" customFormat="1" ht="21" customHeight="1" x14ac:dyDescent="0.6">
      <c r="A3896" s="7">
        <v>24.7160352</v>
      </c>
      <c r="B3896" s="7">
        <v>34.756711500000002</v>
      </c>
      <c r="C3896" s="7">
        <v>677692.73</v>
      </c>
      <c r="D3896" s="7">
        <v>2734644.56</v>
      </c>
      <c r="E3896" s="7">
        <v>477.33</v>
      </c>
      <c r="F3896" s="7">
        <v>41300.839999999997</v>
      </c>
      <c r="G3896" s="7">
        <v>83006</v>
      </c>
      <c r="H3896" s="7">
        <f t="shared" si="107"/>
        <v>41254.839999999997</v>
      </c>
      <c r="I3896" s="15"/>
    </row>
    <row r="3897" spans="1:9" s="8" customFormat="1" ht="21" customHeight="1" x14ac:dyDescent="0.6">
      <c r="A3897" s="7">
        <v>24.716008899999999</v>
      </c>
      <c r="B3897" s="7">
        <v>34.756714500000001</v>
      </c>
      <c r="C3897" s="7">
        <v>677693.08</v>
      </c>
      <c r="D3897" s="7">
        <v>2734641.65</v>
      </c>
      <c r="E3897" s="7">
        <v>477.41</v>
      </c>
      <c r="F3897" s="7">
        <v>41360.15</v>
      </c>
      <c r="G3897" s="7">
        <v>83008</v>
      </c>
      <c r="H3897" s="7">
        <f t="shared" si="107"/>
        <v>41314.15</v>
      </c>
      <c r="I3897" s="15"/>
    </row>
    <row r="3898" spans="1:9" s="8" customFormat="1" ht="21" customHeight="1" x14ac:dyDescent="0.6">
      <c r="A3898" s="7">
        <v>24.715983099999999</v>
      </c>
      <c r="B3898" s="7">
        <v>34.756720299999998</v>
      </c>
      <c r="C3898" s="7">
        <v>677693.7</v>
      </c>
      <c r="D3898" s="7">
        <v>2734638.8</v>
      </c>
      <c r="E3898" s="7">
        <v>477.57</v>
      </c>
      <c r="F3898" s="7">
        <v>41370.54</v>
      </c>
      <c r="G3898" s="7">
        <v>83010</v>
      </c>
      <c r="H3898" s="7">
        <f t="shared" si="107"/>
        <v>41324.54</v>
      </c>
      <c r="I3898" s="15"/>
    </row>
    <row r="3899" spans="1:9" s="8" customFormat="1" ht="21" customHeight="1" x14ac:dyDescent="0.6">
      <c r="A3899" s="7">
        <v>24.715955600000001</v>
      </c>
      <c r="B3899" s="7">
        <v>34.7567241</v>
      </c>
      <c r="C3899" s="7">
        <v>677694.12</v>
      </c>
      <c r="D3899" s="7">
        <v>2734635.76</v>
      </c>
      <c r="E3899" s="7">
        <v>477.66</v>
      </c>
      <c r="F3899" s="7">
        <v>41413.06</v>
      </c>
      <c r="G3899" s="7">
        <v>83012</v>
      </c>
      <c r="H3899" s="7">
        <f t="shared" si="107"/>
        <v>41367.06</v>
      </c>
      <c r="I3899" s="15"/>
    </row>
    <row r="3900" spans="1:9" s="8" customFormat="1" ht="21" customHeight="1" x14ac:dyDescent="0.6">
      <c r="A3900" s="7">
        <v>24.715930100000001</v>
      </c>
      <c r="B3900" s="7">
        <v>34.756727900000001</v>
      </c>
      <c r="C3900" s="7">
        <v>677694.55</v>
      </c>
      <c r="D3900" s="7">
        <v>2734632.94</v>
      </c>
      <c r="E3900" s="7">
        <v>477.81</v>
      </c>
      <c r="F3900" s="7">
        <v>41443.29</v>
      </c>
      <c r="G3900" s="7">
        <v>83014</v>
      </c>
      <c r="H3900" s="7">
        <f t="shared" si="107"/>
        <v>41397.29</v>
      </c>
      <c r="I3900" s="15"/>
    </row>
    <row r="3901" spans="1:9" s="8" customFormat="1" ht="21" customHeight="1" x14ac:dyDescent="0.6">
      <c r="A3901" s="7">
        <v>24.715903699999998</v>
      </c>
      <c r="B3901" s="7">
        <v>34.756726700000002</v>
      </c>
      <c r="C3901" s="7">
        <v>677694.46</v>
      </c>
      <c r="D3901" s="7">
        <v>2734630.01</v>
      </c>
      <c r="E3901" s="7">
        <v>477.9</v>
      </c>
      <c r="F3901" s="7">
        <v>41497.480000000003</v>
      </c>
      <c r="G3901" s="7">
        <v>83016</v>
      </c>
      <c r="H3901" s="7">
        <f t="shared" si="107"/>
        <v>41451.480000000003</v>
      </c>
      <c r="I3901" s="15"/>
    </row>
    <row r="3902" spans="1:9" s="8" customFormat="1" ht="21" customHeight="1" x14ac:dyDescent="0.6">
      <c r="A3902" s="7">
        <v>24.7158783</v>
      </c>
      <c r="B3902" s="7">
        <v>34.7567217</v>
      </c>
      <c r="C3902" s="7">
        <v>677693.99</v>
      </c>
      <c r="D3902" s="7">
        <v>2734627.19</v>
      </c>
      <c r="E3902" s="7">
        <v>478.05</v>
      </c>
      <c r="F3902" s="7">
        <v>41573.050000000003</v>
      </c>
      <c r="G3902" s="7">
        <v>83018</v>
      </c>
      <c r="H3902" s="7">
        <f t="shared" si="107"/>
        <v>41527.050000000003</v>
      </c>
      <c r="I3902" s="15"/>
    </row>
    <row r="3903" spans="1:9" s="8" customFormat="1" ht="21" customHeight="1" x14ac:dyDescent="0.6">
      <c r="A3903" s="7">
        <v>24.715852000000002</v>
      </c>
      <c r="B3903" s="7">
        <v>34.756721499999998</v>
      </c>
      <c r="C3903" s="7">
        <v>677694.01</v>
      </c>
      <c r="D3903" s="7">
        <v>2734624.28</v>
      </c>
      <c r="E3903" s="7">
        <v>478.27</v>
      </c>
      <c r="F3903" s="7">
        <v>41636.480000000003</v>
      </c>
      <c r="G3903" s="7">
        <v>83020</v>
      </c>
      <c r="H3903" s="7">
        <f t="shared" si="107"/>
        <v>41590.480000000003</v>
      </c>
      <c r="I3903" s="15"/>
    </row>
    <row r="3904" spans="1:9" s="8" customFormat="1" ht="21" customHeight="1" x14ac:dyDescent="0.6">
      <c r="A3904" s="7">
        <v>24.7158248</v>
      </c>
      <c r="B3904" s="7">
        <v>34.756724300000002</v>
      </c>
      <c r="C3904" s="7">
        <v>677694.33</v>
      </c>
      <c r="D3904" s="7">
        <v>2734621.27</v>
      </c>
      <c r="E3904" s="7">
        <v>478.36</v>
      </c>
      <c r="F3904" s="7">
        <v>41665.39</v>
      </c>
      <c r="G3904" s="7">
        <v>83022</v>
      </c>
      <c r="H3904" s="7">
        <f t="shared" si="107"/>
        <v>41619.39</v>
      </c>
      <c r="I3904" s="15"/>
    </row>
    <row r="3905" spans="1:9" s="8" customFormat="1" ht="21" customHeight="1" x14ac:dyDescent="0.6">
      <c r="A3905" s="7">
        <v>24.7157996</v>
      </c>
      <c r="B3905" s="7">
        <v>34.756725099999997</v>
      </c>
      <c r="C3905" s="7">
        <v>677694.44</v>
      </c>
      <c r="D3905" s="7">
        <v>2734618.48</v>
      </c>
      <c r="E3905" s="7">
        <v>478.48</v>
      </c>
      <c r="F3905" s="7">
        <v>41654.61</v>
      </c>
      <c r="G3905" s="7">
        <v>83024</v>
      </c>
      <c r="H3905" s="7">
        <f t="shared" si="107"/>
        <v>41608.61</v>
      </c>
      <c r="I3905" s="15"/>
    </row>
    <row r="3906" spans="1:9" s="8" customFormat="1" ht="21" customHeight="1" x14ac:dyDescent="0.6">
      <c r="A3906" s="7">
        <v>24.715772999999999</v>
      </c>
      <c r="B3906" s="7">
        <v>34.7567314</v>
      </c>
      <c r="C3906" s="7">
        <v>677695.11</v>
      </c>
      <c r="D3906" s="7">
        <v>2734615.55</v>
      </c>
      <c r="E3906" s="7">
        <v>478.57</v>
      </c>
      <c r="F3906" s="7">
        <v>41712.93</v>
      </c>
      <c r="G3906" s="7">
        <v>83026</v>
      </c>
      <c r="H3906" s="7">
        <f t="shared" si="107"/>
        <v>41666.93</v>
      </c>
      <c r="I3906" s="15"/>
    </row>
    <row r="3907" spans="1:9" s="8" customFormat="1" ht="21" customHeight="1" x14ac:dyDescent="0.6">
      <c r="A3907" s="7">
        <v>24.7157479</v>
      </c>
      <c r="B3907" s="7">
        <v>34.756735499999998</v>
      </c>
      <c r="C3907" s="7">
        <v>677695.57</v>
      </c>
      <c r="D3907" s="7">
        <v>2734612.76</v>
      </c>
      <c r="E3907" s="7">
        <v>478.75</v>
      </c>
      <c r="F3907" s="7">
        <v>41714.03</v>
      </c>
      <c r="G3907" s="7">
        <v>83028</v>
      </c>
      <c r="H3907" s="7">
        <f t="shared" si="107"/>
        <v>41668.03</v>
      </c>
      <c r="I3907" s="15"/>
    </row>
    <row r="3908" spans="1:9" s="8" customFormat="1" ht="21" customHeight="1" x14ac:dyDescent="0.6">
      <c r="A3908" s="7">
        <v>24.715723400000002</v>
      </c>
      <c r="B3908" s="7">
        <v>34.756739500000002</v>
      </c>
      <c r="C3908" s="7">
        <v>677696</v>
      </c>
      <c r="D3908" s="7">
        <v>2734610.06</v>
      </c>
      <c r="E3908" s="7">
        <v>478.87</v>
      </c>
      <c r="F3908" s="7">
        <v>41733.730000000003</v>
      </c>
      <c r="G3908" s="7">
        <v>83030</v>
      </c>
      <c r="H3908" s="7">
        <f t="shared" si="107"/>
        <v>41687.730000000003</v>
      </c>
      <c r="I3908" s="15"/>
    </row>
    <row r="3909" spans="1:9" s="8" customFormat="1" ht="21" customHeight="1" x14ac:dyDescent="0.6">
      <c r="A3909" s="7">
        <v>24.715699499999999</v>
      </c>
      <c r="B3909" s="7">
        <v>34.7567442</v>
      </c>
      <c r="C3909" s="7">
        <v>677696.52</v>
      </c>
      <c r="D3909" s="7">
        <v>2734607.42</v>
      </c>
      <c r="E3909" s="7">
        <v>479.05</v>
      </c>
      <c r="F3909" s="7">
        <v>41780.15</v>
      </c>
      <c r="G3909" s="7">
        <v>83032</v>
      </c>
      <c r="H3909" s="7">
        <f t="shared" si="107"/>
        <v>41734.15</v>
      </c>
      <c r="I3909" s="15"/>
    </row>
    <row r="3910" spans="1:9" s="8" customFormat="1" ht="21" customHeight="1" x14ac:dyDescent="0.6">
      <c r="A3910" s="7">
        <v>24.715674799999999</v>
      </c>
      <c r="B3910" s="7">
        <v>34.756749399999997</v>
      </c>
      <c r="C3910" s="7">
        <v>677697.08</v>
      </c>
      <c r="D3910" s="7">
        <v>2734604.69</v>
      </c>
      <c r="E3910" s="7">
        <v>479.16</v>
      </c>
      <c r="F3910" s="7">
        <v>41796.5</v>
      </c>
      <c r="G3910" s="7">
        <v>83034</v>
      </c>
      <c r="H3910" s="7">
        <f t="shared" si="107"/>
        <v>41750.5</v>
      </c>
      <c r="I3910" s="15"/>
    </row>
    <row r="3911" spans="1:9" s="8" customFormat="1" ht="21" customHeight="1" x14ac:dyDescent="0.6">
      <c r="A3911" s="7">
        <v>24.7156488</v>
      </c>
      <c r="B3911" s="7">
        <v>34.756749200000002</v>
      </c>
      <c r="C3911" s="7">
        <v>677697.1</v>
      </c>
      <c r="D3911" s="7">
        <v>2734601.81</v>
      </c>
      <c r="E3911" s="7">
        <v>479.27</v>
      </c>
      <c r="F3911" s="7">
        <v>41898</v>
      </c>
      <c r="G3911" s="7">
        <v>83036</v>
      </c>
      <c r="H3911" s="7">
        <f t="shared" si="107"/>
        <v>41852</v>
      </c>
      <c r="I3911" s="15"/>
    </row>
    <row r="3912" spans="1:9" s="8" customFormat="1" ht="21" customHeight="1" x14ac:dyDescent="0.6">
      <c r="A3912" s="7">
        <v>24.715623699999998</v>
      </c>
      <c r="B3912" s="7">
        <v>34.756745000000002</v>
      </c>
      <c r="C3912" s="7">
        <v>677696.71</v>
      </c>
      <c r="D3912" s="7">
        <v>2734599.03</v>
      </c>
      <c r="E3912" s="7">
        <v>479.37</v>
      </c>
      <c r="F3912" s="7">
        <v>42007.42</v>
      </c>
      <c r="G3912" s="7">
        <v>83038</v>
      </c>
      <c r="H3912" s="7">
        <f t="shared" si="107"/>
        <v>41961.42</v>
      </c>
      <c r="I3912" s="15"/>
    </row>
    <row r="3913" spans="1:9" s="8" customFormat="1" ht="21" customHeight="1" x14ac:dyDescent="0.6">
      <c r="A3913" s="7">
        <v>24.715601899999999</v>
      </c>
      <c r="B3913" s="7">
        <v>34.756736600000004</v>
      </c>
      <c r="C3913" s="7">
        <v>677695.89</v>
      </c>
      <c r="D3913" s="7">
        <v>2734596.6</v>
      </c>
      <c r="E3913" s="7">
        <v>479.6</v>
      </c>
      <c r="F3913" s="7">
        <v>42120.42</v>
      </c>
      <c r="G3913" s="7">
        <v>83040</v>
      </c>
      <c r="H3913" s="7">
        <f t="shared" si="107"/>
        <v>42074.42</v>
      </c>
      <c r="I3913" s="15"/>
    </row>
    <row r="3914" spans="1:9" s="8" customFormat="1" ht="21" customHeight="1" x14ac:dyDescent="0.6">
      <c r="A3914" s="7">
        <v>24.715578000000001</v>
      </c>
      <c r="B3914" s="7">
        <v>34.756727699999999</v>
      </c>
      <c r="C3914" s="7">
        <v>677695.02</v>
      </c>
      <c r="D3914" s="7">
        <v>2734593.94</v>
      </c>
      <c r="E3914" s="7">
        <v>479.73</v>
      </c>
      <c r="F3914" s="7">
        <v>42255.15</v>
      </c>
      <c r="G3914" s="7">
        <v>83042</v>
      </c>
      <c r="H3914" s="7">
        <f t="shared" si="107"/>
        <v>42209.15</v>
      </c>
      <c r="I3914" s="15"/>
    </row>
    <row r="3915" spans="1:9" s="8" customFormat="1" ht="21" customHeight="1" x14ac:dyDescent="0.6">
      <c r="A3915" s="7">
        <v>24.7155527</v>
      </c>
      <c r="B3915" s="7">
        <v>34.756716599999997</v>
      </c>
      <c r="C3915" s="7">
        <v>677693.94</v>
      </c>
      <c r="D3915" s="7">
        <v>2734591.12</v>
      </c>
      <c r="E3915" s="7">
        <v>479.85</v>
      </c>
      <c r="F3915" s="7">
        <v>42405.279999999999</v>
      </c>
      <c r="G3915" s="7">
        <v>83044</v>
      </c>
      <c r="H3915" s="7">
        <f t="shared" si="107"/>
        <v>42359.28</v>
      </c>
      <c r="I3915" s="15"/>
    </row>
    <row r="3916" spans="1:9" s="8" customFormat="1" ht="21" customHeight="1" x14ac:dyDescent="0.6">
      <c r="A3916" s="7">
        <v>24.715528500000001</v>
      </c>
      <c r="B3916" s="7">
        <v>34.756706299999998</v>
      </c>
      <c r="C3916" s="7">
        <v>677692.92</v>
      </c>
      <c r="D3916" s="7">
        <v>2734588.43</v>
      </c>
      <c r="E3916" s="7">
        <v>480.13</v>
      </c>
      <c r="F3916" s="7">
        <v>42498.66</v>
      </c>
      <c r="G3916" s="7">
        <v>83046</v>
      </c>
      <c r="H3916" s="7">
        <f t="shared" si="107"/>
        <v>42452.66</v>
      </c>
      <c r="I3916" s="15"/>
    </row>
    <row r="3917" spans="1:9" s="8" customFormat="1" ht="21" customHeight="1" x14ac:dyDescent="0.6">
      <c r="A3917" s="7">
        <v>24.715507299999999</v>
      </c>
      <c r="B3917" s="7">
        <v>34.756695999999998</v>
      </c>
      <c r="C3917" s="7">
        <v>677691.91</v>
      </c>
      <c r="D3917" s="7">
        <v>2734586.07</v>
      </c>
      <c r="E3917" s="7">
        <v>480.35</v>
      </c>
      <c r="F3917" s="7">
        <v>42584.41</v>
      </c>
      <c r="G3917" s="7">
        <v>83048</v>
      </c>
      <c r="H3917" s="7">
        <f t="shared" si="107"/>
        <v>42538.41</v>
      </c>
      <c r="I3917" s="15"/>
    </row>
    <row r="3918" spans="1:9" s="8" customFormat="1" ht="21" customHeight="1" x14ac:dyDescent="0.6">
      <c r="A3918" s="7">
        <v>24.715482999999999</v>
      </c>
      <c r="B3918" s="7">
        <v>34.756692800000003</v>
      </c>
      <c r="C3918" s="7">
        <v>677691.63</v>
      </c>
      <c r="D3918" s="7">
        <v>2734583.38</v>
      </c>
      <c r="E3918" s="7">
        <v>480.35</v>
      </c>
      <c r="F3918" s="7">
        <v>42607.08</v>
      </c>
      <c r="G3918" s="7">
        <v>83050</v>
      </c>
      <c r="H3918" s="7">
        <f t="shared" si="107"/>
        <v>42561.08</v>
      </c>
      <c r="I3918" s="15"/>
    </row>
    <row r="3919" spans="1:9" s="8" customFormat="1" ht="21" customHeight="1" x14ac:dyDescent="0.6">
      <c r="A3919" s="7">
        <v>24.7154585</v>
      </c>
      <c r="B3919" s="7">
        <v>34.756687200000002</v>
      </c>
      <c r="C3919" s="7">
        <v>677691.1</v>
      </c>
      <c r="D3919" s="7">
        <v>2734580.65</v>
      </c>
      <c r="E3919" s="7">
        <v>480.49</v>
      </c>
      <c r="F3919" s="7">
        <v>42616.73</v>
      </c>
      <c r="G3919" s="7">
        <v>83052</v>
      </c>
      <c r="H3919" s="7">
        <f t="shared" si="107"/>
        <v>42570.73</v>
      </c>
      <c r="I3919" s="15"/>
    </row>
    <row r="3920" spans="1:9" s="8" customFormat="1" ht="21" customHeight="1" x14ac:dyDescent="0.6">
      <c r="A3920" s="7">
        <v>24.715436</v>
      </c>
      <c r="B3920" s="7">
        <v>34.756684499999999</v>
      </c>
      <c r="C3920" s="7">
        <v>677690.85</v>
      </c>
      <c r="D3920" s="7">
        <v>2734578.15</v>
      </c>
      <c r="E3920" s="7">
        <v>480.69</v>
      </c>
      <c r="F3920" s="7">
        <v>42608.86</v>
      </c>
      <c r="G3920" s="7">
        <v>83054</v>
      </c>
      <c r="H3920" s="7">
        <f t="shared" si="107"/>
        <v>42562.86</v>
      </c>
      <c r="I3920" s="15"/>
    </row>
    <row r="3921" spans="1:9" s="8" customFormat="1" ht="21" customHeight="1" x14ac:dyDescent="0.6">
      <c r="A3921" s="7">
        <v>24.7154159</v>
      </c>
      <c r="B3921" s="7">
        <v>34.7566986</v>
      </c>
      <c r="C3921" s="7">
        <v>677692.31</v>
      </c>
      <c r="D3921" s="7">
        <v>2734575.95</v>
      </c>
      <c r="E3921" s="7">
        <v>480.77</v>
      </c>
      <c r="F3921" s="7">
        <v>42604.639999999999</v>
      </c>
      <c r="G3921" s="7">
        <v>83056</v>
      </c>
      <c r="H3921" s="7">
        <f t="shared" si="107"/>
        <v>42558.64</v>
      </c>
      <c r="I3921" s="15"/>
    </row>
    <row r="3922" spans="1:9" s="8" customFormat="1" ht="21" customHeight="1" x14ac:dyDescent="0.6">
      <c r="A3922" s="7">
        <v>24.715393800000001</v>
      </c>
      <c r="B3922" s="7">
        <v>34.756707499999997</v>
      </c>
      <c r="C3922" s="7">
        <v>677693.24</v>
      </c>
      <c r="D3922" s="7">
        <v>2734573.51</v>
      </c>
      <c r="E3922" s="7">
        <v>481.26</v>
      </c>
      <c r="F3922" s="7">
        <v>42601.37</v>
      </c>
      <c r="G3922" s="7">
        <v>83058</v>
      </c>
      <c r="H3922" s="7">
        <f t="shared" si="107"/>
        <v>42555.37</v>
      </c>
      <c r="I3922" s="15"/>
    </row>
    <row r="3923" spans="1:9" s="8" customFormat="1" ht="21" customHeight="1" x14ac:dyDescent="0.6">
      <c r="A3923" s="7">
        <v>24.715372800000001</v>
      </c>
      <c r="B3923" s="7">
        <v>34.756715300000003</v>
      </c>
      <c r="C3923" s="7">
        <v>677694.06</v>
      </c>
      <c r="D3923" s="7">
        <v>2734571.2</v>
      </c>
      <c r="E3923" s="7">
        <v>481.89</v>
      </c>
      <c r="F3923" s="7">
        <v>42612.17</v>
      </c>
      <c r="G3923" s="7">
        <v>83100</v>
      </c>
      <c r="H3923" s="7">
        <f>SUM(F3923-50)</f>
        <v>42562.17</v>
      </c>
      <c r="I3923" s="15"/>
    </row>
    <row r="3924" spans="1:9" s="8" customFormat="1" ht="21" customHeight="1" x14ac:dyDescent="0.6">
      <c r="A3924" s="7">
        <v>24.715354000000001</v>
      </c>
      <c r="B3924" s="7">
        <v>34.756731199999997</v>
      </c>
      <c r="C3924" s="7">
        <v>677695.7</v>
      </c>
      <c r="D3924" s="7">
        <v>2734569.14</v>
      </c>
      <c r="E3924" s="7">
        <v>482.24</v>
      </c>
      <c r="F3924" s="7">
        <v>42650.23</v>
      </c>
      <c r="G3924" s="7">
        <v>83102</v>
      </c>
      <c r="H3924" s="7">
        <f t="shared" ref="H3924:H3987" si="108">SUM(F3924-50)</f>
        <v>42600.23</v>
      </c>
      <c r="I3924" s="15"/>
    </row>
    <row r="3925" spans="1:9" s="8" customFormat="1" ht="21" customHeight="1" x14ac:dyDescent="0.6">
      <c r="A3925" s="7">
        <v>24.715331500000001</v>
      </c>
      <c r="B3925" s="7">
        <v>34.756741599999998</v>
      </c>
      <c r="C3925" s="7">
        <v>677696.78</v>
      </c>
      <c r="D3925" s="7">
        <v>2734566.65</v>
      </c>
      <c r="E3925" s="7">
        <v>482.38</v>
      </c>
      <c r="F3925" s="7">
        <v>42663.9</v>
      </c>
      <c r="G3925" s="7">
        <v>83104</v>
      </c>
      <c r="H3925" s="7">
        <f t="shared" si="108"/>
        <v>42613.9</v>
      </c>
      <c r="I3925" s="15"/>
    </row>
    <row r="3926" spans="1:9" s="8" customFormat="1" ht="21" customHeight="1" x14ac:dyDescent="0.6">
      <c r="A3926" s="7">
        <v>24.715312600000001</v>
      </c>
      <c r="B3926" s="7">
        <v>34.756753799999998</v>
      </c>
      <c r="C3926" s="7">
        <v>677698.04</v>
      </c>
      <c r="D3926" s="7">
        <v>2734564.58</v>
      </c>
      <c r="E3926" s="7">
        <v>482.86</v>
      </c>
      <c r="F3926" s="7">
        <v>42673.77</v>
      </c>
      <c r="G3926" s="7">
        <v>83106</v>
      </c>
      <c r="H3926" s="7">
        <f t="shared" si="108"/>
        <v>42623.77</v>
      </c>
      <c r="I3926" s="15"/>
    </row>
    <row r="3927" spans="1:9" s="8" customFormat="1" ht="21" customHeight="1" x14ac:dyDescent="0.6">
      <c r="A3927" s="7">
        <v>24.715290100000001</v>
      </c>
      <c r="B3927" s="7">
        <v>34.756760999999997</v>
      </c>
      <c r="C3927" s="7">
        <v>677698.8</v>
      </c>
      <c r="D3927" s="7">
        <v>2734562.1</v>
      </c>
      <c r="E3927" s="7">
        <v>483.07</v>
      </c>
      <c r="F3927" s="7">
        <v>42694.45</v>
      </c>
      <c r="G3927" s="7">
        <v>83108</v>
      </c>
      <c r="H3927" s="7">
        <f t="shared" si="108"/>
        <v>42644.45</v>
      </c>
      <c r="I3927" s="15"/>
    </row>
    <row r="3928" spans="1:9" s="8" customFormat="1" ht="21" customHeight="1" x14ac:dyDescent="0.6">
      <c r="A3928" s="7">
        <v>24.715266100000001</v>
      </c>
      <c r="B3928" s="7">
        <v>34.756765899999998</v>
      </c>
      <c r="C3928" s="7">
        <v>677699.33</v>
      </c>
      <c r="D3928" s="7">
        <v>2734559.45</v>
      </c>
      <c r="E3928" s="7">
        <v>483.44</v>
      </c>
      <c r="F3928" s="7">
        <v>42644.53</v>
      </c>
      <c r="G3928" s="7">
        <v>83110</v>
      </c>
      <c r="H3928" s="7">
        <f t="shared" si="108"/>
        <v>42594.53</v>
      </c>
      <c r="I3928" s="15"/>
    </row>
    <row r="3929" spans="1:9" s="8" customFormat="1" ht="21" customHeight="1" x14ac:dyDescent="0.6">
      <c r="A3929" s="7">
        <v>24.715242400000001</v>
      </c>
      <c r="B3929" s="7">
        <v>34.7567734</v>
      </c>
      <c r="C3929" s="7">
        <v>677700.13</v>
      </c>
      <c r="D3929" s="7">
        <v>2734556.83</v>
      </c>
      <c r="E3929" s="7">
        <v>483.67</v>
      </c>
      <c r="F3929" s="7">
        <v>42621.63</v>
      </c>
      <c r="G3929" s="7">
        <v>83112</v>
      </c>
      <c r="H3929" s="7">
        <f t="shared" si="108"/>
        <v>42571.63</v>
      </c>
      <c r="I3929" s="15"/>
    </row>
    <row r="3930" spans="1:9" s="8" customFormat="1" ht="21" customHeight="1" x14ac:dyDescent="0.6">
      <c r="A3930" s="7">
        <v>24.715216600000002</v>
      </c>
      <c r="B3930" s="7">
        <v>34.7567764</v>
      </c>
      <c r="C3930" s="7">
        <v>677700.46</v>
      </c>
      <c r="D3930" s="7">
        <v>2734553.98</v>
      </c>
      <c r="E3930" s="7">
        <v>483.86</v>
      </c>
      <c r="F3930" s="7">
        <v>42588.79</v>
      </c>
      <c r="G3930" s="7">
        <v>83114</v>
      </c>
      <c r="H3930" s="7">
        <f t="shared" si="108"/>
        <v>42538.79</v>
      </c>
      <c r="I3930" s="15"/>
    </row>
    <row r="3931" spans="1:9" s="8" customFormat="1" ht="21" customHeight="1" x14ac:dyDescent="0.6">
      <c r="A3931" s="7">
        <v>24.7151906</v>
      </c>
      <c r="B3931" s="7">
        <v>34.756781500000002</v>
      </c>
      <c r="C3931" s="7">
        <v>677701.01</v>
      </c>
      <c r="D3931" s="7">
        <v>2734551.1</v>
      </c>
      <c r="E3931" s="7">
        <v>484.05</v>
      </c>
      <c r="F3931" s="7">
        <v>42581.46</v>
      </c>
      <c r="G3931" s="7">
        <v>83116</v>
      </c>
      <c r="H3931" s="7">
        <f t="shared" si="108"/>
        <v>42531.46</v>
      </c>
      <c r="I3931" s="15"/>
    </row>
    <row r="3932" spans="1:9" s="8" customFormat="1" ht="21" customHeight="1" x14ac:dyDescent="0.6">
      <c r="A3932" s="7">
        <v>24.715180700000001</v>
      </c>
      <c r="B3932" s="7">
        <v>34.756801600000003</v>
      </c>
      <c r="C3932" s="7">
        <v>677703.06</v>
      </c>
      <c r="D3932" s="7">
        <v>2734550.03</v>
      </c>
      <c r="E3932" s="7">
        <v>484.25</v>
      </c>
      <c r="F3932" s="7">
        <v>42564.6</v>
      </c>
      <c r="G3932" s="7">
        <v>83118</v>
      </c>
      <c r="H3932" s="7">
        <f t="shared" si="108"/>
        <v>42514.6</v>
      </c>
      <c r="I3932" s="15"/>
    </row>
    <row r="3933" spans="1:9" s="8" customFormat="1" ht="21" customHeight="1" x14ac:dyDescent="0.6">
      <c r="A3933" s="7">
        <v>24.715171099999999</v>
      </c>
      <c r="B3933" s="7">
        <v>34.756822800000002</v>
      </c>
      <c r="C3933" s="7">
        <v>677705.22</v>
      </c>
      <c r="D3933" s="7">
        <v>2734548.99</v>
      </c>
      <c r="E3933" s="7">
        <v>484.45</v>
      </c>
      <c r="F3933" s="7">
        <v>42525.52</v>
      </c>
      <c r="G3933" s="7">
        <v>83120</v>
      </c>
      <c r="H3933" s="7">
        <f t="shared" si="108"/>
        <v>42475.519999999997</v>
      </c>
      <c r="I3933" s="15"/>
    </row>
    <row r="3934" spans="1:9" s="8" customFormat="1" ht="21" customHeight="1" x14ac:dyDescent="0.6">
      <c r="A3934" s="7">
        <v>24.715156799999999</v>
      </c>
      <c r="B3934" s="7">
        <v>34.756844000000001</v>
      </c>
      <c r="C3934" s="7">
        <v>677707.39</v>
      </c>
      <c r="D3934" s="7">
        <v>2734547.44</v>
      </c>
      <c r="E3934" s="7">
        <v>484.62</v>
      </c>
      <c r="F3934" s="7">
        <v>42521.29</v>
      </c>
      <c r="G3934" s="7">
        <v>83122</v>
      </c>
      <c r="H3934" s="7">
        <f t="shared" si="108"/>
        <v>42471.29</v>
      </c>
      <c r="I3934" s="15"/>
    </row>
    <row r="3935" spans="1:9" s="8" customFormat="1" ht="21" customHeight="1" x14ac:dyDescent="0.6">
      <c r="A3935" s="7">
        <v>24.715135199999999</v>
      </c>
      <c r="B3935" s="7">
        <v>34.7568555</v>
      </c>
      <c r="C3935" s="7">
        <v>677708.59</v>
      </c>
      <c r="D3935" s="7">
        <v>2734545.07</v>
      </c>
      <c r="E3935" s="7">
        <v>484.9</v>
      </c>
      <c r="F3935" s="7">
        <v>42484.07</v>
      </c>
      <c r="G3935" s="7">
        <v>83124</v>
      </c>
      <c r="H3935" s="7">
        <f t="shared" si="108"/>
        <v>42434.07</v>
      </c>
      <c r="I3935" s="15"/>
    </row>
    <row r="3936" spans="1:9" s="8" customFormat="1" ht="21" customHeight="1" x14ac:dyDescent="0.6">
      <c r="A3936" s="7">
        <v>24.715110800000001</v>
      </c>
      <c r="B3936" s="7">
        <v>34.756864100000001</v>
      </c>
      <c r="C3936" s="7">
        <v>677709.48</v>
      </c>
      <c r="D3936" s="7">
        <v>2734542.37</v>
      </c>
      <c r="E3936" s="7">
        <v>484.93</v>
      </c>
      <c r="F3936" s="7">
        <v>42440.49</v>
      </c>
      <c r="G3936" s="7">
        <v>83126</v>
      </c>
      <c r="H3936" s="7">
        <f t="shared" si="108"/>
        <v>42390.49</v>
      </c>
      <c r="I3936" s="15"/>
    </row>
    <row r="3937" spans="1:9" s="8" customFormat="1" ht="21" customHeight="1" x14ac:dyDescent="0.6">
      <c r="A3937" s="7">
        <v>24.715084900000001</v>
      </c>
      <c r="B3937" s="7">
        <v>34.756863500000001</v>
      </c>
      <c r="C3937" s="7">
        <v>677709.46</v>
      </c>
      <c r="D3937" s="7">
        <v>2734539.5</v>
      </c>
      <c r="E3937" s="7">
        <v>485.07</v>
      </c>
      <c r="F3937" s="7">
        <v>42389.09</v>
      </c>
      <c r="G3937" s="7">
        <v>83128</v>
      </c>
      <c r="H3937" s="7">
        <f t="shared" si="108"/>
        <v>42339.09</v>
      </c>
      <c r="I3937" s="15"/>
    </row>
    <row r="3938" spans="1:9" s="8" customFormat="1" ht="21" customHeight="1" x14ac:dyDescent="0.6">
      <c r="A3938" s="7">
        <v>24.7150581</v>
      </c>
      <c r="B3938" s="7">
        <v>34.756860199999998</v>
      </c>
      <c r="C3938" s="7">
        <v>677709.17</v>
      </c>
      <c r="D3938" s="7">
        <v>2734536.53</v>
      </c>
      <c r="E3938" s="7">
        <v>485.14</v>
      </c>
      <c r="F3938" s="7">
        <v>42351.16</v>
      </c>
      <c r="G3938" s="7">
        <v>83130</v>
      </c>
      <c r="H3938" s="7">
        <f t="shared" si="108"/>
        <v>42301.16</v>
      </c>
      <c r="I3938" s="15"/>
    </row>
    <row r="3939" spans="1:9" s="8" customFormat="1" ht="21" customHeight="1" x14ac:dyDescent="0.6">
      <c r="A3939" s="7">
        <v>24.715032099999998</v>
      </c>
      <c r="B3939" s="7">
        <v>34.756856599999999</v>
      </c>
      <c r="C3939" s="7">
        <v>677708.84</v>
      </c>
      <c r="D3939" s="7">
        <v>2734533.65</v>
      </c>
      <c r="E3939" s="7">
        <v>485.24</v>
      </c>
      <c r="F3939" s="7">
        <v>42305.43</v>
      </c>
      <c r="G3939" s="7">
        <v>83132</v>
      </c>
      <c r="H3939" s="7">
        <f t="shared" si="108"/>
        <v>42255.43</v>
      </c>
      <c r="I3939" s="15"/>
    </row>
    <row r="3940" spans="1:9" s="8" customFormat="1" ht="21" customHeight="1" x14ac:dyDescent="0.6">
      <c r="A3940" s="7">
        <v>24.715007799999999</v>
      </c>
      <c r="B3940" s="7">
        <v>34.756853399999997</v>
      </c>
      <c r="C3940" s="7">
        <v>677708.55</v>
      </c>
      <c r="D3940" s="7">
        <v>2734530.95</v>
      </c>
      <c r="E3940" s="7">
        <v>485.48</v>
      </c>
      <c r="F3940" s="7">
        <v>42291.82</v>
      </c>
      <c r="G3940" s="7">
        <v>83134</v>
      </c>
      <c r="H3940" s="7">
        <f t="shared" si="108"/>
        <v>42241.82</v>
      </c>
      <c r="I3940" s="15"/>
    </row>
    <row r="3941" spans="1:9" s="8" customFormat="1" ht="21" customHeight="1" x14ac:dyDescent="0.6">
      <c r="A3941" s="7">
        <v>24.714982299999999</v>
      </c>
      <c r="B3941" s="7">
        <v>34.756848300000001</v>
      </c>
      <c r="C3941" s="7">
        <v>677708.07</v>
      </c>
      <c r="D3941" s="7">
        <v>2734528.12</v>
      </c>
      <c r="E3941" s="7">
        <v>485.53</v>
      </c>
      <c r="F3941" s="7">
        <v>42259.71</v>
      </c>
      <c r="G3941" s="7">
        <v>83136</v>
      </c>
      <c r="H3941" s="7">
        <f t="shared" si="108"/>
        <v>42209.71</v>
      </c>
      <c r="I3941" s="15"/>
    </row>
    <row r="3942" spans="1:9" s="8" customFormat="1" ht="21" customHeight="1" x14ac:dyDescent="0.6">
      <c r="A3942" s="7">
        <v>24.714956399999998</v>
      </c>
      <c r="B3942" s="7">
        <v>34.756848300000001</v>
      </c>
      <c r="C3942" s="7">
        <v>677708.1</v>
      </c>
      <c r="D3942" s="7">
        <v>2734525.25</v>
      </c>
      <c r="E3942" s="7">
        <v>485.67</v>
      </c>
      <c r="F3942" s="7">
        <v>42243.27</v>
      </c>
      <c r="G3942" s="7">
        <v>83138</v>
      </c>
      <c r="H3942" s="7">
        <f t="shared" si="108"/>
        <v>42193.27</v>
      </c>
      <c r="I3942" s="15"/>
    </row>
    <row r="3943" spans="1:9" s="8" customFormat="1" ht="21" customHeight="1" x14ac:dyDescent="0.6">
      <c r="A3943" s="7">
        <v>24.714932600000001</v>
      </c>
      <c r="B3943" s="7">
        <v>34.756857099999998</v>
      </c>
      <c r="C3943" s="7">
        <v>677709.03</v>
      </c>
      <c r="D3943" s="7">
        <v>2734522.62</v>
      </c>
      <c r="E3943" s="7">
        <v>485.94</v>
      </c>
      <c r="F3943" s="7">
        <v>42216.06</v>
      </c>
      <c r="G3943" s="7">
        <v>83140</v>
      </c>
      <c r="H3943" s="7">
        <f t="shared" si="108"/>
        <v>42166.06</v>
      </c>
      <c r="I3943" s="15"/>
    </row>
    <row r="3944" spans="1:9" s="8" customFormat="1" ht="21" customHeight="1" x14ac:dyDescent="0.6">
      <c r="A3944" s="7">
        <v>24.714914</v>
      </c>
      <c r="B3944" s="7">
        <v>34.756875299999997</v>
      </c>
      <c r="C3944" s="7">
        <v>677710.9</v>
      </c>
      <c r="D3944" s="7">
        <v>2734520.59</v>
      </c>
      <c r="E3944" s="7">
        <v>486.12</v>
      </c>
      <c r="F3944" s="7">
        <v>42146.67</v>
      </c>
      <c r="G3944" s="7">
        <v>83142</v>
      </c>
      <c r="H3944" s="7">
        <f t="shared" si="108"/>
        <v>42096.67</v>
      </c>
      <c r="I3944" s="15"/>
    </row>
    <row r="3945" spans="1:9" s="8" customFormat="1" ht="21" customHeight="1" x14ac:dyDescent="0.6">
      <c r="A3945" s="7">
        <v>24.7148933</v>
      </c>
      <c r="B3945" s="7">
        <v>34.756888099999998</v>
      </c>
      <c r="C3945" s="7">
        <v>677712.22</v>
      </c>
      <c r="D3945" s="7">
        <v>2734518.31</v>
      </c>
      <c r="E3945" s="7">
        <v>486.32</v>
      </c>
      <c r="F3945" s="7">
        <v>42121.87</v>
      </c>
      <c r="G3945" s="7">
        <v>83144</v>
      </c>
      <c r="H3945" s="7">
        <f t="shared" si="108"/>
        <v>42071.87</v>
      </c>
      <c r="I3945" s="15"/>
    </row>
    <row r="3946" spans="1:9" s="8" customFormat="1" ht="21" customHeight="1" x14ac:dyDescent="0.6">
      <c r="A3946" s="7">
        <v>24.714872199999999</v>
      </c>
      <c r="B3946" s="7">
        <v>34.756903100000002</v>
      </c>
      <c r="C3946" s="7">
        <v>677713.77</v>
      </c>
      <c r="D3946" s="7">
        <v>2734515.99</v>
      </c>
      <c r="E3946" s="7">
        <v>486.68</v>
      </c>
      <c r="F3946" s="7">
        <v>42056.15</v>
      </c>
      <c r="G3946" s="7">
        <v>83146</v>
      </c>
      <c r="H3946" s="7">
        <f t="shared" si="108"/>
        <v>42006.15</v>
      </c>
      <c r="I3946" s="15"/>
    </row>
    <row r="3947" spans="1:9" s="8" customFormat="1" ht="21" customHeight="1" x14ac:dyDescent="0.6">
      <c r="A3947" s="7">
        <v>24.714849099999999</v>
      </c>
      <c r="B3947" s="7">
        <v>34.756914799999997</v>
      </c>
      <c r="C3947" s="7">
        <v>677714.99</v>
      </c>
      <c r="D3947" s="7">
        <v>2734513.45</v>
      </c>
      <c r="E3947" s="7">
        <v>486.86</v>
      </c>
      <c r="F3947" s="7">
        <v>42063.7</v>
      </c>
      <c r="G3947" s="7">
        <v>83148</v>
      </c>
      <c r="H3947" s="7">
        <f t="shared" si="108"/>
        <v>42013.7</v>
      </c>
      <c r="I3947" s="15"/>
    </row>
    <row r="3948" spans="1:9" s="8" customFormat="1" ht="21" customHeight="1" x14ac:dyDescent="0.6">
      <c r="A3948" s="7">
        <v>24.714822999999999</v>
      </c>
      <c r="B3948" s="7">
        <v>34.756919699999997</v>
      </c>
      <c r="C3948" s="7">
        <v>677715.52</v>
      </c>
      <c r="D3948" s="7">
        <v>2734510.57</v>
      </c>
      <c r="E3948" s="7">
        <v>486.99</v>
      </c>
      <c r="F3948" s="7">
        <v>41979.92</v>
      </c>
      <c r="G3948" s="7">
        <v>83150</v>
      </c>
      <c r="H3948" s="7">
        <f t="shared" si="108"/>
        <v>41929.919999999998</v>
      </c>
      <c r="I3948" s="15"/>
    </row>
    <row r="3949" spans="1:9" s="8" customFormat="1" ht="21" customHeight="1" x14ac:dyDescent="0.6">
      <c r="A3949" s="7">
        <v>24.714800799999999</v>
      </c>
      <c r="B3949" s="7">
        <v>34.756930199999999</v>
      </c>
      <c r="C3949" s="7">
        <v>677716.62</v>
      </c>
      <c r="D3949" s="7">
        <v>2734508.12</v>
      </c>
      <c r="E3949" s="7">
        <v>487.26</v>
      </c>
      <c r="F3949" s="7">
        <v>41945.69</v>
      </c>
      <c r="G3949" s="7">
        <v>83152</v>
      </c>
      <c r="H3949" s="7">
        <f t="shared" si="108"/>
        <v>41895.69</v>
      </c>
      <c r="I3949" s="15"/>
    </row>
    <row r="3950" spans="1:9" s="8" customFormat="1" ht="21" customHeight="1" x14ac:dyDescent="0.6">
      <c r="A3950" s="7">
        <v>24.7147787</v>
      </c>
      <c r="B3950" s="7">
        <v>34.756945700000003</v>
      </c>
      <c r="C3950" s="7">
        <v>677718.21</v>
      </c>
      <c r="D3950" s="7">
        <v>2734505.69</v>
      </c>
      <c r="E3950" s="7">
        <v>487.44</v>
      </c>
      <c r="F3950" s="7">
        <v>41885.660000000003</v>
      </c>
      <c r="G3950" s="7">
        <v>83154</v>
      </c>
      <c r="H3950" s="7">
        <f t="shared" si="108"/>
        <v>41835.660000000003</v>
      </c>
      <c r="I3950" s="15"/>
    </row>
    <row r="3951" spans="1:9" s="8" customFormat="1" ht="21" customHeight="1" x14ac:dyDescent="0.6">
      <c r="A3951" s="7">
        <v>24.714754299999999</v>
      </c>
      <c r="B3951" s="7">
        <v>34.756953899999999</v>
      </c>
      <c r="C3951" s="7">
        <v>677719.08</v>
      </c>
      <c r="D3951" s="7">
        <v>2734503</v>
      </c>
      <c r="E3951" s="7">
        <v>487.46</v>
      </c>
      <c r="F3951" s="7">
        <v>41817.74</v>
      </c>
      <c r="G3951" s="7">
        <v>83156</v>
      </c>
      <c r="H3951" s="7">
        <f t="shared" si="108"/>
        <v>41767.74</v>
      </c>
      <c r="I3951" s="15"/>
    </row>
    <row r="3952" spans="1:9" s="8" customFormat="1" ht="21" customHeight="1" x14ac:dyDescent="0.6">
      <c r="A3952" s="7">
        <v>24.7147294</v>
      </c>
      <c r="B3952" s="7">
        <v>34.756962899999998</v>
      </c>
      <c r="C3952" s="7">
        <v>677720.02</v>
      </c>
      <c r="D3952" s="7">
        <v>2734500.26</v>
      </c>
      <c r="E3952" s="7">
        <v>487.52</v>
      </c>
      <c r="F3952" s="7">
        <v>41772.43</v>
      </c>
      <c r="G3952" s="7">
        <v>83158</v>
      </c>
      <c r="H3952" s="7">
        <f t="shared" si="108"/>
        <v>41722.43</v>
      </c>
      <c r="I3952" s="15"/>
    </row>
    <row r="3953" spans="1:9" s="8" customFormat="1" ht="21" customHeight="1" x14ac:dyDescent="0.6">
      <c r="A3953" s="7">
        <v>24.714706700000001</v>
      </c>
      <c r="B3953" s="7">
        <v>34.756962899999998</v>
      </c>
      <c r="C3953" s="7">
        <v>677720.06</v>
      </c>
      <c r="D3953" s="7">
        <v>2734497.74</v>
      </c>
      <c r="E3953" s="7">
        <v>487.95</v>
      </c>
      <c r="F3953" s="7">
        <v>41733.46</v>
      </c>
      <c r="G3953" s="7">
        <v>83200</v>
      </c>
      <c r="H3953" s="7">
        <f t="shared" si="108"/>
        <v>41683.46</v>
      </c>
      <c r="I3953" s="15"/>
    </row>
    <row r="3954" spans="1:9" s="8" customFormat="1" ht="21" customHeight="1" x14ac:dyDescent="0.6">
      <c r="A3954" s="7">
        <v>24.7146793</v>
      </c>
      <c r="B3954" s="7">
        <v>34.756962000000001</v>
      </c>
      <c r="C3954" s="7">
        <v>677720</v>
      </c>
      <c r="D3954" s="7">
        <v>2734494.71</v>
      </c>
      <c r="E3954" s="7">
        <v>487.57</v>
      </c>
      <c r="F3954" s="7">
        <v>41730.44</v>
      </c>
      <c r="G3954" s="7">
        <v>83202</v>
      </c>
      <c r="H3954" s="7">
        <f t="shared" si="108"/>
        <v>41680.44</v>
      </c>
      <c r="I3954" s="15"/>
    </row>
    <row r="3955" spans="1:9" s="8" customFormat="1" ht="21" customHeight="1" x14ac:dyDescent="0.6">
      <c r="A3955" s="7">
        <v>24.714657899999999</v>
      </c>
      <c r="B3955" s="7">
        <v>34.756957499999999</v>
      </c>
      <c r="C3955" s="7">
        <v>677719.57</v>
      </c>
      <c r="D3955" s="7">
        <v>2734492.33</v>
      </c>
      <c r="E3955" s="7">
        <v>488.33</v>
      </c>
      <c r="F3955" s="7">
        <v>41739.07</v>
      </c>
      <c r="G3955" s="7">
        <v>83204</v>
      </c>
      <c r="H3955" s="7">
        <f t="shared" si="108"/>
        <v>41689.07</v>
      </c>
      <c r="I3955" s="15"/>
    </row>
    <row r="3956" spans="1:9" s="8" customFormat="1" ht="21" customHeight="1" x14ac:dyDescent="0.6">
      <c r="A3956" s="7">
        <v>24.714631900000001</v>
      </c>
      <c r="B3956" s="7">
        <v>34.756957</v>
      </c>
      <c r="C3956" s="7">
        <v>677719.57</v>
      </c>
      <c r="D3956" s="7">
        <v>2734489.45</v>
      </c>
      <c r="E3956" s="7">
        <v>488.29</v>
      </c>
      <c r="F3956" s="7">
        <v>41725.78</v>
      </c>
      <c r="G3956" s="7">
        <v>83206</v>
      </c>
      <c r="H3956" s="7">
        <f t="shared" si="108"/>
        <v>41675.78</v>
      </c>
      <c r="I3956" s="15"/>
    </row>
    <row r="3957" spans="1:9" s="8" customFormat="1" ht="21" customHeight="1" x14ac:dyDescent="0.6">
      <c r="A3957" s="7">
        <v>24.714607000000001</v>
      </c>
      <c r="B3957" s="7">
        <v>34.756962999999999</v>
      </c>
      <c r="C3957" s="7">
        <v>677720.2</v>
      </c>
      <c r="D3957" s="7">
        <v>2734486.7</v>
      </c>
      <c r="E3957" s="7">
        <v>488.55</v>
      </c>
      <c r="F3957" s="7">
        <v>41684.370000000003</v>
      </c>
      <c r="G3957" s="7">
        <v>83208</v>
      </c>
      <c r="H3957" s="7">
        <f t="shared" si="108"/>
        <v>41634.370000000003</v>
      </c>
      <c r="I3957" s="15"/>
    </row>
    <row r="3958" spans="1:9" s="8" customFormat="1" ht="21" customHeight="1" x14ac:dyDescent="0.6">
      <c r="A3958" s="7">
        <v>24.714585199999998</v>
      </c>
      <c r="B3958" s="7">
        <v>34.756969900000001</v>
      </c>
      <c r="C3958" s="7">
        <v>677720.94</v>
      </c>
      <c r="D3958" s="7">
        <v>2734484.29</v>
      </c>
      <c r="E3958" s="7">
        <v>488.43</v>
      </c>
      <c r="F3958" s="7">
        <v>41701.43</v>
      </c>
      <c r="G3958" s="7">
        <v>83210</v>
      </c>
      <c r="H3958" s="7">
        <f t="shared" si="108"/>
        <v>41651.43</v>
      </c>
      <c r="I3958" s="15"/>
    </row>
    <row r="3959" spans="1:9" s="8" customFormat="1" ht="21" customHeight="1" x14ac:dyDescent="0.6">
      <c r="A3959" s="7">
        <v>24.714563200000001</v>
      </c>
      <c r="B3959" s="7">
        <v>34.756977900000003</v>
      </c>
      <c r="C3959" s="7">
        <v>677721.78</v>
      </c>
      <c r="D3959" s="7">
        <v>2734481.87</v>
      </c>
      <c r="E3959" s="7">
        <v>488.36</v>
      </c>
      <c r="F3959" s="7">
        <v>41688.660000000003</v>
      </c>
      <c r="G3959" s="7">
        <v>83212</v>
      </c>
      <c r="H3959" s="7">
        <f t="shared" si="108"/>
        <v>41638.660000000003</v>
      </c>
      <c r="I3959" s="15"/>
    </row>
    <row r="3960" spans="1:9" s="8" customFormat="1" ht="21" customHeight="1" x14ac:dyDescent="0.6">
      <c r="A3960" s="7">
        <v>24.714540700000001</v>
      </c>
      <c r="B3960" s="7">
        <v>34.756987299999999</v>
      </c>
      <c r="C3960" s="7">
        <v>677722.76</v>
      </c>
      <c r="D3960" s="7">
        <v>2734479.38</v>
      </c>
      <c r="E3960" s="7">
        <v>488.9</v>
      </c>
      <c r="F3960" s="7">
        <v>41686.120000000003</v>
      </c>
      <c r="G3960" s="7">
        <v>83214</v>
      </c>
      <c r="H3960" s="7">
        <f t="shared" si="108"/>
        <v>41636.120000000003</v>
      </c>
      <c r="I3960" s="15"/>
    </row>
    <row r="3961" spans="1:9" s="8" customFormat="1" ht="21" customHeight="1" x14ac:dyDescent="0.6">
      <c r="A3961" s="7">
        <v>24.7145191</v>
      </c>
      <c r="B3961" s="7">
        <v>34.756986599999998</v>
      </c>
      <c r="C3961" s="7">
        <v>677722.72</v>
      </c>
      <c r="D3961" s="7">
        <v>2734476.99</v>
      </c>
      <c r="E3961" s="7">
        <v>488.88</v>
      </c>
      <c r="F3961" s="7">
        <v>41669.31</v>
      </c>
      <c r="G3961" s="7">
        <v>83216</v>
      </c>
      <c r="H3961" s="7">
        <f t="shared" si="108"/>
        <v>41619.31</v>
      </c>
      <c r="I3961" s="15"/>
    </row>
    <row r="3962" spans="1:9" s="8" customFormat="1" ht="21" customHeight="1" x14ac:dyDescent="0.6">
      <c r="A3962" s="7">
        <v>24.7144917</v>
      </c>
      <c r="B3962" s="7">
        <v>34.756989400000002</v>
      </c>
      <c r="C3962" s="7">
        <v>677723.04</v>
      </c>
      <c r="D3962" s="7">
        <v>2734473.96</v>
      </c>
      <c r="E3962" s="7">
        <v>488.92</v>
      </c>
      <c r="F3962" s="7">
        <v>41663.910000000003</v>
      </c>
      <c r="G3962" s="7">
        <v>83218</v>
      </c>
      <c r="H3962" s="7">
        <f t="shared" si="108"/>
        <v>41613.910000000003</v>
      </c>
      <c r="I3962" s="15"/>
    </row>
    <row r="3963" spans="1:9" s="8" customFormat="1" ht="21" customHeight="1" x14ac:dyDescent="0.6">
      <c r="A3963" s="7">
        <v>24.714468100000001</v>
      </c>
      <c r="B3963" s="7">
        <v>34.756995099999997</v>
      </c>
      <c r="C3963" s="7">
        <v>677723.65</v>
      </c>
      <c r="D3963" s="7">
        <v>2734471.36</v>
      </c>
      <c r="E3963" s="7">
        <v>488.79</v>
      </c>
      <c r="F3963" s="7">
        <v>41673.760000000002</v>
      </c>
      <c r="G3963" s="7">
        <v>83220</v>
      </c>
      <c r="H3963" s="7">
        <f t="shared" si="108"/>
        <v>41623.760000000002</v>
      </c>
      <c r="I3963" s="15"/>
    </row>
    <row r="3964" spans="1:9" s="8" customFormat="1" ht="21" customHeight="1" x14ac:dyDescent="0.6">
      <c r="A3964" s="7">
        <v>24.714446800000001</v>
      </c>
      <c r="B3964" s="7">
        <v>34.756987199999998</v>
      </c>
      <c r="C3964" s="7">
        <v>677722.89</v>
      </c>
      <c r="D3964" s="7">
        <v>2734468.98</v>
      </c>
      <c r="E3964" s="7">
        <v>488.78</v>
      </c>
      <c r="F3964" s="7">
        <v>41648.129999999997</v>
      </c>
      <c r="G3964" s="7">
        <v>83222</v>
      </c>
      <c r="H3964" s="7">
        <f t="shared" si="108"/>
        <v>41598.129999999997</v>
      </c>
      <c r="I3964" s="15"/>
    </row>
    <row r="3965" spans="1:9" s="8" customFormat="1" ht="21" customHeight="1" x14ac:dyDescent="0.6">
      <c r="A3965" s="7">
        <v>24.7144224</v>
      </c>
      <c r="B3965" s="7">
        <v>34.756983499999997</v>
      </c>
      <c r="C3965" s="7">
        <v>677722.54</v>
      </c>
      <c r="D3965" s="7">
        <v>2734466.28</v>
      </c>
      <c r="E3965" s="7">
        <v>488.69</v>
      </c>
      <c r="F3965" s="7">
        <v>41631.31</v>
      </c>
      <c r="G3965" s="7">
        <v>83224</v>
      </c>
      <c r="H3965" s="7">
        <f t="shared" si="108"/>
        <v>41581.31</v>
      </c>
      <c r="I3965" s="15"/>
    </row>
    <row r="3966" spans="1:9" s="8" customFormat="1" ht="21" customHeight="1" x14ac:dyDescent="0.6">
      <c r="A3966" s="7">
        <v>24.714397200000001</v>
      </c>
      <c r="B3966" s="7">
        <v>34.756985399999998</v>
      </c>
      <c r="C3966" s="7">
        <v>677722.77</v>
      </c>
      <c r="D3966" s="7">
        <v>2734463.49</v>
      </c>
      <c r="E3966" s="7">
        <v>488.6</v>
      </c>
      <c r="F3966" s="7">
        <v>41612.019999999997</v>
      </c>
      <c r="G3966" s="7">
        <v>83226</v>
      </c>
      <c r="H3966" s="7">
        <f t="shared" si="108"/>
        <v>41562.019999999997</v>
      </c>
      <c r="I3966" s="15"/>
    </row>
    <row r="3967" spans="1:9" s="8" customFormat="1" ht="21" customHeight="1" x14ac:dyDescent="0.6">
      <c r="A3967" s="7">
        <v>24.714378</v>
      </c>
      <c r="B3967" s="7">
        <v>34.756996999999998</v>
      </c>
      <c r="C3967" s="7">
        <v>677723.97</v>
      </c>
      <c r="D3967" s="7">
        <v>2734461.37</v>
      </c>
      <c r="E3967" s="7">
        <v>489.12</v>
      </c>
      <c r="F3967" s="7">
        <v>41599.300000000003</v>
      </c>
      <c r="G3967" s="7">
        <v>83228</v>
      </c>
      <c r="H3967" s="7">
        <f t="shared" si="108"/>
        <v>41549.300000000003</v>
      </c>
      <c r="I3967" s="15"/>
    </row>
    <row r="3968" spans="1:9" s="8" customFormat="1" ht="21" customHeight="1" x14ac:dyDescent="0.6">
      <c r="A3968" s="7">
        <v>24.714368100000002</v>
      </c>
      <c r="B3968" s="7">
        <v>34.757021299999998</v>
      </c>
      <c r="C3968" s="7">
        <v>677726.44</v>
      </c>
      <c r="D3968" s="7">
        <v>2734460.31</v>
      </c>
      <c r="E3968" s="7">
        <v>489.34</v>
      </c>
      <c r="F3968" s="7">
        <v>41576.76</v>
      </c>
      <c r="G3968" s="7">
        <v>83230</v>
      </c>
      <c r="H3968" s="7">
        <f t="shared" si="108"/>
        <v>41526.76</v>
      </c>
      <c r="I3968" s="15"/>
    </row>
    <row r="3969" spans="1:9" s="8" customFormat="1" ht="21" customHeight="1" x14ac:dyDescent="0.6">
      <c r="A3969" s="7">
        <v>24.7143598</v>
      </c>
      <c r="B3969" s="7">
        <v>34.757046699999997</v>
      </c>
      <c r="C3969" s="7">
        <v>677729.02</v>
      </c>
      <c r="D3969" s="7">
        <v>2734459.43</v>
      </c>
      <c r="E3969" s="7">
        <v>489.48</v>
      </c>
      <c r="F3969" s="7">
        <v>41578.28</v>
      </c>
      <c r="G3969" s="7">
        <v>83232</v>
      </c>
      <c r="H3969" s="7">
        <f t="shared" si="108"/>
        <v>41528.28</v>
      </c>
      <c r="I3969" s="15"/>
    </row>
    <row r="3970" spans="1:9" s="8" customFormat="1" ht="21" customHeight="1" x14ac:dyDescent="0.6">
      <c r="A3970" s="7">
        <v>24.714351400000002</v>
      </c>
      <c r="B3970" s="7">
        <v>34.757072100000002</v>
      </c>
      <c r="C3970" s="7">
        <v>677731.6</v>
      </c>
      <c r="D3970" s="7">
        <v>2734458.53</v>
      </c>
      <c r="E3970" s="7">
        <v>489.62</v>
      </c>
      <c r="F3970" s="7">
        <v>41554.660000000003</v>
      </c>
      <c r="G3970" s="7">
        <v>83234</v>
      </c>
      <c r="H3970" s="7">
        <f t="shared" si="108"/>
        <v>41504.660000000003</v>
      </c>
      <c r="I3970" s="15"/>
    </row>
    <row r="3971" spans="1:9" s="8" customFormat="1" ht="21" customHeight="1" x14ac:dyDescent="0.6">
      <c r="A3971" s="7">
        <v>24.714343199999998</v>
      </c>
      <c r="B3971" s="7">
        <v>34.757100100000002</v>
      </c>
      <c r="C3971" s="7">
        <v>677734.45</v>
      </c>
      <c r="D3971" s="7">
        <v>2734457.65</v>
      </c>
      <c r="E3971" s="7">
        <v>489.42</v>
      </c>
      <c r="F3971" s="7">
        <v>41542.78</v>
      </c>
      <c r="G3971" s="7">
        <v>83236</v>
      </c>
      <c r="H3971" s="7">
        <f t="shared" si="108"/>
        <v>41492.78</v>
      </c>
      <c r="I3971" s="15"/>
    </row>
    <row r="3972" spans="1:9" s="8" customFormat="1" ht="21" customHeight="1" x14ac:dyDescent="0.6">
      <c r="A3972" s="7">
        <v>24.714348300000001</v>
      </c>
      <c r="B3972" s="7">
        <v>34.7571254</v>
      </c>
      <c r="C3972" s="7">
        <v>677737</v>
      </c>
      <c r="D3972" s="7">
        <v>2734458.25</v>
      </c>
      <c r="E3972" s="7">
        <v>489.79</v>
      </c>
      <c r="F3972" s="7">
        <v>41496.26</v>
      </c>
      <c r="G3972" s="7">
        <v>83238</v>
      </c>
      <c r="H3972" s="7">
        <f t="shared" si="108"/>
        <v>41446.26</v>
      </c>
      <c r="I3972" s="15"/>
    </row>
    <row r="3973" spans="1:9" s="8" customFormat="1" ht="21" customHeight="1" x14ac:dyDescent="0.6">
      <c r="A3973" s="7">
        <v>24.714354</v>
      </c>
      <c r="B3973" s="7">
        <v>34.757149599999998</v>
      </c>
      <c r="C3973" s="7">
        <v>677739.45</v>
      </c>
      <c r="D3973" s="7">
        <v>2734458.91</v>
      </c>
      <c r="E3973" s="7">
        <v>489.92</v>
      </c>
      <c r="F3973" s="7">
        <v>41534.71</v>
      </c>
      <c r="G3973" s="7">
        <v>83240</v>
      </c>
      <c r="H3973" s="7">
        <f t="shared" si="108"/>
        <v>41484.71</v>
      </c>
      <c r="I3973" s="15"/>
    </row>
    <row r="3974" spans="1:9" s="8" customFormat="1" ht="21" customHeight="1" x14ac:dyDescent="0.6">
      <c r="A3974" s="7">
        <v>24.71435</v>
      </c>
      <c r="B3974" s="7">
        <v>34.7571741</v>
      </c>
      <c r="C3974" s="7">
        <v>677741.93</v>
      </c>
      <c r="D3974" s="7">
        <v>2734458.51</v>
      </c>
      <c r="E3974" s="7">
        <v>490.19</v>
      </c>
      <c r="F3974" s="7">
        <v>41509.480000000003</v>
      </c>
      <c r="G3974" s="7">
        <v>83242</v>
      </c>
      <c r="H3974" s="7">
        <f t="shared" si="108"/>
        <v>41459.480000000003</v>
      </c>
      <c r="I3974" s="15"/>
    </row>
    <row r="3975" spans="1:9" s="8" customFormat="1" ht="21" customHeight="1" x14ac:dyDescent="0.6">
      <c r="A3975" s="7">
        <v>24.714340499999999</v>
      </c>
      <c r="B3975" s="7">
        <v>34.757196700000001</v>
      </c>
      <c r="C3975" s="7">
        <v>677744.23</v>
      </c>
      <c r="D3975" s="7">
        <v>2734457.48</v>
      </c>
      <c r="E3975" s="7">
        <v>490.53</v>
      </c>
      <c r="F3975" s="7">
        <v>41464.230000000003</v>
      </c>
      <c r="G3975" s="7">
        <v>83244</v>
      </c>
      <c r="H3975" s="7">
        <f t="shared" si="108"/>
        <v>41414.230000000003</v>
      </c>
      <c r="I3975" s="15"/>
    </row>
    <row r="3976" spans="1:9" s="8" customFormat="1" ht="21" customHeight="1" x14ac:dyDescent="0.6">
      <c r="A3976" s="7">
        <v>24.714327399999998</v>
      </c>
      <c r="B3976" s="7">
        <v>34.757215799999997</v>
      </c>
      <c r="C3976" s="7">
        <v>677746.18</v>
      </c>
      <c r="D3976" s="7">
        <v>2734456.06</v>
      </c>
      <c r="E3976" s="7">
        <v>490.93</v>
      </c>
      <c r="F3976" s="7">
        <v>41422.07</v>
      </c>
      <c r="G3976" s="7">
        <v>83246</v>
      </c>
      <c r="H3976" s="7">
        <f t="shared" si="108"/>
        <v>41372.07</v>
      </c>
      <c r="I3976" s="15"/>
    </row>
    <row r="3977" spans="1:9" s="8" customFormat="1" ht="21" customHeight="1" x14ac:dyDescent="0.6">
      <c r="A3977" s="7">
        <v>24.714307000000002</v>
      </c>
      <c r="B3977" s="7">
        <v>34.757229500000001</v>
      </c>
      <c r="C3977" s="7">
        <v>677747.59</v>
      </c>
      <c r="D3977" s="7">
        <v>2734453.82</v>
      </c>
      <c r="E3977" s="7">
        <v>491.26</v>
      </c>
      <c r="F3977" s="7">
        <v>41314.839999999997</v>
      </c>
      <c r="G3977" s="7">
        <v>83248</v>
      </c>
      <c r="H3977" s="7">
        <f t="shared" si="108"/>
        <v>41264.839999999997</v>
      </c>
      <c r="I3977" s="15"/>
    </row>
    <row r="3978" spans="1:9" s="8" customFormat="1" ht="21" customHeight="1" x14ac:dyDescent="0.6">
      <c r="A3978" s="7">
        <v>24.714285199999999</v>
      </c>
      <c r="B3978" s="7">
        <v>34.757240600000003</v>
      </c>
      <c r="C3978" s="7">
        <v>677748.75</v>
      </c>
      <c r="D3978" s="7">
        <v>2734451.42</v>
      </c>
      <c r="E3978" s="7">
        <v>491.36</v>
      </c>
      <c r="F3978" s="7">
        <v>41322.42</v>
      </c>
      <c r="G3978" s="7">
        <v>83250</v>
      </c>
      <c r="H3978" s="7">
        <f t="shared" si="108"/>
        <v>41272.42</v>
      </c>
      <c r="I3978" s="15"/>
    </row>
    <row r="3979" spans="1:9" s="8" customFormat="1" ht="21" customHeight="1" x14ac:dyDescent="0.6">
      <c r="A3979" s="7">
        <v>24.714264</v>
      </c>
      <c r="B3979" s="7">
        <v>34.7572507</v>
      </c>
      <c r="C3979" s="7">
        <v>677749.81</v>
      </c>
      <c r="D3979" s="7">
        <v>2734449.08</v>
      </c>
      <c r="E3979" s="7">
        <v>491.57</v>
      </c>
      <c r="F3979" s="7">
        <v>41286.120000000003</v>
      </c>
      <c r="G3979" s="7">
        <v>83252</v>
      </c>
      <c r="H3979" s="7">
        <f t="shared" si="108"/>
        <v>41236.120000000003</v>
      </c>
      <c r="I3979" s="15"/>
    </row>
    <row r="3980" spans="1:9" s="8" customFormat="1" ht="21" customHeight="1" x14ac:dyDescent="0.6">
      <c r="A3980" s="7">
        <v>24.714246899999999</v>
      </c>
      <c r="B3980" s="7">
        <v>34.757270599999998</v>
      </c>
      <c r="C3980" s="7">
        <v>677751.84</v>
      </c>
      <c r="D3980" s="7">
        <v>2734447.21</v>
      </c>
      <c r="E3980" s="7">
        <v>491.63</v>
      </c>
      <c r="F3980" s="7">
        <v>41314.68</v>
      </c>
      <c r="G3980" s="7">
        <v>83254</v>
      </c>
      <c r="H3980" s="7">
        <f t="shared" si="108"/>
        <v>41264.68</v>
      </c>
      <c r="I3980" s="15"/>
    </row>
    <row r="3981" spans="1:9" s="8" customFormat="1" ht="21" customHeight="1" x14ac:dyDescent="0.6">
      <c r="A3981" s="7">
        <v>24.714229899999999</v>
      </c>
      <c r="B3981" s="7">
        <v>34.757289800000002</v>
      </c>
      <c r="C3981" s="7">
        <v>677753.81</v>
      </c>
      <c r="D3981" s="7">
        <v>2734445.35</v>
      </c>
      <c r="E3981" s="7">
        <v>491.83</v>
      </c>
      <c r="F3981" s="7">
        <v>41330.480000000003</v>
      </c>
      <c r="G3981" s="7">
        <v>83256</v>
      </c>
      <c r="H3981" s="7">
        <f t="shared" si="108"/>
        <v>41280.480000000003</v>
      </c>
      <c r="I3981" s="15"/>
    </row>
    <row r="3982" spans="1:9" s="8" customFormat="1" ht="21" customHeight="1" x14ac:dyDescent="0.6">
      <c r="A3982" s="7">
        <v>24.714214800000001</v>
      </c>
      <c r="B3982" s="7">
        <v>34.757311999999999</v>
      </c>
      <c r="C3982" s="7">
        <v>677756.07</v>
      </c>
      <c r="D3982" s="7">
        <v>2734443.71</v>
      </c>
      <c r="E3982" s="7">
        <v>492.17</v>
      </c>
      <c r="F3982" s="7">
        <v>41250.120000000003</v>
      </c>
      <c r="G3982" s="7">
        <v>83258</v>
      </c>
      <c r="H3982" s="7">
        <f t="shared" si="108"/>
        <v>41200.120000000003</v>
      </c>
      <c r="I3982" s="15"/>
    </row>
    <row r="3983" spans="1:9" s="8" customFormat="1" ht="21" customHeight="1" x14ac:dyDescent="0.6">
      <c r="A3983" s="7">
        <v>24.714198199999998</v>
      </c>
      <c r="B3983" s="7">
        <v>34.757329400000003</v>
      </c>
      <c r="C3983" s="7">
        <v>677757.86</v>
      </c>
      <c r="D3983" s="7">
        <v>2734441.9</v>
      </c>
      <c r="E3983" s="7">
        <v>492.25</v>
      </c>
      <c r="F3983" s="7">
        <v>41230.68</v>
      </c>
      <c r="G3983" s="7">
        <v>83300</v>
      </c>
      <c r="H3983" s="7">
        <f t="shared" si="108"/>
        <v>41180.68</v>
      </c>
      <c r="I3983" s="15"/>
    </row>
    <row r="3984" spans="1:9" s="8" customFormat="1" ht="21" customHeight="1" x14ac:dyDescent="0.6">
      <c r="A3984" s="7">
        <v>24.7141789</v>
      </c>
      <c r="B3984" s="7">
        <v>34.757337999999997</v>
      </c>
      <c r="C3984" s="7">
        <v>677758.76</v>
      </c>
      <c r="D3984" s="7">
        <v>2734439.77</v>
      </c>
      <c r="E3984" s="7">
        <v>492.44</v>
      </c>
      <c r="F3984" s="7">
        <v>41178.629999999997</v>
      </c>
      <c r="G3984" s="7">
        <v>83302</v>
      </c>
      <c r="H3984" s="7">
        <f t="shared" si="108"/>
        <v>41128.629999999997</v>
      </c>
      <c r="I3984" s="15"/>
    </row>
    <row r="3985" spans="1:9" s="8" customFormat="1" ht="21" customHeight="1" x14ac:dyDescent="0.6">
      <c r="A3985" s="7">
        <v>24.714154000000001</v>
      </c>
      <c r="B3985" s="7">
        <v>34.757343300000002</v>
      </c>
      <c r="C3985" s="7">
        <v>677759.33</v>
      </c>
      <c r="D3985" s="7">
        <v>2734437.02</v>
      </c>
      <c r="E3985" s="7">
        <v>492.51</v>
      </c>
      <c r="F3985" s="7">
        <v>41166.85</v>
      </c>
      <c r="G3985" s="7">
        <v>83304</v>
      </c>
      <c r="H3985" s="7">
        <f t="shared" si="108"/>
        <v>41116.85</v>
      </c>
      <c r="I3985" s="15"/>
    </row>
    <row r="3986" spans="1:9" s="8" customFormat="1" ht="21" customHeight="1" x14ac:dyDescent="0.6">
      <c r="A3986" s="7">
        <v>24.7141296</v>
      </c>
      <c r="B3986" s="7">
        <v>34.757344000000003</v>
      </c>
      <c r="C3986" s="7">
        <v>677759.44</v>
      </c>
      <c r="D3986" s="7">
        <v>2734434.31</v>
      </c>
      <c r="E3986" s="7">
        <v>492.72</v>
      </c>
      <c r="F3986" s="7">
        <v>41173.760000000002</v>
      </c>
      <c r="G3986" s="7">
        <v>83306</v>
      </c>
      <c r="H3986" s="7">
        <f t="shared" si="108"/>
        <v>41123.760000000002</v>
      </c>
      <c r="I3986" s="15"/>
    </row>
    <row r="3987" spans="1:9" s="8" customFormat="1" ht="21" customHeight="1" x14ac:dyDescent="0.6">
      <c r="A3987" s="7">
        <v>24.714106399999999</v>
      </c>
      <c r="B3987" s="7">
        <v>34.757348700000001</v>
      </c>
      <c r="C3987" s="7">
        <v>677759.94</v>
      </c>
      <c r="D3987" s="7">
        <v>2734431.75</v>
      </c>
      <c r="E3987" s="7">
        <v>493.17</v>
      </c>
      <c r="F3987" s="7">
        <v>41157.64</v>
      </c>
      <c r="G3987" s="7">
        <v>83308</v>
      </c>
      <c r="H3987" s="7">
        <f t="shared" si="108"/>
        <v>41107.64</v>
      </c>
      <c r="I3987" s="15"/>
    </row>
    <row r="3988" spans="1:9" s="8" customFormat="1" ht="21" customHeight="1" x14ac:dyDescent="0.6">
      <c r="A3988" s="7">
        <v>24.7140846</v>
      </c>
      <c r="B3988" s="7">
        <v>34.757352500000003</v>
      </c>
      <c r="C3988" s="7">
        <v>677760.35</v>
      </c>
      <c r="D3988" s="7">
        <v>2734429.34</v>
      </c>
      <c r="E3988" s="7">
        <v>493.34</v>
      </c>
      <c r="F3988" s="7">
        <v>41171.94</v>
      </c>
      <c r="G3988" s="7">
        <v>83310</v>
      </c>
      <c r="H3988" s="7">
        <f t="shared" ref="H3988:H4051" si="109">SUM(F3988-50)</f>
        <v>41121.94</v>
      </c>
      <c r="I3988" s="15"/>
    </row>
    <row r="3989" spans="1:9" s="8" customFormat="1" ht="21" customHeight="1" x14ac:dyDescent="0.6">
      <c r="A3989" s="7">
        <v>24.714066299999999</v>
      </c>
      <c r="B3989" s="7">
        <v>34.757363599999998</v>
      </c>
      <c r="C3989" s="7">
        <v>677761.51</v>
      </c>
      <c r="D3989" s="7">
        <v>2734427.34</v>
      </c>
      <c r="E3989" s="7">
        <v>493.51</v>
      </c>
      <c r="F3989" s="7">
        <v>41203.89</v>
      </c>
      <c r="G3989" s="7">
        <v>83312</v>
      </c>
      <c r="H3989" s="7">
        <f t="shared" si="109"/>
        <v>41153.89</v>
      </c>
      <c r="I3989" s="15"/>
    </row>
    <row r="3990" spans="1:9" s="8" customFormat="1" ht="21" customHeight="1" x14ac:dyDescent="0.6">
      <c r="A3990" s="7">
        <v>24.714049200000002</v>
      </c>
      <c r="B3990" s="7">
        <v>34.7573802</v>
      </c>
      <c r="C3990" s="7">
        <v>677763.21</v>
      </c>
      <c r="D3990" s="7">
        <v>2734425.46</v>
      </c>
      <c r="E3990" s="7">
        <v>493.76</v>
      </c>
      <c r="F3990" s="7">
        <v>41199.14</v>
      </c>
      <c r="G3990" s="7">
        <v>83314</v>
      </c>
      <c r="H3990" s="7">
        <f t="shared" si="109"/>
        <v>41149.14</v>
      </c>
      <c r="I3990" s="15"/>
    </row>
    <row r="3991" spans="1:9" s="8" customFormat="1" ht="21" customHeight="1" x14ac:dyDescent="0.6">
      <c r="A3991" s="7">
        <v>24.714036</v>
      </c>
      <c r="B3991" s="7">
        <v>34.757395899999999</v>
      </c>
      <c r="C3991" s="7">
        <v>677764.81</v>
      </c>
      <c r="D3991" s="7">
        <v>2734424.02</v>
      </c>
      <c r="E3991" s="7">
        <v>494.15</v>
      </c>
      <c r="F3991" s="7">
        <v>41151.94</v>
      </c>
      <c r="G3991" s="7">
        <v>83316</v>
      </c>
      <c r="H3991" s="7">
        <f t="shared" si="109"/>
        <v>41101.94</v>
      </c>
      <c r="I3991" s="15"/>
    </row>
    <row r="3992" spans="1:9" s="8" customFormat="1" ht="21" customHeight="1" x14ac:dyDescent="0.6">
      <c r="A3992" s="7">
        <v>24.714013600000001</v>
      </c>
      <c r="B3992" s="7">
        <v>34.757400099999998</v>
      </c>
      <c r="C3992" s="7">
        <v>677765.27</v>
      </c>
      <c r="D3992" s="7">
        <v>2734421.54</v>
      </c>
      <c r="E3992" s="7">
        <v>494.24</v>
      </c>
      <c r="F3992" s="7">
        <v>41127.15</v>
      </c>
      <c r="G3992" s="7">
        <v>83318</v>
      </c>
      <c r="H3992" s="7">
        <f t="shared" si="109"/>
        <v>41077.15</v>
      </c>
      <c r="I3992" s="15"/>
    </row>
    <row r="3993" spans="1:9" s="8" customFormat="1" ht="21" customHeight="1" x14ac:dyDescent="0.6">
      <c r="A3993" s="7">
        <v>24.713996699999999</v>
      </c>
      <c r="B3993" s="7">
        <v>34.757414900000001</v>
      </c>
      <c r="C3993" s="7">
        <v>677766.8</v>
      </c>
      <c r="D3993" s="7">
        <v>2734419.69</v>
      </c>
      <c r="E3993" s="7">
        <v>494.58</v>
      </c>
      <c r="F3993" s="7">
        <v>41080.99</v>
      </c>
      <c r="G3993" s="7">
        <v>83320</v>
      </c>
      <c r="H3993" s="7">
        <f t="shared" si="109"/>
        <v>41030.99</v>
      </c>
      <c r="I3993" s="15"/>
    </row>
    <row r="3994" spans="1:9" s="8" customFormat="1" ht="21" customHeight="1" x14ac:dyDescent="0.6">
      <c r="A3994" s="7">
        <v>24.7139807</v>
      </c>
      <c r="B3994" s="7">
        <v>34.757430300000003</v>
      </c>
      <c r="C3994" s="7">
        <v>677768.38</v>
      </c>
      <c r="D3994" s="7">
        <v>2734417.94</v>
      </c>
      <c r="E3994" s="7">
        <v>494.82</v>
      </c>
      <c r="F3994" s="7">
        <v>41089.06</v>
      </c>
      <c r="G3994" s="7">
        <v>83322</v>
      </c>
      <c r="H3994" s="7">
        <f t="shared" si="109"/>
        <v>41039.06</v>
      </c>
      <c r="I3994" s="15"/>
    </row>
    <row r="3995" spans="1:9" s="8" customFormat="1" ht="21" customHeight="1" x14ac:dyDescent="0.6">
      <c r="A3995" s="7">
        <v>24.713963100000001</v>
      </c>
      <c r="B3995" s="7">
        <v>34.757441399999998</v>
      </c>
      <c r="C3995" s="7">
        <v>677769.53</v>
      </c>
      <c r="D3995" s="7">
        <v>2734416.01</v>
      </c>
      <c r="E3995" s="7">
        <v>495.27</v>
      </c>
      <c r="F3995" s="7">
        <v>41135.08</v>
      </c>
      <c r="G3995" s="7">
        <v>83324</v>
      </c>
      <c r="H3995" s="7">
        <f t="shared" si="109"/>
        <v>41085.08</v>
      </c>
      <c r="I3995" s="15"/>
    </row>
    <row r="3996" spans="1:9" s="8" customFormat="1" ht="21" customHeight="1" x14ac:dyDescent="0.6">
      <c r="A3996" s="7">
        <v>24.713946499999999</v>
      </c>
      <c r="B3996" s="7">
        <v>34.757455200000003</v>
      </c>
      <c r="C3996" s="7">
        <v>677770.95</v>
      </c>
      <c r="D3996" s="7">
        <v>2734414.18</v>
      </c>
      <c r="E3996" s="7">
        <v>495.69</v>
      </c>
      <c r="F3996" s="7">
        <v>41189.440000000002</v>
      </c>
      <c r="G3996" s="7">
        <v>83326</v>
      </c>
      <c r="H3996" s="7">
        <f t="shared" si="109"/>
        <v>41139.440000000002</v>
      </c>
      <c r="I3996" s="15"/>
    </row>
    <row r="3997" spans="1:9" s="8" customFormat="1" ht="21" customHeight="1" x14ac:dyDescent="0.6">
      <c r="A3997" s="7">
        <v>24.7139296</v>
      </c>
      <c r="B3997" s="7">
        <v>34.757473400000002</v>
      </c>
      <c r="C3997" s="7">
        <v>677772.81</v>
      </c>
      <c r="D3997" s="7">
        <v>2734412.33</v>
      </c>
      <c r="E3997" s="7">
        <v>496.01</v>
      </c>
      <c r="F3997" s="7">
        <v>41235.57</v>
      </c>
      <c r="G3997" s="7">
        <v>83328</v>
      </c>
      <c r="H3997" s="7">
        <f t="shared" si="109"/>
        <v>41185.57</v>
      </c>
      <c r="I3997" s="15"/>
    </row>
    <row r="3998" spans="1:9" s="8" customFormat="1" ht="21" customHeight="1" x14ac:dyDescent="0.6">
      <c r="A3998" s="7">
        <v>24.713911899999999</v>
      </c>
      <c r="B3998" s="7">
        <v>34.757489200000002</v>
      </c>
      <c r="C3998" s="7">
        <v>677774.43</v>
      </c>
      <c r="D3998" s="7">
        <v>2734410.39</v>
      </c>
      <c r="E3998" s="7">
        <v>496.22</v>
      </c>
      <c r="F3998" s="7">
        <v>41272.720000000001</v>
      </c>
      <c r="G3998" s="7">
        <v>83330</v>
      </c>
      <c r="H3998" s="7">
        <f t="shared" si="109"/>
        <v>41222.720000000001</v>
      </c>
      <c r="I3998" s="15"/>
    </row>
    <row r="3999" spans="1:9" s="8" customFormat="1" ht="21" customHeight="1" x14ac:dyDescent="0.6">
      <c r="A3999" s="7">
        <v>24.7138977</v>
      </c>
      <c r="B3999" s="7">
        <v>34.757506399999997</v>
      </c>
      <c r="C3999" s="7">
        <v>677776.19</v>
      </c>
      <c r="D3999" s="7">
        <v>2734408.84</v>
      </c>
      <c r="E3999" s="7">
        <v>496.47</v>
      </c>
      <c r="F3999" s="7">
        <v>41315.4</v>
      </c>
      <c r="G3999" s="7">
        <v>83332</v>
      </c>
      <c r="H3999" s="7">
        <f t="shared" si="109"/>
        <v>41265.4</v>
      </c>
      <c r="I3999" s="15"/>
    </row>
    <row r="4000" spans="1:9" s="8" customFormat="1" ht="21" customHeight="1" x14ac:dyDescent="0.6">
      <c r="A4000" s="7">
        <v>24.713883200000001</v>
      </c>
      <c r="B4000" s="7">
        <v>34.757522999999999</v>
      </c>
      <c r="C4000" s="7">
        <v>677777.89</v>
      </c>
      <c r="D4000" s="7">
        <v>2734407.26</v>
      </c>
      <c r="E4000" s="7">
        <v>496.86</v>
      </c>
      <c r="F4000" s="7">
        <v>41312.9</v>
      </c>
      <c r="G4000" s="7">
        <v>83334</v>
      </c>
      <c r="H4000" s="7">
        <f t="shared" si="109"/>
        <v>41262.9</v>
      </c>
      <c r="I4000" s="15"/>
    </row>
    <row r="4001" spans="1:9" s="8" customFormat="1" ht="21" customHeight="1" x14ac:dyDescent="0.6">
      <c r="A4001" s="7">
        <v>24.713865800000001</v>
      </c>
      <c r="B4001" s="7">
        <v>34.757536600000002</v>
      </c>
      <c r="C4001" s="7">
        <v>677779.3</v>
      </c>
      <c r="D4001" s="7">
        <v>2734405.35</v>
      </c>
      <c r="E4001" s="7">
        <v>497.21</v>
      </c>
      <c r="F4001" s="7">
        <v>41342.82</v>
      </c>
      <c r="G4001" s="7">
        <v>83336</v>
      </c>
      <c r="H4001" s="7">
        <f t="shared" si="109"/>
        <v>41292.82</v>
      </c>
      <c r="I4001" s="15"/>
    </row>
    <row r="4002" spans="1:9" s="8" customFormat="1" ht="21" customHeight="1" x14ac:dyDescent="0.6">
      <c r="A4002" s="7">
        <v>24.713847699999999</v>
      </c>
      <c r="B4002" s="7">
        <v>34.757546900000001</v>
      </c>
      <c r="C4002" s="7">
        <v>677780.36</v>
      </c>
      <c r="D4002" s="7">
        <v>2734403.36</v>
      </c>
      <c r="E4002" s="7">
        <v>497.5</v>
      </c>
      <c r="F4002" s="7">
        <v>41396.080000000002</v>
      </c>
      <c r="G4002" s="7">
        <v>83338</v>
      </c>
      <c r="H4002" s="7">
        <f t="shared" si="109"/>
        <v>41346.080000000002</v>
      </c>
      <c r="I4002" s="15"/>
    </row>
    <row r="4003" spans="1:9" s="8" customFormat="1" ht="21" customHeight="1" x14ac:dyDescent="0.6">
      <c r="A4003" s="7">
        <v>24.713828599999999</v>
      </c>
      <c r="B4003" s="7">
        <v>34.757559299999997</v>
      </c>
      <c r="C4003" s="7">
        <v>677781.64</v>
      </c>
      <c r="D4003" s="7">
        <v>2734401.26</v>
      </c>
      <c r="E4003" s="7">
        <v>497.85</v>
      </c>
      <c r="F4003" s="7">
        <v>41412.379999999997</v>
      </c>
      <c r="G4003" s="7">
        <v>83340</v>
      </c>
      <c r="H4003" s="7">
        <f t="shared" si="109"/>
        <v>41362.379999999997</v>
      </c>
      <c r="I4003" s="15"/>
    </row>
    <row r="4004" spans="1:9" s="8" customFormat="1" ht="21" customHeight="1" x14ac:dyDescent="0.6">
      <c r="A4004" s="7">
        <v>24.713809999999999</v>
      </c>
      <c r="B4004" s="7">
        <v>34.757575299999999</v>
      </c>
      <c r="C4004" s="7">
        <v>677783.29</v>
      </c>
      <c r="D4004" s="7">
        <v>2734399.22</v>
      </c>
      <c r="E4004" s="7">
        <v>497.93</v>
      </c>
      <c r="F4004" s="7">
        <v>41424.199999999997</v>
      </c>
      <c r="G4004" s="7">
        <v>83342</v>
      </c>
      <c r="H4004" s="7">
        <f t="shared" si="109"/>
        <v>41374.199999999997</v>
      </c>
      <c r="I4004" s="15"/>
    </row>
    <row r="4005" spans="1:9" s="8" customFormat="1" ht="21" customHeight="1" x14ac:dyDescent="0.6">
      <c r="A4005" s="7">
        <v>24.713795600000001</v>
      </c>
      <c r="B4005" s="7">
        <v>34.7575912</v>
      </c>
      <c r="C4005" s="7">
        <v>677784.92</v>
      </c>
      <c r="D4005" s="7">
        <v>2734397.65</v>
      </c>
      <c r="E4005" s="7">
        <v>498.42</v>
      </c>
      <c r="F4005" s="7">
        <v>41443.78</v>
      </c>
      <c r="G4005" s="7">
        <v>83344</v>
      </c>
      <c r="H4005" s="7">
        <f t="shared" si="109"/>
        <v>41393.78</v>
      </c>
      <c r="I4005" s="15"/>
    </row>
    <row r="4006" spans="1:9" s="8" customFormat="1" ht="21" customHeight="1" x14ac:dyDescent="0.6">
      <c r="A4006" s="7">
        <v>24.7137785</v>
      </c>
      <c r="B4006" s="7">
        <v>34.757601700000002</v>
      </c>
      <c r="C4006" s="7">
        <v>677786</v>
      </c>
      <c r="D4006" s="7">
        <v>2734395.76</v>
      </c>
      <c r="E4006" s="7">
        <v>498.8</v>
      </c>
      <c r="F4006" s="7">
        <v>41537.230000000003</v>
      </c>
      <c r="G4006" s="7">
        <v>83346</v>
      </c>
      <c r="H4006" s="7">
        <f t="shared" si="109"/>
        <v>41487.230000000003</v>
      </c>
      <c r="I4006" s="15"/>
    </row>
    <row r="4007" spans="1:9" s="8" customFormat="1" ht="21" customHeight="1" x14ac:dyDescent="0.6">
      <c r="A4007" s="7">
        <v>24.713760099999998</v>
      </c>
      <c r="B4007" s="7">
        <v>34.757614500000003</v>
      </c>
      <c r="C4007" s="7">
        <v>677787.33</v>
      </c>
      <c r="D4007" s="7">
        <v>2734393.74</v>
      </c>
      <c r="E4007" s="7">
        <v>498.98</v>
      </c>
      <c r="F4007" s="7">
        <v>41609.78</v>
      </c>
      <c r="G4007" s="7">
        <v>83348</v>
      </c>
      <c r="H4007" s="7">
        <f t="shared" si="109"/>
        <v>41559.78</v>
      </c>
      <c r="I4007" s="15"/>
    </row>
    <row r="4008" spans="1:9" s="8" customFormat="1" ht="21" customHeight="1" x14ac:dyDescent="0.6">
      <c r="A4008" s="7">
        <v>24.713746100000002</v>
      </c>
      <c r="B4008" s="7">
        <v>34.757626100000003</v>
      </c>
      <c r="C4008" s="7">
        <v>677788.52</v>
      </c>
      <c r="D4008" s="7">
        <v>2734392.2</v>
      </c>
      <c r="E4008" s="7">
        <v>499.22</v>
      </c>
      <c r="F4008" s="7">
        <v>41625.730000000003</v>
      </c>
      <c r="G4008" s="7">
        <v>83350</v>
      </c>
      <c r="H4008" s="7">
        <f t="shared" si="109"/>
        <v>41575.730000000003</v>
      </c>
      <c r="I4008" s="15"/>
    </row>
    <row r="4009" spans="1:9" s="8" customFormat="1" ht="21" customHeight="1" x14ac:dyDescent="0.6">
      <c r="A4009" s="7">
        <v>24.713745899999999</v>
      </c>
      <c r="B4009" s="7">
        <v>34.757626299999998</v>
      </c>
      <c r="C4009" s="7">
        <v>677788.54</v>
      </c>
      <c r="D4009" s="7">
        <v>2734392.19</v>
      </c>
      <c r="E4009" s="7">
        <v>499.24</v>
      </c>
      <c r="F4009" s="7">
        <v>41627.379999999997</v>
      </c>
      <c r="G4009" s="7">
        <v>83352</v>
      </c>
      <c r="H4009" s="7">
        <f t="shared" si="109"/>
        <v>41577.379999999997</v>
      </c>
      <c r="I4009" s="15"/>
    </row>
    <row r="4010" spans="1:9" s="8" customFormat="1" ht="21" customHeight="1" x14ac:dyDescent="0.6">
      <c r="A4010" s="7">
        <v>24.7137505</v>
      </c>
      <c r="B4010" s="7">
        <v>34.7576204</v>
      </c>
      <c r="C4010" s="7">
        <v>677787.94</v>
      </c>
      <c r="D4010" s="7">
        <v>2734392.69</v>
      </c>
      <c r="E4010" s="7">
        <v>499.15</v>
      </c>
      <c r="F4010" s="7">
        <v>41622.239999999998</v>
      </c>
      <c r="G4010" s="7">
        <v>83354</v>
      </c>
      <c r="H4010" s="7">
        <f t="shared" si="109"/>
        <v>41572.239999999998</v>
      </c>
      <c r="I4010" s="15"/>
    </row>
    <row r="4011" spans="1:9" s="8" customFormat="1" ht="21" customHeight="1" x14ac:dyDescent="0.6">
      <c r="A4011" s="7">
        <v>24.713765200000001</v>
      </c>
      <c r="B4011" s="7">
        <v>34.757606600000003</v>
      </c>
      <c r="C4011" s="7">
        <v>677786.52</v>
      </c>
      <c r="D4011" s="7">
        <v>2734394.3</v>
      </c>
      <c r="E4011" s="7">
        <v>498.86</v>
      </c>
      <c r="F4011" s="7">
        <v>41617.949999999997</v>
      </c>
      <c r="G4011" s="7">
        <v>83356</v>
      </c>
      <c r="H4011" s="7">
        <f t="shared" si="109"/>
        <v>41567.949999999997</v>
      </c>
      <c r="I4011" s="15"/>
    </row>
    <row r="4012" spans="1:9" s="8" customFormat="1" ht="21" customHeight="1" x14ac:dyDescent="0.6">
      <c r="A4012" s="7">
        <v>24.713784400000002</v>
      </c>
      <c r="B4012" s="7">
        <v>34.757596800000002</v>
      </c>
      <c r="C4012" s="7">
        <v>677785.5</v>
      </c>
      <c r="D4012" s="7">
        <v>2734396.42</v>
      </c>
      <c r="E4012" s="7">
        <v>498.71</v>
      </c>
      <c r="F4012" s="7">
        <v>41571.03</v>
      </c>
      <c r="G4012" s="7">
        <v>83358</v>
      </c>
      <c r="H4012" s="7">
        <f t="shared" si="109"/>
        <v>41521.03</v>
      </c>
      <c r="I4012" s="15"/>
    </row>
    <row r="4013" spans="1:9" s="8" customFormat="1" ht="21" customHeight="1" x14ac:dyDescent="0.6">
      <c r="A4013" s="7">
        <v>24.713800599999999</v>
      </c>
      <c r="B4013" s="7">
        <v>34.757585200000001</v>
      </c>
      <c r="C4013" s="7">
        <v>677784.3</v>
      </c>
      <c r="D4013" s="7">
        <v>2734398.19</v>
      </c>
      <c r="E4013" s="7">
        <v>498.28</v>
      </c>
      <c r="F4013" s="7">
        <v>41453.68</v>
      </c>
      <c r="G4013" s="7">
        <v>83400</v>
      </c>
      <c r="H4013" s="7">
        <f t="shared" si="109"/>
        <v>41403.68</v>
      </c>
      <c r="I4013" s="15"/>
    </row>
    <row r="4014" spans="1:9" s="8" customFormat="1" ht="21" customHeight="1" x14ac:dyDescent="0.6">
      <c r="A4014" s="7">
        <v>24.713804199999998</v>
      </c>
      <c r="B4014" s="7">
        <v>34.757580699999998</v>
      </c>
      <c r="C4014" s="7">
        <v>677783.85</v>
      </c>
      <c r="D4014" s="7">
        <v>2734398.59</v>
      </c>
      <c r="E4014" s="7">
        <v>498.33</v>
      </c>
      <c r="F4014" s="7">
        <v>41449.18</v>
      </c>
      <c r="G4014" s="7">
        <v>83402</v>
      </c>
      <c r="H4014" s="7">
        <f t="shared" si="109"/>
        <v>41399.18</v>
      </c>
      <c r="I4014" s="15"/>
    </row>
    <row r="4015" spans="1:9" s="8" customFormat="1" ht="21" customHeight="1" x14ac:dyDescent="0.6">
      <c r="A4015" s="7">
        <v>24.713804799999998</v>
      </c>
      <c r="B4015" s="7">
        <v>34.757580699999998</v>
      </c>
      <c r="C4015" s="7">
        <v>677783.84</v>
      </c>
      <c r="D4015" s="7">
        <v>2734398.65</v>
      </c>
      <c r="E4015" s="7">
        <v>498.33</v>
      </c>
      <c r="F4015" s="7">
        <v>41447.22</v>
      </c>
      <c r="G4015" s="7">
        <v>83404</v>
      </c>
      <c r="H4015" s="7">
        <f t="shared" si="109"/>
        <v>41397.22</v>
      </c>
      <c r="I4015" s="15"/>
    </row>
    <row r="4016" spans="1:9" s="8" customFormat="1" ht="21" customHeight="1" x14ac:dyDescent="0.6">
      <c r="A4016" s="7">
        <v>24.713811100000001</v>
      </c>
      <c r="B4016" s="7">
        <v>34.757571900000002</v>
      </c>
      <c r="C4016" s="7">
        <v>677782.94</v>
      </c>
      <c r="D4016" s="7">
        <v>2734399.33</v>
      </c>
      <c r="E4016" s="7">
        <v>498.18</v>
      </c>
      <c r="F4016" s="7">
        <v>41433.360000000001</v>
      </c>
      <c r="G4016" s="7">
        <v>83406</v>
      </c>
      <c r="H4016" s="7">
        <f t="shared" si="109"/>
        <v>41383.360000000001</v>
      </c>
      <c r="I4016" s="15"/>
    </row>
    <row r="4017" spans="1:9" s="8" customFormat="1" ht="21" customHeight="1" x14ac:dyDescent="0.6">
      <c r="A4017" s="7">
        <v>24.7138238</v>
      </c>
      <c r="B4017" s="7">
        <v>34.757555600000003</v>
      </c>
      <c r="C4017" s="7">
        <v>677781.27</v>
      </c>
      <c r="D4017" s="7">
        <v>2734400.72</v>
      </c>
      <c r="E4017" s="7">
        <v>497.92</v>
      </c>
      <c r="F4017" s="7">
        <v>41441.39</v>
      </c>
      <c r="G4017" s="7">
        <v>83408</v>
      </c>
      <c r="H4017" s="7">
        <f t="shared" si="109"/>
        <v>41391.39</v>
      </c>
      <c r="I4017" s="15"/>
    </row>
    <row r="4018" spans="1:9" s="8" customFormat="1" ht="21" customHeight="1" x14ac:dyDescent="0.6">
      <c r="A4018" s="7">
        <v>24.713835899999999</v>
      </c>
      <c r="B4018" s="7">
        <v>34.757539299999998</v>
      </c>
      <c r="C4018" s="7">
        <v>677779.61</v>
      </c>
      <c r="D4018" s="7">
        <v>2734402.04</v>
      </c>
      <c r="E4018" s="7">
        <v>497.58</v>
      </c>
      <c r="F4018" s="7">
        <v>41445.74</v>
      </c>
      <c r="G4018" s="7">
        <v>83410</v>
      </c>
      <c r="H4018" s="7">
        <f t="shared" si="109"/>
        <v>41395.74</v>
      </c>
      <c r="I4018" s="15"/>
    </row>
    <row r="4019" spans="1:9" s="8" customFormat="1" ht="21" customHeight="1" x14ac:dyDescent="0.6">
      <c r="A4019" s="7">
        <v>24.713845899999999</v>
      </c>
      <c r="B4019" s="7">
        <v>34.7575219</v>
      </c>
      <c r="C4019" s="7">
        <v>677777.84</v>
      </c>
      <c r="D4019" s="7">
        <v>2734403.12</v>
      </c>
      <c r="E4019" s="7">
        <v>497.39</v>
      </c>
      <c r="F4019" s="7">
        <v>41495.040000000001</v>
      </c>
      <c r="G4019" s="7">
        <v>83412</v>
      </c>
      <c r="H4019" s="7">
        <f t="shared" si="109"/>
        <v>41445.040000000001</v>
      </c>
      <c r="I4019" s="15"/>
    </row>
    <row r="4020" spans="1:9" s="8" customFormat="1" ht="21" customHeight="1" x14ac:dyDescent="0.6">
      <c r="A4020" s="7">
        <v>24.713858099999999</v>
      </c>
      <c r="B4020" s="7">
        <v>34.7575073</v>
      </c>
      <c r="C4020" s="7">
        <v>677776.34</v>
      </c>
      <c r="D4020" s="7">
        <v>2734404.46</v>
      </c>
      <c r="E4020" s="7">
        <v>497.13</v>
      </c>
      <c r="F4020" s="7">
        <v>41489.83</v>
      </c>
      <c r="G4020" s="7">
        <v>83414</v>
      </c>
      <c r="H4020" s="7">
        <f t="shared" si="109"/>
        <v>41439.83</v>
      </c>
      <c r="I4020" s="15"/>
    </row>
    <row r="4021" spans="1:9" s="8" customFormat="1" ht="21" customHeight="1" x14ac:dyDescent="0.6">
      <c r="A4021" s="7">
        <v>24.71387</v>
      </c>
      <c r="B4021" s="7">
        <v>34.757492800000001</v>
      </c>
      <c r="C4021" s="7">
        <v>677774.86</v>
      </c>
      <c r="D4021" s="7">
        <v>2734405.76</v>
      </c>
      <c r="E4021" s="7">
        <v>496.96</v>
      </c>
      <c r="F4021" s="7">
        <v>41487.589999999997</v>
      </c>
      <c r="G4021" s="7">
        <v>83416</v>
      </c>
      <c r="H4021" s="7">
        <f t="shared" si="109"/>
        <v>41437.589999999997</v>
      </c>
      <c r="I4021" s="15"/>
    </row>
    <row r="4022" spans="1:9" s="8" customFormat="1" ht="21" customHeight="1" x14ac:dyDescent="0.6">
      <c r="A4022" s="7">
        <v>24.713875600000001</v>
      </c>
      <c r="B4022" s="7">
        <v>34.7574781</v>
      </c>
      <c r="C4022" s="7">
        <v>677773.36</v>
      </c>
      <c r="D4022" s="7">
        <v>2734406.36</v>
      </c>
      <c r="E4022" s="7">
        <v>496.58</v>
      </c>
      <c r="F4022" s="7">
        <v>41506.33</v>
      </c>
      <c r="G4022" s="7">
        <v>83418</v>
      </c>
      <c r="H4022" s="7">
        <f t="shared" si="109"/>
        <v>41456.33</v>
      </c>
      <c r="I4022" s="15"/>
    </row>
    <row r="4023" spans="1:9" s="8" customFormat="1" ht="21" customHeight="1" x14ac:dyDescent="0.6">
      <c r="A4023" s="7">
        <v>24.713866299999999</v>
      </c>
      <c r="B4023" s="7">
        <v>34.757472100000001</v>
      </c>
      <c r="C4023" s="7">
        <v>677772.77</v>
      </c>
      <c r="D4023" s="7">
        <v>2734405.32</v>
      </c>
      <c r="E4023" s="7">
        <v>495.97</v>
      </c>
      <c r="F4023" s="7">
        <v>41598.22</v>
      </c>
      <c r="G4023" s="7">
        <v>83420</v>
      </c>
      <c r="H4023" s="7">
        <f t="shared" si="109"/>
        <v>41548.22</v>
      </c>
      <c r="I4023" s="15"/>
    </row>
    <row r="4024" spans="1:9" s="8" customFormat="1" ht="21" customHeight="1" x14ac:dyDescent="0.6">
      <c r="A4024" s="7">
        <v>24.7138578</v>
      </c>
      <c r="B4024" s="7">
        <v>34.7574665</v>
      </c>
      <c r="C4024" s="7">
        <v>677772.22</v>
      </c>
      <c r="D4024" s="7">
        <v>2734404.37</v>
      </c>
      <c r="E4024" s="7">
        <v>495.24</v>
      </c>
      <c r="F4024" s="7">
        <v>41730.69</v>
      </c>
      <c r="G4024" s="7">
        <v>83422</v>
      </c>
      <c r="H4024" s="7">
        <f t="shared" si="109"/>
        <v>41680.69</v>
      </c>
      <c r="I4024" s="15"/>
    </row>
    <row r="4025" spans="1:9" s="8" customFormat="1" ht="21" customHeight="1" x14ac:dyDescent="0.6">
      <c r="A4025" s="7">
        <v>24.713844999999999</v>
      </c>
      <c r="B4025" s="7">
        <v>34.757462099999998</v>
      </c>
      <c r="C4025" s="7">
        <v>677771.79</v>
      </c>
      <c r="D4025" s="7">
        <v>2734402.95</v>
      </c>
      <c r="E4025" s="7">
        <v>494.61</v>
      </c>
      <c r="F4025" s="7">
        <v>41698.82</v>
      </c>
      <c r="G4025" s="7">
        <v>83424</v>
      </c>
      <c r="H4025" s="7">
        <f t="shared" si="109"/>
        <v>41648.82</v>
      </c>
      <c r="I4025" s="15"/>
    </row>
    <row r="4026" spans="1:9" s="8" customFormat="1" ht="21" customHeight="1" x14ac:dyDescent="0.6">
      <c r="A4026" s="7">
        <v>24.713833399999999</v>
      </c>
      <c r="B4026" s="7">
        <v>34.757456900000001</v>
      </c>
      <c r="C4026" s="7">
        <v>677771.28</v>
      </c>
      <c r="D4026" s="7">
        <v>2734401.65</v>
      </c>
      <c r="E4026" s="7">
        <v>494.12</v>
      </c>
      <c r="F4026" s="7">
        <v>41688.32</v>
      </c>
      <c r="G4026" s="7">
        <v>83426</v>
      </c>
      <c r="H4026" s="7">
        <f t="shared" si="109"/>
        <v>41638.32</v>
      </c>
      <c r="I4026" s="15"/>
    </row>
    <row r="4027" spans="1:9" s="8" customFormat="1" ht="21" customHeight="1" x14ac:dyDescent="0.6">
      <c r="A4027" s="7">
        <v>24.7138235</v>
      </c>
      <c r="B4027" s="7">
        <v>34.757444599999999</v>
      </c>
      <c r="C4027" s="7">
        <v>677770.05</v>
      </c>
      <c r="D4027" s="7">
        <v>2734400.54</v>
      </c>
      <c r="E4027" s="7">
        <v>493.23</v>
      </c>
      <c r="F4027" s="7">
        <v>41682.85</v>
      </c>
      <c r="G4027" s="7">
        <v>83428</v>
      </c>
      <c r="H4027" s="7">
        <f t="shared" si="109"/>
        <v>41632.85</v>
      </c>
      <c r="I4027" s="15"/>
    </row>
    <row r="4028" spans="1:9" s="8" customFormat="1" ht="21" customHeight="1" x14ac:dyDescent="0.6">
      <c r="A4028" s="7">
        <v>24.7138031</v>
      </c>
      <c r="B4028" s="7">
        <v>34.7574386</v>
      </c>
      <c r="C4028" s="7">
        <v>677769.47</v>
      </c>
      <c r="D4028" s="7">
        <v>2734398.27</v>
      </c>
      <c r="E4028" s="7">
        <v>492.65</v>
      </c>
      <c r="F4028" s="7">
        <v>41629.94</v>
      </c>
      <c r="G4028" s="7">
        <v>83430</v>
      </c>
      <c r="H4028" s="7">
        <f t="shared" si="109"/>
        <v>41579.94</v>
      </c>
      <c r="I4028" s="15"/>
    </row>
    <row r="4029" spans="1:9" s="8" customFormat="1" ht="21" customHeight="1" x14ac:dyDescent="0.6">
      <c r="A4029" s="7">
        <v>24.7137821</v>
      </c>
      <c r="B4029" s="7">
        <v>34.757448500000002</v>
      </c>
      <c r="C4029" s="7">
        <v>677770.5</v>
      </c>
      <c r="D4029" s="7">
        <v>2734395.97</v>
      </c>
      <c r="E4029" s="7">
        <v>492.76</v>
      </c>
      <c r="F4029" s="7">
        <v>41591.339999999997</v>
      </c>
      <c r="G4029" s="7">
        <v>83432</v>
      </c>
      <c r="H4029" s="7">
        <f t="shared" si="109"/>
        <v>41541.339999999997</v>
      </c>
      <c r="I4029" s="15"/>
    </row>
    <row r="4030" spans="1:9" s="8" customFormat="1" ht="21" customHeight="1" x14ac:dyDescent="0.6">
      <c r="A4030" s="7">
        <v>24.7137633</v>
      </c>
      <c r="B4030" s="7">
        <v>34.757465400000001</v>
      </c>
      <c r="C4030" s="7">
        <v>677772.24</v>
      </c>
      <c r="D4030" s="7">
        <v>2734393.9</v>
      </c>
      <c r="E4030" s="7">
        <v>492.88</v>
      </c>
      <c r="F4030" s="7">
        <v>41544</v>
      </c>
      <c r="G4030" s="7">
        <v>83434</v>
      </c>
      <c r="H4030" s="7">
        <f t="shared" si="109"/>
        <v>41494</v>
      </c>
      <c r="I4030" s="15"/>
    </row>
    <row r="4031" spans="1:9" s="8" customFormat="1" ht="21" customHeight="1" x14ac:dyDescent="0.6">
      <c r="A4031" s="7">
        <v>24.713744999999999</v>
      </c>
      <c r="B4031" s="7">
        <v>34.757476799999999</v>
      </c>
      <c r="C4031" s="7">
        <v>677773.41</v>
      </c>
      <c r="D4031" s="7">
        <v>2734391.89</v>
      </c>
      <c r="E4031" s="7">
        <v>492.92</v>
      </c>
      <c r="F4031" s="7">
        <v>41615.39</v>
      </c>
      <c r="G4031" s="7">
        <v>83436</v>
      </c>
      <c r="H4031" s="7">
        <f t="shared" si="109"/>
        <v>41565.39</v>
      </c>
      <c r="I4031" s="15"/>
    </row>
    <row r="4032" spans="1:9" s="8" customFormat="1" ht="21" customHeight="1" x14ac:dyDescent="0.6">
      <c r="A4032" s="7">
        <v>24.7137478</v>
      </c>
      <c r="B4032" s="7">
        <v>34.757476699999998</v>
      </c>
      <c r="C4032" s="7">
        <v>677773.4</v>
      </c>
      <c r="D4032" s="7">
        <v>2734392.2</v>
      </c>
      <c r="E4032" s="7">
        <v>492.93</v>
      </c>
      <c r="F4032" s="7">
        <v>41675.279999999999</v>
      </c>
      <c r="G4032" s="7">
        <v>83438</v>
      </c>
      <c r="H4032" s="7">
        <f t="shared" si="109"/>
        <v>41625.279999999999</v>
      </c>
      <c r="I4032" s="15"/>
    </row>
    <row r="4033" spans="1:9" s="8" customFormat="1" ht="21" customHeight="1" x14ac:dyDescent="0.6">
      <c r="A4033" s="7">
        <v>24.713766100000001</v>
      </c>
      <c r="B4033" s="7">
        <v>34.757469</v>
      </c>
      <c r="C4033" s="7">
        <v>677772.6</v>
      </c>
      <c r="D4033" s="7">
        <v>2734394.21</v>
      </c>
      <c r="E4033" s="7">
        <v>492.88</v>
      </c>
      <c r="F4033" s="7">
        <v>41562.44</v>
      </c>
      <c r="G4033" s="7">
        <v>83440</v>
      </c>
      <c r="H4033" s="7">
        <f t="shared" si="109"/>
        <v>41512.44</v>
      </c>
      <c r="I4033" s="15"/>
    </row>
    <row r="4034" spans="1:9" s="8" customFormat="1" ht="21" customHeight="1" x14ac:dyDescent="0.6">
      <c r="A4034" s="7">
        <v>24.713780400000001</v>
      </c>
      <c r="B4034" s="7">
        <v>34.757451799999998</v>
      </c>
      <c r="C4034" s="7">
        <v>677770.83</v>
      </c>
      <c r="D4034" s="7">
        <v>2734395.78</v>
      </c>
      <c r="E4034" s="7">
        <v>492.72</v>
      </c>
      <c r="F4034" s="7">
        <v>41558.85</v>
      </c>
      <c r="G4034" s="7">
        <v>83442</v>
      </c>
      <c r="H4034" s="7">
        <f t="shared" si="109"/>
        <v>41508.85</v>
      </c>
      <c r="I4034" s="15"/>
    </row>
    <row r="4035" spans="1:9" s="8" customFormat="1" ht="21" customHeight="1" x14ac:dyDescent="0.6">
      <c r="A4035" s="7">
        <v>24.713798600000001</v>
      </c>
      <c r="B4035" s="7">
        <v>34.7574386</v>
      </c>
      <c r="C4035" s="7">
        <v>677769.48</v>
      </c>
      <c r="D4035" s="7">
        <v>2734397.78</v>
      </c>
      <c r="E4035" s="7">
        <v>492.75</v>
      </c>
      <c r="F4035" s="7">
        <v>41599.75</v>
      </c>
      <c r="G4035" s="7">
        <v>83444</v>
      </c>
      <c r="H4035" s="7">
        <f t="shared" si="109"/>
        <v>41549.75</v>
      </c>
      <c r="I4035" s="15"/>
    </row>
    <row r="4036" spans="1:9" s="8" customFormat="1" ht="21" customHeight="1" x14ac:dyDescent="0.6">
      <c r="A4036" s="7">
        <v>24.713815400000001</v>
      </c>
      <c r="B4036" s="7">
        <v>34.757427</v>
      </c>
      <c r="C4036" s="7">
        <v>677768.27</v>
      </c>
      <c r="D4036" s="7">
        <v>2734399.63</v>
      </c>
      <c r="E4036" s="7">
        <v>492.46</v>
      </c>
      <c r="F4036" s="7">
        <v>41626.660000000003</v>
      </c>
      <c r="G4036" s="7">
        <v>83446</v>
      </c>
      <c r="H4036" s="7">
        <f t="shared" si="109"/>
        <v>41576.660000000003</v>
      </c>
      <c r="I4036" s="15"/>
    </row>
    <row r="4037" spans="1:9" s="8" customFormat="1" ht="21" customHeight="1" x14ac:dyDescent="0.6">
      <c r="A4037" s="7">
        <v>24.7138317</v>
      </c>
      <c r="B4037" s="7">
        <v>34.757412100000003</v>
      </c>
      <c r="C4037" s="7">
        <v>677766.75</v>
      </c>
      <c r="D4037" s="7">
        <v>2734401.41</v>
      </c>
      <c r="E4037" s="7">
        <v>492.15</v>
      </c>
      <c r="F4037" s="7">
        <v>41599.47</v>
      </c>
      <c r="G4037" s="7">
        <v>83448</v>
      </c>
      <c r="H4037" s="7">
        <f t="shared" si="109"/>
        <v>41549.47</v>
      </c>
      <c r="I4037" s="15"/>
    </row>
    <row r="4038" spans="1:9" s="8" customFormat="1" ht="21" customHeight="1" x14ac:dyDescent="0.6">
      <c r="A4038" s="7">
        <v>24.713833699999999</v>
      </c>
      <c r="B4038" s="7">
        <v>34.757388300000002</v>
      </c>
      <c r="C4038" s="7">
        <v>677764.34</v>
      </c>
      <c r="D4038" s="7">
        <v>2734401.6</v>
      </c>
      <c r="E4038" s="7">
        <v>491.67</v>
      </c>
      <c r="F4038" s="7">
        <v>41631.85</v>
      </c>
      <c r="G4038" s="7">
        <v>83450</v>
      </c>
      <c r="H4038" s="7">
        <f t="shared" si="109"/>
        <v>41581.85</v>
      </c>
      <c r="I4038" s="15"/>
    </row>
    <row r="4039" spans="1:9" s="8" customFormat="1" ht="21" customHeight="1" x14ac:dyDescent="0.6">
      <c r="A4039" s="7">
        <v>24.713833600000001</v>
      </c>
      <c r="B4039" s="7">
        <v>34.757365900000003</v>
      </c>
      <c r="C4039" s="7">
        <v>677762.07</v>
      </c>
      <c r="D4039" s="7">
        <v>2734401.56</v>
      </c>
      <c r="E4039" s="7">
        <v>491.55</v>
      </c>
      <c r="F4039" s="7">
        <v>41630.589999999997</v>
      </c>
      <c r="G4039" s="7">
        <v>83452</v>
      </c>
      <c r="H4039" s="7">
        <f t="shared" si="109"/>
        <v>41580.589999999997</v>
      </c>
      <c r="I4039" s="15"/>
    </row>
    <row r="4040" spans="1:9" s="8" customFormat="1" ht="21" customHeight="1" x14ac:dyDescent="0.6">
      <c r="A4040" s="7">
        <v>24.7138256</v>
      </c>
      <c r="B4040" s="7">
        <v>34.757351399999997</v>
      </c>
      <c r="C4040" s="7">
        <v>677760.61</v>
      </c>
      <c r="D4040" s="7">
        <v>2734400.66</v>
      </c>
      <c r="E4040" s="7">
        <v>491.05</v>
      </c>
      <c r="F4040" s="7">
        <v>41671.089999999997</v>
      </c>
      <c r="G4040" s="7">
        <v>83454</v>
      </c>
      <c r="H4040" s="7">
        <f t="shared" si="109"/>
        <v>41621.089999999997</v>
      </c>
      <c r="I4040" s="15"/>
    </row>
    <row r="4041" spans="1:9" s="8" customFormat="1" ht="21" customHeight="1" x14ac:dyDescent="0.6">
      <c r="A4041" s="7">
        <v>24.713805700000002</v>
      </c>
      <c r="B4041" s="7">
        <v>34.757333799999998</v>
      </c>
      <c r="C4041" s="7">
        <v>677758.86</v>
      </c>
      <c r="D4041" s="7">
        <v>2734398.42</v>
      </c>
      <c r="E4041" s="7">
        <v>489.74</v>
      </c>
      <c r="F4041" s="7">
        <v>41650.379999999997</v>
      </c>
      <c r="G4041" s="7">
        <v>83456</v>
      </c>
      <c r="H4041" s="7">
        <f t="shared" si="109"/>
        <v>41600.379999999997</v>
      </c>
      <c r="I4041" s="15"/>
    </row>
    <row r="4042" spans="1:9" s="8" customFormat="1" ht="21" customHeight="1" x14ac:dyDescent="0.6">
      <c r="A4042" s="7">
        <v>24.713786200000001</v>
      </c>
      <c r="B4042" s="7">
        <v>34.7573376</v>
      </c>
      <c r="C4042" s="7">
        <v>677759.27</v>
      </c>
      <c r="D4042" s="7">
        <v>2734396.27</v>
      </c>
      <c r="E4042" s="7">
        <v>489.9</v>
      </c>
      <c r="F4042" s="7">
        <v>41596.910000000003</v>
      </c>
      <c r="G4042" s="7">
        <v>83458</v>
      </c>
      <c r="H4042" s="7">
        <f t="shared" si="109"/>
        <v>41546.910000000003</v>
      </c>
      <c r="I4042" s="15"/>
    </row>
    <row r="4043" spans="1:9" s="8" customFormat="1" ht="21" customHeight="1" x14ac:dyDescent="0.6">
      <c r="A4043" s="7">
        <v>24.713777400000001</v>
      </c>
      <c r="B4043" s="7">
        <v>34.7573419</v>
      </c>
      <c r="C4043" s="7">
        <v>677759.72</v>
      </c>
      <c r="D4043" s="7">
        <v>2734395.3</v>
      </c>
      <c r="E4043" s="7">
        <v>489.93</v>
      </c>
      <c r="F4043" s="7">
        <v>41579.019999999997</v>
      </c>
      <c r="G4043" s="7">
        <v>83500</v>
      </c>
      <c r="H4043" s="7">
        <f t="shared" si="109"/>
        <v>41529.019999999997</v>
      </c>
      <c r="I4043" s="15"/>
    </row>
    <row r="4044" spans="1:9" s="8" customFormat="1" ht="21" customHeight="1" x14ac:dyDescent="0.6">
      <c r="A4044" s="7">
        <v>24.713790299999999</v>
      </c>
      <c r="B4044" s="7">
        <v>34.7573346</v>
      </c>
      <c r="C4044" s="7">
        <v>677758.96</v>
      </c>
      <c r="D4044" s="7">
        <v>2734396.72</v>
      </c>
      <c r="E4044" s="7">
        <v>489.84</v>
      </c>
      <c r="F4044" s="7">
        <v>41603.26</v>
      </c>
      <c r="G4044" s="7">
        <v>83502</v>
      </c>
      <c r="H4044" s="7">
        <f t="shared" si="109"/>
        <v>41553.26</v>
      </c>
      <c r="I4044" s="15"/>
    </row>
    <row r="4045" spans="1:9" s="8" customFormat="1" ht="21" customHeight="1" x14ac:dyDescent="0.6">
      <c r="A4045" s="7">
        <v>24.713808499999999</v>
      </c>
      <c r="B4045" s="7">
        <v>34.757319799999998</v>
      </c>
      <c r="C4045" s="7">
        <v>677757.43999999994</v>
      </c>
      <c r="D4045" s="7">
        <v>2734398.73</v>
      </c>
      <c r="E4045" s="7">
        <v>489.82</v>
      </c>
      <c r="F4045" s="7">
        <v>41597</v>
      </c>
      <c r="G4045" s="7">
        <v>83504</v>
      </c>
      <c r="H4045" s="7">
        <f t="shared" si="109"/>
        <v>41547</v>
      </c>
      <c r="I4045" s="15"/>
    </row>
    <row r="4046" spans="1:9" s="8" customFormat="1" ht="21" customHeight="1" x14ac:dyDescent="0.6">
      <c r="A4046" s="7">
        <v>24.713825</v>
      </c>
      <c r="B4046" s="7">
        <v>34.757304599999998</v>
      </c>
      <c r="C4046" s="7">
        <v>677755.88</v>
      </c>
      <c r="D4046" s="7">
        <v>2734400.53</v>
      </c>
      <c r="E4046" s="7">
        <v>489.72</v>
      </c>
      <c r="F4046" s="7">
        <v>41569.360000000001</v>
      </c>
      <c r="G4046" s="7">
        <v>83506</v>
      </c>
      <c r="H4046" s="7">
        <f t="shared" si="109"/>
        <v>41519.360000000001</v>
      </c>
      <c r="I4046" s="15"/>
    </row>
    <row r="4047" spans="1:9" s="8" customFormat="1" ht="21" customHeight="1" x14ac:dyDescent="0.6">
      <c r="A4047" s="7">
        <v>24.713846199999999</v>
      </c>
      <c r="B4047" s="7">
        <v>34.757286800000003</v>
      </c>
      <c r="C4047" s="7">
        <v>677754.05</v>
      </c>
      <c r="D4047" s="7">
        <v>2734402.85</v>
      </c>
      <c r="E4047" s="7">
        <v>489.62</v>
      </c>
      <c r="F4047" s="7">
        <v>41569.730000000003</v>
      </c>
      <c r="G4047" s="7">
        <v>83508</v>
      </c>
      <c r="H4047" s="7">
        <f t="shared" si="109"/>
        <v>41519.730000000003</v>
      </c>
      <c r="I4047" s="15"/>
    </row>
    <row r="4048" spans="1:9" s="8" customFormat="1" ht="21" customHeight="1" x14ac:dyDescent="0.6">
      <c r="A4048" s="7">
        <v>24.713865999999999</v>
      </c>
      <c r="B4048" s="7">
        <v>34.757271899999999</v>
      </c>
      <c r="C4048" s="7">
        <v>677752.51</v>
      </c>
      <c r="D4048" s="7">
        <v>2734405.03</v>
      </c>
      <c r="E4048" s="7">
        <v>489.54</v>
      </c>
      <c r="F4048" s="7">
        <v>41568.239999999998</v>
      </c>
      <c r="G4048" s="7">
        <v>83510</v>
      </c>
      <c r="H4048" s="7">
        <f t="shared" si="109"/>
        <v>41518.239999999998</v>
      </c>
      <c r="I4048" s="15"/>
    </row>
    <row r="4049" spans="1:9" s="8" customFormat="1" ht="21" customHeight="1" x14ac:dyDescent="0.6">
      <c r="A4049" s="7">
        <v>24.7138773</v>
      </c>
      <c r="B4049" s="7">
        <v>34.7572598</v>
      </c>
      <c r="C4049" s="7">
        <v>677751.27</v>
      </c>
      <c r="D4049" s="7">
        <v>2734406.26</v>
      </c>
      <c r="E4049" s="7">
        <v>489.59</v>
      </c>
      <c r="F4049" s="7">
        <v>41547.480000000003</v>
      </c>
      <c r="G4049" s="7">
        <v>83512</v>
      </c>
      <c r="H4049" s="7">
        <f t="shared" si="109"/>
        <v>41497.480000000003</v>
      </c>
      <c r="I4049" s="15"/>
    </row>
    <row r="4050" spans="1:9" s="8" customFormat="1" ht="21" customHeight="1" x14ac:dyDescent="0.6">
      <c r="A4050" s="7">
        <v>24.713878699999999</v>
      </c>
      <c r="B4050" s="7">
        <v>34.757260000000002</v>
      </c>
      <c r="C4050" s="7">
        <v>677751.29</v>
      </c>
      <c r="D4050" s="7">
        <v>2734406.42</v>
      </c>
      <c r="E4050" s="7">
        <v>489.59</v>
      </c>
      <c r="F4050" s="7">
        <v>41547.17</v>
      </c>
      <c r="G4050" s="7">
        <v>83514</v>
      </c>
      <c r="H4050" s="7">
        <f t="shared" si="109"/>
        <v>41497.17</v>
      </c>
      <c r="I4050" s="15"/>
    </row>
    <row r="4051" spans="1:9" s="8" customFormat="1" ht="21" customHeight="1" x14ac:dyDescent="0.6">
      <c r="A4051" s="7">
        <v>24.7138937</v>
      </c>
      <c r="B4051" s="7">
        <v>34.757250999999997</v>
      </c>
      <c r="C4051" s="7">
        <v>677750.36</v>
      </c>
      <c r="D4051" s="7">
        <v>2734408.07</v>
      </c>
      <c r="E4051" s="7">
        <v>489.59</v>
      </c>
      <c r="F4051" s="7">
        <v>41531.43</v>
      </c>
      <c r="G4051" s="7">
        <v>83516</v>
      </c>
      <c r="H4051" s="7">
        <f t="shared" si="109"/>
        <v>41481.43</v>
      </c>
      <c r="I4051" s="15"/>
    </row>
    <row r="4052" spans="1:9" s="8" customFormat="1" ht="21" customHeight="1" x14ac:dyDescent="0.6">
      <c r="A4052" s="7">
        <v>24.7139177</v>
      </c>
      <c r="B4052" s="7">
        <v>34.757239800000001</v>
      </c>
      <c r="C4052" s="7">
        <v>677749.19</v>
      </c>
      <c r="D4052" s="7">
        <v>2734410.71</v>
      </c>
      <c r="E4052" s="7">
        <v>489.54</v>
      </c>
      <c r="F4052" s="7">
        <v>41517.589999999997</v>
      </c>
      <c r="G4052" s="7">
        <v>83518</v>
      </c>
      <c r="H4052" s="7">
        <f t="shared" ref="H4052:H4115" si="110">SUM(F4052-50)</f>
        <v>41467.589999999997</v>
      </c>
      <c r="I4052" s="15"/>
    </row>
    <row r="4053" spans="1:9" s="8" customFormat="1" ht="21" customHeight="1" x14ac:dyDescent="0.6">
      <c r="A4053" s="7">
        <v>24.713940099999999</v>
      </c>
      <c r="B4053" s="7">
        <v>34.757225400000003</v>
      </c>
      <c r="C4053" s="7">
        <v>677747.7</v>
      </c>
      <c r="D4053" s="7">
        <v>2734413.18</v>
      </c>
      <c r="E4053" s="7">
        <v>489.43</v>
      </c>
      <c r="F4053" s="7">
        <v>41533.629999999997</v>
      </c>
      <c r="G4053" s="7">
        <v>83520</v>
      </c>
      <c r="H4053" s="7">
        <f t="shared" si="110"/>
        <v>41483.629999999997</v>
      </c>
      <c r="I4053" s="15"/>
    </row>
    <row r="4054" spans="1:9" s="8" customFormat="1" ht="21" customHeight="1" x14ac:dyDescent="0.6">
      <c r="A4054" s="7">
        <v>24.713962599999999</v>
      </c>
      <c r="B4054" s="7">
        <v>34.757210499999999</v>
      </c>
      <c r="C4054" s="7">
        <v>677746.16</v>
      </c>
      <c r="D4054" s="7">
        <v>2734415.65</v>
      </c>
      <c r="E4054" s="7">
        <v>489.4</v>
      </c>
      <c r="F4054" s="7">
        <v>41502.65</v>
      </c>
      <c r="G4054" s="7">
        <v>83522</v>
      </c>
      <c r="H4054" s="7">
        <f t="shared" si="110"/>
        <v>41452.65</v>
      </c>
      <c r="I4054" s="15"/>
    </row>
    <row r="4055" spans="1:9" s="8" customFormat="1" ht="21" customHeight="1" x14ac:dyDescent="0.6">
      <c r="A4055" s="7">
        <v>24.713986299999998</v>
      </c>
      <c r="B4055" s="7">
        <v>34.757197900000001</v>
      </c>
      <c r="C4055" s="7">
        <v>677744.85</v>
      </c>
      <c r="D4055" s="7">
        <v>2734418.26</v>
      </c>
      <c r="E4055" s="7">
        <v>489.27</v>
      </c>
      <c r="F4055" s="7">
        <v>41516.61</v>
      </c>
      <c r="G4055" s="7">
        <v>83524</v>
      </c>
      <c r="H4055" s="7">
        <f t="shared" si="110"/>
        <v>41466.61</v>
      </c>
      <c r="I4055" s="15"/>
    </row>
    <row r="4056" spans="1:9" s="8" customFormat="1" ht="21" customHeight="1" x14ac:dyDescent="0.6">
      <c r="A4056" s="7">
        <v>24.714010500000001</v>
      </c>
      <c r="B4056" s="7">
        <v>34.7571856</v>
      </c>
      <c r="C4056" s="7">
        <v>677743.57</v>
      </c>
      <c r="D4056" s="7">
        <v>2734420.92</v>
      </c>
      <c r="E4056" s="7">
        <v>489.3</v>
      </c>
      <c r="F4056" s="7">
        <v>41531.86</v>
      </c>
      <c r="G4056" s="7">
        <v>83526</v>
      </c>
      <c r="H4056" s="7">
        <f t="shared" si="110"/>
        <v>41481.86</v>
      </c>
      <c r="I4056" s="15"/>
    </row>
    <row r="4057" spans="1:9" s="8" customFormat="1" ht="21" customHeight="1" x14ac:dyDescent="0.6">
      <c r="A4057" s="7">
        <v>24.714030999999999</v>
      </c>
      <c r="B4057" s="7">
        <v>34.757170899999998</v>
      </c>
      <c r="C4057" s="7">
        <v>677742.06</v>
      </c>
      <c r="D4057" s="7">
        <v>2734423.18</v>
      </c>
      <c r="E4057" s="7">
        <v>489.15</v>
      </c>
      <c r="F4057" s="7">
        <v>41515.19</v>
      </c>
      <c r="G4057" s="7">
        <v>83528</v>
      </c>
      <c r="H4057" s="7">
        <f t="shared" si="110"/>
        <v>41465.19</v>
      </c>
      <c r="I4057" s="15"/>
    </row>
    <row r="4058" spans="1:9" s="8" customFormat="1" ht="21" customHeight="1" x14ac:dyDescent="0.6">
      <c r="A4058" s="7">
        <v>24.7140521</v>
      </c>
      <c r="B4058" s="7">
        <v>34.757154300000003</v>
      </c>
      <c r="C4058" s="7">
        <v>677740.35</v>
      </c>
      <c r="D4058" s="7">
        <v>2734425.49</v>
      </c>
      <c r="E4058" s="7">
        <v>489.06</v>
      </c>
      <c r="F4058" s="7">
        <v>41530.120000000003</v>
      </c>
      <c r="G4058" s="7">
        <v>83530</v>
      </c>
      <c r="H4058" s="7">
        <f t="shared" si="110"/>
        <v>41480.120000000003</v>
      </c>
      <c r="I4058" s="15"/>
    </row>
    <row r="4059" spans="1:9" s="8" customFormat="1" ht="21" customHeight="1" x14ac:dyDescent="0.6">
      <c r="A4059" s="7">
        <v>24.714070199999998</v>
      </c>
      <c r="B4059" s="7">
        <v>34.7571376</v>
      </c>
      <c r="C4059" s="7">
        <v>677738.63</v>
      </c>
      <c r="D4059" s="7">
        <v>2734427.47</v>
      </c>
      <c r="E4059" s="7">
        <v>489</v>
      </c>
      <c r="F4059" s="7">
        <v>41532.26</v>
      </c>
      <c r="G4059" s="7">
        <v>83532</v>
      </c>
      <c r="H4059" s="7">
        <f t="shared" si="110"/>
        <v>41482.26</v>
      </c>
      <c r="I4059" s="15"/>
    </row>
    <row r="4060" spans="1:9" s="8" customFormat="1" ht="21" customHeight="1" x14ac:dyDescent="0.6">
      <c r="A4060" s="7">
        <v>24.7140889</v>
      </c>
      <c r="B4060" s="7">
        <v>34.757120499999999</v>
      </c>
      <c r="C4060" s="7">
        <v>677736.88</v>
      </c>
      <c r="D4060" s="7">
        <v>2734429.52</v>
      </c>
      <c r="E4060" s="7">
        <v>488.87</v>
      </c>
      <c r="F4060" s="7">
        <v>41541.19</v>
      </c>
      <c r="G4060" s="7">
        <v>83534</v>
      </c>
      <c r="H4060" s="7">
        <f t="shared" si="110"/>
        <v>41491.19</v>
      </c>
      <c r="I4060" s="15"/>
    </row>
    <row r="4061" spans="1:9" s="8" customFormat="1" ht="21" customHeight="1" x14ac:dyDescent="0.6">
      <c r="A4061" s="7">
        <v>24.714106099999999</v>
      </c>
      <c r="B4061" s="7">
        <v>34.757103100000002</v>
      </c>
      <c r="C4061" s="7">
        <v>677735.09</v>
      </c>
      <c r="D4061" s="7">
        <v>2734431.4</v>
      </c>
      <c r="E4061" s="7">
        <v>488.79</v>
      </c>
      <c r="F4061" s="7">
        <v>41540.17</v>
      </c>
      <c r="G4061" s="7">
        <v>83536</v>
      </c>
      <c r="H4061" s="7">
        <f t="shared" si="110"/>
        <v>41490.17</v>
      </c>
      <c r="I4061" s="15"/>
    </row>
    <row r="4062" spans="1:9" s="8" customFormat="1" ht="21" customHeight="1" x14ac:dyDescent="0.6">
      <c r="A4062" s="7">
        <v>24.714119700000001</v>
      </c>
      <c r="B4062" s="7">
        <v>34.757093099999999</v>
      </c>
      <c r="C4062" s="7">
        <v>677734.06</v>
      </c>
      <c r="D4062" s="7">
        <v>2734432.9</v>
      </c>
      <c r="E4062" s="7">
        <v>488.57</v>
      </c>
      <c r="F4062" s="7">
        <v>41541.03</v>
      </c>
      <c r="G4062" s="7">
        <v>83538</v>
      </c>
      <c r="H4062" s="7">
        <f t="shared" si="110"/>
        <v>41491.03</v>
      </c>
      <c r="I4062" s="15"/>
    </row>
    <row r="4063" spans="1:9" s="8" customFormat="1" ht="21" customHeight="1" x14ac:dyDescent="0.6">
      <c r="A4063" s="7">
        <v>24.714120300000001</v>
      </c>
      <c r="B4063" s="7">
        <v>34.757091799999998</v>
      </c>
      <c r="C4063" s="7">
        <v>677733.93</v>
      </c>
      <c r="D4063" s="7">
        <v>2734432.96</v>
      </c>
      <c r="E4063" s="7">
        <v>488.56</v>
      </c>
      <c r="F4063" s="7">
        <v>41543.85</v>
      </c>
      <c r="G4063" s="7">
        <v>83540</v>
      </c>
      <c r="H4063" s="7">
        <f t="shared" si="110"/>
        <v>41493.85</v>
      </c>
      <c r="I4063" s="15"/>
    </row>
    <row r="4064" spans="1:9" s="8" customFormat="1" ht="21" customHeight="1" x14ac:dyDescent="0.6">
      <c r="A4064" s="7">
        <v>24.714120399999999</v>
      </c>
      <c r="B4064" s="7">
        <v>34.757092</v>
      </c>
      <c r="C4064" s="7">
        <v>677733.95</v>
      </c>
      <c r="D4064" s="7">
        <v>2734432.98</v>
      </c>
      <c r="E4064" s="7">
        <v>488.56</v>
      </c>
      <c r="F4064" s="7">
        <v>41545.279999999999</v>
      </c>
      <c r="G4064" s="7">
        <v>83542</v>
      </c>
      <c r="H4064" s="7">
        <f t="shared" si="110"/>
        <v>41495.279999999999</v>
      </c>
      <c r="I4064" s="15"/>
    </row>
    <row r="4065" spans="1:9" s="8" customFormat="1" ht="21" customHeight="1" x14ac:dyDescent="0.6">
      <c r="A4065" s="7">
        <v>24.714120099999999</v>
      </c>
      <c r="B4065" s="7">
        <v>34.757092299999996</v>
      </c>
      <c r="C4065" s="7">
        <v>677733.98</v>
      </c>
      <c r="D4065" s="7">
        <v>2734432.93</v>
      </c>
      <c r="E4065" s="7">
        <v>488.55</v>
      </c>
      <c r="F4065" s="7">
        <v>41544.959999999999</v>
      </c>
      <c r="G4065" s="7">
        <v>83544</v>
      </c>
      <c r="H4065" s="7">
        <f t="shared" si="110"/>
        <v>41494.959999999999</v>
      </c>
      <c r="I4065" s="15"/>
    </row>
    <row r="4066" spans="1:9" s="8" customFormat="1" ht="21" customHeight="1" x14ac:dyDescent="0.6">
      <c r="A4066" s="7">
        <v>24.714120000000001</v>
      </c>
      <c r="B4066" s="7">
        <v>34.757092499999999</v>
      </c>
      <c r="C4066" s="7">
        <v>677734</v>
      </c>
      <c r="D4066" s="7">
        <v>2734432.93</v>
      </c>
      <c r="E4066" s="7">
        <v>488.51</v>
      </c>
      <c r="F4066" s="7">
        <v>41545.230000000003</v>
      </c>
      <c r="G4066" s="7">
        <v>83546</v>
      </c>
      <c r="H4066" s="7">
        <f t="shared" si="110"/>
        <v>41495.230000000003</v>
      </c>
      <c r="I4066" s="15"/>
    </row>
    <row r="4067" spans="1:9" s="8" customFormat="1" ht="21" customHeight="1" x14ac:dyDescent="0.6">
      <c r="A4067" s="7">
        <v>24.714119799999999</v>
      </c>
      <c r="B4067" s="7">
        <v>34.757092200000002</v>
      </c>
      <c r="C4067" s="7">
        <v>677733.97</v>
      </c>
      <c r="D4067" s="7">
        <v>2734432.9</v>
      </c>
      <c r="E4067" s="7">
        <v>488.45</v>
      </c>
      <c r="F4067" s="7">
        <v>41545.660000000003</v>
      </c>
      <c r="G4067" s="7">
        <v>83548</v>
      </c>
      <c r="H4067" s="7">
        <f t="shared" si="110"/>
        <v>41495.660000000003</v>
      </c>
      <c r="I4067" s="15"/>
    </row>
    <row r="4068" spans="1:9" s="8" customFormat="1" ht="21" customHeight="1" x14ac:dyDescent="0.6">
      <c r="A4068" s="7">
        <v>24.714125200000002</v>
      </c>
      <c r="B4068" s="7">
        <v>34.757089000000001</v>
      </c>
      <c r="C4068" s="7">
        <v>677733.64</v>
      </c>
      <c r="D4068" s="7">
        <v>2734433.49</v>
      </c>
      <c r="E4068" s="7">
        <v>488.33</v>
      </c>
      <c r="F4068" s="7">
        <v>41546.83</v>
      </c>
      <c r="G4068" s="7">
        <v>83550</v>
      </c>
      <c r="H4068" s="7">
        <f t="shared" si="110"/>
        <v>41496.83</v>
      </c>
      <c r="I4068" s="15"/>
    </row>
    <row r="4069" spans="1:9" s="8" customFormat="1" ht="21" customHeight="1" x14ac:dyDescent="0.6">
      <c r="A4069" s="7">
        <v>24.7141451</v>
      </c>
      <c r="B4069" s="7">
        <v>34.757076499999997</v>
      </c>
      <c r="C4069" s="7">
        <v>677732.35</v>
      </c>
      <c r="D4069" s="7">
        <v>2734435.69</v>
      </c>
      <c r="E4069" s="7">
        <v>488.19</v>
      </c>
      <c r="F4069" s="7">
        <v>41539.47</v>
      </c>
      <c r="G4069" s="7">
        <v>83552</v>
      </c>
      <c r="H4069" s="7">
        <f t="shared" si="110"/>
        <v>41489.47</v>
      </c>
      <c r="I4069" s="15"/>
    </row>
    <row r="4070" spans="1:9" s="8" customFormat="1" ht="21" customHeight="1" x14ac:dyDescent="0.6">
      <c r="A4070" s="7">
        <v>24.7141625</v>
      </c>
      <c r="B4070" s="7">
        <v>34.757061700000001</v>
      </c>
      <c r="C4070" s="7">
        <v>677730.82</v>
      </c>
      <c r="D4070" s="7">
        <v>2734437.59</v>
      </c>
      <c r="E4070" s="7">
        <v>488.05</v>
      </c>
      <c r="F4070" s="7">
        <v>41566.519999999997</v>
      </c>
      <c r="G4070" s="7">
        <v>83554</v>
      </c>
      <c r="H4070" s="7">
        <f t="shared" si="110"/>
        <v>41516.519999999997</v>
      </c>
      <c r="I4070" s="15"/>
    </row>
    <row r="4071" spans="1:9" s="8" customFormat="1" ht="21" customHeight="1" x14ac:dyDescent="0.6">
      <c r="A4071" s="7">
        <v>24.714179399999999</v>
      </c>
      <c r="B4071" s="7">
        <v>34.757041700000002</v>
      </c>
      <c r="C4071" s="7">
        <v>677728.78</v>
      </c>
      <c r="D4071" s="7">
        <v>2734439.44</v>
      </c>
      <c r="E4071" s="7">
        <v>487.86</v>
      </c>
      <c r="F4071" s="7">
        <v>41557</v>
      </c>
      <c r="G4071" s="7">
        <v>83556</v>
      </c>
      <c r="H4071" s="7">
        <f t="shared" si="110"/>
        <v>41507</v>
      </c>
      <c r="I4071" s="15"/>
    </row>
    <row r="4072" spans="1:9" s="8" customFormat="1" ht="21" customHeight="1" x14ac:dyDescent="0.6">
      <c r="A4072" s="7">
        <v>24.714199099999998</v>
      </c>
      <c r="B4072" s="7">
        <v>34.757021299999998</v>
      </c>
      <c r="C4072" s="7">
        <v>677726.68</v>
      </c>
      <c r="D4072" s="7">
        <v>2734441.6</v>
      </c>
      <c r="E4072" s="7">
        <v>487.73</v>
      </c>
      <c r="F4072" s="7">
        <v>41561.08</v>
      </c>
      <c r="G4072" s="7">
        <v>83558</v>
      </c>
      <c r="H4072" s="7">
        <f t="shared" si="110"/>
        <v>41511.08</v>
      </c>
      <c r="I4072" s="15"/>
    </row>
    <row r="4073" spans="1:9" s="8" customFormat="1" ht="21" customHeight="1" x14ac:dyDescent="0.6">
      <c r="A4073" s="7">
        <v>24.7142199</v>
      </c>
      <c r="B4073" s="7">
        <v>34.7570026</v>
      </c>
      <c r="C4073" s="7">
        <v>677724.77</v>
      </c>
      <c r="D4073" s="7">
        <v>2734443.87</v>
      </c>
      <c r="E4073" s="7">
        <v>487.59</v>
      </c>
      <c r="F4073" s="7">
        <v>41593.410000000003</v>
      </c>
      <c r="G4073" s="7">
        <v>83600</v>
      </c>
      <c r="H4073" s="7">
        <f t="shared" si="110"/>
        <v>41543.410000000003</v>
      </c>
      <c r="I4073" s="15"/>
    </row>
    <row r="4074" spans="1:9" s="8" customFormat="1" ht="21" customHeight="1" x14ac:dyDescent="0.6">
      <c r="A4074" s="7">
        <v>24.7142406</v>
      </c>
      <c r="B4074" s="7">
        <v>34.756984799999998</v>
      </c>
      <c r="C4074" s="7">
        <v>677722.93</v>
      </c>
      <c r="D4074" s="7">
        <v>2734446.15</v>
      </c>
      <c r="E4074" s="7">
        <v>487.35</v>
      </c>
      <c r="F4074" s="7">
        <v>41626.400000000001</v>
      </c>
      <c r="G4074" s="7">
        <v>83602</v>
      </c>
      <c r="H4074" s="7">
        <f t="shared" si="110"/>
        <v>41576.400000000001</v>
      </c>
      <c r="I4074" s="15"/>
    </row>
    <row r="4075" spans="1:9" s="8" customFormat="1" ht="21" customHeight="1" x14ac:dyDescent="0.6">
      <c r="A4075" s="7">
        <v>24.714266800000001</v>
      </c>
      <c r="B4075" s="7">
        <v>34.7569704</v>
      </c>
      <c r="C4075" s="7">
        <v>677721.44</v>
      </c>
      <c r="D4075" s="7">
        <v>2734449.03</v>
      </c>
      <c r="E4075" s="7">
        <v>487.92</v>
      </c>
      <c r="F4075" s="7">
        <v>41618.04</v>
      </c>
      <c r="G4075" s="7">
        <v>83604</v>
      </c>
      <c r="H4075" s="7">
        <f t="shared" si="110"/>
        <v>41568.04</v>
      </c>
      <c r="I4075" s="15"/>
    </row>
    <row r="4076" spans="1:9" s="8" customFormat="1" ht="21" customHeight="1" x14ac:dyDescent="0.6">
      <c r="A4076" s="7">
        <v>24.7142944</v>
      </c>
      <c r="B4076" s="7">
        <v>34.756961500000003</v>
      </c>
      <c r="C4076" s="7">
        <v>677720.5</v>
      </c>
      <c r="D4076" s="7">
        <v>2734452.08</v>
      </c>
      <c r="E4076" s="7">
        <v>488.23</v>
      </c>
      <c r="F4076" s="7">
        <v>41642.720000000001</v>
      </c>
      <c r="G4076" s="7">
        <v>83606</v>
      </c>
      <c r="H4076" s="7">
        <f t="shared" si="110"/>
        <v>41592.720000000001</v>
      </c>
      <c r="I4076" s="15"/>
    </row>
    <row r="4077" spans="1:9" s="8" customFormat="1" ht="21" customHeight="1" x14ac:dyDescent="0.6">
      <c r="A4077" s="7">
        <v>24.7143199</v>
      </c>
      <c r="B4077" s="7">
        <v>34.756953199999998</v>
      </c>
      <c r="C4077" s="7">
        <v>677719.63</v>
      </c>
      <c r="D4077" s="7">
        <v>2734454.89</v>
      </c>
      <c r="E4077" s="7">
        <v>488.43</v>
      </c>
      <c r="F4077" s="7">
        <v>41637.279999999999</v>
      </c>
      <c r="G4077" s="7">
        <v>83608</v>
      </c>
      <c r="H4077" s="7">
        <f t="shared" si="110"/>
        <v>41587.279999999999</v>
      </c>
      <c r="I4077" s="15"/>
    </row>
    <row r="4078" spans="1:9" s="8" customFormat="1" ht="21" customHeight="1" x14ac:dyDescent="0.6">
      <c r="A4078" s="7">
        <v>24.714346800000001</v>
      </c>
      <c r="B4078" s="7">
        <v>34.756949200000001</v>
      </c>
      <c r="C4078" s="7">
        <v>677719.18</v>
      </c>
      <c r="D4078" s="7">
        <v>2734457.86</v>
      </c>
      <c r="E4078" s="7">
        <v>488.52</v>
      </c>
      <c r="F4078" s="7">
        <v>41573.4</v>
      </c>
      <c r="G4078" s="7">
        <v>83610</v>
      </c>
      <c r="H4078" s="7">
        <f t="shared" si="110"/>
        <v>41523.4</v>
      </c>
      <c r="I4078" s="15"/>
    </row>
    <row r="4079" spans="1:9" s="8" customFormat="1" ht="21" customHeight="1" x14ac:dyDescent="0.6">
      <c r="A4079" s="7">
        <v>24.714373800000001</v>
      </c>
      <c r="B4079" s="7">
        <v>34.7569436</v>
      </c>
      <c r="C4079" s="7">
        <v>677718.58</v>
      </c>
      <c r="D4079" s="7">
        <v>2734460.85</v>
      </c>
      <c r="E4079" s="7">
        <v>488.52</v>
      </c>
      <c r="F4079" s="7">
        <v>41596.1</v>
      </c>
      <c r="G4079" s="7">
        <v>83612</v>
      </c>
      <c r="H4079" s="7">
        <f t="shared" si="110"/>
        <v>41546.1</v>
      </c>
      <c r="I4079" s="15"/>
    </row>
    <row r="4080" spans="1:9" s="8" customFormat="1" ht="21" customHeight="1" x14ac:dyDescent="0.6">
      <c r="A4080" s="7">
        <v>24.7144011</v>
      </c>
      <c r="B4080" s="7">
        <v>34.756934600000001</v>
      </c>
      <c r="C4080" s="7">
        <v>677717.63</v>
      </c>
      <c r="D4080" s="7">
        <v>2734463.86</v>
      </c>
      <c r="E4080" s="7">
        <v>488.35</v>
      </c>
      <c r="F4080" s="7">
        <v>41635.29</v>
      </c>
      <c r="G4080" s="7">
        <v>83614</v>
      </c>
      <c r="H4080" s="7">
        <f t="shared" si="110"/>
        <v>41585.29</v>
      </c>
      <c r="I4080" s="15"/>
    </row>
    <row r="4081" spans="1:9" s="8" customFormat="1" ht="21" customHeight="1" x14ac:dyDescent="0.6">
      <c r="A4081" s="7">
        <v>24.714427100000002</v>
      </c>
      <c r="B4081" s="7">
        <v>34.756930699999998</v>
      </c>
      <c r="C4081" s="7">
        <v>677717.2</v>
      </c>
      <c r="D4081" s="7">
        <v>2734466.73</v>
      </c>
      <c r="E4081" s="7">
        <v>488.3</v>
      </c>
      <c r="F4081" s="7">
        <v>41615.919999999998</v>
      </c>
      <c r="G4081" s="7">
        <v>83616</v>
      </c>
      <c r="H4081" s="7">
        <f t="shared" si="110"/>
        <v>41565.919999999998</v>
      </c>
      <c r="I4081" s="15"/>
    </row>
    <row r="4082" spans="1:9" s="8" customFormat="1" ht="21" customHeight="1" x14ac:dyDescent="0.6">
      <c r="A4082" s="7">
        <v>24.714452999999999</v>
      </c>
      <c r="B4082" s="7">
        <v>34.756925799999998</v>
      </c>
      <c r="C4082" s="7">
        <v>677716.66</v>
      </c>
      <c r="D4082" s="7">
        <v>2734469.6</v>
      </c>
      <c r="E4082" s="7">
        <v>488.17</v>
      </c>
      <c r="F4082" s="7">
        <v>41687.230000000003</v>
      </c>
      <c r="G4082" s="7">
        <v>83618</v>
      </c>
      <c r="H4082" s="7">
        <f t="shared" si="110"/>
        <v>41637.230000000003</v>
      </c>
      <c r="I4082" s="15"/>
    </row>
    <row r="4083" spans="1:9" s="8" customFormat="1" ht="21" customHeight="1" x14ac:dyDescent="0.6">
      <c r="A4083" s="7">
        <v>24.714479799999999</v>
      </c>
      <c r="B4083" s="7">
        <v>34.756923399999998</v>
      </c>
      <c r="C4083" s="7">
        <v>677716.38</v>
      </c>
      <c r="D4083" s="7">
        <v>2734472.56</v>
      </c>
      <c r="E4083" s="7">
        <v>488</v>
      </c>
      <c r="F4083" s="7">
        <v>41670.47</v>
      </c>
      <c r="G4083" s="7">
        <v>83620</v>
      </c>
      <c r="H4083" s="7">
        <f t="shared" si="110"/>
        <v>41620.47</v>
      </c>
      <c r="I4083" s="15"/>
    </row>
    <row r="4084" spans="1:9" s="8" customFormat="1" ht="21" customHeight="1" x14ac:dyDescent="0.6">
      <c r="A4084" s="7">
        <v>24.714506499999999</v>
      </c>
      <c r="B4084" s="7">
        <v>34.756916099999998</v>
      </c>
      <c r="C4084" s="7">
        <v>677715.61</v>
      </c>
      <c r="D4084" s="7">
        <v>2734475.5</v>
      </c>
      <c r="E4084" s="7">
        <v>487.96</v>
      </c>
      <c r="F4084" s="7">
        <v>41664.74</v>
      </c>
      <c r="G4084" s="7">
        <v>83622</v>
      </c>
      <c r="H4084" s="7">
        <f t="shared" si="110"/>
        <v>41614.74</v>
      </c>
      <c r="I4084" s="15"/>
    </row>
    <row r="4085" spans="1:9" s="8" customFormat="1" ht="21" customHeight="1" x14ac:dyDescent="0.6">
      <c r="A4085" s="7">
        <v>24.714533200000002</v>
      </c>
      <c r="B4085" s="7">
        <v>34.756908500000002</v>
      </c>
      <c r="C4085" s="7">
        <v>677714.8</v>
      </c>
      <c r="D4085" s="7">
        <v>2734478.46</v>
      </c>
      <c r="E4085" s="7">
        <v>487.96</v>
      </c>
      <c r="F4085" s="7">
        <v>41692.449999999997</v>
      </c>
      <c r="G4085" s="7">
        <v>83624</v>
      </c>
      <c r="H4085" s="7">
        <f t="shared" si="110"/>
        <v>41642.449999999997</v>
      </c>
      <c r="I4085" s="15"/>
    </row>
    <row r="4086" spans="1:9" s="8" customFormat="1" ht="21" customHeight="1" x14ac:dyDescent="0.6">
      <c r="A4086" s="7">
        <v>24.714558</v>
      </c>
      <c r="B4086" s="7">
        <v>34.756900000000002</v>
      </c>
      <c r="C4086" s="7">
        <v>677713.9</v>
      </c>
      <c r="D4086" s="7">
        <v>2734481.19</v>
      </c>
      <c r="E4086" s="7">
        <v>487.91</v>
      </c>
      <c r="F4086" s="7">
        <v>41718.949999999997</v>
      </c>
      <c r="G4086" s="7">
        <v>83626</v>
      </c>
      <c r="H4086" s="7">
        <f t="shared" si="110"/>
        <v>41668.949999999997</v>
      </c>
      <c r="I4086" s="15"/>
    </row>
    <row r="4087" spans="1:9" s="8" customFormat="1" ht="21" customHeight="1" x14ac:dyDescent="0.6">
      <c r="A4087" s="7">
        <v>24.7145826</v>
      </c>
      <c r="B4087" s="7">
        <v>34.756889800000003</v>
      </c>
      <c r="C4087" s="7">
        <v>677712.83</v>
      </c>
      <c r="D4087" s="7">
        <v>2734483.91</v>
      </c>
      <c r="E4087" s="7">
        <v>487.56</v>
      </c>
      <c r="F4087" s="7">
        <v>41741.18</v>
      </c>
      <c r="G4087" s="7">
        <v>83628</v>
      </c>
      <c r="H4087" s="7">
        <f t="shared" si="110"/>
        <v>41691.18</v>
      </c>
      <c r="I4087" s="15"/>
    </row>
    <row r="4088" spans="1:9" s="8" customFormat="1" ht="21" customHeight="1" x14ac:dyDescent="0.6">
      <c r="A4088" s="7">
        <v>24.7146069</v>
      </c>
      <c r="B4088" s="7">
        <v>34.756880000000002</v>
      </c>
      <c r="C4088" s="7">
        <v>677711.81</v>
      </c>
      <c r="D4088" s="7">
        <v>2734486.58</v>
      </c>
      <c r="E4088" s="7">
        <v>487.44</v>
      </c>
      <c r="F4088" s="7">
        <v>41761.839999999997</v>
      </c>
      <c r="G4088" s="7">
        <v>83630</v>
      </c>
      <c r="H4088" s="7">
        <f t="shared" si="110"/>
        <v>41711.839999999997</v>
      </c>
      <c r="I4088" s="15"/>
    </row>
    <row r="4089" spans="1:9" s="8" customFormat="1" ht="21" customHeight="1" x14ac:dyDescent="0.6">
      <c r="A4089" s="7">
        <v>24.714631700000002</v>
      </c>
      <c r="B4089" s="7">
        <v>34.756866899999999</v>
      </c>
      <c r="C4089" s="7">
        <v>677710.45</v>
      </c>
      <c r="D4089" s="7">
        <v>2734489.31</v>
      </c>
      <c r="E4089" s="7">
        <v>487.34</v>
      </c>
      <c r="F4089" s="7">
        <v>41770.550000000003</v>
      </c>
      <c r="G4089" s="7">
        <v>83632</v>
      </c>
      <c r="H4089" s="7">
        <f t="shared" si="110"/>
        <v>41720.550000000003</v>
      </c>
      <c r="I4089" s="15"/>
    </row>
    <row r="4090" spans="1:9" s="8" customFormat="1" ht="21" customHeight="1" x14ac:dyDescent="0.6">
      <c r="A4090" s="7">
        <v>24.7146565</v>
      </c>
      <c r="B4090" s="7">
        <v>34.756853300000003</v>
      </c>
      <c r="C4090" s="7">
        <v>677709.04</v>
      </c>
      <c r="D4090" s="7">
        <v>2734492.04</v>
      </c>
      <c r="E4090" s="7">
        <v>487.46</v>
      </c>
      <c r="F4090" s="7">
        <v>41824.879999999997</v>
      </c>
      <c r="G4090" s="7">
        <v>83634</v>
      </c>
      <c r="H4090" s="7">
        <f t="shared" si="110"/>
        <v>41774.879999999997</v>
      </c>
      <c r="I4090" s="15"/>
    </row>
    <row r="4091" spans="1:9" s="8" customFormat="1" ht="21" customHeight="1" x14ac:dyDescent="0.6">
      <c r="A4091" s="7">
        <v>24.714680699999999</v>
      </c>
      <c r="B4091" s="7">
        <v>34.756840699999998</v>
      </c>
      <c r="C4091" s="7">
        <v>677707.73</v>
      </c>
      <c r="D4091" s="7">
        <v>2734494.7</v>
      </c>
      <c r="E4091" s="7">
        <v>487.53</v>
      </c>
      <c r="F4091" s="7">
        <v>41819.82</v>
      </c>
      <c r="G4091" s="7">
        <v>83636</v>
      </c>
      <c r="H4091" s="7">
        <f t="shared" si="110"/>
        <v>41769.82</v>
      </c>
      <c r="I4091" s="15"/>
    </row>
    <row r="4092" spans="1:9" s="8" customFormat="1" ht="21" customHeight="1" x14ac:dyDescent="0.6">
      <c r="A4092" s="7">
        <v>24.714703799999999</v>
      </c>
      <c r="B4092" s="7">
        <v>34.756832600000003</v>
      </c>
      <c r="C4092" s="7">
        <v>677706.88</v>
      </c>
      <c r="D4092" s="7">
        <v>2734497.25</v>
      </c>
      <c r="E4092" s="7">
        <v>487.3</v>
      </c>
      <c r="F4092" s="7">
        <v>41858.03</v>
      </c>
      <c r="G4092" s="7">
        <v>83638</v>
      </c>
      <c r="H4092" s="7">
        <f t="shared" si="110"/>
        <v>41808.03</v>
      </c>
      <c r="I4092" s="15"/>
    </row>
    <row r="4093" spans="1:9" s="8" customFormat="1" ht="21" customHeight="1" x14ac:dyDescent="0.6">
      <c r="A4093" s="7">
        <v>24.714727199999999</v>
      </c>
      <c r="B4093" s="7">
        <v>34.7568202</v>
      </c>
      <c r="C4093" s="7">
        <v>677705.59</v>
      </c>
      <c r="D4093" s="7">
        <v>2734499.83</v>
      </c>
      <c r="E4093" s="7">
        <v>487.17</v>
      </c>
      <c r="F4093" s="7">
        <v>41876.019999999997</v>
      </c>
      <c r="G4093" s="7">
        <v>83640</v>
      </c>
      <c r="H4093" s="7">
        <f t="shared" si="110"/>
        <v>41826.019999999997</v>
      </c>
      <c r="I4093" s="15"/>
    </row>
    <row r="4094" spans="1:9" s="8" customFormat="1" ht="21" customHeight="1" x14ac:dyDescent="0.6">
      <c r="A4094" s="7">
        <v>24.714752000000001</v>
      </c>
      <c r="B4094" s="7">
        <v>34.756809099999998</v>
      </c>
      <c r="C4094" s="7">
        <v>677704.43</v>
      </c>
      <c r="D4094" s="7">
        <v>2734502.56</v>
      </c>
      <c r="E4094" s="7">
        <v>487.04</v>
      </c>
      <c r="F4094" s="7">
        <v>41886.78</v>
      </c>
      <c r="G4094" s="7">
        <v>83642</v>
      </c>
      <c r="H4094" s="7">
        <f t="shared" si="110"/>
        <v>41836.78</v>
      </c>
      <c r="I4094" s="15"/>
    </row>
    <row r="4095" spans="1:9" s="8" customFormat="1" ht="21" customHeight="1" x14ac:dyDescent="0.6">
      <c r="A4095" s="7">
        <v>24.714777399999999</v>
      </c>
      <c r="B4095" s="7">
        <v>34.756805999999997</v>
      </c>
      <c r="C4095" s="7">
        <v>677704.08</v>
      </c>
      <c r="D4095" s="7">
        <v>2734505.37</v>
      </c>
      <c r="E4095" s="7">
        <v>487.02</v>
      </c>
      <c r="F4095" s="7">
        <v>41926.400000000001</v>
      </c>
      <c r="G4095" s="7">
        <v>83644</v>
      </c>
      <c r="H4095" s="7">
        <f t="shared" si="110"/>
        <v>41876.400000000001</v>
      </c>
      <c r="I4095" s="15"/>
    </row>
    <row r="4096" spans="1:9" s="8" customFormat="1" ht="21" customHeight="1" x14ac:dyDescent="0.6">
      <c r="A4096" s="7">
        <v>24.714804399999998</v>
      </c>
      <c r="B4096" s="7">
        <v>34.756803699999999</v>
      </c>
      <c r="C4096" s="7">
        <v>677703.81</v>
      </c>
      <c r="D4096" s="7">
        <v>2734508.35</v>
      </c>
      <c r="E4096" s="7">
        <v>486.86</v>
      </c>
      <c r="F4096" s="7">
        <v>41952.73</v>
      </c>
      <c r="G4096" s="7">
        <v>83646</v>
      </c>
      <c r="H4096" s="7">
        <f t="shared" si="110"/>
        <v>41902.730000000003</v>
      </c>
      <c r="I4096" s="15"/>
    </row>
    <row r="4097" spans="1:9" s="8" customFormat="1" ht="21" customHeight="1" x14ac:dyDescent="0.6">
      <c r="A4097" s="7">
        <v>24.714828799999999</v>
      </c>
      <c r="B4097" s="7">
        <v>34.756800599999998</v>
      </c>
      <c r="C4097" s="7">
        <v>677703.46</v>
      </c>
      <c r="D4097" s="7">
        <v>2734511.05</v>
      </c>
      <c r="E4097" s="7">
        <v>486.74</v>
      </c>
      <c r="F4097" s="7">
        <v>42012.5</v>
      </c>
      <c r="G4097" s="7">
        <v>83648</v>
      </c>
      <c r="H4097" s="7">
        <f t="shared" si="110"/>
        <v>41962.5</v>
      </c>
      <c r="I4097" s="15"/>
    </row>
    <row r="4098" spans="1:9" s="8" customFormat="1" ht="21" customHeight="1" x14ac:dyDescent="0.6">
      <c r="A4098" s="7">
        <v>24.714854500000001</v>
      </c>
      <c r="B4098" s="7">
        <v>34.7567953</v>
      </c>
      <c r="C4098" s="7">
        <v>677702.89</v>
      </c>
      <c r="D4098" s="7">
        <v>2734513.89</v>
      </c>
      <c r="E4098" s="7">
        <v>486.72</v>
      </c>
      <c r="F4098" s="7">
        <v>42063.01</v>
      </c>
      <c r="G4098" s="7">
        <v>83650</v>
      </c>
      <c r="H4098" s="7">
        <f t="shared" si="110"/>
        <v>42013.01</v>
      </c>
      <c r="I4098" s="15"/>
    </row>
    <row r="4099" spans="1:9" s="8" customFormat="1" ht="21" customHeight="1" x14ac:dyDescent="0.6">
      <c r="A4099" s="7">
        <v>24.714879400000001</v>
      </c>
      <c r="B4099" s="7">
        <v>34.756792099999998</v>
      </c>
      <c r="C4099" s="7">
        <v>677702.53</v>
      </c>
      <c r="D4099" s="7">
        <v>2734516.65</v>
      </c>
      <c r="E4099" s="7">
        <v>486.72</v>
      </c>
      <c r="F4099" s="7">
        <v>42131.77</v>
      </c>
      <c r="G4099" s="7">
        <v>83652</v>
      </c>
      <c r="H4099" s="7">
        <f t="shared" si="110"/>
        <v>42081.77</v>
      </c>
      <c r="I4099" s="15"/>
    </row>
    <row r="4100" spans="1:9" s="8" customFormat="1" ht="21" customHeight="1" x14ac:dyDescent="0.6">
      <c r="A4100" s="7">
        <v>24.714902800000001</v>
      </c>
      <c r="B4100" s="7">
        <v>34.756777800000002</v>
      </c>
      <c r="C4100" s="7">
        <v>677701.05</v>
      </c>
      <c r="D4100" s="7">
        <v>2734519.22</v>
      </c>
      <c r="E4100" s="7">
        <v>486.59</v>
      </c>
      <c r="F4100" s="7">
        <v>42169.19</v>
      </c>
      <c r="G4100" s="7">
        <v>83654</v>
      </c>
      <c r="H4100" s="7">
        <f t="shared" si="110"/>
        <v>42119.19</v>
      </c>
      <c r="I4100" s="15"/>
    </row>
    <row r="4101" spans="1:9" s="8" customFormat="1" ht="21" customHeight="1" x14ac:dyDescent="0.6">
      <c r="A4101" s="7">
        <v>24.7149185</v>
      </c>
      <c r="B4101" s="7">
        <v>34.756757200000003</v>
      </c>
      <c r="C4101" s="7">
        <v>677698.94</v>
      </c>
      <c r="D4101" s="7">
        <v>2734520.94</v>
      </c>
      <c r="E4101" s="7">
        <v>486.7</v>
      </c>
      <c r="F4101" s="7">
        <v>42168.7</v>
      </c>
      <c r="G4101" s="7">
        <v>83656</v>
      </c>
      <c r="H4101" s="7">
        <f t="shared" si="110"/>
        <v>42118.7</v>
      </c>
      <c r="I4101" s="15"/>
    </row>
    <row r="4102" spans="1:9" s="8" customFormat="1" ht="21" customHeight="1" x14ac:dyDescent="0.6">
      <c r="A4102" s="7">
        <v>24.714943600000002</v>
      </c>
      <c r="B4102" s="7">
        <v>34.756746</v>
      </c>
      <c r="C4102" s="7">
        <v>677697.77</v>
      </c>
      <c r="D4102" s="7">
        <v>2734523.7</v>
      </c>
      <c r="E4102" s="7">
        <v>486.67</v>
      </c>
      <c r="F4102" s="7">
        <v>42221.41</v>
      </c>
      <c r="G4102" s="7">
        <v>83658</v>
      </c>
      <c r="H4102" s="7">
        <f t="shared" si="110"/>
        <v>42171.41</v>
      </c>
      <c r="I4102" s="15"/>
    </row>
    <row r="4103" spans="1:9" s="8" customFormat="1" ht="21" customHeight="1" x14ac:dyDescent="0.6">
      <c r="A4103" s="7">
        <v>24.714965599999999</v>
      </c>
      <c r="B4103" s="7">
        <v>34.756727599999998</v>
      </c>
      <c r="C4103" s="7">
        <v>677695.88</v>
      </c>
      <c r="D4103" s="7">
        <v>2734526.11</v>
      </c>
      <c r="E4103" s="7">
        <v>486.58</v>
      </c>
      <c r="F4103" s="7">
        <v>42252.73</v>
      </c>
      <c r="G4103" s="7">
        <v>83700</v>
      </c>
      <c r="H4103" s="7">
        <f t="shared" si="110"/>
        <v>42202.73</v>
      </c>
      <c r="I4103" s="15"/>
    </row>
    <row r="4104" spans="1:9" s="8" customFormat="1" ht="21" customHeight="1" x14ac:dyDescent="0.6">
      <c r="A4104" s="7">
        <v>24.714986700000001</v>
      </c>
      <c r="B4104" s="7">
        <v>34.756708799999998</v>
      </c>
      <c r="C4104" s="7">
        <v>677693.95</v>
      </c>
      <c r="D4104" s="7">
        <v>2734528.42</v>
      </c>
      <c r="E4104" s="7">
        <v>486.41</v>
      </c>
      <c r="F4104" s="7">
        <v>42268.02</v>
      </c>
      <c r="G4104" s="7">
        <v>83702</v>
      </c>
      <c r="H4104" s="7">
        <f t="shared" si="110"/>
        <v>42218.02</v>
      </c>
      <c r="I4104" s="15"/>
    </row>
    <row r="4105" spans="1:9" s="8" customFormat="1" ht="21" customHeight="1" x14ac:dyDescent="0.6">
      <c r="A4105" s="7">
        <v>24.715011400000002</v>
      </c>
      <c r="B4105" s="7">
        <v>34.756695299999997</v>
      </c>
      <c r="C4105" s="7">
        <v>677692.55</v>
      </c>
      <c r="D4105" s="7">
        <v>2734531.14</v>
      </c>
      <c r="E4105" s="7">
        <v>486.41</v>
      </c>
      <c r="F4105" s="7">
        <v>42324.76</v>
      </c>
      <c r="G4105" s="7">
        <v>83704</v>
      </c>
      <c r="H4105" s="7">
        <f t="shared" si="110"/>
        <v>42274.76</v>
      </c>
      <c r="I4105" s="15"/>
    </row>
    <row r="4106" spans="1:9" s="8" customFormat="1" ht="21" customHeight="1" x14ac:dyDescent="0.6">
      <c r="A4106" s="7">
        <v>24.7150325</v>
      </c>
      <c r="B4106" s="7">
        <v>34.756684399999997</v>
      </c>
      <c r="C4106" s="7">
        <v>677691.41</v>
      </c>
      <c r="D4106" s="7">
        <v>2734533.47</v>
      </c>
      <c r="E4106" s="7">
        <v>486.32</v>
      </c>
      <c r="F4106" s="7">
        <v>42347.17</v>
      </c>
      <c r="G4106" s="7">
        <v>83706</v>
      </c>
      <c r="H4106" s="7">
        <f t="shared" si="110"/>
        <v>42297.17</v>
      </c>
      <c r="I4106" s="15"/>
    </row>
    <row r="4107" spans="1:9" s="8" customFormat="1" ht="21" customHeight="1" x14ac:dyDescent="0.6">
      <c r="A4107" s="7">
        <v>24.715058200000001</v>
      </c>
      <c r="B4107" s="7">
        <v>34.756674599999997</v>
      </c>
      <c r="C4107" s="7">
        <v>677690.39</v>
      </c>
      <c r="D4107" s="7">
        <v>2734536.29</v>
      </c>
      <c r="E4107" s="7">
        <v>486.17</v>
      </c>
      <c r="F4107" s="7">
        <v>42396.06</v>
      </c>
      <c r="G4107" s="7">
        <v>83708</v>
      </c>
      <c r="H4107" s="7">
        <f t="shared" si="110"/>
        <v>42346.06</v>
      </c>
      <c r="I4107" s="15"/>
    </row>
    <row r="4108" spans="1:9" s="8" customFormat="1" ht="21" customHeight="1" x14ac:dyDescent="0.6">
      <c r="A4108" s="7">
        <v>24.7150821</v>
      </c>
      <c r="B4108" s="7">
        <v>34.756660799999999</v>
      </c>
      <c r="C4108" s="7">
        <v>677688.96</v>
      </c>
      <c r="D4108" s="7">
        <v>2734538.93</v>
      </c>
      <c r="E4108" s="7">
        <v>486.14</v>
      </c>
      <c r="F4108" s="7">
        <v>42457.599999999999</v>
      </c>
      <c r="G4108" s="7">
        <v>83710</v>
      </c>
      <c r="H4108" s="7">
        <f t="shared" si="110"/>
        <v>42407.6</v>
      </c>
      <c r="I4108" s="15"/>
    </row>
    <row r="4109" spans="1:9" s="8" customFormat="1" ht="21" customHeight="1" x14ac:dyDescent="0.6">
      <c r="A4109" s="7">
        <v>24.7151052</v>
      </c>
      <c r="B4109" s="7">
        <v>34.7566439</v>
      </c>
      <c r="C4109" s="7">
        <v>677687.22</v>
      </c>
      <c r="D4109" s="7">
        <v>2734541.46</v>
      </c>
      <c r="E4109" s="7">
        <v>486.01</v>
      </c>
      <c r="F4109" s="7">
        <v>42498.76</v>
      </c>
      <c r="G4109" s="7">
        <v>83712</v>
      </c>
      <c r="H4109" s="7">
        <f t="shared" si="110"/>
        <v>42448.76</v>
      </c>
      <c r="I4109" s="15"/>
    </row>
    <row r="4110" spans="1:9" s="8" customFormat="1" ht="21" customHeight="1" x14ac:dyDescent="0.6">
      <c r="A4110" s="7">
        <v>24.715130599999998</v>
      </c>
      <c r="B4110" s="7">
        <v>34.756630199999996</v>
      </c>
      <c r="C4110" s="7">
        <v>677685.79</v>
      </c>
      <c r="D4110" s="7">
        <v>2734544.26</v>
      </c>
      <c r="E4110" s="7">
        <v>485.88</v>
      </c>
      <c r="F4110" s="7">
        <v>42535</v>
      </c>
      <c r="G4110" s="7">
        <v>83714</v>
      </c>
      <c r="H4110" s="7">
        <f t="shared" si="110"/>
        <v>42485</v>
      </c>
      <c r="I4110" s="15"/>
    </row>
    <row r="4111" spans="1:9" s="8" customFormat="1" ht="21" customHeight="1" x14ac:dyDescent="0.6">
      <c r="A4111" s="7">
        <v>24.715152400000001</v>
      </c>
      <c r="B4111" s="7">
        <v>34.7566141</v>
      </c>
      <c r="C4111" s="7">
        <v>677684.13</v>
      </c>
      <c r="D4111" s="7">
        <v>2734546.65</v>
      </c>
      <c r="E4111" s="7">
        <v>485.7</v>
      </c>
      <c r="F4111" s="7">
        <v>42531.6</v>
      </c>
      <c r="G4111" s="7">
        <v>83716</v>
      </c>
      <c r="H4111" s="7">
        <f t="shared" si="110"/>
        <v>42481.599999999999</v>
      </c>
      <c r="I4111" s="15"/>
    </row>
    <row r="4112" spans="1:9" s="8" customFormat="1" ht="21" customHeight="1" x14ac:dyDescent="0.6">
      <c r="A4112" s="7">
        <v>24.715176499999998</v>
      </c>
      <c r="B4112" s="7">
        <v>34.756601099999997</v>
      </c>
      <c r="C4112" s="7">
        <v>677682.78</v>
      </c>
      <c r="D4112" s="7">
        <v>2734549.3</v>
      </c>
      <c r="E4112" s="7">
        <v>485.56</v>
      </c>
      <c r="F4112" s="7">
        <v>42544.55</v>
      </c>
      <c r="G4112" s="7">
        <v>83718</v>
      </c>
      <c r="H4112" s="7">
        <f t="shared" si="110"/>
        <v>42494.55</v>
      </c>
      <c r="I4112" s="15"/>
    </row>
    <row r="4113" spans="1:9" s="8" customFormat="1" ht="21" customHeight="1" x14ac:dyDescent="0.6">
      <c r="A4113" s="7">
        <v>24.7152022</v>
      </c>
      <c r="B4113" s="7">
        <v>34.756592300000001</v>
      </c>
      <c r="C4113" s="7">
        <v>677681.86</v>
      </c>
      <c r="D4113" s="7">
        <v>2734552.15</v>
      </c>
      <c r="E4113" s="7">
        <v>485.48</v>
      </c>
      <c r="F4113" s="7">
        <v>42570.43</v>
      </c>
      <c r="G4113" s="7">
        <v>83720</v>
      </c>
      <c r="H4113" s="7">
        <f t="shared" si="110"/>
        <v>42520.43</v>
      </c>
      <c r="I4113" s="15"/>
    </row>
    <row r="4114" spans="1:9" s="8" customFormat="1" ht="21" customHeight="1" x14ac:dyDescent="0.6">
      <c r="A4114" s="7">
        <v>24.7152274</v>
      </c>
      <c r="B4114" s="7">
        <v>34.756582999999999</v>
      </c>
      <c r="C4114" s="7">
        <v>677680.88</v>
      </c>
      <c r="D4114" s="7">
        <v>2734554.92</v>
      </c>
      <c r="E4114" s="7">
        <v>485.32</v>
      </c>
      <c r="F4114" s="7">
        <v>42590</v>
      </c>
      <c r="G4114" s="7">
        <v>83722</v>
      </c>
      <c r="H4114" s="7">
        <f t="shared" si="110"/>
        <v>42540</v>
      </c>
      <c r="I4114" s="15"/>
    </row>
    <row r="4115" spans="1:9" s="8" customFormat="1" ht="21" customHeight="1" x14ac:dyDescent="0.6">
      <c r="A4115" s="7">
        <v>24.715251299999998</v>
      </c>
      <c r="B4115" s="7">
        <v>34.756571299999997</v>
      </c>
      <c r="C4115" s="7">
        <v>677679.67</v>
      </c>
      <c r="D4115" s="7">
        <v>2734557.55</v>
      </c>
      <c r="E4115" s="7">
        <v>485.13</v>
      </c>
      <c r="F4115" s="7">
        <v>42605.06</v>
      </c>
      <c r="G4115" s="7">
        <v>83724</v>
      </c>
      <c r="H4115" s="7">
        <f t="shared" si="110"/>
        <v>42555.06</v>
      </c>
      <c r="I4115" s="15"/>
    </row>
    <row r="4116" spans="1:9" s="8" customFormat="1" ht="21" customHeight="1" x14ac:dyDescent="0.6">
      <c r="A4116" s="7">
        <v>24.715274999999998</v>
      </c>
      <c r="B4116" s="7">
        <v>34.756557200000003</v>
      </c>
      <c r="C4116" s="7">
        <v>677678.2</v>
      </c>
      <c r="D4116" s="7">
        <v>2734560.16</v>
      </c>
      <c r="E4116" s="7">
        <v>484.94</v>
      </c>
      <c r="F4116" s="7">
        <v>42613.919999999998</v>
      </c>
      <c r="G4116" s="7">
        <v>83726</v>
      </c>
      <c r="H4116" s="7">
        <f t="shared" ref="H4116:H4179" si="111">SUM(F4116-50)</f>
        <v>42563.92</v>
      </c>
      <c r="I4116" s="15"/>
    </row>
    <row r="4117" spans="1:9" s="8" customFormat="1" ht="21" customHeight="1" x14ac:dyDescent="0.6">
      <c r="A4117" s="7">
        <v>24.715293200000001</v>
      </c>
      <c r="B4117" s="7">
        <v>34.756535700000001</v>
      </c>
      <c r="C4117" s="7">
        <v>677676.01</v>
      </c>
      <c r="D4117" s="7">
        <v>2734562.15</v>
      </c>
      <c r="E4117" s="7">
        <v>484.94</v>
      </c>
      <c r="F4117" s="7">
        <v>42618.18</v>
      </c>
      <c r="G4117" s="7">
        <v>83728</v>
      </c>
      <c r="H4117" s="7">
        <f t="shared" si="111"/>
        <v>42568.18</v>
      </c>
      <c r="I4117" s="15"/>
    </row>
    <row r="4118" spans="1:9" s="8" customFormat="1" ht="21" customHeight="1" x14ac:dyDescent="0.6">
      <c r="A4118" s="7">
        <v>24.715311799999998</v>
      </c>
      <c r="B4118" s="7">
        <v>34.756516300000001</v>
      </c>
      <c r="C4118" s="7">
        <v>677674.02</v>
      </c>
      <c r="D4118" s="7">
        <v>2734564.18</v>
      </c>
      <c r="E4118" s="7">
        <v>484.85</v>
      </c>
      <c r="F4118" s="7">
        <v>42626.71</v>
      </c>
      <c r="G4118" s="7">
        <v>83730</v>
      </c>
      <c r="H4118" s="7">
        <f t="shared" si="111"/>
        <v>42576.71</v>
      </c>
      <c r="I4118" s="15"/>
    </row>
    <row r="4119" spans="1:9" s="8" customFormat="1" ht="21" customHeight="1" x14ac:dyDescent="0.6">
      <c r="A4119" s="7">
        <v>24.715335700000001</v>
      </c>
      <c r="B4119" s="7">
        <v>34.756501399999998</v>
      </c>
      <c r="C4119" s="7">
        <v>677672.47</v>
      </c>
      <c r="D4119" s="7">
        <v>2734566.81</v>
      </c>
      <c r="E4119" s="7">
        <v>484.65</v>
      </c>
      <c r="F4119" s="7">
        <v>42638.55</v>
      </c>
      <c r="G4119" s="7">
        <v>83732</v>
      </c>
      <c r="H4119" s="7">
        <f t="shared" si="111"/>
        <v>42588.55</v>
      </c>
      <c r="I4119" s="15"/>
    </row>
    <row r="4120" spans="1:9" s="8" customFormat="1" ht="21" customHeight="1" x14ac:dyDescent="0.6">
      <c r="A4120" s="7">
        <v>24.7153612</v>
      </c>
      <c r="B4120" s="7">
        <v>34.756490499999998</v>
      </c>
      <c r="C4120" s="7">
        <v>677671.33</v>
      </c>
      <c r="D4120" s="7">
        <v>2734569.62</v>
      </c>
      <c r="E4120" s="7">
        <v>484.56</v>
      </c>
      <c r="F4120" s="7">
        <v>42651.05</v>
      </c>
      <c r="G4120" s="7">
        <v>83734</v>
      </c>
      <c r="H4120" s="7">
        <f t="shared" si="111"/>
        <v>42601.05</v>
      </c>
      <c r="I4120" s="15"/>
    </row>
    <row r="4121" spans="1:9" s="8" customFormat="1" ht="21" customHeight="1" x14ac:dyDescent="0.6">
      <c r="A4121" s="7">
        <v>24.715385000000001</v>
      </c>
      <c r="B4121" s="7">
        <v>34.756477500000003</v>
      </c>
      <c r="C4121" s="7">
        <v>677669.98</v>
      </c>
      <c r="D4121" s="7">
        <v>2734572.24</v>
      </c>
      <c r="E4121" s="7">
        <v>484.36</v>
      </c>
      <c r="F4121" s="7">
        <v>42666.05</v>
      </c>
      <c r="G4121" s="7">
        <v>83736</v>
      </c>
      <c r="H4121" s="7">
        <f t="shared" si="111"/>
        <v>42616.05</v>
      </c>
      <c r="I4121" s="15"/>
    </row>
    <row r="4122" spans="1:9" s="8" customFormat="1" ht="21" customHeight="1" x14ac:dyDescent="0.6">
      <c r="A4122" s="7">
        <v>24.715408799999999</v>
      </c>
      <c r="B4122" s="7">
        <v>34.7564639</v>
      </c>
      <c r="C4122" s="7">
        <v>677668.57</v>
      </c>
      <c r="D4122" s="7">
        <v>2734574.85</v>
      </c>
      <c r="E4122" s="7">
        <v>484.15</v>
      </c>
      <c r="F4122" s="7">
        <v>42636.06</v>
      </c>
      <c r="G4122" s="7">
        <v>83738</v>
      </c>
      <c r="H4122" s="7">
        <f t="shared" si="111"/>
        <v>42586.06</v>
      </c>
      <c r="I4122" s="15"/>
    </row>
    <row r="4123" spans="1:9" s="8" customFormat="1" ht="21" customHeight="1" x14ac:dyDescent="0.6">
      <c r="A4123" s="7">
        <v>24.715432199999999</v>
      </c>
      <c r="B4123" s="7">
        <v>34.7564505</v>
      </c>
      <c r="C4123" s="7">
        <v>677667.19</v>
      </c>
      <c r="D4123" s="7">
        <v>2734577.43</v>
      </c>
      <c r="E4123" s="7">
        <v>483.97</v>
      </c>
      <c r="F4123" s="7">
        <v>42662.14</v>
      </c>
      <c r="G4123" s="7">
        <v>83740</v>
      </c>
      <c r="H4123" s="7">
        <f t="shared" si="111"/>
        <v>42612.14</v>
      </c>
      <c r="I4123" s="15"/>
    </row>
    <row r="4124" spans="1:9" s="8" customFormat="1" ht="21" customHeight="1" x14ac:dyDescent="0.6">
      <c r="A4124" s="7">
        <v>24.7154557</v>
      </c>
      <c r="B4124" s="7">
        <v>34.756434599999999</v>
      </c>
      <c r="C4124" s="7">
        <v>677665.54</v>
      </c>
      <c r="D4124" s="7">
        <v>2734580.02</v>
      </c>
      <c r="E4124" s="7">
        <v>483.81</v>
      </c>
      <c r="F4124" s="7">
        <v>42670.07</v>
      </c>
      <c r="G4124" s="7">
        <v>83742</v>
      </c>
      <c r="H4124" s="7">
        <f t="shared" si="111"/>
        <v>42620.07</v>
      </c>
      <c r="I4124" s="15"/>
    </row>
    <row r="4125" spans="1:9" s="8" customFormat="1" ht="21" customHeight="1" x14ac:dyDescent="0.6">
      <c r="A4125" s="7">
        <v>24.715478999999998</v>
      </c>
      <c r="B4125" s="7">
        <v>34.756426900000001</v>
      </c>
      <c r="C4125" s="7">
        <v>677664.73</v>
      </c>
      <c r="D4125" s="7">
        <v>2734582.59</v>
      </c>
      <c r="E4125" s="7">
        <v>483.71</v>
      </c>
      <c r="F4125" s="7">
        <v>42663.519999999997</v>
      </c>
      <c r="G4125" s="7">
        <v>83744</v>
      </c>
      <c r="H4125" s="7">
        <f t="shared" si="111"/>
        <v>42613.52</v>
      </c>
      <c r="I4125" s="15"/>
    </row>
    <row r="4126" spans="1:9" s="8" customFormat="1" ht="21" customHeight="1" x14ac:dyDescent="0.6">
      <c r="A4126" s="7">
        <v>24.715502000000001</v>
      </c>
      <c r="B4126" s="7">
        <v>34.756413600000002</v>
      </c>
      <c r="C4126" s="7">
        <v>677663.35</v>
      </c>
      <c r="D4126" s="7">
        <v>2734585.11</v>
      </c>
      <c r="E4126" s="7">
        <v>483.47</v>
      </c>
      <c r="F4126" s="7">
        <v>42672.34</v>
      </c>
      <c r="G4126" s="7">
        <v>83746</v>
      </c>
      <c r="H4126" s="7">
        <f t="shared" si="111"/>
        <v>42622.34</v>
      </c>
      <c r="I4126" s="15"/>
    </row>
    <row r="4127" spans="1:9" s="8" customFormat="1" ht="21" customHeight="1" x14ac:dyDescent="0.6">
      <c r="A4127" s="7">
        <v>24.715523999999998</v>
      </c>
      <c r="B4127" s="7">
        <v>34.756397700000001</v>
      </c>
      <c r="C4127" s="7">
        <v>677661.71</v>
      </c>
      <c r="D4127" s="7">
        <v>2734587.53</v>
      </c>
      <c r="E4127" s="7">
        <v>483.25</v>
      </c>
      <c r="F4127" s="7">
        <v>42665.599999999999</v>
      </c>
      <c r="G4127" s="7">
        <v>83748</v>
      </c>
      <c r="H4127" s="7">
        <f t="shared" si="111"/>
        <v>42615.6</v>
      </c>
      <c r="I4127" s="15"/>
    </row>
    <row r="4128" spans="1:9" s="8" customFormat="1" ht="21" customHeight="1" x14ac:dyDescent="0.6">
      <c r="A4128" s="7">
        <v>24.715549599999999</v>
      </c>
      <c r="B4128" s="7">
        <v>34.7563861</v>
      </c>
      <c r="C4128" s="7">
        <v>677660.5</v>
      </c>
      <c r="D4128" s="7">
        <v>2734590.36</v>
      </c>
      <c r="E4128" s="7">
        <v>483.2</v>
      </c>
      <c r="F4128" s="7">
        <v>42652.09</v>
      </c>
      <c r="G4128" s="7">
        <v>83750</v>
      </c>
      <c r="H4128" s="7">
        <f t="shared" si="111"/>
        <v>42602.09</v>
      </c>
      <c r="I4128" s="15"/>
    </row>
    <row r="4129" spans="1:9" s="8" customFormat="1" ht="21" customHeight="1" x14ac:dyDescent="0.6">
      <c r="A4129" s="7">
        <v>24.7155737</v>
      </c>
      <c r="B4129" s="7">
        <v>34.756376400000001</v>
      </c>
      <c r="C4129" s="7">
        <v>677659.49</v>
      </c>
      <c r="D4129" s="7">
        <v>2734593.01</v>
      </c>
      <c r="E4129" s="7">
        <v>482.98</v>
      </c>
      <c r="F4129" s="7">
        <v>42606.2</v>
      </c>
      <c r="G4129" s="7">
        <v>83752</v>
      </c>
      <c r="H4129" s="7">
        <f t="shared" si="111"/>
        <v>42556.2</v>
      </c>
      <c r="I4129" s="15"/>
    </row>
    <row r="4130" spans="1:9" s="8" customFormat="1" ht="21" customHeight="1" x14ac:dyDescent="0.6">
      <c r="A4130" s="7">
        <v>24.715596000000001</v>
      </c>
      <c r="B4130" s="7">
        <v>34.756362299999999</v>
      </c>
      <c r="C4130" s="7">
        <v>677658.02</v>
      </c>
      <c r="D4130" s="7">
        <v>2734595.46</v>
      </c>
      <c r="E4130" s="7">
        <v>482.72</v>
      </c>
      <c r="F4130" s="7">
        <v>42638.89</v>
      </c>
      <c r="G4130" s="7">
        <v>83754</v>
      </c>
      <c r="H4130" s="7">
        <f t="shared" si="111"/>
        <v>42588.89</v>
      </c>
      <c r="I4130" s="15"/>
    </row>
    <row r="4131" spans="1:9" s="8" customFormat="1" ht="21" customHeight="1" x14ac:dyDescent="0.6">
      <c r="A4131" s="7">
        <v>24.715617399999999</v>
      </c>
      <c r="B4131" s="7">
        <v>34.756344599999998</v>
      </c>
      <c r="C4131" s="7">
        <v>677656.21</v>
      </c>
      <c r="D4131" s="7">
        <v>2734597.8</v>
      </c>
      <c r="E4131" s="7">
        <v>482.47</v>
      </c>
      <c r="F4131" s="7">
        <v>42660.07</v>
      </c>
      <c r="G4131" s="7">
        <v>83756</v>
      </c>
      <c r="H4131" s="7">
        <f t="shared" si="111"/>
        <v>42610.07</v>
      </c>
      <c r="I4131" s="15"/>
    </row>
    <row r="4132" spans="1:9" s="8" customFormat="1" ht="21" customHeight="1" x14ac:dyDescent="0.6">
      <c r="A4132" s="7">
        <v>24.715642599999999</v>
      </c>
      <c r="B4132" s="7">
        <v>34.756332100000002</v>
      </c>
      <c r="C4132" s="7">
        <v>677654.91</v>
      </c>
      <c r="D4132" s="7">
        <v>2734600.58</v>
      </c>
      <c r="E4132" s="7">
        <v>482.28</v>
      </c>
      <c r="F4132" s="7">
        <v>42655.39</v>
      </c>
      <c r="G4132" s="7">
        <v>83758</v>
      </c>
      <c r="H4132" s="7">
        <f t="shared" si="111"/>
        <v>42605.39</v>
      </c>
      <c r="I4132" s="15"/>
    </row>
    <row r="4133" spans="1:9" s="8" customFormat="1" ht="21" customHeight="1" x14ac:dyDescent="0.6">
      <c r="A4133" s="7">
        <v>24.715667199999999</v>
      </c>
      <c r="B4133" s="7">
        <v>34.756321100000001</v>
      </c>
      <c r="C4133" s="7">
        <v>677653.76</v>
      </c>
      <c r="D4133" s="7">
        <v>2734603.29</v>
      </c>
      <c r="E4133" s="7">
        <v>482.06</v>
      </c>
      <c r="F4133" s="7">
        <v>42659.03</v>
      </c>
      <c r="G4133" s="7">
        <v>83800</v>
      </c>
      <c r="H4133" s="7">
        <f t="shared" si="111"/>
        <v>42609.03</v>
      </c>
      <c r="I4133" s="15"/>
    </row>
    <row r="4134" spans="1:9" s="8" customFormat="1" ht="21" customHeight="1" x14ac:dyDescent="0.6">
      <c r="A4134" s="7">
        <v>24.715691799999998</v>
      </c>
      <c r="B4134" s="7">
        <v>34.756311699999998</v>
      </c>
      <c r="C4134" s="7">
        <v>677652.77</v>
      </c>
      <c r="D4134" s="7">
        <v>2734606.01</v>
      </c>
      <c r="E4134" s="7">
        <v>481.82</v>
      </c>
      <c r="F4134" s="7">
        <v>42663.15</v>
      </c>
      <c r="G4134" s="7">
        <v>83802</v>
      </c>
      <c r="H4134" s="7">
        <f t="shared" si="111"/>
        <v>42613.15</v>
      </c>
      <c r="I4134" s="15"/>
    </row>
    <row r="4135" spans="1:9" s="8" customFormat="1" ht="21" customHeight="1" x14ac:dyDescent="0.6">
      <c r="A4135" s="7">
        <v>24.715714800000001</v>
      </c>
      <c r="B4135" s="7">
        <v>34.756295899999998</v>
      </c>
      <c r="C4135" s="7">
        <v>677651.15</v>
      </c>
      <c r="D4135" s="7">
        <v>2734608.53</v>
      </c>
      <c r="E4135" s="7">
        <v>481.55</v>
      </c>
      <c r="F4135" s="7">
        <v>42657.83</v>
      </c>
      <c r="G4135" s="7">
        <v>83804</v>
      </c>
      <c r="H4135" s="7">
        <f t="shared" si="111"/>
        <v>42607.83</v>
      </c>
      <c r="I4135" s="15"/>
    </row>
    <row r="4136" spans="1:9" s="8" customFormat="1" ht="21" customHeight="1" x14ac:dyDescent="0.6">
      <c r="A4136" s="7">
        <v>24.715739200000002</v>
      </c>
      <c r="B4136" s="7">
        <v>34.756282800000001</v>
      </c>
      <c r="C4136" s="7">
        <v>677649.79</v>
      </c>
      <c r="D4136" s="7">
        <v>2734611.22</v>
      </c>
      <c r="E4136" s="7">
        <v>481.4</v>
      </c>
      <c r="F4136" s="7">
        <v>42621.37</v>
      </c>
      <c r="G4136" s="7">
        <v>83806</v>
      </c>
      <c r="H4136" s="7">
        <f t="shared" si="111"/>
        <v>42571.37</v>
      </c>
      <c r="I4136" s="15"/>
    </row>
    <row r="4137" spans="1:9" s="8" customFormat="1" ht="21" customHeight="1" x14ac:dyDescent="0.6">
      <c r="A4137" s="7">
        <v>24.715763599999999</v>
      </c>
      <c r="B4137" s="7">
        <v>34.756281199999997</v>
      </c>
      <c r="C4137" s="7">
        <v>677649.58</v>
      </c>
      <c r="D4137" s="7">
        <v>2734613.92</v>
      </c>
      <c r="E4137" s="7">
        <v>481.19</v>
      </c>
      <c r="F4137" s="7">
        <v>42597.22</v>
      </c>
      <c r="G4137" s="7">
        <v>83808</v>
      </c>
      <c r="H4137" s="7">
        <f t="shared" si="111"/>
        <v>42547.22</v>
      </c>
      <c r="I4137" s="15"/>
    </row>
    <row r="4138" spans="1:9" s="8" customFormat="1" ht="21" customHeight="1" x14ac:dyDescent="0.6">
      <c r="A4138" s="7">
        <v>24.7157862</v>
      </c>
      <c r="B4138" s="7">
        <v>34.756277699999998</v>
      </c>
      <c r="C4138" s="7">
        <v>677649.2</v>
      </c>
      <c r="D4138" s="7">
        <v>2734616.42</v>
      </c>
      <c r="E4138" s="7">
        <v>480.82</v>
      </c>
      <c r="F4138" s="7">
        <v>42546.78</v>
      </c>
      <c r="G4138" s="7">
        <v>83810</v>
      </c>
      <c r="H4138" s="7">
        <f t="shared" si="111"/>
        <v>42496.78</v>
      </c>
      <c r="I4138" s="15"/>
    </row>
    <row r="4139" spans="1:9" s="8" customFormat="1" ht="21" customHeight="1" x14ac:dyDescent="0.6">
      <c r="A4139" s="7">
        <v>24.7158126</v>
      </c>
      <c r="B4139" s="7">
        <v>34.756275100000003</v>
      </c>
      <c r="C4139" s="7">
        <v>677648.9</v>
      </c>
      <c r="D4139" s="7">
        <v>2734619.34</v>
      </c>
      <c r="E4139" s="7">
        <v>480.56</v>
      </c>
      <c r="F4139" s="7">
        <v>42586.7</v>
      </c>
      <c r="G4139" s="7">
        <v>83812</v>
      </c>
      <c r="H4139" s="7">
        <f t="shared" si="111"/>
        <v>42536.7</v>
      </c>
      <c r="I4139" s="15"/>
    </row>
    <row r="4140" spans="1:9" s="8" customFormat="1" ht="21" customHeight="1" x14ac:dyDescent="0.6">
      <c r="A4140" s="7">
        <v>24.7158336</v>
      </c>
      <c r="B4140" s="7">
        <v>34.756262499999998</v>
      </c>
      <c r="C4140" s="7">
        <v>677647.59</v>
      </c>
      <c r="D4140" s="7">
        <v>2734621.65</v>
      </c>
      <c r="E4140" s="7">
        <v>480.55</v>
      </c>
      <c r="F4140" s="7">
        <v>42565.49</v>
      </c>
      <c r="G4140" s="7">
        <v>83814</v>
      </c>
      <c r="H4140" s="7">
        <f t="shared" si="111"/>
        <v>42515.49</v>
      </c>
      <c r="I4140" s="15"/>
    </row>
    <row r="4141" spans="1:9" s="8" customFormat="1" ht="21" customHeight="1" x14ac:dyDescent="0.6">
      <c r="A4141" s="7">
        <v>24.715849800000001</v>
      </c>
      <c r="B4141" s="7">
        <v>34.756242499999999</v>
      </c>
      <c r="C4141" s="7">
        <v>677645.55</v>
      </c>
      <c r="D4141" s="7">
        <v>2734623.42</v>
      </c>
      <c r="E4141" s="7">
        <v>480.5</v>
      </c>
      <c r="F4141" s="7">
        <v>42602.64</v>
      </c>
      <c r="G4141" s="7">
        <v>83816</v>
      </c>
      <c r="H4141" s="7">
        <f t="shared" si="111"/>
        <v>42552.639999999999</v>
      </c>
      <c r="I4141" s="15"/>
    </row>
    <row r="4142" spans="1:9" s="8" customFormat="1" ht="21" customHeight="1" x14ac:dyDescent="0.6">
      <c r="A4142" s="7">
        <v>24.7158661</v>
      </c>
      <c r="B4142" s="7">
        <v>34.756221500000002</v>
      </c>
      <c r="C4142" s="7">
        <v>677643.4</v>
      </c>
      <c r="D4142" s="7">
        <v>2734625.19</v>
      </c>
      <c r="E4142" s="7">
        <v>480.38</v>
      </c>
      <c r="F4142" s="7">
        <v>42644.21</v>
      </c>
      <c r="G4142" s="7">
        <v>83818</v>
      </c>
      <c r="H4142" s="7">
        <f t="shared" si="111"/>
        <v>42594.21</v>
      </c>
      <c r="I4142" s="15"/>
    </row>
    <row r="4143" spans="1:9" s="8" customFormat="1" ht="21" customHeight="1" x14ac:dyDescent="0.6">
      <c r="A4143" s="7">
        <v>24.715884899999999</v>
      </c>
      <c r="B4143" s="7">
        <v>34.756204799999999</v>
      </c>
      <c r="C4143" s="7">
        <v>677641.68</v>
      </c>
      <c r="D4143" s="7">
        <v>2734627.26</v>
      </c>
      <c r="E4143" s="7">
        <v>480.06</v>
      </c>
      <c r="F4143" s="7">
        <v>42676.04</v>
      </c>
      <c r="G4143" s="7">
        <v>83820</v>
      </c>
      <c r="H4143" s="7">
        <f t="shared" si="111"/>
        <v>42626.04</v>
      </c>
      <c r="I4143" s="15"/>
    </row>
    <row r="4144" spans="1:9" s="8" customFormat="1" ht="21" customHeight="1" x14ac:dyDescent="0.6">
      <c r="A4144" s="7">
        <v>24.7159038</v>
      </c>
      <c r="B4144" s="7">
        <v>34.756184300000001</v>
      </c>
      <c r="C4144" s="7">
        <v>677639.59</v>
      </c>
      <c r="D4144" s="7">
        <v>2734629.32</v>
      </c>
      <c r="E4144" s="7">
        <v>480.09</v>
      </c>
      <c r="F4144" s="7">
        <v>42675.05</v>
      </c>
      <c r="G4144" s="7">
        <v>83822</v>
      </c>
      <c r="H4144" s="7">
        <f t="shared" si="111"/>
        <v>42625.05</v>
      </c>
      <c r="I4144" s="15"/>
    </row>
    <row r="4145" spans="1:9" s="8" customFormat="1" ht="21" customHeight="1" x14ac:dyDescent="0.6">
      <c r="A4145" s="7">
        <v>24.715918800000001</v>
      </c>
      <c r="B4145" s="7">
        <v>34.756163299999997</v>
      </c>
      <c r="C4145" s="7">
        <v>677637.44</v>
      </c>
      <c r="D4145" s="7">
        <v>2734630.95</v>
      </c>
      <c r="E4145" s="7">
        <v>480.04</v>
      </c>
      <c r="F4145" s="7">
        <v>42688.87</v>
      </c>
      <c r="G4145" s="7">
        <v>83824</v>
      </c>
      <c r="H4145" s="7">
        <f t="shared" si="111"/>
        <v>42638.87</v>
      </c>
      <c r="I4145" s="15"/>
    </row>
    <row r="4146" spans="1:9" s="8" customFormat="1" ht="21" customHeight="1" x14ac:dyDescent="0.6">
      <c r="A4146" s="7">
        <v>24.7159254</v>
      </c>
      <c r="B4146" s="7">
        <v>34.756138200000002</v>
      </c>
      <c r="C4146" s="7">
        <v>677634.89</v>
      </c>
      <c r="D4146" s="7">
        <v>2734631.65</v>
      </c>
      <c r="E4146" s="7">
        <v>480.56</v>
      </c>
      <c r="F4146" s="7">
        <v>42660.32</v>
      </c>
      <c r="G4146" s="7">
        <v>83826</v>
      </c>
      <c r="H4146" s="7">
        <f t="shared" si="111"/>
        <v>42610.32</v>
      </c>
      <c r="I4146" s="15"/>
    </row>
    <row r="4147" spans="1:9" s="8" customFormat="1" ht="21" customHeight="1" x14ac:dyDescent="0.6">
      <c r="A4147" s="7">
        <v>24.715938999999999</v>
      </c>
      <c r="B4147" s="7">
        <v>34.756122400000002</v>
      </c>
      <c r="C4147" s="7">
        <v>677633.27</v>
      </c>
      <c r="D4147" s="7">
        <v>2734633.13</v>
      </c>
      <c r="E4147" s="7">
        <v>480.83</v>
      </c>
      <c r="F4147" s="7">
        <v>42630.47</v>
      </c>
      <c r="G4147" s="7">
        <v>83828</v>
      </c>
      <c r="H4147" s="7">
        <f t="shared" si="111"/>
        <v>42580.47</v>
      </c>
      <c r="I4147" s="15"/>
    </row>
    <row r="4148" spans="1:9" s="8" customFormat="1" ht="21" customHeight="1" x14ac:dyDescent="0.6">
      <c r="A4148" s="7">
        <v>24.715960299999999</v>
      </c>
      <c r="B4148" s="7">
        <v>34.756102300000002</v>
      </c>
      <c r="C4148" s="7">
        <v>677631.21</v>
      </c>
      <c r="D4148" s="7">
        <v>2734635.47</v>
      </c>
      <c r="E4148" s="7">
        <v>480.99</v>
      </c>
      <c r="F4148" s="7">
        <v>42637.55</v>
      </c>
      <c r="G4148" s="7">
        <v>83830</v>
      </c>
      <c r="H4148" s="7">
        <f t="shared" si="111"/>
        <v>42587.55</v>
      </c>
      <c r="I4148" s="15"/>
    </row>
    <row r="4149" spans="1:9" s="8" customFormat="1" ht="21" customHeight="1" x14ac:dyDescent="0.6">
      <c r="A4149" s="7">
        <v>24.7159792</v>
      </c>
      <c r="B4149" s="7">
        <v>34.756086600000003</v>
      </c>
      <c r="C4149" s="7">
        <v>677629.59</v>
      </c>
      <c r="D4149" s="7">
        <v>2734637.54</v>
      </c>
      <c r="E4149" s="7">
        <v>481.37</v>
      </c>
      <c r="F4149" s="7">
        <v>42632.69</v>
      </c>
      <c r="G4149" s="7">
        <v>83832</v>
      </c>
      <c r="H4149" s="7">
        <f t="shared" si="111"/>
        <v>42582.69</v>
      </c>
      <c r="I4149" s="15"/>
    </row>
    <row r="4150" spans="1:9" s="8" customFormat="1" ht="21" customHeight="1" x14ac:dyDescent="0.6">
      <c r="A4150" s="7">
        <v>24.715995800000002</v>
      </c>
      <c r="B4150" s="7">
        <v>34.756076200000003</v>
      </c>
      <c r="C4150" s="7">
        <v>677628.52</v>
      </c>
      <c r="D4150" s="7">
        <v>2734639.37</v>
      </c>
      <c r="E4150" s="7">
        <v>481.87</v>
      </c>
      <c r="F4150" s="7">
        <v>42635.839999999997</v>
      </c>
      <c r="G4150" s="7">
        <v>83834</v>
      </c>
      <c r="H4150" s="7">
        <f t="shared" si="111"/>
        <v>42585.84</v>
      </c>
      <c r="I4150" s="15"/>
    </row>
    <row r="4151" spans="1:9" s="8" customFormat="1" ht="21" customHeight="1" x14ac:dyDescent="0.6">
      <c r="A4151" s="7">
        <v>24.716013400000001</v>
      </c>
      <c r="B4151" s="7">
        <v>34.756065800000002</v>
      </c>
      <c r="C4151" s="7">
        <v>677627.44</v>
      </c>
      <c r="D4151" s="7">
        <v>2734641.31</v>
      </c>
      <c r="E4151" s="7">
        <v>482.53</v>
      </c>
      <c r="F4151" s="7">
        <v>42636.62</v>
      </c>
      <c r="G4151" s="7">
        <v>83836</v>
      </c>
      <c r="H4151" s="7">
        <f t="shared" si="111"/>
        <v>42586.62</v>
      </c>
      <c r="I4151" s="15"/>
    </row>
    <row r="4152" spans="1:9" s="8" customFormat="1" ht="21" customHeight="1" x14ac:dyDescent="0.6">
      <c r="A4152" s="7">
        <v>24.716026899999999</v>
      </c>
      <c r="B4152" s="7">
        <v>34.756051999999997</v>
      </c>
      <c r="C4152" s="7">
        <v>677626.02</v>
      </c>
      <c r="D4152" s="7">
        <v>2734642.78</v>
      </c>
      <c r="E4152" s="7">
        <v>482.88</v>
      </c>
      <c r="F4152" s="7">
        <v>42630.03</v>
      </c>
      <c r="G4152" s="7">
        <v>83838</v>
      </c>
      <c r="H4152" s="7">
        <f t="shared" si="111"/>
        <v>42580.03</v>
      </c>
      <c r="I4152" s="15"/>
    </row>
    <row r="4153" spans="1:9" s="8" customFormat="1" ht="21" customHeight="1" x14ac:dyDescent="0.6">
      <c r="A4153" s="7">
        <v>24.716046800000001</v>
      </c>
      <c r="B4153" s="7">
        <v>34.756035199999999</v>
      </c>
      <c r="C4153" s="7">
        <v>677624.29</v>
      </c>
      <c r="D4153" s="7">
        <v>2734644.96</v>
      </c>
      <c r="E4153" s="7">
        <v>482.62</v>
      </c>
      <c r="F4153" s="7">
        <v>42659.23</v>
      </c>
      <c r="G4153" s="7">
        <v>83840</v>
      </c>
      <c r="H4153" s="7">
        <f t="shared" si="111"/>
        <v>42609.23</v>
      </c>
      <c r="I4153" s="15"/>
    </row>
    <row r="4154" spans="1:9" s="8" customFormat="1" ht="21" customHeight="1" x14ac:dyDescent="0.6">
      <c r="A4154" s="7">
        <v>24.7160662</v>
      </c>
      <c r="B4154" s="7">
        <v>34.756017900000003</v>
      </c>
      <c r="C4154" s="7">
        <v>677622.51</v>
      </c>
      <c r="D4154" s="7">
        <v>2734647.09</v>
      </c>
      <c r="E4154" s="7">
        <v>482.9</v>
      </c>
      <c r="F4154" s="7">
        <v>42654.81</v>
      </c>
      <c r="G4154" s="7">
        <v>83842</v>
      </c>
      <c r="H4154" s="7">
        <f t="shared" si="111"/>
        <v>42604.81</v>
      </c>
      <c r="I4154" s="15"/>
    </row>
    <row r="4155" spans="1:9" s="8" customFormat="1" ht="21" customHeight="1" x14ac:dyDescent="0.6">
      <c r="A4155" s="7">
        <v>24.716077500000001</v>
      </c>
      <c r="B4155" s="7">
        <v>34.756001300000001</v>
      </c>
      <c r="C4155" s="7">
        <v>677620.83</v>
      </c>
      <c r="D4155" s="7">
        <v>2734648.32</v>
      </c>
      <c r="E4155" s="7">
        <v>483.18</v>
      </c>
      <c r="F4155" s="7">
        <v>42537.08</v>
      </c>
      <c r="G4155" s="7">
        <v>83844</v>
      </c>
      <c r="H4155" s="7">
        <f t="shared" si="111"/>
        <v>42487.08</v>
      </c>
      <c r="I4155" s="15"/>
    </row>
    <row r="4156" spans="1:9" s="8" customFormat="1" ht="21" customHeight="1" x14ac:dyDescent="0.6">
      <c r="A4156" s="7">
        <v>24.716087000000002</v>
      </c>
      <c r="B4156" s="7">
        <v>34.755982400000001</v>
      </c>
      <c r="C4156" s="7">
        <v>677618.9</v>
      </c>
      <c r="D4156" s="7">
        <v>2734649.35</v>
      </c>
      <c r="E4156" s="7">
        <v>482.81</v>
      </c>
      <c r="F4156" s="7">
        <v>42331</v>
      </c>
      <c r="G4156" s="7">
        <v>83846</v>
      </c>
      <c r="H4156" s="7">
        <f t="shared" si="111"/>
        <v>42281</v>
      </c>
      <c r="I4156" s="15"/>
    </row>
    <row r="4157" spans="1:9" s="8" customFormat="1" ht="21" customHeight="1" x14ac:dyDescent="0.6">
      <c r="A4157" s="7">
        <v>24.716094999999999</v>
      </c>
      <c r="B4157" s="7">
        <v>34.7559659</v>
      </c>
      <c r="C4157" s="7">
        <v>677617.21</v>
      </c>
      <c r="D4157" s="7">
        <v>2734650.21</v>
      </c>
      <c r="E4157" s="7">
        <v>482.33</v>
      </c>
      <c r="F4157" s="7">
        <v>42157.05</v>
      </c>
      <c r="G4157" s="7">
        <v>83848</v>
      </c>
      <c r="H4157" s="7">
        <f t="shared" si="111"/>
        <v>42107.05</v>
      </c>
      <c r="I4157" s="15"/>
    </row>
    <row r="4158" spans="1:9" s="8" customFormat="1" ht="21" customHeight="1" x14ac:dyDescent="0.6">
      <c r="A4158" s="7">
        <v>24.716103199999999</v>
      </c>
      <c r="B4158" s="7">
        <v>34.755949999999999</v>
      </c>
      <c r="C4158" s="7">
        <v>677615.59</v>
      </c>
      <c r="D4158" s="7">
        <v>2734651.1</v>
      </c>
      <c r="E4158" s="7">
        <v>481.67</v>
      </c>
      <c r="F4158" s="7">
        <v>42048.44</v>
      </c>
      <c r="G4158" s="7">
        <v>83850</v>
      </c>
      <c r="H4158" s="7">
        <f t="shared" si="111"/>
        <v>41998.44</v>
      </c>
      <c r="I4158" s="15"/>
    </row>
    <row r="4159" spans="1:9" s="8" customFormat="1" ht="21" customHeight="1" x14ac:dyDescent="0.6">
      <c r="A4159" s="7">
        <v>24.7161151</v>
      </c>
      <c r="B4159" s="7">
        <v>34.755932999999999</v>
      </c>
      <c r="C4159" s="7">
        <v>677613.86</v>
      </c>
      <c r="D4159" s="7">
        <v>2734652.39</v>
      </c>
      <c r="E4159" s="7">
        <v>481.01</v>
      </c>
      <c r="F4159" s="7">
        <v>41941.599999999999</v>
      </c>
      <c r="G4159" s="7">
        <v>83852</v>
      </c>
      <c r="H4159" s="7">
        <f t="shared" si="111"/>
        <v>41891.599999999999</v>
      </c>
      <c r="I4159" s="15"/>
    </row>
    <row r="4160" spans="1:9" s="8" customFormat="1" ht="21" customHeight="1" x14ac:dyDescent="0.6">
      <c r="A4160" s="7">
        <v>24.716130199999998</v>
      </c>
      <c r="B4160" s="7">
        <v>34.755918999999999</v>
      </c>
      <c r="C4160" s="7">
        <v>677612.42</v>
      </c>
      <c r="D4160" s="7">
        <v>2734654.05</v>
      </c>
      <c r="E4160" s="7">
        <v>480.41</v>
      </c>
      <c r="F4160" s="7">
        <v>41814.78</v>
      </c>
      <c r="G4160" s="7">
        <v>83854</v>
      </c>
      <c r="H4160" s="7">
        <f t="shared" si="111"/>
        <v>41764.78</v>
      </c>
      <c r="I4160" s="15"/>
    </row>
    <row r="4161" spans="1:9" s="8" customFormat="1" ht="21" customHeight="1" x14ac:dyDescent="0.6">
      <c r="A4161" s="7">
        <v>24.716129299999999</v>
      </c>
      <c r="B4161" s="7">
        <v>34.755904700000002</v>
      </c>
      <c r="C4161" s="7">
        <v>677610.98</v>
      </c>
      <c r="D4161" s="7">
        <v>2734653.93</v>
      </c>
      <c r="E4161" s="7">
        <v>479.73</v>
      </c>
      <c r="F4161" s="7">
        <v>41813.33</v>
      </c>
      <c r="G4161" s="7">
        <v>83856</v>
      </c>
      <c r="H4161" s="7">
        <f t="shared" si="111"/>
        <v>41763.33</v>
      </c>
      <c r="I4161" s="15"/>
    </row>
    <row r="4162" spans="1:9" s="8" customFormat="1" ht="21" customHeight="1" x14ac:dyDescent="0.6">
      <c r="A4162" s="7">
        <v>24.716133899999999</v>
      </c>
      <c r="B4162" s="7">
        <v>34.755891800000001</v>
      </c>
      <c r="C4162" s="7">
        <v>677609.66</v>
      </c>
      <c r="D4162" s="7">
        <v>2734654.43</v>
      </c>
      <c r="E4162" s="7">
        <v>479.19</v>
      </c>
      <c r="F4162" s="7">
        <v>41809.910000000003</v>
      </c>
      <c r="G4162" s="7">
        <v>83858</v>
      </c>
      <c r="H4162" s="7">
        <f t="shared" si="111"/>
        <v>41759.910000000003</v>
      </c>
      <c r="I4162" s="15"/>
    </row>
    <row r="4163" spans="1:9" s="8" customFormat="1" ht="21" customHeight="1" x14ac:dyDescent="0.6">
      <c r="A4163" s="7">
        <v>24.716144199999999</v>
      </c>
      <c r="B4163" s="7">
        <v>34.755880900000001</v>
      </c>
      <c r="C4163" s="7">
        <v>677608.55</v>
      </c>
      <c r="D4163" s="7">
        <v>2734655.55</v>
      </c>
      <c r="E4163" s="7">
        <v>478.74</v>
      </c>
      <c r="F4163" s="7">
        <v>41783.31</v>
      </c>
      <c r="G4163" s="7">
        <v>83900</v>
      </c>
      <c r="H4163" s="7">
        <f t="shared" si="111"/>
        <v>41733.31</v>
      </c>
      <c r="I4163" s="15"/>
    </row>
    <row r="4164" spans="1:9" s="8" customFormat="1" ht="21" customHeight="1" x14ac:dyDescent="0.6">
      <c r="A4164" s="7">
        <v>24.716154299999999</v>
      </c>
      <c r="B4164" s="7">
        <v>34.755872099999998</v>
      </c>
      <c r="C4164" s="7">
        <v>677607.64</v>
      </c>
      <c r="D4164" s="7">
        <v>2734656.66</v>
      </c>
      <c r="E4164" s="7">
        <v>478.03</v>
      </c>
      <c r="F4164" s="7">
        <v>41772.18</v>
      </c>
      <c r="G4164" s="7">
        <v>83902</v>
      </c>
      <c r="H4164" s="7">
        <f t="shared" si="111"/>
        <v>41722.18</v>
      </c>
      <c r="I4164" s="15"/>
    </row>
    <row r="4165" spans="1:9" s="8" customFormat="1" ht="21" customHeight="1" x14ac:dyDescent="0.6">
      <c r="A4165" s="7">
        <v>24.7161601</v>
      </c>
      <c r="B4165" s="7">
        <v>34.755861699999997</v>
      </c>
      <c r="C4165" s="7">
        <v>677606.58</v>
      </c>
      <c r="D4165" s="7">
        <v>2734657.29</v>
      </c>
      <c r="E4165" s="7">
        <v>477.25</v>
      </c>
      <c r="F4165" s="7">
        <v>41779.519999999997</v>
      </c>
      <c r="G4165" s="7">
        <v>83904</v>
      </c>
      <c r="H4165" s="7">
        <f t="shared" si="111"/>
        <v>41729.519999999997</v>
      </c>
      <c r="I4165" s="15"/>
    </row>
    <row r="4166" spans="1:9" s="8" customFormat="1" ht="21" customHeight="1" x14ac:dyDescent="0.6">
      <c r="A4166" s="7">
        <v>24.716179499999999</v>
      </c>
      <c r="B4166" s="7">
        <v>34.755844199999999</v>
      </c>
      <c r="C4166" s="7">
        <v>677604.78</v>
      </c>
      <c r="D4166" s="7">
        <v>2734659.42</v>
      </c>
      <c r="E4166" s="7">
        <v>477.04</v>
      </c>
      <c r="F4166" s="7">
        <v>41795.89</v>
      </c>
      <c r="G4166" s="7">
        <v>83906</v>
      </c>
      <c r="H4166" s="7">
        <f t="shared" si="111"/>
        <v>41745.89</v>
      </c>
      <c r="I4166" s="15"/>
    </row>
    <row r="4167" spans="1:9" s="8" customFormat="1" ht="21" customHeight="1" x14ac:dyDescent="0.6">
      <c r="A4167" s="7">
        <v>24.716188299999999</v>
      </c>
      <c r="B4167" s="7">
        <v>34.755828200000003</v>
      </c>
      <c r="C4167" s="7">
        <v>677603.15</v>
      </c>
      <c r="D4167" s="7">
        <v>2734660.37</v>
      </c>
      <c r="E4167" s="7">
        <v>477.21</v>
      </c>
      <c r="F4167" s="7">
        <v>41841.71</v>
      </c>
      <c r="G4167" s="7">
        <v>83908</v>
      </c>
      <c r="H4167" s="7">
        <f t="shared" si="111"/>
        <v>41791.71</v>
      </c>
      <c r="I4167" s="15"/>
    </row>
    <row r="4168" spans="1:9" s="8" customFormat="1" ht="21" customHeight="1" x14ac:dyDescent="0.6">
      <c r="A4168" s="7">
        <v>24.7162012</v>
      </c>
      <c r="B4168" s="7">
        <v>34.755806900000003</v>
      </c>
      <c r="C4168" s="7">
        <v>677600.98</v>
      </c>
      <c r="D4168" s="7">
        <v>2734661.77</v>
      </c>
      <c r="E4168" s="7">
        <v>477.11</v>
      </c>
      <c r="F4168" s="7">
        <v>41909.730000000003</v>
      </c>
      <c r="G4168" s="7">
        <v>83910</v>
      </c>
      <c r="H4168" s="7">
        <f t="shared" si="111"/>
        <v>41859.730000000003</v>
      </c>
      <c r="I4168" s="15"/>
    </row>
    <row r="4169" spans="1:9" s="8" customFormat="1" ht="21" customHeight="1" x14ac:dyDescent="0.6">
      <c r="A4169" s="7">
        <v>24.716214699999998</v>
      </c>
      <c r="B4169" s="7">
        <v>34.755787400000003</v>
      </c>
      <c r="C4169" s="7">
        <v>677598.99</v>
      </c>
      <c r="D4169" s="7">
        <v>2734663.24</v>
      </c>
      <c r="E4169" s="7">
        <v>477.14</v>
      </c>
      <c r="F4169" s="7">
        <v>41932.620000000003</v>
      </c>
      <c r="G4169" s="7">
        <v>83912</v>
      </c>
      <c r="H4169" s="7">
        <f t="shared" si="111"/>
        <v>41882.620000000003</v>
      </c>
      <c r="I4169" s="15"/>
    </row>
    <row r="4170" spans="1:9" s="8" customFormat="1" ht="21" customHeight="1" x14ac:dyDescent="0.6">
      <c r="A4170" s="7">
        <v>24.716231199999999</v>
      </c>
      <c r="B4170" s="7">
        <v>34.755775300000003</v>
      </c>
      <c r="C4170" s="7">
        <v>677597.73</v>
      </c>
      <c r="D4170" s="7">
        <v>2734665.05</v>
      </c>
      <c r="E4170" s="7">
        <v>477.11</v>
      </c>
      <c r="F4170" s="7">
        <v>41944.639999999999</v>
      </c>
      <c r="G4170" s="7">
        <v>83914</v>
      </c>
      <c r="H4170" s="7">
        <f t="shared" si="111"/>
        <v>41894.639999999999</v>
      </c>
      <c r="I4170" s="15"/>
    </row>
    <row r="4171" spans="1:9" s="8" customFormat="1" ht="21" customHeight="1" x14ac:dyDescent="0.6">
      <c r="A4171" s="7">
        <v>24.716253399999999</v>
      </c>
      <c r="B4171" s="7">
        <v>34.7557659</v>
      </c>
      <c r="C4171" s="7">
        <v>677596.75</v>
      </c>
      <c r="D4171" s="7">
        <v>2734667.49</v>
      </c>
      <c r="E4171" s="7">
        <v>477.03</v>
      </c>
      <c r="F4171" s="7">
        <v>41971.5</v>
      </c>
      <c r="G4171" s="7">
        <v>83916</v>
      </c>
      <c r="H4171" s="7">
        <f t="shared" si="111"/>
        <v>41921.5</v>
      </c>
      <c r="I4171" s="15"/>
    </row>
    <row r="4172" spans="1:9" s="8" customFormat="1" ht="21" customHeight="1" x14ac:dyDescent="0.6">
      <c r="A4172" s="7">
        <v>24.7162738</v>
      </c>
      <c r="B4172" s="7">
        <v>34.755752999999999</v>
      </c>
      <c r="C4172" s="7">
        <v>677595.42</v>
      </c>
      <c r="D4172" s="7">
        <v>2734669.74</v>
      </c>
      <c r="E4172" s="7">
        <v>477</v>
      </c>
      <c r="F4172" s="7">
        <v>41979.32</v>
      </c>
      <c r="G4172" s="7">
        <v>83918</v>
      </c>
      <c r="H4172" s="7">
        <f t="shared" si="111"/>
        <v>41929.32</v>
      </c>
      <c r="I4172" s="15"/>
    </row>
    <row r="4173" spans="1:9" s="8" customFormat="1" ht="21" customHeight="1" x14ac:dyDescent="0.6">
      <c r="A4173" s="7">
        <v>24.716294900000001</v>
      </c>
      <c r="B4173" s="7">
        <v>34.755736400000004</v>
      </c>
      <c r="C4173" s="7">
        <v>677593.72</v>
      </c>
      <c r="D4173" s="7">
        <v>2734672.06</v>
      </c>
      <c r="E4173" s="7">
        <v>476.97</v>
      </c>
      <c r="F4173" s="7">
        <v>41957.83</v>
      </c>
      <c r="G4173" s="7">
        <v>83920</v>
      </c>
      <c r="H4173" s="7">
        <f t="shared" si="111"/>
        <v>41907.83</v>
      </c>
      <c r="I4173" s="15"/>
    </row>
    <row r="4174" spans="1:9" s="8" customFormat="1" ht="21" customHeight="1" x14ac:dyDescent="0.6">
      <c r="A4174" s="7">
        <v>24.716306500000002</v>
      </c>
      <c r="B4174" s="7">
        <v>34.755724700000002</v>
      </c>
      <c r="C4174" s="7">
        <v>677592.51</v>
      </c>
      <c r="D4174" s="7">
        <v>2734673.33</v>
      </c>
      <c r="E4174" s="7">
        <v>476.97</v>
      </c>
      <c r="F4174" s="7">
        <v>41938.339999999997</v>
      </c>
      <c r="G4174" s="7">
        <v>83922</v>
      </c>
      <c r="H4174" s="7">
        <f t="shared" si="111"/>
        <v>41888.339999999997</v>
      </c>
      <c r="I4174" s="15"/>
    </row>
    <row r="4175" spans="1:9" s="8" customFormat="1" ht="21" customHeight="1" x14ac:dyDescent="0.6">
      <c r="A4175" s="7">
        <v>24.716307499999999</v>
      </c>
      <c r="B4175" s="7">
        <v>34.755724600000001</v>
      </c>
      <c r="C4175" s="7">
        <v>677592.51</v>
      </c>
      <c r="D4175" s="7">
        <v>2734673.43</v>
      </c>
      <c r="E4175" s="7">
        <v>476.97</v>
      </c>
      <c r="F4175" s="7">
        <v>41937.33</v>
      </c>
      <c r="G4175" s="7">
        <v>83924</v>
      </c>
      <c r="H4175" s="7">
        <f t="shared" si="111"/>
        <v>41887.33</v>
      </c>
      <c r="I4175" s="15"/>
    </row>
    <row r="4176" spans="1:9" s="8" customFormat="1" ht="21" customHeight="1" x14ac:dyDescent="0.6">
      <c r="A4176" s="7">
        <v>24.7163073</v>
      </c>
      <c r="B4176" s="7">
        <v>34.755725099999999</v>
      </c>
      <c r="C4176" s="7">
        <v>677592.56</v>
      </c>
      <c r="D4176" s="7">
        <v>2734673.41</v>
      </c>
      <c r="E4176" s="7">
        <v>476.95</v>
      </c>
      <c r="F4176" s="7">
        <v>41937.879999999997</v>
      </c>
      <c r="G4176" s="7">
        <v>83926</v>
      </c>
      <c r="H4176" s="7">
        <f t="shared" si="111"/>
        <v>41887.879999999997</v>
      </c>
      <c r="I4176" s="15"/>
    </row>
    <row r="4177" spans="1:9" s="8" customFormat="1" ht="21" customHeight="1" x14ac:dyDescent="0.6">
      <c r="A4177" s="7">
        <v>24.716307100000002</v>
      </c>
      <c r="B4177" s="7">
        <v>34.755725599999998</v>
      </c>
      <c r="C4177" s="7">
        <v>677592.6</v>
      </c>
      <c r="D4177" s="7">
        <v>2734673.4</v>
      </c>
      <c r="E4177" s="7">
        <v>476.93</v>
      </c>
      <c r="F4177" s="7">
        <v>41940.22</v>
      </c>
      <c r="G4177" s="7">
        <v>83928</v>
      </c>
      <c r="H4177" s="7">
        <f t="shared" si="111"/>
        <v>41890.22</v>
      </c>
      <c r="I4177" s="15"/>
    </row>
    <row r="4178" spans="1:9" s="8" customFormat="1" ht="21" customHeight="1" x14ac:dyDescent="0.6">
      <c r="A4178" s="7">
        <v>24.716306800000002</v>
      </c>
      <c r="B4178" s="7">
        <v>34.755725400000003</v>
      </c>
      <c r="C4178" s="7">
        <v>677592.58</v>
      </c>
      <c r="D4178" s="7">
        <v>2734673.36</v>
      </c>
      <c r="E4178" s="7">
        <v>476.91</v>
      </c>
      <c r="F4178" s="7">
        <v>41940.639999999999</v>
      </c>
      <c r="G4178" s="7">
        <v>83930</v>
      </c>
      <c r="H4178" s="7">
        <f t="shared" si="111"/>
        <v>41890.639999999999</v>
      </c>
      <c r="I4178" s="15"/>
    </row>
    <row r="4179" spans="1:9" s="8" customFormat="1" ht="21" customHeight="1" x14ac:dyDescent="0.6">
      <c r="A4179" s="7">
        <v>24.716308300000001</v>
      </c>
      <c r="B4179" s="7">
        <v>34.755726099999997</v>
      </c>
      <c r="C4179" s="7">
        <v>677592.65</v>
      </c>
      <c r="D4179" s="7">
        <v>2734673.52</v>
      </c>
      <c r="E4179" s="7">
        <v>476.89</v>
      </c>
      <c r="F4179" s="7">
        <v>41938.410000000003</v>
      </c>
      <c r="G4179" s="7">
        <v>83932</v>
      </c>
      <c r="H4179" s="7">
        <f t="shared" si="111"/>
        <v>41888.410000000003</v>
      </c>
      <c r="I4179" s="15"/>
    </row>
    <row r="4180" spans="1:9" s="8" customFormat="1" ht="21" customHeight="1" x14ac:dyDescent="0.6">
      <c r="A4180" s="7">
        <v>24.7163079</v>
      </c>
      <c r="B4180" s="7">
        <v>34.755726199999998</v>
      </c>
      <c r="C4180" s="7">
        <v>677592.67</v>
      </c>
      <c r="D4180" s="7">
        <v>2734673.48</v>
      </c>
      <c r="E4180" s="7">
        <v>476.85</v>
      </c>
      <c r="F4180" s="7">
        <v>41940.03</v>
      </c>
      <c r="G4180" s="7">
        <v>83934</v>
      </c>
      <c r="H4180" s="7">
        <f t="shared" ref="H4180:H4243" si="112">SUM(F4180-50)</f>
        <v>41890.03</v>
      </c>
      <c r="I4180" s="15"/>
    </row>
    <row r="4181" spans="1:9" s="8" customFormat="1" ht="21" customHeight="1" x14ac:dyDescent="0.6">
      <c r="A4181" s="7">
        <v>24.7163088</v>
      </c>
      <c r="B4181" s="7">
        <v>34.755725300000002</v>
      </c>
      <c r="C4181" s="7">
        <v>677592.57</v>
      </c>
      <c r="D4181" s="7">
        <v>2734673.59</v>
      </c>
      <c r="E4181" s="7">
        <v>476.81</v>
      </c>
      <c r="F4181" s="7">
        <v>41940.959999999999</v>
      </c>
      <c r="G4181" s="7">
        <v>83936</v>
      </c>
      <c r="H4181" s="7">
        <f t="shared" si="112"/>
        <v>41890.959999999999</v>
      </c>
      <c r="I4181" s="15"/>
    </row>
    <row r="4182" spans="1:9" s="8" customFormat="1" ht="21" customHeight="1" x14ac:dyDescent="0.6">
      <c r="A4182" s="7">
        <v>24.7163246</v>
      </c>
      <c r="B4182" s="7">
        <v>34.7557136</v>
      </c>
      <c r="C4182" s="7">
        <v>677591.37</v>
      </c>
      <c r="D4182" s="7">
        <v>2734675.32</v>
      </c>
      <c r="E4182" s="7">
        <v>476.63</v>
      </c>
      <c r="F4182" s="7">
        <v>41936.18</v>
      </c>
      <c r="G4182" s="7">
        <v>83938</v>
      </c>
      <c r="H4182" s="7">
        <f t="shared" si="112"/>
        <v>41886.18</v>
      </c>
      <c r="I4182" s="15"/>
    </row>
    <row r="4183" spans="1:9" s="8" customFormat="1" ht="21" customHeight="1" x14ac:dyDescent="0.6">
      <c r="A4183" s="7">
        <v>24.7163486</v>
      </c>
      <c r="B4183" s="7">
        <v>34.755699800000002</v>
      </c>
      <c r="C4183" s="7">
        <v>677589.93</v>
      </c>
      <c r="D4183" s="7">
        <v>2734677.95</v>
      </c>
      <c r="E4183" s="7">
        <v>476.37</v>
      </c>
      <c r="F4183" s="7">
        <v>41922.83</v>
      </c>
      <c r="G4183" s="7">
        <v>83940</v>
      </c>
      <c r="H4183" s="7">
        <f t="shared" si="112"/>
        <v>41872.83</v>
      </c>
      <c r="I4183" s="15"/>
    </row>
    <row r="4184" spans="1:9" s="8" customFormat="1" ht="21" customHeight="1" x14ac:dyDescent="0.6">
      <c r="A4184" s="7">
        <v>24.716368299999999</v>
      </c>
      <c r="B4184" s="7">
        <v>34.755686900000001</v>
      </c>
      <c r="C4184" s="7">
        <v>677588.6</v>
      </c>
      <c r="D4184" s="7">
        <v>2734680.12</v>
      </c>
      <c r="E4184" s="7">
        <v>476.45</v>
      </c>
      <c r="F4184" s="7">
        <v>41923.800000000003</v>
      </c>
      <c r="G4184" s="7">
        <v>83942</v>
      </c>
      <c r="H4184" s="7">
        <f t="shared" si="112"/>
        <v>41873.800000000003</v>
      </c>
      <c r="I4184" s="15"/>
    </row>
    <row r="4185" spans="1:9" s="8" customFormat="1" ht="21" customHeight="1" x14ac:dyDescent="0.6">
      <c r="A4185" s="7">
        <v>24.716381299999998</v>
      </c>
      <c r="B4185" s="7">
        <v>34.755662700000002</v>
      </c>
      <c r="C4185" s="7">
        <v>677586.13</v>
      </c>
      <c r="D4185" s="7">
        <v>2734681.53</v>
      </c>
      <c r="E4185" s="7">
        <v>476.42</v>
      </c>
      <c r="F4185" s="7">
        <v>41923.46</v>
      </c>
      <c r="G4185" s="7">
        <v>83944</v>
      </c>
      <c r="H4185" s="7">
        <f t="shared" si="112"/>
        <v>41873.46</v>
      </c>
      <c r="I4185" s="15"/>
    </row>
    <row r="4186" spans="1:9" s="8" customFormat="1" ht="21" customHeight="1" x14ac:dyDescent="0.6">
      <c r="A4186" s="7">
        <v>24.716394600000001</v>
      </c>
      <c r="B4186" s="7">
        <v>34.755636699999997</v>
      </c>
      <c r="C4186" s="7">
        <v>677583.49</v>
      </c>
      <c r="D4186" s="7">
        <v>2734682.97</v>
      </c>
      <c r="E4186" s="7">
        <v>476.45</v>
      </c>
      <c r="F4186" s="7">
        <v>41915.72</v>
      </c>
      <c r="G4186" s="7">
        <v>83946</v>
      </c>
      <c r="H4186" s="7">
        <f t="shared" si="112"/>
        <v>41865.72</v>
      </c>
      <c r="I4186" s="15"/>
    </row>
    <row r="4187" spans="1:9" s="8" customFormat="1" ht="21" customHeight="1" x14ac:dyDescent="0.6">
      <c r="A4187" s="7">
        <v>24.716408900000001</v>
      </c>
      <c r="B4187" s="7">
        <v>34.755613500000003</v>
      </c>
      <c r="C4187" s="7">
        <v>677581.12</v>
      </c>
      <c r="D4187" s="7">
        <v>2734684.52</v>
      </c>
      <c r="E4187" s="7">
        <v>476.27</v>
      </c>
      <c r="F4187" s="7">
        <v>41920.42</v>
      </c>
      <c r="G4187" s="7">
        <v>83948</v>
      </c>
      <c r="H4187" s="7">
        <f t="shared" si="112"/>
        <v>41870.42</v>
      </c>
      <c r="I4187" s="15"/>
    </row>
    <row r="4188" spans="1:9" s="8" customFormat="1" ht="21" customHeight="1" x14ac:dyDescent="0.6">
      <c r="A4188" s="7">
        <v>24.716423299999999</v>
      </c>
      <c r="B4188" s="7">
        <v>34.755594700000003</v>
      </c>
      <c r="C4188" s="7">
        <v>677579.19</v>
      </c>
      <c r="D4188" s="7">
        <v>2734686.1</v>
      </c>
      <c r="E4188" s="7">
        <v>476.23</v>
      </c>
      <c r="F4188" s="7">
        <v>41919.19</v>
      </c>
      <c r="G4188" s="7">
        <v>83950</v>
      </c>
      <c r="H4188" s="7">
        <f t="shared" si="112"/>
        <v>41869.19</v>
      </c>
      <c r="I4188" s="15"/>
    </row>
    <row r="4189" spans="1:9" s="8" customFormat="1" ht="21" customHeight="1" x14ac:dyDescent="0.6">
      <c r="A4189" s="7">
        <v>24.716441799999998</v>
      </c>
      <c r="B4189" s="7">
        <v>34.755574299999999</v>
      </c>
      <c r="C4189" s="7">
        <v>677577.11</v>
      </c>
      <c r="D4189" s="7">
        <v>2734688.12</v>
      </c>
      <c r="E4189" s="7">
        <v>476.11</v>
      </c>
      <c r="F4189" s="7">
        <v>41938.89</v>
      </c>
      <c r="G4189" s="7">
        <v>83952</v>
      </c>
      <c r="H4189" s="7">
        <f t="shared" si="112"/>
        <v>41888.89</v>
      </c>
      <c r="I4189" s="15"/>
    </row>
    <row r="4190" spans="1:9" s="8" customFormat="1" ht="21" customHeight="1" x14ac:dyDescent="0.6">
      <c r="A4190" s="7">
        <v>24.716465199999998</v>
      </c>
      <c r="B4190" s="7">
        <v>34.755561999999998</v>
      </c>
      <c r="C4190" s="7">
        <v>677575.82</v>
      </c>
      <c r="D4190" s="7">
        <v>2734690.7</v>
      </c>
      <c r="E4190" s="7">
        <v>475.99</v>
      </c>
      <c r="F4190" s="7">
        <v>41975.81</v>
      </c>
      <c r="G4190" s="7">
        <v>83954</v>
      </c>
      <c r="H4190" s="7">
        <f t="shared" si="112"/>
        <v>41925.81</v>
      </c>
      <c r="I4190" s="15"/>
    </row>
    <row r="4191" spans="1:9" s="8" customFormat="1" ht="21" customHeight="1" x14ac:dyDescent="0.6">
      <c r="A4191" s="7">
        <v>24.7164851</v>
      </c>
      <c r="B4191" s="7">
        <v>34.755542900000002</v>
      </c>
      <c r="C4191" s="7">
        <v>677573.86</v>
      </c>
      <c r="D4191" s="7">
        <v>2734692.88</v>
      </c>
      <c r="E4191" s="7">
        <v>475.77</v>
      </c>
      <c r="F4191" s="7">
        <v>41990.01</v>
      </c>
      <c r="G4191" s="7">
        <v>83956</v>
      </c>
      <c r="H4191" s="7">
        <f t="shared" si="112"/>
        <v>41940.01</v>
      </c>
      <c r="I4191" s="15"/>
    </row>
    <row r="4192" spans="1:9" s="8" customFormat="1" ht="21" customHeight="1" x14ac:dyDescent="0.6">
      <c r="A4192" s="7">
        <v>24.716501000000001</v>
      </c>
      <c r="B4192" s="7">
        <v>34.755520199999999</v>
      </c>
      <c r="C4192" s="7">
        <v>677571.54</v>
      </c>
      <c r="D4192" s="7">
        <v>2734694.6</v>
      </c>
      <c r="E4192" s="7">
        <v>475.83</v>
      </c>
      <c r="F4192" s="7">
        <v>42017.32</v>
      </c>
      <c r="G4192" s="7">
        <v>83958</v>
      </c>
      <c r="H4192" s="7">
        <f t="shared" si="112"/>
        <v>41967.32</v>
      </c>
      <c r="I4192" s="15"/>
    </row>
    <row r="4193" spans="1:9" s="8" customFormat="1" ht="21" customHeight="1" x14ac:dyDescent="0.6">
      <c r="A4193" s="7">
        <v>24.716518900000001</v>
      </c>
      <c r="B4193" s="7">
        <v>34.755499800000003</v>
      </c>
      <c r="C4193" s="7">
        <v>677569.46</v>
      </c>
      <c r="D4193" s="7">
        <v>2734696.56</v>
      </c>
      <c r="E4193" s="7">
        <v>475.79</v>
      </c>
      <c r="F4193" s="7">
        <v>41997.79</v>
      </c>
      <c r="G4193" s="7">
        <v>84000</v>
      </c>
      <c r="H4193" s="7">
        <f t="shared" si="112"/>
        <v>41947.79</v>
      </c>
      <c r="I4193" s="15"/>
    </row>
    <row r="4194" spans="1:9" s="8" customFormat="1" ht="21" customHeight="1" x14ac:dyDescent="0.6">
      <c r="A4194" s="7">
        <v>24.7165389</v>
      </c>
      <c r="B4194" s="7">
        <v>34.755484600000003</v>
      </c>
      <c r="C4194" s="7">
        <v>677567.89</v>
      </c>
      <c r="D4194" s="7">
        <v>2734698.76</v>
      </c>
      <c r="E4194" s="7">
        <v>475.7</v>
      </c>
      <c r="F4194" s="7">
        <v>41939.370000000003</v>
      </c>
      <c r="G4194" s="7">
        <v>84002</v>
      </c>
      <c r="H4194" s="7">
        <f t="shared" si="112"/>
        <v>41889.370000000003</v>
      </c>
      <c r="I4194" s="15"/>
    </row>
    <row r="4195" spans="1:9" s="8" customFormat="1" ht="21" customHeight="1" x14ac:dyDescent="0.6">
      <c r="A4195" s="7">
        <v>24.7165556</v>
      </c>
      <c r="B4195" s="7">
        <v>34.755472500000003</v>
      </c>
      <c r="C4195" s="7">
        <v>677566.65</v>
      </c>
      <c r="D4195" s="7">
        <v>2734700.59</v>
      </c>
      <c r="E4195" s="7">
        <v>475.57</v>
      </c>
      <c r="F4195" s="7">
        <v>41912.879999999997</v>
      </c>
      <c r="G4195" s="7">
        <v>84004</v>
      </c>
      <c r="H4195" s="7">
        <f t="shared" si="112"/>
        <v>41862.879999999997</v>
      </c>
      <c r="I4195" s="15"/>
    </row>
    <row r="4196" spans="1:9" s="8" customFormat="1" ht="21" customHeight="1" x14ac:dyDescent="0.6">
      <c r="A4196" s="7">
        <v>24.716577399999998</v>
      </c>
      <c r="B4196" s="7">
        <v>34.755454100000001</v>
      </c>
      <c r="C4196" s="7">
        <v>677564.75</v>
      </c>
      <c r="D4196" s="7">
        <v>2734702.98</v>
      </c>
      <c r="E4196" s="7">
        <v>475.56</v>
      </c>
      <c r="F4196" s="7">
        <v>41923.160000000003</v>
      </c>
      <c r="G4196" s="7">
        <v>84006</v>
      </c>
      <c r="H4196" s="7">
        <f t="shared" si="112"/>
        <v>41873.160000000003</v>
      </c>
      <c r="I4196" s="15"/>
    </row>
    <row r="4197" spans="1:9" s="8" customFormat="1" ht="21" customHeight="1" x14ac:dyDescent="0.6">
      <c r="A4197" s="7">
        <v>24.716597100000001</v>
      </c>
      <c r="B4197" s="7">
        <v>34.755440700000001</v>
      </c>
      <c r="C4197" s="7">
        <v>677563.36</v>
      </c>
      <c r="D4197" s="7">
        <v>2734705.14</v>
      </c>
      <c r="E4197" s="7">
        <v>475.81</v>
      </c>
      <c r="F4197" s="7">
        <v>41967.93</v>
      </c>
      <c r="G4197" s="7">
        <v>84008</v>
      </c>
      <c r="H4197" s="7">
        <f t="shared" si="112"/>
        <v>41917.93</v>
      </c>
      <c r="I4197" s="15"/>
    </row>
    <row r="4198" spans="1:9" s="8" customFormat="1" ht="21" customHeight="1" x14ac:dyDescent="0.6">
      <c r="A4198" s="7">
        <v>24.716612699999999</v>
      </c>
      <c r="B4198" s="7">
        <v>34.755429599999999</v>
      </c>
      <c r="C4198" s="7">
        <v>677562.23</v>
      </c>
      <c r="D4198" s="7">
        <v>2734706.86</v>
      </c>
      <c r="E4198" s="7">
        <v>475.62</v>
      </c>
      <c r="F4198" s="7">
        <v>41991.65</v>
      </c>
      <c r="G4198" s="7">
        <v>84010</v>
      </c>
      <c r="H4198" s="7">
        <f t="shared" si="112"/>
        <v>41941.65</v>
      </c>
      <c r="I4198" s="15"/>
    </row>
    <row r="4199" spans="1:9" s="8" customFormat="1" ht="21" customHeight="1" x14ac:dyDescent="0.6">
      <c r="A4199" s="7">
        <v>24.716632000000001</v>
      </c>
      <c r="B4199" s="7">
        <v>34.755437299999997</v>
      </c>
      <c r="C4199" s="7">
        <v>677562.97</v>
      </c>
      <c r="D4199" s="7">
        <v>2734709.01</v>
      </c>
      <c r="E4199" s="7">
        <v>475.65</v>
      </c>
      <c r="F4199" s="7">
        <v>42071.99</v>
      </c>
      <c r="G4199" s="7">
        <v>84012</v>
      </c>
      <c r="H4199" s="7">
        <f t="shared" si="112"/>
        <v>42021.99</v>
      </c>
      <c r="I4199" s="15"/>
    </row>
    <row r="4200" spans="1:9" s="8" customFormat="1" ht="21" customHeight="1" x14ac:dyDescent="0.6">
      <c r="A4200" s="7">
        <v>24.716647099999999</v>
      </c>
      <c r="B4200" s="7">
        <v>34.755460399999997</v>
      </c>
      <c r="C4200" s="7">
        <v>677565.29</v>
      </c>
      <c r="D4200" s="7">
        <v>2734710.71</v>
      </c>
      <c r="E4200" s="7">
        <v>475.56</v>
      </c>
      <c r="F4200" s="7">
        <v>42056.61</v>
      </c>
      <c r="G4200" s="7">
        <v>84014</v>
      </c>
      <c r="H4200" s="7">
        <f t="shared" si="112"/>
        <v>42006.61</v>
      </c>
      <c r="I4200" s="15"/>
    </row>
    <row r="4201" spans="1:9" s="8" customFormat="1" ht="21" customHeight="1" x14ac:dyDescent="0.6">
      <c r="A4201" s="7">
        <v>24.716661800000001</v>
      </c>
      <c r="B4201" s="7">
        <v>34.755483699999999</v>
      </c>
      <c r="C4201" s="7">
        <v>677567.63</v>
      </c>
      <c r="D4201" s="7">
        <v>2734712.37</v>
      </c>
      <c r="E4201" s="7">
        <v>475.45</v>
      </c>
      <c r="F4201" s="7">
        <v>41949.77</v>
      </c>
      <c r="G4201" s="7">
        <v>84016</v>
      </c>
      <c r="H4201" s="7">
        <f t="shared" si="112"/>
        <v>41899.769999999997</v>
      </c>
      <c r="I4201" s="15"/>
    </row>
    <row r="4202" spans="1:9" s="8" customFormat="1" ht="21" customHeight="1" x14ac:dyDescent="0.6">
      <c r="A4202" s="7">
        <v>24.716676400000001</v>
      </c>
      <c r="B4202" s="7">
        <v>34.755508300000002</v>
      </c>
      <c r="C4202" s="7">
        <v>677570.09</v>
      </c>
      <c r="D4202" s="7">
        <v>2734714.01</v>
      </c>
      <c r="E4202" s="7">
        <v>475.29</v>
      </c>
      <c r="F4202" s="7">
        <v>41832.870000000003</v>
      </c>
      <c r="G4202" s="7">
        <v>84018</v>
      </c>
      <c r="H4202" s="7">
        <f t="shared" si="112"/>
        <v>41782.870000000003</v>
      </c>
      <c r="I4202" s="15"/>
    </row>
    <row r="4203" spans="1:9" s="8" customFormat="1" ht="21" customHeight="1" x14ac:dyDescent="0.6">
      <c r="A4203" s="7">
        <v>24.716689200000001</v>
      </c>
      <c r="B4203" s="7">
        <v>34.755533</v>
      </c>
      <c r="C4203" s="7">
        <v>677572.58</v>
      </c>
      <c r="D4203" s="7">
        <v>2734715.46</v>
      </c>
      <c r="E4203" s="7">
        <v>475.13</v>
      </c>
      <c r="F4203" s="7">
        <v>41787.4</v>
      </c>
      <c r="G4203" s="7">
        <v>84020</v>
      </c>
      <c r="H4203" s="7">
        <f t="shared" si="112"/>
        <v>41737.4</v>
      </c>
      <c r="I4203" s="15"/>
    </row>
    <row r="4204" spans="1:9" s="8" customFormat="1" ht="21" customHeight="1" x14ac:dyDescent="0.6">
      <c r="A4204" s="7">
        <v>24.716701100000002</v>
      </c>
      <c r="B4204" s="7">
        <v>34.755557500000002</v>
      </c>
      <c r="C4204" s="7">
        <v>677575.03</v>
      </c>
      <c r="D4204" s="7">
        <v>2734716.82</v>
      </c>
      <c r="E4204" s="7">
        <v>474.95</v>
      </c>
      <c r="F4204" s="7">
        <v>41777.910000000003</v>
      </c>
      <c r="G4204" s="7">
        <v>84022</v>
      </c>
      <c r="H4204" s="7">
        <f t="shared" si="112"/>
        <v>41727.910000000003</v>
      </c>
      <c r="I4204" s="15"/>
    </row>
    <row r="4205" spans="1:9" s="8" customFormat="1" ht="21" customHeight="1" x14ac:dyDescent="0.6">
      <c r="A4205" s="7">
        <v>24.716712999999999</v>
      </c>
      <c r="B4205" s="7">
        <v>34.755582400000002</v>
      </c>
      <c r="C4205" s="7">
        <v>677577.54</v>
      </c>
      <c r="D4205" s="7">
        <v>2734718.17</v>
      </c>
      <c r="E4205" s="7">
        <v>474.82</v>
      </c>
      <c r="F4205" s="7">
        <v>41794.239999999998</v>
      </c>
      <c r="G4205" s="7">
        <v>84024</v>
      </c>
      <c r="H4205" s="7">
        <f t="shared" si="112"/>
        <v>41744.239999999998</v>
      </c>
      <c r="I4205" s="15"/>
    </row>
    <row r="4206" spans="1:9" s="8" customFormat="1" ht="21" customHeight="1" x14ac:dyDescent="0.6">
      <c r="A4206" s="7">
        <v>24.716723999999999</v>
      </c>
      <c r="B4206" s="7">
        <v>34.755607099999999</v>
      </c>
      <c r="C4206" s="7">
        <v>677580.02</v>
      </c>
      <c r="D4206" s="7">
        <v>2734719.42</v>
      </c>
      <c r="E4206" s="7">
        <v>474.73</v>
      </c>
      <c r="F4206" s="7">
        <v>41857.74</v>
      </c>
      <c r="G4206" s="7">
        <v>84026</v>
      </c>
      <c r="H4206" s="7">
        <f t="shared" si="112"/>
        <v>41807.74</v>
      </c>
      <c r="I4206" s="15"/>
    </row>
    <row r="4207" spans="1:9" s="8" customFormat="1" ht="21" customHeight="1" x14ac:dyDescent="0.6">
      <c r="A4207" s="7">
        <v>24.716733600000001</v>
      </c>
      <c r="B4207" s="7">
        <v>34.755632400000003</v>
      </c>
      <c r="C4207" s="7">
        <v>677582.57</v>
      </c>
      <c r="D4207" s="7">
        <v>2734720.51</v>
      </c>
      <c r="E4207" s="7">
        <v>474.5</v>
      </c>
      <c r="F4207" s="7">
        <v>42057.7</v>
      </c>
      <c r="G4207" s="7">
        <v>84028</v>
      </c>
      <c r="H4207" s="7">
        <f t="shared" si="112"/>
        <v>42007.7</v>
      </c>
      <c r="I4207" s="15"/>
    </row>
    <row r="4208" spans="1:9" s="8" customFormat="1" ht="21" customHeight="1" x14ac:dyDescent="0.6">
      <c r="A4208" s="7">
        <v>24.7167393</v>
      </c>
      <c r="B4208" s="7">
        <v>34.755650099999997</v>
      </c>
      <c r="C4208" s="7">
        <v>677584.35</v>
      </c>
      <c r="D4208" s="7">
        <v>2734721.16</v>
      </c>
      <c r="E4208" s="7">
        <v>474.39</v>
      </c>
      <c r="F4208" s="7">
        <v>42302.77</v>
      </c>
      <c r="G4208" s="7">
        <v>84030</v>
      </c>
      <c r="H4208" s="7">
        <f t="shared" si="112"/>
        <v>42252.77</v>
      </c>
      <c r="I4208" s="15"/>
    </row>
    <row r="4209" spans="1:9" s="8" customFormat="1" ht="21" customHeight="1" x14ac:dyDescent="0.6">
      <c r="A4209" s="7">
        <v>24.716744299999998</v>
      </c>
      <c r="B4209" s="7">
        <v>34.755662999999998</v>
      </c>
      <c r="C4209" s="7">
        <v>677585.65</v>
      </c>
      <c r="D4209" s="7">
        <v>2734721.74</v>
      </c>
      <c r="E4209" s="7">
        <v>474.43</v>
      </c>
      <c r="F4209" s="7">
        <v>42343.68</v>
      </c>
      <c r="G4209" s="7">
        <v>84032</v>
      </c>
      <c r="H4209" s="7">
        <f t="shared" si="112"/>
        <v>42293.68</v>
      </c>
      <c r="I4209" s="15"/>
    </row>
    <row r="4210" spans="1:9" s="8" customFormat="1" ht="21" customHeight="1" x14ac:dyDescent="0.6">
      <c r="A4210" s="7">
        <v>24.7167526</v>
      </c>
      <c r="B4210" s="7">
        <v>34.755682299999997</v>
      </c>
      <c r="C4210" s="7">
        <v>677587.59</v>
      </c>
      <c r="D4210" s="7">
        <v>2734722.68</v>
      </c>
      <c r="E4210" s="7">
        <v>474.33</v>
      </c>
      <c r="F4210" s="7">
        <v>42327.15</v>
      </c>
      <c r="G4210" s="7">
        <v>84034</v>
      </c>
      <c r="H4210" s="7">
        <f t="shared" si="112"/>
        <v>42277.15</v>
      </c>
      <c r="I4210" s="15"/>
    </row>
    <row r="4211" spans="1:9" s="8" customFormat="1" ht="21" customHeight="1" x14ac:dyDescent="0.6">
      <c r="A4211" s="7">
        <v>24.716762899999999</v>
      </c>
      <c r="B4211" s="7">
        <v>34.755708800000001</v>
      </c>
      <c r="C4211" s="7">
        <v>677590.25</v>
      </c>
      <c r="D4211" s="7">
        <v>2734723.85</v>
      </c>
      <c r="E4211" s="7">
        <v>474.31</v>
      </c>
      <c r="F4211" s="7">
        <v>42264.28</v>
      </c>
      <c r="G4211" s="7">
        <v>84036</v>
      </c>
      <c r="H4211" s="7">
        <f t="shared" si="112"/>
        <v>42214.28</v>
      </c>
      <c r="I4211" s="15"/>
    </row>
    <row r="4212" spans="1:9" s="8" customFormat="1" ht="21" customHeight="1" x14ac:dyDescent="0.6">
      <c r="A4212" s="7">
        <v>24.7167724</v>
      </c>
      <c r="B4212" s="7">
        <v>34.7557355</v>
      </c>
      <c r="C4212" s="7">
        <v>677592.94</v>
      </c>
      <c r="D4212" s="7">
        <v>2734724.94</v>
      </c>
      <c r="E4212" s="7">
        <v>474.28</v>
      </c>
      <c r="F4212" s="7">
        <v>42237.38</v>
      </c>
      <c r="G4212" s="7">
        <v>84038</v>
      </c>
      <c r="H4212" s="7">
        <f t="shared" si="112"/>
        <v>42187.38</v>
      </c>
      <c r="I4212" s="15"/>
    </row>
    <row r="4213" spans="1:9" s="8" customFormat="1" ht="21" customHeight="1" x14ac:dyDescent="0.6">
      <c r="A4213" s="7">
        <v>24.716783400000001</v>
      </c>
      <c r="B4213" s="7">
        <v>34.755761800000002</v>
      </c>
      <c r="C4213" s="7">
        <v>677595.59</v>
      </c>
      <c r="D4213" s="7">
        <v>2734726.2</v>
      </c>
      <c r="E4213" s="7">
        <v>474.18</v>
      </c>
      <c r="F4213" s="7">
        <v>42238.1</v>
      </c>
      <c r="G4213" s="7">
        <v>84040</v>
      </c>
      <c r="H4213" s="7">
        <f t="shared" si="112"/>
        <v>42188.1</v>
      </c>
      <c r="I4213" s="15"/>
    </row>
    <row r="4214" spans="1:9" s="8" customFormat="1" ht="21" customHeight="1" x14ac:dyDescent="0.6">
      <c r="A4214" s="7">
        <v>24.716796299999999</v>
      </c>
      <c r="B4214" s="7">
        <v>34.755788299999999</v>
      </c>
      <c r="C4214" s="7">
        <v>677598.25</v>
      </c>
      <c r="D4214" s="7">
        <v>2734727.65</v>
      </c>
      <c r="E4214" s="7">
        <v>474.09</v>
      </c>
      <c r="F4214" s="7">
        <v>42188.75</v>
      </c>
      <c r="G4214" s="7">
        <v>84042</v>
      </c>
      <c r="H4214" s="7">
        <f t="shared" si="112"/>
        <v>42138.75</v>
      </c>
      <c r="I4214" s="15"/>
    </row>
    <row r="4215" spans="1:9" s="8" customFormat="1" ht="21" customHeight="1" x14ac:dyDescent="0.6">
      <c r="A4215" s="7">
        <v>24.716811</v>
      </c>
      <c r="B4215" s="7">
        <v>34.755811999999999</v>
      </c>
      <c r="C4215" s="7">
        <v>677600.63</v>
      </c>
      <c r="D4215" s="7">
        <v>2734729.31</v>
      </c>
      <c r="E4215" s="7">
        <v>474.02</v>
      </c>
      <c r="F4215" s="7">
        <v>42077.94</v>
      </c>
      <c r="G4215" s="7">
        <v>84044</v>
      </c>
      <c r="H4215" s="7">
        <f t="shared" si="112"/>
        <v>42027.94</v>
      </c>
      <c r="I4215" s="15"/>
    </row>
    <row r="4216" spans="1:9" s="8" customFormat="1" ht="21" customHeight="1" x14ac:dyDescent="0.6">
      <c r="A4216" s="7">
        <v>24.716823300000001</v>
      </c>
      <c r="B4216" s="7">
        <v>34.755838900000001</v>
      </c>
      <c r="C4216" s="7">
        <v>677603.33</v>
      </c>
      <c r="D4216" s="7">
        <v>2734730.72</v>
      </c>
      <c r="E4216" s="7">
        <v>474.21</v>
      </c>
      <c r="F4216" s="7">
        <v>41961.39</v>
      </c>
      <c r="G4216" s="7">
        <v>84046</v>
      </c>
      <c r="H4216" s="7">
        <f t="shared" si="112"/>
        <v>41911.39</v>
      </c>
      <c r="I4216" s="15"/>
    </row>
    <row r="4217" spans="1:9" s="8" customFormat="1" ht="21" customHeight="1" x14ac:dyDescent="0.6">
      <c r="A4217" s="7">
        <v>24.716831599999999</v>
      </c>
      <c r="B4217" s="7">
        <v>34.755863300000001</v>
      </c>
      <c r="C4217" s="7">
        <v>677605.79</v>
      </c>
      <c r="D4217" s="7">
        <v>2734731.67</v>
      </c>
      <c r="E4217" s="7">
        <v>473.94</v>
      </c>
      <c r="F4217" s="7">
        <v>41900.29</v>
      </c>
      <c r="G4217" s="7">
        <v>84048</v>
      </c>
      <c r="H4217" s="7">
        <f t="shared" si="112"/>
        <v>41850.29</v>
      </c>
      <c r="I4217" s="15"/>
    </row>
    <row r="4218" spans="1:9" s="8" customFormat="1" ht="21" customHeight="1" x14ac:dyDescent="0.6">
      <c r="A4218" s="7">
        <v>24.7168408</v>
      </c>
      <c r="B4218" s="7">
        <v>34.755891300000002</v>
      </c>
      <c r="C4218" s="7">
        <v>677608.61</v>
      </c>
      <c r="D4218" s="7">
        <v>2734732.72</v>
      </c>
      <c r="E4218" s="7">
        <v>473.88</v>
      </c>
      <c r="F4218" s="7">
        <v>41853.97</v>
      </c>
      <c r="G4218" s="7">
        <v>84050</v>
      </c>
      <c r="H4218" s="7">
        <f t="shared" si="112"/>
        <v>41803.97</v>
      </c>
      <c r="I4218" s="15"/>
    </row>
    <row r="4219" spans="1:9" s="8" customFormat="1" ht="21" customHeight="1" x14ac:dyDescent="0.6">
      <c r="A4219" s="7">
        <v>24.716851200000001</v>
      </c>
      <c r="B4219" s="7">
        <v>34.755918100000002</v>
      </c>
      <c r="C4219" s="7">
        <v>677611.31</v>
      </c>
      <c r="D4219" s="7">
        <v>2734733.91</v>
      </c>
      <c r="E4219" s="7">
        <v>473.74</v>
      </c>
      <c r="F4219" s="7">
        <v>41874.769999999997</v>
      </c>
      <c r="G4219" s="7">
        <v>84052</v>
      </c>
      <c r="H4219" s="7">
        <f t="shared" si="112"/>
        <v>41824.769999999997</v>
      </c>
      <c r="I4219" s="15"/>
    </row>
    <row r="4220" spans="1:9" s="8" customFormat="1" ht="21" customHeight="1" x14ac:dyDescent="0.6">
      <c r="A4220" s="7">
        <v>24.7168612</v>
      </c>
      <c r="B4220" s="7">
        <v>34.755944900000003</v>
      </c>
      <c r="C4220" s="7">
        <v>677614</v>
      </c>
      <c r="D4220" s="7">
        <v>2734735.05</v>
      </c>
      <c r="E4220" s="7">
        <v>473.44</v>
      </c>
      <c r="F4220" s="7">
        <v>41953.02</v>
      </c>
      <c r="G4220" s="7">
        <v>84054</v>
      </c>
      <c r="H4220" s="7">
        <f t="shared" si="112"/>
        <v>41903.019999999997</v>
      </c>
      <c r="I4220" s="15"/>
    </row>
    <row r="4221" spans="1:9" s="8" customFormat="1" ht="21" customHeight="1" x14ac:dyDescent="0.6">
      <c r="A4221" s="7">
        <v>24.71687</v>
      </c>
      <c r="B4221" s="7">
        <v>34.755974100000003</v>
      </c>
      <c r="C4221" s="7">
        <v>677616.94</v>
      </c>
      <c r="D4221" s="7">
        <v>2734736.06</v>
      </c>
      <c r="E4221" s="7">
        <v>473.3</v>
      </c>
      <c r="F4221" s="7">
        <v>41919.06</v>
      </c>
      <c r="G4221" s="7">
        <v>84056</v>
      </c>
      <c r="H4221" s="7">
        <f t="shared" si="112"/>
        <v>41869.06</v>
      </c>
      <c r="I4221" s="15"/>
    </row>
    <row r="4222" spans="1:9" s="8" customFormat="1" ht="21" customHeight="1" x14ac:dyDescent="0.6">
      <c r="A4222" s="7">
        <v>24.716876800000001</v>
      </c>
      <c r="B4222" s="7">
        <v>34.756000899999997</v>
      </c>
      <c r="C4222" s="7">
        <v>677619.65</v>
      </c>
      <c r="D4222" s="7">
        <v>2734736.85</v>
      </c>
      <c r="E4222" s="7">
        <v>473.14</v>
      </c>
      <c r="F4222" s="7">
        <v>41434.28</v>
      </c>
      <c r="G4222" s="7">
        <v>84058</v>
      </c>
      <c r="H4222" s="7">
        <f t="shared" si="112"/>
        <v>41384.28</v>
      </c>
      <c r="I4222" s="15"/>
    </row>
    <row r="4223" spans="1:9" s="8" customFormat="1" ht="21" customHeight="1" x14ac:dyDescent="0.6">
      <c r="A4223" s="7">
        <v>24.716881900000001</v>
      </c>
      <c r="B4223" s="7">
        <v>34.756028899999997</v>
      </c>
      <c r="C4223" s="7">
        <v>677622.47</v>
      </c>
      <c r="D4223" s="7">
        <v>2734737.45</v>
      </c>
      <c r="E4223" s="7">
        <v>472.99</v>
      </c>
      <c r="F4223" s="7">
        <v>41150.44</v>
      </c>
      <c r="G4223" s="7">
        <v>84100</v>
      </c>
      <c r="H4223" s="7">
        <f t="shared" si="112"/>
        <v>41100.44</v>
      </c>
      <c r="I4223" s="15"/>
    </row>
    <row r="4224" spans="1:9" s="8" customFormat="1" ht="21" customHeight="1" x14ac:dyDescent="0.6">
      <c r="A4224" s="7">
        <v>24.716893500000001</v>
      </c>
      <c r="B4224" s="7">
        <v>34.756055500000002</v>
      </c>
      <c r="C4224" s="7">
        <v>677625.15</v>
      </c>
      <c r="D4224" s="7">
        <v>2734738.77</v>
      </c>
      <c r="E4224" s="7">
        <v>472.86</v>
      </c>
      <c r="F4224" s="7">
        <v>41155.660000000003</v>
      </c>
      <c r="G4224" s="7">
        <v>84102</v>
      </c>
      <c r="H4224" s="7">
        <f t="shared" si="112"/>
        <v>41105.660000000003</v>
      </c>
      <c r="I4224" s="15"/>
    </row>
    <row r="4225" spans="1:9" s="8" customFormat="1" ht="21" customHeight="1" x14ac:dyDescent="0.6">
      <c r="A4225" s="7">
        <v>24.7169077</v>
      </c>
      <c r="B4225" s="7">
        <v>34.756081600000002</v>
      </c>
      <c r="C4225" s="7">
        <v>677627.77</v>
      </c>
      <c r="D4225" s="7">
        <v>2734740.37</v>
      </c>
      <c r="E4225" s="7">
        <v>472.57</v>
      </c>
      <c r="F4225" s="7">
        <v>41399.31</v>
      </c>
      <c r="G4225" s="7">
        <v>84104</v>
      </c>
      <c r="H4225" s="7">
        <f t="shared" si="112"/>
        <v>41349.31</v>
      </c>
      <c r="I4225" s="15"/>
    </row>
    <row r="4226" spans="1:9" s="8" customFormat="1" ht="21" customHeight="1" x14ac:dyDescent="0.6">
      <c r="A4226" s="7">
        <v>24.716919999999998</v>
      </c>
      <c r="B4226" s="7">
        <v>34.756108099999999</v>
      </c>
      <c r="C4226" s="7">
        <v>677630.43</v>
      </c>
      <c r="D4226" s="7">
        <v>2734741.78</v>
      </c>
      <c r="E4226" s="7">
        <v>472.45</v>
      </c>
      <c r="F4226" s="7">
        <v>41224.839999999997</v>
      </c>
      <c r="G4226" s="7">
        <v>84106</v>
      </c>
      <c r="H4226" s="7">
        <f t="shared" si="112"/>
        <v>41174.839999999997</v>
      </c>
      <c r="I4226" s="15"/>
    </row>
    <row r="4227" spans="1:9" s="8" customFormat="1" ht="21" customHeight="1" x14ac:dyDescent="0.6">
      <c r="A4227" s="7">
        <v>24.716937000000001</v>
      </c>
      <c r="B4227" s="7">
        <v>34.756129999999999</v>
      </c>
      <c r="C4227" s="7">
        <v>677632.62</v>
      </c>
      <c r="D4227" s="7">
        <v>2734743.68</v>
      </c>
      <c r="E4227" s="7">
        <v>472.34</v>
      </c>
      <c r="F4227" s="7">
        <v>41005.449999999997</v>
      </c>
      <c r="G4227" s="7">
        <v>84108</v>
      </c>
      <c r="H4227" s="7">
        <f t="shared" si="112"/>
        <v>40955.449999999997</v>
      </c>
      <c r="I4227" s="15"/>
    </row>
    <row r="4228" spans="1:9" s="8" customFormat="1" ht="21" customHeight="1" x14ac:dyDescent="0.6">
      <c r="A4228" s="7">
        <v>24.716958000000002</v>
      </c>
      <c r="B4228" s="7">
        <v>34.756149399999998</v>
      </c>
      <c r="C4228" s="7">
        <v>677634.55</v>
      </c>
      <c r="D4228" s="7">
        <v>2734746.04</v>
      </c>
      <c r="E4228" s="7">
        <v>472.2</v>
      </c>
      <c r="F4228" s="7">
        <v>40870.26</v>
      </c>
      <c r="G4228" s="7">
        <v>84110</v>
      </c>
      <c r="H4228" s="7">
        <f t="shared" si="112"/>
        <v>40820.26</v>
      </c>
      <c r="I4228" s="15"/>
    </row>
    <row r="4229" spans="1:9" s="8" customFormat="1" ht="21" customHeight="1" x14ac:dyDescent="0.6">
      <c r="A4229" s="7">
        <v>24.716980499999998</v>
      </c>
      <c r="B4229" s="7">
        <v>34.756166399999998</v>
      </c>
      <c r="C4229" s="7">
        <v>677636.25</v>
      </c>
      <c r="D4229" s="7">
        <v>2734748.55</v>
      </c>
      <c r="E4229" s="7">
        <v>472.07</v>
      </c>
      <c r="F4229" s="7">
        <v>40797.24</v>
      </c>
      <c r="G4229" s="7">
        <v>84112</v>
      </c>
      <c r="H4229" s="7">
        <f t="shared" si="112"/>
        <v>40747.24</v>
      </c>
      <c r="I4229" s="15"/>
    </row>
    <row r="4230" spans="1:9" s="8" customFormat="1" ht="21" customHeight="1" x14ac:dyDescent="0.6">
      <c r="A4230" s="7">
        <v>24.717003699999999</v>
      </c>
      <c r="B4230" s="7">
        <v>34.756179600000003</v>
      </c>
      <c r="C4230" s="7">
        <v>677637.55</v>
      </c>
      <c r="D4230" s="7">
        <v>2734751.14</v>
      </c>
      <c r="E4230" s="7">
        <v>471.96</v>
      </c>
      <c r="F4230" s="7">
        <v>40762.06</v>
      </c>
      <c r="G4230" s="7">
        <v>84114</v>
      </c>
      <c r="H4230" s="7">
        <f t="shared" si="112"/>
        <v>40712.06</v>
      </c>
      <c r="I4230" s="15"/>
    </row>
    <row r="4231" spans="1:9" s="8" customFormat="1" ht="21" customHeight="1" x14ac:dyDescent="0.6">
      <c r="A4231" s="7">
        <v>24.717028800000001</v>
      </c>
      <c r="B4231" s="7">
        <v>34.756189999999997</v>
      </c>
      <c r="C4231" s="7">
        <v>677638.56</v>
      </c>
      <c r="D4231" s="7">
        <v>2734753.93</v>
      </c>
      <c r="E4231" s="7">
        <v>471.86</v>
      </c>
      <c r="F4231" s="7">
        <v>40721.440000000002</v>
      </c>
      <c r="G4231" s="7">
        <v>84116</v>
      </c>
      <c r="H4231" s="7">
        <f t="shared" si="112"/>
        <v>40671.440000000002</v>
      </c>
      <c r="I4231" s="15"/>
    </row>
    <row r="4232" spans="1:9" s="8" customFormat="1" ht="21" customHeight="1" x14ac:dyDescent="0.6">
      <c r="A4232" s="7">
        <v>24.7170545</v>
      </c>
      <c r="B4232" s="7">
        <v>34.756199100000003</v>
      </c>
      <c r="C4232" s="7">
        <v>677639.45</v>
      </c>
      <c r="D4232" s="7">
        <v>2734756.79</v>
      </c>
      <c r="E4232" s="7">
        <v>471.72</v>
      </c>
      <c r="F4232" s="7">
        <v>40590.01</v>
      </c>
      <c r="G4232" s="7">
        <v>84118</v>
      </c>
      <c r="H4232" s="7">
        <f t="shared" si="112"/>
        <v>40540.01</v>
      </c>
      <c r="I4232" s="15"/>
    </row>
    <row r="4233" spans="1:9" s="8" customFormat="1" ht="21" customHeight="1" x14ac:dyDescent="0.6">
      <c r="A4233" s="7">
        <v>24.717079699999999</v>
      </c>
      <c r="B4233" s="7">
        <v>34.7562116</v>
      </c>
      <c r="C4233" s="7">
        <v>677640.68</v>
      </c>
      <c r="D4233" s="7">
        <v>2734759.6</v>
      </c>
      <c r="E4233" s="7">
        <v>471.61</v>
      </c>
      <c r="F4233" s="7">
        <v>40326.94</v>
      </c>
      <c r="G4233" s="7">
        <v>84120</v>
      </c>
      <c r="H4233" s="7">
        <f t="shared" si="112"/>
        <v>40276.94</v>
      </c>
      <c r="I4233" s="15"/>
    </row>
    <row r="4234" spans="1:9" s="8" customFormat="1" ht="21" customHeight="1" x14ac:dyDescent="0.6">
      <c r="A4234" s="7">
        <v>24.717103300000002</v>
      </c>
      <c r="B4234" s="7">
        <v>34.7562262</v>
      </c>
      <c r="C4234" s="7">
        <v>677642.12</v>
      </c>
      <c r="D4234" s="7">
        <v>2734762.23</v>
      </c>
      <c r="E4234" s="7">
        <v>471.49</v>
      </c>
      <c r="F4234" s="7">
        <v>40069.339999999997</v>
      </c>
      <c r="G4234" s="7">
        <v>84122</v>
      </c>
      <c r="H4234" s="7">
        <f t="shared" si="112"/>
        <v>40019.339999999997</v>
      </c>
      <c r="I4234" s="15"/>
    </row>
    <row r="4235" spans="1:9" s="8" customFormat="1" ht="21" customHeight="1" x14ac:dyDescent="0.6">
      <c r="A4235" s="7">
        <v>24.7171269</v>
      </c>
      <c r="B4235" s="7">
        <v>34.756241000000003</v>
      </c>
      <c r="C4235" s="7">
        <v>677643.58</v>
      </c>
      <c r="D4235" s="7">
        <v>2734764.87</v>
      </c>
      <c r="E4235" s="7">
        <v>471.32</v>
      </c>
      <c r="F4235" s="7">
        <v>40044.03</v>
      </c>
      <c r="G4235" s="7">
        <v>84124</v>
      </c>
      <c r="H4235" s="7">
        <f t="shared" si="112"/>
        <v>39994.03</v>
      </c>
      <c r="I4235" s="15"/>
    </row>
    <row r="4236" spans="1:9" s="8" customFormat="1" ht="21" customHeight="1" x14ac:dyDescent="0.6">
      <c r="A4236" s="7">
        <v>24.717149899999999</v>
      </c>
      <c r="B4236" s="7">
        <v>34.756255500000002</v>
      </c>
      <c r="C4236" s="7">
        <v>677645.02</v>
      </c>
      <c r="D4236" s="7">
        <v>2734767.43</v>
      </c>
      <c r="E4236" s="7">
        <v>471.27</v>
      </c>
      <c r="F4236" s="7">
        <v>40290.51</v>
      </c>
      <c r="G4236" s="7">
        <v>84126</v>
      </c>
      <c r="H4236" s="7">
        <f t="shared" si="112"/>
        <v>40240.51</v>
      </c>
      <c r="I4236" s="15"/>
    </row>
    <row r="4237" spans="1:9" s="8" customFormat="1" ht="21" customHeight="1" x14ac:dyDescent="0.6">
      <c r="A4237" s="7">
        <v>24.717171700000002</v>
      </c>
      <c r="B4237" s="7">
        <v>34.7562736</v>
      </c>
      <c r="C4237" s="7">
        <v>677646.81</v>
      </c>
      <c r="D4237" s="7">
        <v>2734769.86</v>
      </c>
      <c r="E4237" s="7">
        <v>471.1</v>
      </c>
      <c r="F4237" s="7">
        <v>40589.24</v>
      </c>
      <c r="G4237" s="7">
        <v>84128</v>
      </c>
      <c r="H4237" s="7">
        <f t="shared" si="112"/>
        <v>40539.24</v>
      </c>
      <c r="I4237" s="15"/>
    </row>
    <row r="4238" spans="1:9" s="8" customFormat="1" ht="21" customHeight="1" x14ac:dyDescent="0.6">
      <c r="A4238" s="7">
        <v>24.717191799999998</v>
      </c>
      <c r="B4238" s="7">
        <v>34.756292100000003</v>
      </c>
      <c r="C4238" s="7">
        <v>677648.66</v>
      </c>
      <c r="D4238" s="7">
        <v>2734772.12</v>
      </c>
      <c r="E4238" s="7">
        <v>471.06</v>
      </c>
      <c r="F4238" s="7">
        <v>40811.449999999997</v>
      </c>
      <c r="G4238" s="7">
        <v>84130</v>
      </c>
      <c r="H4238" s="7">
        <f t="shared" si="112"/>
        <v>40761.449999999997</v>
      </c>
      <c r="I4238" s="15"/>
    </row>
    <row r="4239" spans="1:9" s="8" customFormat="1" ht="21" customHeight="1" x14ac:dyDescent="0.6">
      <c r="A4239" s="7">
        <v>24.7172132</v>
      </c>
      <c r="B4239" s="7">
        <v>34.756306100000003</v>
      </c>
      <c r="C4239" s="7">
        <v>677650.04</v>
      </c>
      <c r="D4239" s="7">
        <v>2734774.5</v>
      </c>
      <c r="E4239" s="7">
        <v>470.88</v>
      </c>
      <c r="F4239" s="7">
        <v>40951.589999999997</v>
      </c>
      <c r="G4239" s="7">
        <v>84132</v>
      </c>
      <c r="H4239" s="7">
        <f t="shared" si="112"/>
        <v>40901.589999999997</v>
      </c>
      <c r="I4239" s="15"/>
    </row>
    <row r="4240" spans="1:9" s="8" customFormat="1" ht="21" customHeight="1" x14ac:dyDescent="0.6">
      <c r="A4240" s="7">
        <v>24.717236799999998</v>
      </c>
      <c r="B4240" s="7">
        <v>34.756318700000001</v>
      </c>
      <c r="C4240" s="7">
        <v>677651.29</v>
      </c>
      <c r="D4240" s="7">
        <v>2734777.14</v>
      </c>
      <c r="E4240" s="7">
        <v>470.61</v>
      </c>
      <c r="F4240" s="7">
        <v>41075.56</v>
      </c>
      <c r="G4240" s="7">
        <v>84134</v>
      </c>
      <c r="H4240" s="7">
        <f t="shared" si="112"/>
        <v>41025.56</v>
      </c>
      <c r="I4240" s="15"/>
    </row>
    <row r="4241" spans="1:9" s="8" customFormat="1" ht="21" customHeight="1" x14ac:dyDescent="0.6">
      <c r="A4241" s="7">
        <v>24.7172625</v>
      </c>
      <c r="B4241" s="7">
        <v>34.7563283</v>
      </c>
      <c r="C4241" s="7">
        <v>677652.22</v>
      </c>
      <c r="D4241" s="7">
        <v>2734779.99</v>
      </c>
      <c r="E4241" s="7">
        <v>470.4</v>
      </c>
      <c r="F4241" s="7">
        <v>41179.99</v>
      </c>
      <c r="G4241" s="7">
        <v>84136</v>
      </c>
      <c r="H4241" s="7">
        <f t="shared" si="112"/>
        <v>41129.99</v>
      </c>
      <c r="I4241" s="15"/>
    </row>
    <row r="4242" spans="1:9" s="8" customFormat="1" ht="21" customHeight="1" x14ac:dyDescent="0.6">
      <c r="A4242" s="7">
        <v>24.717287599999999</v>
      </c>
      <c r="B4242" s="7">
        <v>34.756338</v>
      </c>
      <c r="C4242" s="7">
        <v>677653.17</v>
      </c>
      <c r="D4242" s="7">
        <v>2734782.79</v>
      </c>
      <c r="E4242" s="7">
        <v>470.16</v>
      </c>
      <c r="F4242" s="7">
        <v>41248.39</v>
      </c>
      <c r="G4242" s="7">
        <v>84138</v>
      </c>
      <c r="H4242" s="7">
        <f t="shared" si="112"/>
        <v>41198.39</v>
      </c>
      <c r="I4242" s="15"/>
    </row>
    <row r="4243" spans="1:9" s="8" customFormat="1" ht="21" customHeight="1" x14ac:dyDescent="0.6">
      <c r="A4243" s="7">
        <v>24.717314300000002</v>
      </c>
      <c r="B4243" s="7">
        <v>34.756339599999997</v>
      </c>
      <c r="C4243" s="7">
        <v>677653.29</v>
      </c>
      <c r="D4243" s="7">
        <v>2734785.74</v>
      </c>
      <c r="E4243" s="7">
        <v>469.97</v>
      </c>
      <c r="F4243" s="7">
        <v>41300.959999999999</v>
      </c>
      <c r="G4243" s="7">
        <v>84140</v>
      </c>
      <c r="H4243" s="7">
        <f t="shared" si="112"/>
        <v>41250.959999999999</v>
      </c>
      <c r="I4243" s="15"/>
    </row>
    <row r="4244" spans="1:9" s="8" customFormat="1" ht="21" customHeight="1" x14ac:dyDescent="0.6">
      <c r="A4244" s="7">
        <v>24.717340100000001</v>
      </c>
      <c r="B4244" s="7">
        <v>34.756340899999998</v>
      </c>
      <c r="C4244" s="7">
        <v>677653.38</v>
      </c>
      <c r="D4244" s="7">
        <v>2734788.6</v>
      </c>
      <c r="E4244" s="7">
        <v>469.99</v>
      </c>
      <c r="F4244" s="7">
        <v>41364.07</v>
      </c>
      <c r="G4244" s="7">
        <v>84142</v>
      </c>
      <c r="H4244" s="7">
        <f t="shared" ref="H4244:H4307" si="113">SUM(F4244-50)</f>
        <v>41314.07</v>
      </c>
      <c r="I4244" s="15"/>
    </row>
    <row r="4245" spans="1:9" s="8" customFormat="1" ht="21" customHeight="1" x14ac:dyDescent="0.6">
      <c r="A4245" s="7">
        <v>24.717366899999998</v>
      </c>
      <c r="B4245" s="7">
        <v>34.756348600000003</v>
      </c>
      <c r="C4245" s="7">
        <v>677654.13</v>
      </c>
      <c r="D4245" s="7">
        <v>2734791.58</v>
      </c>
      <c r="E4245" s="7">
        <v>469.97</v>
      </c>
      <c r="F4245" s="7">
        <v>41425.879999999997</v>
      </c>
      <c r="G4245" s="7">
        <v>84144</v>
      </c>
      <c r="H4245" s="7">
        <f t="shared" si="113"/>
        <v>41375.879999999997</v>
      </c>
      <c r="I4245" s="15"/>
    </row>
    <row r="4246" spans="1:9" s="8" customFormat="1" ht="21" customHeight="1" x14ac:dyDescent="0.6">
      <c r="A4246" s="7">
        <v>24.717393099999999</v>
      </c>
      <c r="B4246" s="7">
        <v>34.756354799999997</v>
      </c>
      <c r="C4246" s="7">
        <v>677654.71</v>
      </c>
      <c r="D4246" s="7">
        <v>2734794.49</v>
      </c>
      <c r="E4246" s="7">
        <v>470</v>
      </c>
      <c r="F4246" s="7">
        <v>41471.46</v>
      </c>
      <c r="G4246" s="7">
        <v>84146</v>
      </c>
      <c r="H4246" s="7">
        <f t="shared" si="113"/>
        <v>41421.46</v>
      </c>
      <c r="I4246" s="15"/>
    </row>
    <row r="4247" spans="1:9" s="8" customFormat="1" ht="21" customHeight="1" x14ac:dyDescent="0.6">
      <c r="A4247" s="7">
        <v>24.717418899999998</v>
      </c>
      <c r="B4247" s="7">
        <v>34.756359600000003</v>
      </c>
      <c r="C4247" s="7">
        <v>677655.16</v>
      </c>
      <c r="D4247" s="7">
        <v>2734797.36</v>
      </c>
      <c r="E4247" s="7">
        <v>469.91</v>
      </c>
      <c r="F4247" s="7">
        <v>41509.5</v>
      </c>
      <c r="G4247" s="7">
        <v>84148</v>
      </c>
      <c r="H4247" s="7">
        <f t="shared" si="113"/>
        <v>41459.5</v>
      </c>
      <c r="I4247" s="15"/>
    </row>
    <row r="4248" spans="1:9" s="8" customFormat="1" ht="21" customHeight="1" x14ac:dyDescent="0.6">
      <c r="A4248" s="7">
        <v>24.7174443</v>
      </c>
      <c r="B4248" s="7">
        <v>34.756363299999997</v>
      </c>
      <c r="C4248" s="7">
        <v>677655.51</v>
      </c>
      <c r="D4248" s="7">
        <v>2734800.17</v>
      </c>
      <c r="E4248" s="7">
        <v>469.75</v>
      </c>
      <c r="F4248" s="7">
        <v>41534.870000000003</v>
      </c>
      <c r="G4248" s="7">
        <v>84150</v>
      </c>
      <c r="H4248" s="7">
        <f t="shared" si="113"/>
        <v>41484.870000000003</v>
      </c>
      <c r="I4248" s="15"/>
    </row>
    <row r="4249" spans="1:9" s="8" customFormat="1" ht="21" customHeight="1" x14ac:dyDescent="0.6">
      <c r="A4249" s="7">
        <v>24.7174698</v>
      </c>
      <c r="B4249" s="7">
        <v>34.7563581</v>
      </c>
      <c r="C4249" s="7">
        <v>677654.95</v>
      </c>
      <c r="D4249" s="7">
        <v>2734802.99</v>
      </c>
      <c r="E4249" s="7">
        <v>469.69</v>
      </c>
      <c r="F4249" s="7">
        <v>41556.800000000003</v>
      </c>
      <c r="G4249" s="7">
        <v>84152</v>
      </c>
      <c r="H4249" s="7">
        <f t="shared" si="113"/>
        <v>41506.800000000003</v>
      </c>
      <c r="I4249" s="15"/>
    </row>
    <row r="4250" spans="1:9" s="8" customFormat="1" ht="21" customHeight="1" x14ac:dyDescent="0.6">
      <c r="A4250" s="7">
        <v>24.717495799999998</v>
      </c>
      <c r="B4250" s="7">
        <v>34.756358300000002</v>
      </c>
      <c r="C4250" s="7">
        <v>677654.93</v>
      </c>
      <c r="D4250" s="7">
        <v>2734805.87</v>
      </c>
      <c r="E4250" s="7">
        <v>469.58</v>
      </c>
      <c r="F4250" s="7">
        <v>41579.31</v>
      </c>
      <c r="G4250" s="7">
        <v>84154</v>
      </c>
      <c r="H4250" s="7">
        <f t="shared" si="113"/>
        <v>41529.31</v>
      </c>
      <c r="I4250" s="15"/>
    </row>
    <row r="4251" spans="1:9" s="8" customFormat="1" ht="21" customHeight="1" x14ac:dyDescent="0.6">
      <c r="A4251" s="7">
        <v>24.717521999999999</v>
      </c>
      <c r="B4251" s="7">
        <v>34.756364699999999</v>
      </c>
      <c r="C4251" s="7">
        <v>677655.54</v>
      </c>
      <c r="D4251" s="7">
        <v>2734808.78</v>
      </c>
      <c r="E4251" s="7">
        <v>469.55</v>
      </c>
      <c r="F4251" s="7">
        <v>41610.300000000003</v>
      </c>
      <c r="G4251" s="7">
        <v>84156</v>
      </c>
      <c r="H4251" s="7">
        <f t="shared" si="113"/>
        <v>41560.300000000003</v>
      </c>
      <c r="I4251" s="15"/>
    </row>
    <row r="4252" spans="1:9" s="8" customFormat="1" ht="21" customHeight="1" x14ac:dyDescent="0.6">
      <c r="A4252" s="7">
        <v>24.717546500000001</v>
      </c>
      <c r="B4252" s="7">
        <v>34.756367900000001</v>
      </c>
      <c r="C4252" s="7">
        <v>677655.83</v>
      </c>
      <c r="D4252" s="7">
        <v>2734811.5</v>
      </c>
      <c r="E4252" s="7">
        <v>469.51</v>
      </c>
      <c r="F4252" s="7">
        <v>41627.94</v>
      </c>
      <c r="G4252" s="7">
        <v>84158</v>
      </c>
      <c r="H4252" s="7">
        <f t="shared" si="113"/>
        <v>41577.94</v>
      </c>
      <c r="I4252" s="15"/>
    </row>
    <row r="4253" spans="1:9" s="8" customFormat="1" ht="21" customHeight="1" x14ac:dyDescent="0.6">
      <c r="A4253" s="7">
        <v>24.717571599999999</v>
      </c>
      <c r="B4253" s="7">
        <v>34.756368700000003</v>
      </c>
      <c r="C4253" s="7">
        <v>677655.87</v>
      </c>
      <c r="D4253" s="7">
        <v>2734814.28</v>
      </c>
      <c r="E4253" s="7">
        <v>469.44</v>
      </c>
      <c r="F4253" s="7">
        <v>41643.33</v>
      </c>
      <c r="G4253" s="7">
        <v>84200</v>
      </c>
      <c r="H4253" s="7">
        <f t="shared" si="113"/>
        <v>41593.33</v>
      </c>
      <c r="I4253" s="15"/>
    </row>
    <row r="4254" spans="1:9" s="8" customFormat="1" ht="21" customHeight="1" x14ac:dyDescent="0.6">
      <c r="A4254" s="7">
        <v>24.7175978</v>
      </c>
      <c r="B4254" s="7">
        <v>34.756369300000003</v>
      </c>
      <c r="C4254" s="7">
        <v>677655.9</v>
      </c>
      <c r="D4254" s="7">
        <v>2734817.18</v>
      </c>
      <c r="E4254" s="7">
        <v>469.38</v>
      </c>
      <c r="F4254" s="7">
        <v>41654.49</v>
      </c>
      <c r="G4254" s="7">
        <v>84202</v>
      </c>
      <c r="H4254" s="7">
        <f t="shared" si="113"/>
        <v>41604.49</v>
      </c>
      <c r="I4254" s="15"/>
    </row>
    <row r="4255" spans="1:9" s="8" customFormat="1" ht="21" customHeight="1" x14ac:dyDescent="0.6">
      <c r="A4255" s="7">
        <v>24.7176218</v>
      </c>
      <c r="B4255" s="7">
        <v>34.756369800000002</v>
      </c>
      <c r="C4255" s="7">
        <v>677655.91</v>
      </c>
      <c r="D4255" s="7">
        <v>2734819.84</v>
      </c>
      <c r="E4255" s="7">
        <v>469.37</v>
      </c>
      <c r="F4255" s="7">
        <v>41664.44</v>
      </c>
      <c r="G4255" s="7">
        <v>84204</v>
      </c>
      <c r="H4255" s="7">
        <f t="shared" si="113"/>
        <v>41614.44</v>
      </c>
      <c r="I4255" s="15"/>
    </row>
    <row r="4256" spans="1:9" s="8" customFormat="1" ht="21" customHeight="1" x14ac:dyDescent="0.6">
      <c r="A4256" s="7">
        <v>24.717647400000001</v>
      </c>
      <c r="B4256" s="7">
        <v>34.756373000000004</v>
      </c>
      <c r="C4256" s="7">
        <v>677656.19</v>
      </c>
      <c r="D4256" s="7">
        <v>2734822.68</v>
      </c>
      <c r="E4256" s="7">
        <v>469.15</v>
      </c>
      <c r="F4256" s="7">
        <v>41675.67</v>
      </c>
      <c r="G4256" s="7">
        <v>84206</v>
      </c>
      <c r="H4256" s="7">
        <f t="shared" si="113"/>
        <v>41625.67</v>
      </c>
      <c r="I4256" s="15"/>
    </row>
    <row r="4257" spans="1:9" s="8" customFormat="1" ht="21" customHeight="1" x14ac:dyDescent="0.6">
      <c r="A4257" s="7">
        <v>24.717670699999999</v>
      </c>
      <c r="B4257" s="7">
        <v>34.756377899999997</v>
      </c>
      <c r="C4257" s="7">
        <v>677656.66</v>
      </c>
      <c r="D4257" s="7">
        <v>2734825.27</v>
      </c>
      <c r="E4257" s="7">
        <v>468.98</v>
      </c>
      <c r="F4257" s="7">
        <v>41695.919999999998</v>
      </c>
      <c r="G4257" s="7">
        <v>84208</v>
      </c>
      <c r="H4257" s="7">
        <f t="shared" si="113"/>
        <v>41645.919999999998</v>
      </c>
      <c r="I4257" s="15"/>
    </row>
    <row r="4258" spans="1:9" s="8" customFormat="1" ht="21" customHeight="1" x14ac:dyDescent="0.6">
      <c r="A4258" s="7">
        <v>24.717694999999999</v>
      </c>
      <c r="B4258" s="7">
        <v>34.756383800000002</v>
      </c>
      <c r="C4258" s="7">
        <v>677657.22</v>
      </c>
      <c r="D4258" s="7">
        <v>2734827.96</v>
      </c>
      <c r="E4258" s="7">
        <v>468.79</v>
      </c>
      <c r="F4258" s="7">
        <v>41722.67</v>
      </c>
      <c r="G4258" s="7">
        <v>84210</v>
      </c>
      <c r="H4258" s="7">
        <f t="shared" si="113"/>
        <v>41672.67</v>
      </c>
      <c r="I4258" s="15"/>
    </row>
    <row r="4259" spans="1:9" s="8" customFormat="1" ht="21" customHeight="1" x14ac:dyDescent="0.6">
      <c r="A4259" s="7">
        <v>24.717716200000002</v>
      </c>
      <c r="B4259" s="7">
        <v>34.756389499999997</v>
      </c>
      <c r="C4259" s="7">
        <v>677657.76</v>
      </c>
      <c r="D4259" s="7">
        <v>2734830.33</v>
      </c>
      <c r="E4259" s="7">
        <v>468.72</v>
      </c>
      <c r="F4259" s="7">
        <v>41732.49</v>
      </c>
      <c r="G4259" s="7">
        <v>84212</v>
      </c>
      <c r="H4259" s="7">
        <f t="shared" si="113"/>
        <v>41682.49</v>
      </c>
      <c r="I4259" s="15"/>
    </row>
    <row r="4260" spans="1:9" s="8" customFormat="1" ht="21" customHeight="1" x14ac:dyDescent="0.6">
      <c r="A4260" s="7">
        <v>24.717739900000002</v>
      </c>
      <c r="B4260" s="7">
        <v>34.7563891</v>
      </c>
      <c r="C4260" s="7">
        <v>677657.7</v>
      </c>
      <c r="D4260" s="7">
        <v>2734832.95</v>
      </c>
      <c r="E4260" s="7">
        <v>468.51</v>
      </c>
      <c r="F4260" s="7">
        <v>41718.17</v>
      </c>
      <c r="G4260" s="7">
        <v>84214</v>
      </c>
      <c r="H4260" s="7">
        <f t="shared" si="113"/>
        <v>41668.17</v>
      </c>
      <c r="I4260" s="15"/>
    </row>
    <row r="4261" spans="1:9" s="8" customFormat="1" ht="21" customHeight="1" x14ac:dyDescent="0.6">
      <c r="A4261" s="7">
        <v>24.7177641</v>
      </c>
      <c r="B4261" s="7">
        <v>34.756392200000001</v>
      </c>
      <c r="C4261" s="7">
        <v>677657.97</v>
      </c>
      <c r="D4261" s="7">
        <v>2734835.63</v>
      </c>
      <c r="E4261" s="7">
        <v>468.42</v>
      </c>
      <c r="F4261" s="7">
        <v>41731.89</v>
      </c>
      <c r="G4261" s="7">
        <v>84216</v>
      </c>
      <c r="H4261" s="7">
        <f t="shared" si="113"/>
        <v>41681.89</v>
      </c>
      <c r="I4261" s="15"/>
    </row>
    <row r="4262" spans="1:9" s="8" customFormat="1" ht="21" customHeight="1" x14ac:dyDescent="0.6">
      <c r="A4262" s="7">
        <v>24.7177869</v>
      </c>
      <c r="B4262" s="7">
        <v>34.756391899999997</v>
      </c>
      <c r="C4262" s="7">
        <v>677657.91</v>
      </c>
      <c r="D4262" s="7">
        <v>2734838.15</v>
      </c>
      <c r="E4262" s="7">
        <v>468.39</v>
      </c>
      <c r="F4262" s="7">
        <v>41733.56</v>
      </c>
      <c r="G4262" s="7">
        <v>84218</v>
      </c>
      <c r="H4262" s="7">
        <f t="shared" si="113"/>
        <v>41683.56</v>
      </c>
      <c r="I4262" s="15"/>
    </row>
    <row r="4263" spans="1:9" s="8" customFormat="1" ht="21" customHeight="1" x14ac:dyDescent="0.6">
      <c r="A4263" s="7">
        <v>24.717810199999999</v>
      </c>
      <c r="B4263" s="7">
        <v>34.756390799999998</v>
      </c>
      <c r="C4263" s="7">
        <v>677657.77</v>
      </c>
      <c r="D4263" s="7">
        <v>2734840.74</v>
      </c>
      <c r="E4263" s="7">
        <v>468.24</v>
      </c>
      <c r="F4263" s="7">
        <v>41734.58</v>
      </c>
      <c r="G4263" s="7">
        <v>84220</v>
      </c>
      <c r="H4263" s="7">
        <f t="shared" si="113"/>
        <v>41684.58</v>
      </c>
      <c r="I4263" s="15"/>
    </row>
    <row r="4264" spans="1:9" s="8" customFormat="1" ht="21" customHeight="1" x14ac:dyDescent="0.6">
      <c r="A4264" s="7">
        <v>24.717835699999998</v>
      </c>
      <c r="B4264" s="7">
        <v>34.756387099999998</v>
      </c>
      <c r="C4264" s="7">
        <v>677657.35</v>
      </c>
      <c r="D4264" s="7">
        <v>2734843.56</v>
      </c>
      <c r="E4264" s="7">
        <v>468.17</v>
      </c>
      <c r="F4264" s="7">
        <v>41731.67</v>
      </c>
      <c r="G4264" s="7">
        <v>84222</v>
      </c>
      <c r="H4264" s="7">
        <f t="shared" si="113"/>
        <v>41681.67</v>
      </c>
      <c r="I4264" s="15"/>
    </row>
    <row r="4265" spans="1:9" s="8" customFormat="1" ht="21" customHeight="1" x14ac:dyDescent="0.6">
      <c r="A4265" s="7">
        <v>24.717860300000002</v>
      </c>
      <c r="B4265" s="7">
        <v>34.756381300000001</v>
      </c>
      <c r="C4265" s="7">
        <v>677656.73</v>
      </c>
      <c r="D4265" s="7">
        <v>2734846.28</v>
      </c>
      <c r="E4265" s="7">
        <v>468.08</v>
      </c>
      <c r="F4265" s="7">
        <v>41733.9</v>
      </c>
      <c r="G4265" s="7">
        <v>84224</v>
      </c>
      <c r="H4265" s="7">
        <f t="shared" si="113"/>
        <v>41683.9</v>
      </c>
      <c r="I4265" s="15"/>
    </row>
    <row r="4266" spans="1:9" s="8" customFormat="1" ht="21" customHeight="1" x14ac:dyDescent="0.6">
      <c r="A4266" s="7">
        <v>24.717886</v>
      </c>
      <c r="B4266" s="7">
        <v>34.756378699999999</v>
      </c>
      <c r="C4266" s="7">
        <v>677656.43</v>
      </c>
      <c r="D4266" s="7">
        <v>2734849.11</v>
      </c>
      <c r="E4266" s="7">
        <v>467.97</v>
      </c>
      <c r="F4266" s="7">
        <v>41749.01</v>
      </c>
      <c r="G4266" s="7">
        <v>84226</v>
      </c>
      <c r="H4266" s="7">
        <f t="shared" si="113"/>
        <v>41699.01</v>
      </c>
      <c r="I4266" s="15"/>
    </row>
    <row r="4267" spans="1:9" s="8" customFormat="1" ht="21" customHeight="1" x14ac:dyDescent="0.6">
      <c r="A4267" s="7">
        <v>24.717911300000001</v>
      </c>
      <c r="B4267" s="7">
        <v>34.756376400000001</v>
      </c>
      <c r="C4267" s="7">
        <v>677656.16</v>
      </c>
      <c r="D4267" s="7">
        <v>2734851.92</v>
      </c>
      <c r="E4267" s="7">
        <v>467.77</v>
      </c>
      <c r="F4267" s="7">
        <v>41769.85</v>
      </c>
      <c r="G4267" s="7">
        <v>84228</v>
      </c>
      <c r="H4267" s="7">
        <f t="shared" si="113"/>
        <v>41719.85</v>
      </c>
      <c r="I4267" s="15"/>
    </row>
    <row r="4268" spans="1:9" s="8" customFormat="1" ht="21" customHeight="1" x14ac:dyDescent="0.6">
      <c r="A4268" s="7">
        <v>24.717934899999999</v>
      </c>
      <c r="B4268" s="7">
        <v>34.756369999999997</v>
      </c>
      <c r="C4268" s="7">
        <v>677655.49</v>
      </c>
      <c r="D4268" s="7">
        <v>2734854.52</v>
      </c>
      <c r="E4268" s="7">
        <v>467.58</v>
      </c>
      <c r="F4268" s="7">
        <v>41759.57</v>
      </c>
      <c r="G4268" s="7">
        <v>84230</v>
      </c>
      <c r="H4268" s="7">
        <f t="shared" si="113"/>
        <v>41709.57</v>
      </c>
      <c r="I4268" s="15"/>
    </row>
    <row r="4269" spans="1:9" s="8" customFormat="1" ht="21" customHeight="1" x14ac:dyDescent="0.6">
      <c r="A4269" s="7">
        <v>24.7179608</v>
      </c>
      <c r="B4269" s="7">
        <v>34.756365899999999</v>
      </c>
      <c r="C4269" s="7">
        <v>677655.04000000004</v>
      </c>
      <c r="D4269" s="7">
        <v>2734857.39</v>
      </c>
      <c r="E4269" s="7">
        <v>467.47</v>
      </c>
      <c r="F4269" s="7">
        <v>41745.760000000002</v>
      </c>
      <c r="G4269" s="7">
        <v>84232</v>
      </c>
      <c r="H4269" s="7">
        <f t="shared" si="113"/>
        <v>41695.760000000002</v>
      </c>
      <c r="I4269" s="15"/>
    </row>
    <row r="4270" spans="1:9" s="8" customFormat="1" ht="21" customHeight="1" x14ac:dyDescent="0.6">
      <c r="A4270" s="7">
        <v>24.717984399999999</v>
      </c>
      <c r="B4270" s="7">
        <v>34.7563642</v>
      </c>
      <c r="C4270" s="7">
        <v>677654.83</v>
      </c>
      <c r="D4270" s="7">
        <v>2734860</v>
      </c>
      <c r="E4270" s="7">
        <v>467.37</v>
      </c>
      <c r="F4270" s="7">
        <v>41719.61</v>
      </c>
      <c r="G4270" s="7">
        <v>84234</v>
      </c>
      <c r="H4270" s="7">
        <f t="shared" si="113"/>
        <v>41669.61</v>
      </c>
      <c r="I4270" s="15"/>
    </row>
    <row r="4271" spans="1:9" s="8" customFormat="1" ht="21" customHeight="1" x14ac:dyDescent="0.6">
      <c r="A4271" s="7">
        <v>24.718010100000001</v>
      </c>
      <c r="B4271" s="7">
        <v>34.756363100000002</v>
      </c>
      <c r="C4271" s="7">
        <v>677654.68</v>
      </c>
      <c r="D4271" s="7">
        <v>2734862.84</v>
      </c>
      <c r="E4271" s="7">
        <v>467.19</v>
      </c>
      <c r="F4271" s="7">
        <v>41723.82</v>
      </c>
      <c r="G4271" s="7">
        <v>84236</v>
      </c>
      <c r="H4271" s="7">
        <f t="shared" si="113"/>
        <v>41673.82</v>
      </c>
      <c r="I4271" s="15"/>
    </row>
    <row r="4272" spans="1:9" s="8" customFormat="1" ht="21" customHeight="1" x14ac:dyDescent="0.6">
      <c r="A4272" s="7">
        <v>24.7180359</v>
      </c>
      <c r="B4272" s="7">
        <v>34.756357800000004</v>
      </c>
      <c r="C4272" s="7">
        <v>677654.1</v>
      </c>
      <c r="D4272" s="7">
        <v>2734865.69</v>
      </c>
      <c r="E4272" s="7">
        <v>467.02</v>
      </c>
      <c r="F4272" s="7">
        <v>41737.97</v>
      </c>
      <c r="G4272" s="7">
        <v>84238</v>
      </c>
      <c r="H4272" s="7">
        <f t="shared" si="113"/>
        <v>41687.97</v>
      </c>
      <c r="I4272" s="15"/>
    </row>
    <row r="4273" spans="1:9" s="8" customFormat="1" ht="21" customHeight="1" x14ac:dyDescent="0.6">
      <c r="A4273" s="7">
        <v>24.718062499999998</v>
      </c>
      <c r="B4273" s="7">
        <v>34.7563575</v>
      </c>
      <c r="C4273" s="7">
        <v>677654.04</v>
      </c>
      <c r="D4273" s="7">
        <v>2734868.64</v>
      </c>
      <c r="E4273" s="7">
        <v>466.85</v>
      </c>
      <c r="F4273" s="7">
        <v>41739.870000000003</v>
      </c>
      <c r="G4273" s="7">
        <v>84240</v>
      </c>
      <c r="H4273" s="7">
        <f t="shared" si="113"/>
        <v>41689.870000000003</v>
      </c>
      <c r="I4273" s="15"/>
    </row>
    <row r="4274" spans="1:9" s="8" customFormat="1" ht="21" customHeight="1" x14ac:dyDescent="0.6">
      <c r="A4274" s="7">
        <v>24.7180894</v>
      </c>
      <c r="B4274" s="7">
        <v>34.756357800000004</v>
      </c>
      <c r="C4274" s="7">
        <v>677654.03</v>
      </c>
      <c r="D4274" s="7">
        <v>2734871.62</v>
      </c>
      <c r="E4274" s="7">
        <v>466.58</v>
      </c>
      <c r="F4274" s="7">
        <v>41744.43</v>
      </c>
      <c r="G4274" s="7">
        <v>84242</v>
      </c>
      <c r="H4274" s="7">
        <f t="shared" si="113"/>
        <v>41694.43</v>
      </c>
      <c r="I4274" s="15"/>
    </row>
    <row r="4275" spans="1:9" s="8" customFormat="1" ht="21" customHeight="1" x14ac:dyDescent="0.6">
      <c r="A4275" s="7">
        <v>24.718115000000001</v>
      </c>
      <c r="B4275" s="7">
        <v>34.756360899999997</v>
      </c>
      <c r="C4275" s="7">
        <v>677654.31</v>
      </c>
      <c r="D4275" s="7">
        <v>2734874.46</v>
      </c>
      <c r="E4275" s="7">
        <v>466.4</v>
      </c>
      <c r="F4275" s="7">
        <v>41753.29</v>
      </c>
      <c r="G4275" s="7">
        <v>84244</v>
      </c>
      <c r="H4275" s="7">
        <f t="shared" si="113"/>
        <v>41703.29</v>
      </c>
      <c r="I4275" s="15"/>
    </row>
    <row r="4276" spans="1:9" s="8" customFormat="1" ht="21" customHeight="1" x14ac:dyDescent="0.6">
      <c r="A4276" s="7">
        <v>24.718139699999998</v>
      </c>
      <c r="B4276" s="7">
        <v>34.756362500000002</v>
      </c>
      <c r="C4276" s="7">
        <v>677654.44</v>
      </c>
      <c r="D4276" s="7">
        <v>2734877.2</v>
      </c>
      <c r="E4276" s="7">
        <v>466.23</v>
      </c>
      <c r="F4276" s="7">
        <v>41745.910000000003</v>
      </c>
      <c r="G4276" s="7">
        <v>84246</v>
      </c>
      <c r="H4276" s="7">
        <f t="shared" si="113"/>
        <v>41695.910000000003</v>
      </c>
      <c r="I4276" s="15"/>
    </row>
    <row r="4277" spans="1:9" s="8" customFormat="1" ht="21" customHeight="1" x14ac:dyDescent="0.6">
      <c r="A4277" s="7">
        <v>24.718164699999999</v>
      </c>
      <c r="B4277" s="7">
        <v>34.7563666</v>
      </c>
      <c r="C4277" s="7">
        <v>677654.82</v>
      </c>
      <c r="D4277" s="7">
        <v>2734879.97</v>
      </c>
      <c r="E4277" s="7">
        <v>466.01</v>
      </c>
      <c r="F4277" s="7">
        <v>41748.94</v>
      </c>
      <c r="G4277" s="7">
        <v>84248</v>
      </c>
      <c r="H4277" s="7">
        <f t="shared" si="113"/>
        <v>41698.94</v>
      </c>
      <c r="I4277" s="15"/>
    </row>
    <row r="4278" spans="1:9" s="8" customFormat="1" ht="21" customHeight="1" x14ac:dyDescent="0.6">
      <c r="A4278" s="7">
        <v>24.7181897</v>
      </c>
      <c r="B4278" s="7">
        <v>34.7563697</v>
      </c>
      <c r="C4278" s="7">
        <v>677655.1</v>
      </c>
      <c r="D4278" s="7">
        <v>2734882.75</v>
      </c>
      <c r="E4278" s="7">
        <v>465.93</v>
      </c>
      <c r="F4278" s="7">
        <v>41772.230000000003</v>
      </c>
      <c r="G4278" s="7">
        <v>84250</v>
      </c>
      <c r="H4278" s="7">
        <f t="shared" si="113"/>
        <v>41722.230000000003</v>
      </c>
      <c r="I4278" s="15"/>
    </row>
    <row r="4279" spans="1:9" s="8" customFormat="1" ht="21" customHeight="1" x14ac:dyDescent="0.6">
      <c r="A4279" s="7">
        <v>24.718215300000001</v>
      </c>
      <c r="B4279" s="7">
        <v>34.756372300000002</v>
      </c>
      <c r="C4279" s="7">
        <v>677655.32</v>
      </c>
      <c r="D4279" s="7">
        <v>2734885.59</v>
      </c>
      <c r="E4279" s="7">
        <v>465.9</v>
      </c>
      <c r="F4279" s="7">
        <v>41782.949999999997</v>
      </c>
      <c r="G4279" s="7">
        <v>84252</v>
      </c>
      <c r="H4279" s="7">
        <f t="shared" si="113"/>
        <v>41732.949999999997</v>
      </c>
      <c r="I4279" s="15"/>
    </row>
    <row r="4280" spans="1:9" s="8" customFormat="1" ht="21" customHeight="1" x14ac:dyDescent="0.6">
      <c r="A4280" s="7">
        <v>24.7182408</v>
      </c>
      <c r="B4280" s="7">
        <v>34.756376099999997</v>
      </c>
      <c r="C4280" s="7">
        <v>677655.67</v>
      </c>
      <c r="D4280" s="7">
        <v>2734888.41</v>
      </c>
      <c r="E4280" s="7">
        <v>465.85</v>
      </c>
      <c r="F4280" s="7">
        <v>41768.65</v>
      </c>
      <c r="G4280" s="7">
        <v>84254</v>
      </c>
      <c r="H4280" s="7">
        <f t="shared" si="113"/>
        <v>41718.65</v>
      </c>
      <c r="I4280" s="15"/>
    </row>
    <row r="4281" spans="1:9" s="8" customFormat="1" ht="21" customHeight="1" x14ac:dyDescent="0.6">
      <c r="A4281" s="7">
        <v>24.7182663</v>
      </c>
      <c r="B4281" s="7">
        <v>34.756381500000003</v>
      </c>
      <c r="C4281" s="7">
        <v>677656.18</v>
      </c>
      <c r="D4281" s="7">
        <v>2734891.24</v>
      </c>
      <c r="E4281" s="7">
        <v>465.78</v>
      </c>
      <c r="F4281" s="7">
        <v>41759.279999999999</v>
      </c>
      <c r="G4281" s="7">
        <v>84256</v>
      </c>
      <c r="H4281" s="7">
        <f t="shared" si="113"/>
        <v>41709.279999999999</v>
      </c>
      <c r="I4281" s="15"/>
    </row>
    <row r="4282" spans="1:9" s="8" customFormat="1" ht="21" customHeight="1" x14ac:dyDescent="0.6">
      <c r="A4282" s="7">
        <v>24.718291600000001</v>
      </c>
      <c r="B4282" s="7">
        <v>34.756383399999997</v>
      </c>
      <c r="C4282" s="7">
        <v>677656.33</v>
      </c>
      <c r="D4282" s="7">
        <v>2734894.05</v>
      </c>
      <c r="E4282" s="7">
        <v>465.65</v>
      </c>
      <c r="F4282" s="7">
        <v>41762.1</v>
      </c>
      <c r="G4282" s="7">
        <v>84258</v>
      </c>
      <c r="H4282" s="7">
        <f t="shared" si="113"/>
        <v>41712.1</v>
      </c>
      <c r="I4282" s="15"/>
    </row>
    <row r="4283" spans="1:9" s="8" customFormat="1" ht="21" customHeight="1" x14ac:dyDescent="0.6">
      <c r="A4283" s="7">
        <v>24.7183174</v>
      </c>
      <c r="B4283" s="7">
        <v>34.756388700000002</v>
      </c>
      <c r="C4283" s="7">
        <v>677656.84</v>
      </c>
      <c r="D4283" s="7">
        <v>2734896.91</v>
      </c>
      <c r="E4283" s="7">
        <v>465.47</v>
      </c>
      <c r="F4283" s="7">
        <v>41760.74</v>
      </c>
      <c r="G4283" s="7">
        <v>84300</v>
      </c>
      <c r="H4283" s="7">
        <f t="shared" si="113"/>
        <v>41710.74</v>
      </c>
      <c r="I4283" s="15"/>
    </row>
    <row r="4284" spans="1:9" s="8" customFormat="1" ht="21" customHeight="1" x14ac:dyDescent="0.6">
      <c r="A4284" s="7">
        <v>24.718343999999998</v>
      </c>
      <c r="B4284" s="7">
        <v>34.756392400000003</v>
      </c>
      <c r="C4284" s="7">
        <v>677657.17</v>
      </c>
      <c r="D4284" s="7">
        <v>2734899.86</v>
      </c>
      <c r="E4284" s="7">
        <v>465.38</v>
      </c>
      <c r="F4284" s="7">
        <v>41754.46</v>
      </c>
      <c r="G4284" s="7">
        <v>84302</v>
      </c>
      <c r="H4284" s="7">
        <f t="shared" si="113"/>
        <v>41704.46</v>
      </c>
      <c r="I4284" s="15"/>
    </row>
    <row r="4285" spans="1:9" s="8" customFormat="1" ht="21" customHeight="1" x14ac:dyDescent="0.6">
      <c r="A4285" s="7">
        <v>24.7183685</v>
      </c>
      <c r="B4285" s="7">
        <v>34.756399700000003</v>
      </c>
      <c r="C4285" s="7">
        <v>677657.87</v>
      </c>
      <c r="D4285" s="7">
        <v>2734902.58</v>
      </c>
      <c r="E4285" s="7">
        <v>465.26</v>
      </c>
      <c r="F4285" s="7">
        <v>41796.47</v>
      </c>
      <c r="G4285" s="7">
        <v>84304</v>
      </c>
      <c r="H4285" s="7">
        <f t="shared" si="113"/>
        <v>41746.47</v>
      </c>
      <c r="I4285" s="15"/>
    </row>
    <row r="4286" spans="1:9" s="8" customFormat="1" ht="21" customHeight="1" x14ac:dyDescent="0.6">
      <c r="A4286" s="7">
        <v>24.7183919</v>
      </c>
      <c r="B4286" s="7">
        <v>34.756413199999997</v>
      </c>
      <c r="C4286" s="7">
        <v>677659.21</v>
      </c>
      <c r="D4286" s="7">
        <v>2734905.19</v>
      </c>
      <c r="E4286" s="7">
        <v>465.18</v>
      </c>
      <c r="F4286" s="7">
        <v>41849.75</v>
      </c>
      <c r="G4286" s="7">
        <v>84306</v>
      </c>
      <c r="H4286" s="7">
        <f t="shared" si="113"/>
        <v>41799.75</v>
      </c>
      <c r="I4286" s="15"/>
    </row>
    <row r="4287" spans="1:9" s="8" customFormat="1" ht="21" customHeight="1" x14ac:dyDescent="0.6">
      <c r="A4287" s="7">
        <v>24.7184147</v>
      </c>
      <c r="B4287" s="7">
        <v>34.756425100000001</v>
      </c>
      <c r="C4287" s="7">
        <v>677660.38</v>
      </c>
      <c r="D4287" s="7">
        <v>2734907.73</v>
      </c>
      <c r="E4287" s="7">
        <v>465.13</v>
      </c>
      <c r="F4287" s="7">
        <v>41878.800000000003</v>
      </c>
      <c r="G4287" s="7">
        <v>84308</v>
      </c>
      <c r="H4287" s="7">
        <f t="shared" si="113"/>
        <v>41828.800000000003</v>
      </c>
      <c r="I4287" s="15"/>
    </row>
    <row r="4288" spans="1:9" s="8" customFormat="1" ht="21" customHeight="1" x14ac:dyDescent="0.6">
      <c r="A4288" s="7">
        <v>24.718438299999999</v>
      </c>
      <c r="B4288" s="7">
        <v>34.756438500000002</v>
      </c>
      <c r="C4288" s="7">
        <v>677661.7</v>
      </c>
      <c r="D4288" s="7">
        <v>2734910.37</v>
      </c>
      <c r="E4288" s="7">
        <v>464.98</v>
      </c>
      <c r="F4288" s="7">
        <v>41822.21</v>
      </c>
      <c r="G4288" s="7">
        <v>84310</v>
      </c>
      <c r="H4288" s="7">
        <f t="shared" si="113"/>
        <v>41772.21</v>
      </c>
      <c r="I4288" s="15"/>
    </row>
    <row r="4289" spans="1:9" s="8" customFormat="1" ht="21" customHeight="1" x14ac:dyDescent="0.6">
      <c r="A4289" s="7">
        <v>24.718461600000001</v>
      </c>
      <c r="B4289" s="7">
        <v>34.756451800000001</v>
      </c>
      <c r="C4289" s="7">
        <v>677663.01</v>
      </c>
      <c r="D4289" s="7">
        <v>2734912.96</v>
      </c>
      <c r="E4289" s="7">
        <v>464.82</v>
      </c>
      <c r="F4289" s="7">
        <v>41814.65</v>
      </c>
      <c r="G4289" s="7">
        <v>84312</v>
      </c>
      <c r="H4289" s="7">
        <f t="shared" si="113"/>
        <v>41764.65</v>
      </c>
      <c r="I4289" s="15"/>
    </row>
    <row r="4290" spans="1:9" s="8" customFormat="1" ht="21" customHeight="1" x14ac:dyDescent="0.6">
      <c r="A4290" s="7">
        <v>24.718485999999999</v>
      </c>
      <c r="B4290" s="7">
        <v>34.756462999999997</v>
      </c>
      <c r="C4290" s="7">
        <v>677664.11</v>
      </c>
      <c r="D4290" s="7">
        <v>2734915.69</v>
      </c>
      <c r="E4290" s="7">
        <v>464.65</v>
      </c>
      <c r="F4290" s="7">
        <v>41793.64</v>
      </c>
      <c r="G4290" s="7">
        <v>84314</v>
      </c>
      <c r="H4290" s="7">
        <f t="shared" si="113"/>
        <v>41743.64</v>
      </c>
      <c r="I4290" s="15"/>
    </row>
    <row r="4291" spans="1:9" s="8" customFormat="1" ht="21" customHeight="1" x14ac:dyDescent="0.6">
      <c r="A4291" s="7">
        <v>24.718510299999998</v>
      </c>
      <c r="B4291" s="7">
        <v>34.756472600000002</v>
      </c>
      <c r="C4291" s="7">
        <v>677665.05</v>
      </c>
      <c r="D4291" s="7">
        <v>2734918.38</v>
      </c>
      <c r="E4291" s="7">
        <v>464.53</v>
      </c>
      <c r="F4291" s="7">
        <v>41766.339999999997</v>
      </c>
      <c r="G4291" s="7">
        <v>84316</v>
      </c>
      <c r="H4291" s="7">
        <f t="shared" si="113"/>
        <v>41716.339999999997</v>
      </c>
      <c r="I4291" s="15"/>
    </row>
    <row r="4292" spans="1:9" s="8" customFormat="1" ht="21" customHeight="1" x14ac:dyDescent="0.6">
      <c r="A4292" s="7">
        <v>24.718530999999999</v>
      </c>
      <c r="B4292" s="7">
        <v>34.756486700000004</v>
      </c>
      <c r="C4292" s="7">
        <v>677666.44</v>
      </c>
      <c r="D4292" s="7">
        <v>2734920.7</v>
      </c>
      <c r="E4292" s="7">
        <v>464.44</v>
      </c>
      <c r="F4292" s="7">
        <v>41779.370000000003</v>
      </c>
      <c r="G4292" s="7">
        <v>84318</v>
      </c>
      <c r="H4292" s="7">
        <f t="shared" si="113"/>
        <v>41729.370000000003</v>
      </c>
      <c r="I4292" s="15"/>
    </row>
    <row r="4293" spans="1:9" s="8" customFormat="1" ht="21" customHeight="1" x14ac:dyDescent="0.6">
      <c r="A4293" s="7">
        <v>24.718552500000001</v>
      </c>
      <c r="B4293" s="7">
        <v>34.756500699999997</v>
      </c>
      <c r="C4293" s="7">
        <v>677667.83999999997</v>
      </c>
      <c r="D4293" s="7">
        <v>2734923.09</v>
      </c>
      <c r="E4293" s="7">
        <v>464.44</v>
      </c>
      <c r="F4293" s="7">
        <v>41773.67</v>
      </c>
      <c r="G4293" s="7">
        <v>84320</v>
      </c>
      <c r="H4293" s="7">
        <f t="shared" si="113"/>
        <v>41723.67</v>
      </c>
      <c r="I4293" s="15"/>
    </row>
    <row r="4294" spans="1:9" s="8" customFormat="1" ht="21" customHeight="1" x14ac:dyDescent="0.6">
      <c r="A4294" s="7">
        <v>24.718576599999999</v>
      </c>
      <c r="B4294" s="7">
        <v>34.756513400000003</v>
      </c>
      <c r="C4294" s="7">
        <v>677669.09</v>
      </c>
      <c r="D4294" s="7">
        <v>2734925.78</v>
      </c>
      <c r="E4294" s="7">
        <v>464.32</v>
      </c>
      <c r="F4294" s="7">
        <v>41765.11</v>
      </c>
      <c r="G4294" s="7">
        <v>84322</v>
      </c>
      <c r="H4294" s="7">
        <f t="shared" si="113"/>
        <v>41715.11</v>
      </c>
      <c r="I4294" s="15"/>
    </row>
    <row r="4295" spans="1:9" s="8" customFormat="1" ht="21" customHeight="1" x14ac:dyDescent="0.6">
      <c r="A4295" s="7">
        <v>24.718601799999998</v>
      </c>
      <c r="B4295" s="7">
        <v>34.7565253</v>
      </c>
      <c r="C4295" s="7">
        <v>677670.25</v>
      </c>
      <c r="D4295" s="7">
        <v>2734928.59</v>
      </c>
      <c r="E4295" s="7">
        <v>464.19</v>
      </c>
      <c r="F4295" s="7">
        <v>41778.15</v>
      </c>
      <c r="G4295" s="7">
        <v>84324</v>
      </c>
      <c r="H4295" s="7">
        <f t="shared" si="113"/>
        <v>41728.15</v>
      </c>
      <c r="I4295" s="15"/>
    </row>
    <row r="4296" spans="1:9" s="8" customFormat="1" ht="21" customHeight="1" x14ac:dyDescent="0.6">
      <c r="A4296" s="7">
        <v>24.718627300000001</v>
      </c>
      <c r="B4296" s="7">
        <v>34.7565375</v>
      </c>
      <c r="C4296" s="7">
        <v>677671.45</v>
      </c>
      <c r="D4296" s="7">
        <v>2734931.42</v>
      </c>
      <c r="E4296" s="7">
        <v>464.07</v>
      </c>
      <c r="F4296" s="7">
        <v>41782.550000000003</v>
      </c>
      <c r="G4296" s="7">
        <v>84326</v>
      </c>
      <c r="H4296" s="7">
        <f t="shared" si="113"/>
        <v>41732.550000000003</v>
      </c>
      <c r="I4296" s="15"/>
    </row>
    <row r="4297" spans="1:9" s="8" customFormat="1" ht="21" customHeight="1" x14ac:dyDescent="0.6">
      <c r="A4297" s="7">
        <v>24.7186506</v>
      </c>
      <c r="B4297" s="7">
        <v>34.756549900000003</v>
      </c>
      <c r="C4297" s="7">
        <v>677672.67</v>
      </c>
      <c r="D4297" s="7">
        <v>2734934.02</v>
      </c>
      <c r="E4297" s="7">
        <v>463.95</v>
      </c>
      <c r="F4297" s="7">
        <v>41776.99</v>
      </c>
      <c r="G4297" s="7">
        <v>84328</v>
      </c>
      <c r="H4297" s="7">
        <f t="shared" si="113"/>
        <v>41726.99</v>
      </c>
      <c r="I4297" s="15"/>
    </row>
    <row r="4298" spans="1:9" s="8" customFormat="1" ht="21" customHeight="1" x14ac:dyDescent="0.6">
      <c r="A4298" s="7">
        <v>24.718675999999999</v>
      </c>
      <c r="B4298" s="7">
        <v>34.756558599999998</v>
      </c>
      <c r="C4298" s="7">
        <v>677673.52</v>
      </c>
      <c r="D4298" s="7">
        <v>2734936.85</v>
      </c>
      <c r="E4298" s="7">
        <v>463.85</v>
      </c>
      <c r="F4298" s="7">
        <v>41790.839999999997</v>
      </c>
      <c r="G4298" s="7">
        <v>84330</v>
      </c>
      <c r="H4298" s="7">
        <f t="shared" si="113"/>
        <v>41740.839999999997</v>
      </c>
      <c r="I4298" s="15"/>
    </row>
    <row r="4299" spans="1:9" s="8" customFormat="1" ht="21" customHeight="1" x14ac:dyDescent="0.6">
      <c r="A4299" s="7">
        <v>24.7186995</v>
      </c>
      <c r="B4299" s="7">
        <v>34.756571700000002</v>
      </c>
      <c r="C4299" s="7">
        <v>677674.8</v>
      </c>
      <c r="D4299" s="7">
        <v>2734939.47</v>
      </c>
      <c r="E4299" s="7">
        <v>463.7</v>
      </c>
      <c r="F4299" s="7">
        <v>41789.760000000002</v>
      </c>
      <c r="G4299" s="7">
        <v>84332</v>
      </c>
      <c r="H4299" s="7">
        <f t="shared" si="113"/>
        <v>41739.760000000002</v>
      </c>
      <c r="I4299" s="15"/>
    </row>
    <row r="4300" spans="1:9" s="8" customFormat="1" ht="21" customHeight="1" x14ac:dyDescent="0.6">
      <c r="A4300" s="7">
        <v>24.718723499999999</v>
      </c>
      <c r="B4300" s="7">
        <v>34.7565867</v>
      </c>
      <c r="C4300" s="7">
        <v>677676.29</v>
      </c>
      <c r="D4300" s="7">
        <v>2734942.14</v>
      </c>
      <c r="E4300" s="7">
        <v>463.58</v>
      </c>
      <c r="F4300" s="7">
        <v>41793.360000000001</v>
      </c>
      <c r="G4300" s="7">
        <v>84334</v>
      </c>
      <c r="H4300" s="7">
        <f t="shared" si="113"/>
        <v>41743.360000000001</v>
      </c>
      <c r="I4300" s="15"/>
    </row>
    <row r="4301" spans="1:9" s="8" customFormat="1" ht="21" customHeight="1" x14ac:dyDescent="0.6">
      <c r="A4301" s="7">
        <v>24.7187439</v>
      </c>
      <c r="B4301" s="7">
        <v>34.756602899999997</v>
      </c>
      <c r="C4301" s="7">
        <v>677677.9</v>
      </c>
      <c r="D4301" s="7">
        <v>2734944.43</v>
      </c>
      <c r="E4301" s="7">
        <v>463.46</v>
      </c>
      <c r="F4301" s="7">
        <v>41789.39</v>
      </c>
      <c r="G4301" s="7">
        <v>84336</v>
      </c>
      <c r="H4301" s="7">
        <f t="shared" si="113"/>
        <v>41739.39</v>
      </c>
      <c r="I4301" s="15"/>
    </row>
    <row r="4302" spans="1:9" s="8" customFormat="1" ht="21" customHeight="1" x14ac:dyDescent="0.6">
      <c r="A4302" s="7">
        <v>24.718762600000002</v>
      </c>
      <c r="B4302" s="7">
        <v>34.756623400000002</v>
      </c>
      <c r="C4302" s="7">
        <v>677679.94</v>
      </c>
      <c r="D4302" s="7">
        <v>2734946.52</v>
      </c>
      <c r="E4302" s="7">
        <v>463.28</v>
      </c>
      <c r="F4302" s="7">
        <v>41795.86</v>
      </c>
      <c r="G4302" s="7">
        <v>84338</v>
      </c>
      <c r="H4302" s="7">
        <f t="shared" si="113"/>
        <v>41745.86</v>
      </c>
      <c r="I4302" s="15"/>
    </row>
    <row r="4303" spans="1:9" s="8" customFormat="1" ht="21" customHeight="1" x14ac:dyDescent="0.6">
      <c r="A4303" s="7">
        <v>24.718780599999999</v>
      </c>
      <c r="B4303" s="7">
        <v>34.756643699999998</v>
      </c>
      <c r="C4303" s="7">
        <v>677681.98</v>
      </c>
      <c r="D4303" s="7">
        <v>2734948.55</v>
      </c>
      <c r="E4303" s="7">
        <v>463.14</v>
      </c>
      <c r="F4303" s="7">
        <v>41796.9</v>
      </c>
      <c r="G4303" s="7">
        <v>84340</v>
      </c>
      <c r="H4303" s="7">
        <f t="shared" si="113"/>
        <v>41746.9</v>
      </c>
      <c r="I4303" s="15"/>
    </row>
    <row r="4304" spans="1:9" s="8" customFormat="1" ht="21" customHeight="1" x14ac:dyDescent="0.6">
      <c r="A4304" s="7">
        <v>24.7188005</v>
      </c>
      <c r="B4304" s="7">
        <v>34.756660599999996</v>
      </c>
      <c r="C4304" s="7">
        <v>677683.66</v>
      </c>
      <c r="D4304" s="7">
        <v>2734950.78</v>
      </c>
      <c r="E4304" s="7">
        <v>463.03</v>
      </c>
      <c r="F4304" s="7">
        <v>41794.71</v>
      </c>
      <c r="G4304" s="7">
        <v>84342</v>
      </c>
      <c r="H4304" s="7">
        <f t="shared" si="113"/>
        <v>41744.71</v>
      </c>
      <c r="I4304" s="15"/>
    </row>
    <row r="4305" spans="1:9" s="8" customFormat="1" ht="21" customHeight="1" x14ac:dyDescent="0.6">
      <c r="A4305" s="7">
        <v>24.718821999999999</v>
      </c>
      <c r="B4305" s="7">
        <v>34.756678000000001</v>
      </c>
      <c r="C4305" s="7">
        <v>677685.39</v>
      </c>
      <c r="D4305" s="7">
        <v>2734953.18</v>
      </c>
      <c r="E4305" s="7">
        <v>462.86</v>
      </c>
      <c r="F4305" s="7">
        <v>41795.919999999998</v>
      </c>
      <c r="G4305" s="7">
        <v>84344</v>
      </c>
      <c r="H4305" s="7">
        <f t="shared" si="113"/>
        <v>41745.919999999998</v>
      </c>
      <c r="I4305" s="15"/>
    </row>
    <row r="4306" spans="1:9" s="8" customFormat="1" ht="21" customHeight="1" x14ac:dyDescent="0.6">
      <c r="A4306" s="7">
        <v>24.7188436</v>
      </c>
      <c r="B4306" s="7">
        <v>34.756694199999998</v>
      </c>
      <c r="C4306" s="7">
        <v>677686.99</v>
      </c>
      <c r="D4306" s="7">
        <v>2734955.59</v>
      </c>
      <c r="E4306" s="7">
        <v>462.68</v>
      </c>
      <c r="F4306" s="7">
        <v>41802.629999999997</v>
      </c>
      <c r="G4306" s="7">
        <v>84346</v>
      </c>
      <c r="H4306" s="7">
        <f t="shared" si="113"/>
        <v>41752.629999999997</v>
      </c>
      <c r="I4306" s="15"/>
    </row>
    <row r="4307" spans="1:9" s="8" customFormat="1" ht="21" customHeight="1" x14ac:dyDescent="0.6">
      <c r="A4307" s="7">
        <v>24.718861</v>
      </c>
      <c r="B4307" s="7">
        <v>34.756713900000001</v>
      </c>
      <c r="C4307" s="7">
        <v>677688.96</v>
      </c>
      <c r="D4307" s="7">
        <v>2734957.54</v>
      </c>
      <c r="E4307" s="7">
        <v>462.58</v>
      </c>
      <c r="F4307" s="7">
        <v>41796.53</v>
      </c>
      <c r="G4307" s="7">
        <v>84348</v>
      </c>
      <c r="H4307" s="7">
        <f t="shared" si="113"/>
        <v>41746.53</v>
      </c>
      <c r="I4307" s="15"/>
    </row>
    <row r="4308" spans="1:9" s="8" customFormat="1" ht="21" customHeight="1" x14ac:dyDescent="0.6">
      <c r="A4308" s="7">
        <v>24.718876300000002</v>
      </c>
      <c r="B4308" s="7">
        <v>34.7567369</v>
      </c>
      <c r="C4308" s="7">
        <v>677691.27</v>
      </c>
      <c r="D4308" s="7">
        <v>2734959.26</v>
      </c>
      <c r="E4308" s="7">
        <v>462.43</v>
      </c>
      <c r="F4308" s="7">
        <v>41818.19</v>
      </c>
      <c r="G4308" s="7">
        <v>84350</v>
      </c>
      <c r="H4308" s="7">
        <f t="shared" ref="H4308:H4371" si="114">SUM(F4308-50)</f>
        <v>41768.19</v>
      </c>
      <c r="I4308" s="15"/>
    </row>
    <row r="4309" spans="1:9" s="8" customFormat="1" ht="21" customHeight="1" x14ac:dyDescent="0.6">
      <c r="A4309" s="7">
        <v>24.718893999999999</v>
      </c>
      <c r="B4309" s="7">
        <v>34.756758499999997</v>
      </c>
      <c r="C4309" s="7">
        <v>677693.43</v>
      </c>
      <c r="D4309" s="7">
        <v>2734961.26</v>
      </c>
      <c r="E4309" s="7">
        <v>462.31</v>
      </c>
      <c r="F4309" s="7">
        <v>41817.370000000003</v>
      </c>
      <c r="G4309" s="7">
        <v>84352</v>
      </c>
      <c r="H4309" s="7">
        <f t="shared" si="114"/>
        <v>41767.370000000003</v>
      </c>
      <c r="I4309" s="15"/>
    </row>
    <row r="4310" spans="1:9" s="8" customFormat="1" ht="21" customHeight="1" x14ac:dyDescent="0.6">
      <c r="A4310" s="7">
        <v>24.718917699999999</v>
      </c>
      <c r="B4310" s="7">
        <v>34.7567685</v>
      </c>
      <c r="C4310" s="7">
        <v>677694.41</v>
      </c>
      <c r="D4310" s="7">
        <v>2734963.89</v>
      </c>
      <c r="E4310" s="7">
        <v>462.25</v>
      </c>
      <c r="F4310" s="7">
        <v>41848.18</v>
      </c>
      <c r="G4310" s="7">
        <v>84354</v>
      </c>
      <c r="H4310" s="7">
        <f t="shared" si="114"/>
        <v>41798.18</v>
      </c>
      <c r="I4310" s="15"/>
    </row>
    <row r="4311" spans="1:9" s="8" customFormat="1" ht="21" customHeight="1" x14ac:dyDescent="0.6">
      <c r="A4311" s="7">
        <v>24.7189394</v>
      </c>
      <c r="B4311" s="7">
        <v>34.756758300000001</v>
      </c>
      <c r="C4311" s="7">
        <v>677693.34</v>
      </c>
      <c r="D4311" s="7">
        <v>2734966.28</v>
      </c>
      <c r="E4311" s="7">
        <v>462.24</v>
      </c>
      <c r="F4311" s="7">
        <v>41804.550000000003</v>
      </c>
      <c r="G4311" s="7">
        <v>84356</v>
      </c>
      <c r="H4311" s="7">
        <f t="shared" si="114"/>
        <v>41754.550000000003</v>
      </c>
      <c r="I4311" s="15"/>
    </row>
    <row r="4312" spans="1:9" s="8" customFormat="1" ht="21" customHeight="1" x14ac:dyDescent="0.6">
      <c r="A4312" s="7">
        <v>24.718964100000001</v>
      </c>
      <c r="B4312" s="7">
        <v>34.756755200000001</v>
      </c>
      <c r="C4312" s="7">
        <v>677693</v>
      </c>
      <c r="D4312" s="7">
        <v>2734969.01</v>
      </c>
      <c r="E4312" s="7">
        <v>462.2</v>
      </c>
      <c r="F4312" s="7">
        <v>41796.879999999997</v>
      </c>
      <c r="G4312" s="7">
        <v>84358</v>
      </c>
      <c r="H4312" s="7">
        <f t="shared" si="114"/>
        <v>41746.879999999997</v>
      </c>
      <c r="I4312" s="15"/>
    </row>
    <row r="4313" spans="1:9" s="8" customFormat="1" ht="21" customHeight="1" x14ac:dyDescent="0.6">
      <c r="A4313" s="7">
        <v>24.718990999999999</v>
      </c>
      <c r="B4313" s="7">
        <v>34.756754299999997</v>
      </c>
      <c r="C4313" s="7">
        <v>677692.86</v>
      </c>
      <c r="D4313" s="7">
        <v>2734971.99</v>
      </c>
      <c r="E4313" s="7">
        <v>462.06</v>
      </c>
      <c r="F4313" s="7">
        <v>41786.21</v>
      </c>
      <c r="G4313" s="7">
        <v>84400</v>
      </c>
      <c r="H4313" s="7">
        <f t="shared" si="114"/>
        <v>41736.21</v>
      </c>
      <c r="I4313" s="15"/>
    </row>
    <row r="4314" spans="1:9" s="8" customFormat="1" ht="21" customHeight="1" x14ac:dyDescent="0.6">
      <c r="A4314" s="7">
        <v>24.719017699999998</v>
      </c>
      <c r="B4314" s="7">
        <v>34.756752400000003</v>
      </c>
      <c r="C4314" s="7">
        <v>677692.64</v>
      </c>
      <c r="D4314" s="7">
        <v>2734974.95</v>
      </c>
      <c r="E4314" s="7">
        <v>461.83</v>
      </c>
      <c r="F4314" s="7">
        <v>41798.559999999998</v>
      </c>
      <c r="G4314" s="7">
        <v>84402</v>
      </c>
      <c r="H4314" s="7">
        <f t="shared" si="114"/>
        <v>41748.559999999998</v>
      </c>
      <c r="I4314" s="15"/>
    </row>
    <row r="4315" spans="1:9" s="8" customFormat="1" ht="21" customHeight="1" x14ac:dyDescent="0.6">
      <c r="A4315" s="7">
        <v>24.719043899999999</v>
      </c>
      <c r="B4315" s="7">
        <v>34.756748399999999</v>
      </c>
      <c r="C4315" s="7">
        <v>677692.2</v>
      </c>
      <c r="D4315" s="7">
        <v>2734977.84</v>
      </c>
      <c r="E4315" s="7">
        <v>461.66</v>
      </c>
      <c r="F4315" s="7">
        <v>41805</v>
      </c>
      <c r="G4315" s="7">
        <v>84404</v>
      </c>
      <c r="H4315" s="7">
        <f t="shared" si="114"/>
        <v>41755</v>
      </c>
      <c r="I4315" s="15"/>
    </row>
    <row r="4316" spans="1:9" s="8" customFormat="1" ht="21" customHeight="1" x14ac:dyDescent="0.6">
      <c r="A4316" s="7">
        <v>24.719070899999998</v>
      </c>
      <c r="B4316" s="7">
        <v>34.756746700000001</v>
      </c>
      <c r="C4316" s="7">
        <v>677691.99</v>
      </c>
      <c r="D4316" s="7">
        <v>2734980.84</v>
      </c>
      <c r="E4316" s="7">
        <v>461.64</v>
      </c>
      <c r="F4316" s="7">
        <v>41809.82</v>
      </c>
      <c r="G4316" s="7">
        <v>84406</v>
      </c>
      <c r="H4316" s="7">
        <f t="shared" si="114"/>
        <v>41759.82</v>
      </c>
      <c r="I4316" s="15"/>
    </row>
    <row r="4317" spans="1:9" s="8" customFormat="1" ht="21" customHeight="1" x14ac:dyDescent="0.6">
      <c r="A4317" s="7">
        <v>24.7190938</v>
      </c>
      <c r="B4317" s="7">
        <v>34.7567448</v>
      </c>
      <c r="C4317" s="7">
        <v>677691.75</v>
      </c>
      <c r="D4317" s="7">
        <v>2734983.37</v>
      </c>
      <c r="E4317" s="7">
        <v>461.52</v>
      </c>
      <c r="F4317" s="7">
        <v>41796.49</v>
      </c>
      <c r="G4317" s="7">
        <v>84408</v>
      </c>
      <c r="H4317" s="7">
        <f t="shared" si="114"/>
        <v>41746.49</v>
      </c>
      <c r="I4317" s="15"/>
    </row>
    <row r="4318" spans="1:9" s="8" customFormat="1" ht="21" customHeight="1" x14ac:dyDescent="0.6">
      <c r="A4318" s="7">
        <v>24.719120100000001</v>
      </c>
      <c r="B4318" s="7">
        <v>34.756743100000001</v>
      </c>
      <c r="C4318" s="7">
        <v>677691.55</v>
      </c>
      <c r="D4318" s="7">
        <v>2734986.28</v>
      </c>
      <c r="E4318" s="7">
        <v>461.31</v>
      </c>
      <c r="F4318" s="7">
        <v>41782.01</v>
      </c>
      <c r="G4318" s="7">
        <v>84410</v>
      </c>
      <c r="H4318" s="7">
        <f t="shared" si="114"/>
        <v>41732.01</v>
      </c>
      <c r="I4318" s="15"/>
    </row>
    <row r="4319" spans="1:9" s="8" customFormat="1" ht="21" customHeight="1" x14ac:dyDescent="0.6">
      <c r="A4319" s="7">
        <v>24.719141400000002</v>
      </c>
      <c r="B4319" s="7">
        <v>34.756753400000001</v>
      </c>
      <c r="C4319" s="7">
        <v>677692.56</v>
      </c>
      <c r="D4319" s="7">
        <v>2734988.65</v>
      </c>
      <c r="E4319" s="7">
        <v>461.07</v>
      </c>
      <c r="F4319" s="7">
        <v>41784.160000000003</v>
      </c>
      <c r="G4319" s="7">
        <v>84412</v>
      </c>
      <c r="H4319" s="7">
        <f t="shared" si="114"/>
        <v>41734.160000000003</v>
      </c>
      <c r="I4319" s="15"/>
    </row>
    <row r="4320" spans="1:9" s="8" customFormat="1" ht="21" customHeight="1" x14ac:dyDescent="0.6">
      <c r="A4320" s="7">
        <v>24.719165100000001</v>
      </c>
      <c r="B4320" s="7">
        <v>34.756764400000002</v>
      </c>
      <c r="C4320" s="7">
        <v>677693.64</v>
      </c>
      <c r="D4320" s="7">
        <v>2734991.29</v>
      </c>
      <c r="E4320" s="7">
        <v>460.88</v>
      </c>
      <c r="F4320" s="7">
        <v>41780.61</v>
      </c>
      <c r="G4320" s="7">
        <v>84414</v>
      </c>
      <c r="H4320" s="7">
        <f t="shared" si="114"/>
        <v>41730.61</v>
      </c>
      <c r="I4320" s="15"/>
    </row>
    <row r="4321" spans="1:9" s="8" customFormat="1" ht="21" customHeight="1" x14ac:dyDescent="0.6">
      <c r="A4321" s="7">
        <v>24.7191911</v>
      </c>
      <c r="B4321" s="7">
        <v>34.7567691</v>
      </c>
      <c r="C4321" s="7">
        <v>677694.08</v>
      </c>
      <c r="D4321" s="7">
        <v>2734994.17</v>
      </c>
      <c r="E4321" s="7">
        <v>460.76</v>
      </c>
      <c r="F4321" s="7">
        <v>41802.61</v>
      </c>
      <c r="G4321" s="7">
        <v>84416</v>
      </c>
      <c r="H4321" s="7">
        <f t="shared" si="114"/>
        <v>41752.61</v>
      </c>
      <c r="I4321" s="15"/>
    </row>
    <row r="4322" spans="1:9" s="8" customFormat="1" ht="21" customHeight="1" x14ac:dyDescent="0.6">
      <c r="A4322" s="7">
        <v>24.7192167</v>
      </c>
      <c r="B4322" s="7">
        <v>34.756769900000002</v>
      </c>
      <c r="C4322" s="7">
        <v>677694.12</v>
      </c>
      <c r="D4322" s="7">
        <v>2734997.01</v>
      </c>
      <c r="E4322" s="7">
        <v>460.74</v>
      </c>
      <c r="F4322" s="7">
        <v>41818.46</v>
      </c>
      <c r="G4322" s="7">
        <v>84418</v>
      </c>
      <c r="H4322" s="7">
        <f t="shared" si="114"/>
        <v>41768.46</v>
      </c>
      <c r="I4322" s="15"/>
    </row>
    <row r="4323" spans="1:9" s="8" customFormat="1" ht="21" customHeight="1" x14ac:dyDescent="0.6">
      <c r="A4323" s="7">
        <v>24.719241199999999</v>
      </c>
      <c r="B4323" s="7">
        <v>34.756767400000001</v>
      </c>
      <c r="C4323" s="7">
        <v>677693.83</v>
      </c>
      <c r="D4323" s="7">
        <v>2734999.72</v>
      </c>
      <c r="E4323" s="7">
        <v>460.6</v>
      </c>
      <c r="F4323" s="7">
        <v>41782.21</v>
      </c>
      <c r="G4323" s="7">
        <v>84420</v>
      </c>
      <c r="H4323" s="7">
        <f t="shared" si="114"/>
        <v>41732.21</v>
      </c>
      <c r="I4323" s="15"/>
    </row>
    <row r="4324" spans="1:9" s="8" customFormat="1" ht="21" customHeight="1" x14ac:dyDescent="0.6">
      <c r="A4324" s="7">
        <v>24.7192662</v>
      </c>
      <c r="B4324" s="7">
        <v>34.756768800000003</v>
      </c>
      <c r="C4324" s="7">
        <v>677693.94</v>
      </c>
      <c r="D4324" s="7">
        <v>2735002.49</v>
      </c>
      <c r="E4324" s="7">
        <v>460.36</v>
      </c>
      <c r="F4324" s="7">
        <v>41789.58</v>
      </c>
      <c r="G4324" s="7">
        <v>84422</v>
      </c>
      <c r="H4324" s="7">
        <f t="shared" si="114"/>
        <v>41739.58</v>
      </c>
      <c r="I4324" s="15"/>
    </row>
    <row r="4325" spans="1:9" s="8" customFormat="1" ht="21" customHeight="1" x14ac:dyDescent="0.6">
      <c r="A4325" s="7">
        <v>24.719293</v>
      </c>
      <c r="B4325" s="7">
        <v>34.756770299999999</v>
      </c>
      <c r="C4325" s="7">
        <v>677694.06</v>
      </c>
      <c r="D4325" s="7">
        <v>2735005.46</v>
      </c>
      <c r="E4325" s="7">
        <v>460.17</v>
      </c>
      <c r="F4325" s="7">
        <v>41787.94</v>
      </c>
      <c r="G4325" s="7">
        <v>84424</v>
      </c>
      <c r="H4325" s="7">
        <f t="shared" si="114"/>
        <v>41737.94</v>
      </c>
      <c r="I4325" s="15"/>
    </row>
    <row r="4326" spans="1:9" s="8" customFormat="1" ht="21" customHeight="1" x14ac:dyDescent="0.6">
      <c r="A4326" s="7">
        <v>24.719318399999999</v>
      </c>
      <c r="B4326" s="7">
        <v>34.756775699999999</v>
      </c>
      <c r="C4326" s="7">
        <v>677694.56</v>
      </c>
      <c r="D4326" s="7">
        <v>2735008.29</v>
      </c>
      <c r="E4326" s="7">
        <v>460.09</v>
      </c>
      <c r="F4326" s="7">
        <v>41785.4</v>
      </c>
      <c r="G4326" s="7">
        <v>84426</v>
      </c>
      <c r="H4326" s="7">
        <f t="shared" si="114"/>
        <v>41735.4</v>
      </c>
      <c r="I4326" s="15"/>
    </row>
    <row r="4327" spans="1:9" s="8" customFormat="1" ht="21" customHeight="1" x14ac:dyDescent="0.6">
      <c r="A4327" s="7">
        <v>24.7193425</v>
      </c>
      <c r="B4327" s="7">
        <v>34.756780999999997</v>
      </c>
      <c r="C4327" s="7">
        <v>677695.07</v>
      </c>
      <c r="D4327" s="7">
        <v>2735010.96</v>
      </c>
      <c r="E4327" s="7">
        <v>460.08</v>
      </c>
      <c r="F4327" s="7">
        <v>41775.26</v>
      </c>
      <c r="G4327" s="7">
        <v>84428</v>
      </c>
      <c r="H4327" s="7">
        <f t="shared" si="114"/>
        <v>41725.26</v>
      </c>
      <c r="I4327" s="15"/>
    </row>
    <row r="4328" spans="1:9" s="8" customFormat="1" ht="21" customHeight="1" x14ac:dyDescent="0.6">
      <c r="A4328" s="7">
        <v>24.719367900000002</v>
      </c>
      <c r="B4328" s="7">
        <v>34.756783300000002</v>
      </c>
      <c r="C4328" s="7">
        <v>677695.26</v>
      </c>
      <c r="D4328" s="7">
        <v>2735013.78</v>
      </c>
      <c r="E4328" s="7">
        <v>459.94</v>
      </c>
      <c r="F4328" s="7">
        <v>41812.080000000002</v>
      </c>
      <c r="G4328" s="7">
        <v>84430</v>
      </c>
      <c r="H4328" s="7">
        <f t="shared" si="114"/>
        <v>41762.080000000002</v>
      </c>
      <c r="I4328" s="15"/>
    </row>
    <row r="4329" spans="1:9" s="8" customFormat="1" ht="21" customHeight="1" x14ac:dyDescent="0.6">
      <c r="A4329" s="7">
        <v>24.719392200000001</v>
      </c>
      <c r="B4329" s="7">
        <v>34.756785399999998</v>
      </c>
      <c r="C4329" s="7">
        <v>677695.44</v>
      </c>
      <c r="D4329" s="7">
        <v>2735016.47</v>
      </c>
      <c r="E4329" s="7">
        <v>459.79</v>
      </c>
      <c r="F4329" s="7">
        <v>41791.449999999997</v>
      </c>
      <c r="G4329" s="7">
        <v>84432</v>
      </c>
      <c r="H4329" s="7">
        <f t="shared" si="114"/>
        <v>41741.449999999997</v>
      </c>
      <c r="I4329" s="15"/>
    </row>
    <row r="4330" spans="1:9" s="8" customFormat="1" ht="21" customHeight="1" x14ac:dyDescent="0.6">
      <c r="A4330" s="7">
        <v>24.7194146</v>
      </c>
      <c r="B4330" s="7">
        <v>34.756779000000002</v>
      </c>
      <c r="C4330" s="7">
        <v>677694.76</v>
      </c>
      <c r="D4330" s="7">
        <v>2735018.94</v>
      </c>
      <c r="E4330" s="7">
        <v>459.64</v>
      </c>
      <c r="F4330" s="7">
        <v>41793.83</v>
      </c>
      <c r="G4330" s="7">
        <v>84434</v>
      </c>
      <c r="H4330" s="7">
        <f t="shared" si="114"/>
        <v>41743.83</v>
      </c>
      <c r="I4330" s="15"/>
    </row>
    <row r="4331" spans="1:9" s="8" customFormat="1" ht="21" customHeight="1" x14ac:dyDescent="0.6">
      <c r="A4331" s="7">
        <v>24.7194392</v>
      </c>
      <c r="B4331" s="7">
        <v>34.756774399999998</v>
      </c>
      <c r="C4331" s="7">
        <v>677694.27</v>
      </c>
      <c r="D4331" s="7">
        <v>2735021.66</v>
      </c>
      <c r="E4331" s="7">
        <v>459.5</v>
      </c>
      <c r="F4331" s="7">
        <v>41800.25</v>
      </c>
      <c r="G4331" s="7">
        <v>84436</v>
      </c>
      <c r="H4331" s="7">
        <f t="shared" si="114"/>
        <v>41750.25</v>
      </c>
      <c r="I4331" s="15"/>
    </row>
    <row r="4332" spans="1:9" s="8" customFormat="1" ht="21" customHeight="1" x14ac:dyDescent="0.6">
      <c r="A4332" s="7">
        <v>24.719463399999999</v>
      </c>
      <c r="B4332" s="7">
        <v>34.756776000000002</v>
      </c>
      <c r="C4332" s="7">
        <v>677694.39</v>
      </c>
      <c r="D4332" s="7">
        <v>2735024.35</v>
      </c>
      <c r="E4332" s="7">
        <v>459.18</v>
      </c>
      <c r="F4332" s="7">
        <v>41801.14</v>
      </c>
      <c r="G4332" s="7">
        <v>84438</v>
      </c>
      <c r="H4332" s="7">
        <f t="shared" si="114"/>
        <v>41751.14</v>
      </c>
      <c r="I4332" s="15"/>
    </row>
    <row r="4333" spans="1:9" s="8" customFormat="1" ht="21" customHeight="1" x14ac:dyDescent="0.6">
      <c r="A4333" s="7">
        <v>24.719483400000001</v>
      </c>
      <c r="B4333" s="7">
        <v>34.756777499999998</v>
      </c>
      <c r="C4333" s="7">
        <v>677694.52</v>
      </c>
      <c r="D4333" s="7">
        <v>2735026.56</v>
      </c>
      <c r="E4333" s="7">
        <v>459.03</v>
      </c>
      <c r="F4333" s="7">
        <v>41809.129999999997</v>
      </c>
      <c r="G4333" s="7">
        <v>84440</v>
      </c>
      <c r="H4333" s="7">
        <f t="shared" si="114"/>
        <v>41759.129999999997</v>
      </c>
      <c r="I4333" s="15"/>
    </row>
    <row r="4334" spans="1:9" s="8" customFormat="1" ht="21" customHeight="1" x14ac:dyDescent="0.6">
      <c r="A4334" s="7">
        <v>24.7194991</v>
      </c>
      <c r="B4334" s="7">
        <v>34.756783499999997</v>
      </c>
      <c r="C4334" s="7">
        <v>677695.1</v>
      </c>
      <c r="D4334" s="7">
        <v>2735028.31</v>
      </c>
      <c r="E4334" s="7">
        <v>459</v>
      </c>
      <c r="F4334" s="7">
        <v>41811.910000000003</v>
      </c>
      <c r="G4334" s="7">
        <v>84442</v>
      </c>
      <c r="H4334" s="7">
        <f t="shared" si="114"/>
        <v>41761.910000000003</v>
      </c>
      <c r="I4334" s="15"/>
    </row>
    <row r="4335" spans="1:9" s="8" customFormat="1" ht="21" customHeight="1" x14ac:dyDescent="0.6">
      <c r="A4335" s="7">
        <v>24.719498999999999</v>
      </c>
      <c r="B4335" s="7">
        <v>34.7567849</v>
      </c>
      <c r="C4335" s="7">
        <v>677695.24</v>
      </c>
      <c r="D4335" s="7">
        <v>2735028.3</v>
      </c>
      <c r="E4335" s="7">
        <v>459</v>
      </c>
      <c r="F4335" s="7">
        <v>41811.480000000003</v>
      </c>
      <c r="G4335" s="7">
        <v>84444</v>
      </c>
      <c r="H4335" s="7">
        <f t="shared" si="114"/>
        <v>41761.480000000003</v>
      </c>
      <c r="I4335" s="15"/>
    </row>
    <row r="4336" spans="1:9" s="8" customFormat="1" ht="21" customHeight="1" x14ac:dyDescent="0.6">
      <c r="A4336" s="7">
        <v>24.7194985</v>
      </c>
      <c r="B4336" s="7">
        <v>34.756784799999998</v>
      </c>
      <c r="C4336" s="7">
        <v>677695.23</v>
      </c>
      <c r="D4336" s="7">
        <v>2735028.24</v>
      </c>
      <c r="E4336" s="7">
        <v>459</v>
      </c>
      <c r="F4336" s="7">
        <v>41811.370000000003</v>
      </c>
      <c r="G4336" s="7">
        <v>84446</v>
      </c>
      <c r="H4336" s="7">
        <f t="shared" si="114"/>
        <v>41761.370000000003</v>
      </c>
      <c r="I4336" s="15"/>
    </row>
    <row r="4337" spans="1:9" s="8" customFormat="1" ht="21" customHeight="1" x14ac:dyDescent="0.6">
      <c r="A4337" s="7">
        <v>24.719498300000001</v>
      </c>
      <c r="B4337" s="7">
        <v>34.756784400000001</v>
      </c>
      <c r="C4337" s="7">
        <v>677695.19</v>
      </c>
      <c r="D4337" s="7">
        <v>2735028.22</v>
      </c>
      <c r="E4337" s="7">
        <v>458.99</v>
      </c>
      <c r="F4337" s="7">
        <v>41811.300000000003</v>
      </c>
      <c r="G4337" s="7">
        <v>84448</v>
      </c>
      <c r="H4337" s="7">
        <f t="shared" si="114"/>
        <v>41761.300000000003</v>
      </c>
      <c r="I4337" s="15"/>
    </row>
    <row r="4338" spans="1:9" s="8" customFormat="1" ht="21" customHeight="1" x14ac:dyDescent="0.6">
      <c r="A4338" s="7">
        <v>24.7195058</v>
      </c>
      <c r="B4338" s="7">
        <v>34.7567813</v>
      </c>
      <c r="C4338" s="7">
        <v>677694.86</v>
      </c>
      <c r="D4338" s="7">
        <v>2735029.04</v>
      </c>
      <c r="E4338" s="7">
        <v>459.11</v>
      </c>
      <c r="F4338" s="7">
        <v>41807.64</v>
      </c>
      <c r="G4338" s="7">
        <v>84450</v>
      </c>
      <c r="H4338" s="7">
        <f t="shared" si="114"/>
        <v>41757.64</v>
      </c>
      <c r="I4338" s="15"/>
    </row>
    <row r="4339" spans="1:9" s="8" customFormat="1" ht="21" customHeight="1" x14ac:dyDescent="0.6">
      <c r="A4339" s="7">
        <v>24.719522300000001</v>
      </c>
      <c r="B4339" s="7">
        <v>34.756768899999997</v>
      </c>
      <c r="C4339" s="7">
        <v>677693.59</v>
      </c>
      <c r="D4339" s="7">
        <v>2735030.86</v>
      </c>
      <c r="E4339" s="7">
        <v>459.13</v>
      </c>
      <c r="F4339" s="7">
        <v>41805.730000000003</v>
      </c>
      <c r="G4339" s="7">
        <v>84452</v>
      </c>
      <c r="H4339" s="7">
        <f t="shared" si="114"/>
        <v>41755.730000000003</v>
      </c>
      <c r="I4339" s="15"/>
    </row>
    <row r="4340" spans="1:9" s="8" customFormat="1" ht="21" customHeight="1" x14ac:dyDescent="0.6">
      <c r="A4340" s="7">
        <v>24.719542100000002</v>
      </c>
      <c r="B4340" s="7">
        <v>34.756752200000001</v>
      </c>
      <c r="C4340" s="7">
        <v>677691.87</v>
      </c>
      <c r="D4340" s="7">
        <v>2735033.03</v>
      </c>
      <c r="E4340" s="7">
        <v>459.03</v>
      </c>
      <c r="F4340" s="7">
        <v>41805.440000000002</v>
      </c>
      <c r="G4340" s="7">
        <v>84454</v>
      </c>
      <c r="H4340" s="7">
        <f t="shared" si="114"/>
        <v>41755.440000000002</v>
      </c>
      <c r="I4340" s="15"/>
    </row>
    <row r="4341" spans="1:9" s="8" customFormat="1" ht="21" customHeight="1" x14ac:dyDescent="0.6">
      <c r="A4341" s="7">
        <v>24.719565899999999</v>
      </c>
      <c r="B4341" s="7">
        <v>34.756742799999998</v>
      </c>
      <c r="C4341" s="7">
        <v>677690.88</v>
      </c>
      <c r="D4341" s="7">
        <v>2735035.65</v>
      </c>
      <c r="E4341" s="7">
        <v>459.05</v>
      </c>
      <c r="F4341" s="7">
        <v>41808.54</v>
      </c>
      <c r="G4341" s="7">
        <v>84456</v>
      </c>
      <c r="H4341" s="7">
        <f t="shared" si="114"/>
        <v>41758.54</v>
      </c>
      <c r="I4341" s="15"/>
    </row>
    <row r="4342" spans="1:9" s="8" customFormat="1" ht="21" customHeight="1" x14ac:dyDescent="0.6">
      <c r="A4342" s="7">
        <v>24.7195824</v>
      </c>
      <c r="B4342" s="7">
        <v>34.756729700000001</v>
      </c>
      <c r="C4342" s="7">
        <v>677689.54</v>
      </c>
      <c r="D4342" s="7">
        <v>2735037.46</v>
      </c>
      <c r="E4342" s="7">
        <v>459</v>
      </c>
      <c r="F4342" s="7">
        <v>41824.69</v>
      </c>
      <c r="G4342" s="7">
        <v>84458</v>
      </c>
      <c r="H4342" s="7">
        <f t="shared" si="114"/>
        <v>41774.69</v>
      </c>
      <c r="I4342" s="15"/>
    </row>
    <row r="4343" spans="1:9" s="8" customFormat="1" ht="21" customHeight="1" x14ac:dyDescent="0.6">
      <c r="A4343" s="7">
        <v>24.7195991</v>
      </c>
      <c r="B4343" s="7">
        <v>34.756716500000003</v>
      </c>
      <c r="C4343" s="7">
        <v>677688.18</v>
      </c>
      <c r="D4343" s="7">
        <v>2735039.29</v>
      </c>
      <c r="E4343" s="7">
        <v>459.25</v>
      </c>
      <c r="F4343" s="7">
        <v>41830.19</v>
      </c>
      <c r="G4343" s="7">
        <v>84500</v>
      </c>
      <c r="H4343" s="7">
        <f t="shared" si="114"/>
        <v>41780.19</v>
      </c>
      <c r="I4343" s="15"/>
    </row>
    <row r="4344" spans="1:9" s="8" customFormat="1" ht="21" customHeight="1" x14ac:dyDescent="0.6">
      <c r="A4344" s="7">
        <v>24.719606899999999</v>
      </c>
      <c r="B4344" s="7">
        <v>34.756706700000002</v>
      </c>
      <c r="C4344" s="7">
        <v>677687.17</v>
      </c>
      <c r="D4344" s="7">
        <v>2735040.15</v>
      </c>
      <c r="E4344" s="7">
        <v>459.4</v>
      </c>
      <c r="F4344" s="7">
        <v>41828.93</v>
      </c>
      <c r="G4344" s="7">
        <v>84502</v>
      </c>
      <c r="H4344" s="7">
        <f t="shared" si="114"/>
        <v>41778.93</v>
      </c>
      <c r="I4344" s="15"/>
    </row>
    <row r="4345" spans="1:9" s="8" customFormat="1" ht="21" customHeight="1" x14ac:dyDescent="0.6">
      <c r="A4345" s="7">
        <v>24.719616299999998</v>
      </c>
      <c r="B4345" s="7">
        <v>34.756698999999998</v>
      </c>
      <c r="C4345" s="7">
        <v>677686.38</v>
      </c>
      <c r="D4345" s="7">
        <v>2735041.18</v>
      </c>
      <c r="E4345" s="7">
        <v>459.45</v>
      </c>
      <c r="F4345" s="7">
        <v>41834.800000000003</v>
      </c>
      <c r="G4345" s="7">
        <v>84504</v>
      </c>
      <c r="H4345" s="7">
        <f t="shared" si="114"/>
        <v>41784.800000000003</v>
      </c>
      <c r="I4345" s="15"/>
    </row>
    <row r="4346" spans="1:9" s="8" customFormat="1" ht="21" customHeight="1" x14ac:dyDescent="0.6">
      <c r="A4346" s="7">
        <v>24.719633399999999</v>
      </c>
      <c r="B4346" s="7">
        <v>34.7566834</v>
      </c>
      <c r="C4346" s="7">
        <v>677684.78</v>
      </c>
      <c r="D4346" s="7">
        <v>2735043.05</v>
      </c>
      <c r="E4346" s="7">
        <v>459.64</v>
      </c>
      <c r="F4346" s="7">
        <v>41829.43</v>
      </c>
      <c r="G4346" s="7">
        <v>84506</v>
      </c>
      <c r="H4346" s="7">
        <f t="shared" si="114"/>
        <v>41779.43</v>
      </c>
      <c r="I4346" s="15"/>
    </row>
    <row r="4347" spans="1:9" s="8" customFormat="1" ht="21" customHeight="1" x14ac:dyDescent="0.6">
      <c r="A4347" s="7">
        <v>24.7196505</v>
      </c>
      <c r="B4347" s="7">
        <v>34.756667800000002</v>
      </c>
      <c r="C4347" s="7">
        <v>677683.18</v>
      </c>
      <c r="D4347" s="7">
        <v>2735044.92</v>
      </c>
      <c r="E4347" s="7">
        <v>459.63</v>
      </c>
      <c r="F4347" s="7">
        <v>41805.18</v>
      </c>
      <c r="G4347" s="7">
        <v>84508</v>
      </c>
      <c r="H4347" s="7">
        <f t="shared" si="114"/>
        <v>41755.18</v>
      </c>
      <c r="I4347" s="15"/>
    </row>
    <row r="4348" spans="1:9" s="8" customFormat="1" ht="21" customHeight="1" x14ac:dyDescent="0.6">
      <c r="A4348" s="7">
        <v>24.719669799999998</v>
      </c>
      <c r="B4348" s="7">
        <v>34.756653</v>
      </c>
      <c r="C4348" s="7">
        <v>677681.65</v>
      </c>
      <c r="D4348" s="7">
        <v>2735047.05</v>
      </c>
      <c r="E4348" s="7">
        <v>459.7</v>
      </c>
      <c r="F4348" s="7">
        <v>41818.400000000001</v>
      </c>
      <c r="G4348" s="7">
        <v>84510</v>
      </c>
      <c r="H4348" s="7">
        <f t="shared" si="114"/>
        <v>41768.400000000001</v>
      </c>
      <c r="I4348" s="15"/>
    </row>
    <row r="4349" spans="1:9" s="8" customFormat="1" ht="21" customHeight="1" x14ac:dyDescent="0.6">
      <c r="A4349" s="7">
        <v>24.719692500000001</v>
      </c>
      <c r="B4349" s="7">
        <v>34.756643599999997</v>
      </c>
      <c r="C4349" s="7">
        <v>677680.67</v>
      </c>
      <c r="D4349" s="7">
        <v>2735049.55</v>
      </c>
      <c r="E4349" s="7">
        <v>459.63</v>
      </c>
      <c r="F4349" s="7">
        <v>41808.199999999997</v>
      </c>
      <c r="G4349" s="7">
        <v>84512</v>
      </c>
      <c r="H4349" s="7">
        <f t="shared" si="114"/>
        <v>41758.199999999997</v>
      </c>
      <c r="I4349" s="15"/>
    </row>
    <row r="4350" spans="1:9" s="8" customFormat="1" ht="21" customHeight="1" x14ac:dyDescent="0.6">
      <c r="A4350" s="7">
        <v>24.7197134</v>
      </c>
      <c r="B4350" s="7">
        <v>34.756629400000001</v>
      </c>
      <c r="C4350" s="7">
        <v>677679.2</v>
      </c>
      <c r="D4350" s="7">
        <v>2735051.84</v>
      </c>
      <c r="E4350" s="7">
        <v>459.46</v>
      </c>
      <c r="F4350" s="7">
        <v>41810.79</v>
      </c>
      <c r="G4350" s="7">
        <v>84514</v>
      </c>
      <c r="H4350" s="7">
        <f t="shared" si="114"/>
        <v>41760.79</v>
      </c>
      <c r="I4350" s="15"/>
    </row>
    <row r="4351" spans="1:9" s="8" customFormat="1" ht="21" customHeight="1" x14ac:dyDescent="0.6">
      <c r="A4351" s="7">
        <v>24.7197307</v>
      </c>
      <c r="B4351" s="7">
        <v>34.756608999999997</v>
      </c>
      <c r="C4351" s="7">
        <v>677677.12</v>
      </c>
      <c r="D4351" s="7">
        <v>2735053.73</v>
      </c>
      <c r="E4351" s="7">
        <v>459.48</v>
      </c>
      <c r="F4351" s="7">
        <v>41808.019999999997</v>
      </c>
      <c r="G4351" s="7">
        <v>84516</v>
      </c>
      <c r="H4351" s="7">
        <f t="shared" si="114"/>
        <v>41758.019999999997</v>
      </c>
      <c r="I4351" s="15"/>
    </row>
    <row r="4352" spans="1:9" s="8" customFormat="1" ht="21" customHeight="1" x14ac:dyDescent="0.6">
      <c r="A4352" s="7">
        <v>24.719748899999999</v>
      </c>
      <c r="B4352" s="7">
        <v>34.756588700000002</v>
      </c>
      <c r="C4352" s="7">
        <v>677675.03</v>
      </c>
      <c r="D4352" s="7">
        <v>2735055.72</v>
      </c>
      <c r="E4352" s="7">
        <v>459.32</v>
      </c>
      <c r="F4352" s="7">
        <v>41812.85</v>
      </c>
      <c r="G4352" s="7">
        <v>84518</v>
      </c>
      <c r="H4352" s="7">
        <f t="shared" si="114"/>
        <v>41762.85</v>
      </c>
      <c r="I4352" s="15"/>
    </row>
    <row r="4353" spans="1:9" s="8" customFormat="1" ht="21" customHeight="1" x14ac:dyDescent="0.6">
      <c r="A4353" s="7">
        <v>24.719768500000001</v>
      </c>
      <c r="B4353" s="7">
        <v>34.7565746</v>
      </c>
      <c r="C4353" s="7">
        <v>677673.58</v>
      </c>
      <c r="D4353" s="7">
        <v>2735057.88</v>
      </c>
      <c r="E4353" s="7">
        <v>458.98</v>
      </c>
      <c r="F4353" s="7">
        <v>41817.339999999997</v>
      </c>
      <c r="G4353" s="7">
        <v>84520</v>
      </c>
      <c r="H4353" s="7">
        <f t="shared" si="114"/>
        <v>41767.339999999997</v>
      </c>
      <c r="I4353" s="15"/>
    </row>
    <row r="4354" spans="1:9" s="8" customFormat="1" ht="21" customHeight="1" x14ac:dyDescent="0.6">
      <c r="A4354" s="7">
        <v>24.719784499999999</v>
      </c>
      <c r="B4354" s="7">
        <v>34.756554999999999</v>
      </c>
      <c r="C4354" s="7">
        <v>677671.57</v>
      </c>
      <c r="D4354" s="7">
        <v>2735059.63</v>
      </c>
      <c r="E4354" s="7">
        <v>459.06</v>
      </c>
      <c r="F4354" s="7">
        <v>41827.31</v>
      </c>
      <c r="G4354" s="7">
        <v>84522</v>
      </c>
      <c r="H4354" s="7">
        <f t="shared" si="114"/>
        <v>41777.31</v>
      </c>
      <c r="I4354" s="15"/>
    </row>
    <row r="4355" spans="1:9" s="8" customFormat="1" ht="21" customHeight="1" x14ac:dyDescent="0.6">
      <c r="A4355" s="7">
        <v>24.719796200000001</v>
      </c>
      <c r="B4355" s="7">
        <v>34.7565302</v>
      </c>
      <c r="C4355" s="7">
        <v>677669.05</v>
      </c>
      <c r="D4355" s="7">
        <v>2735060.89</v>
      </c>
      <c r="E4355" s="7">
        <v>459.17</v>
      </c>
      <c r="F4355" s="7">
        <v>41814.99</v>
      </c>
      <c r="G4355" s="7">
        <v>84524</v>
      </c>
      <c r="H4355" s="7">
        <f t="shared" si="114"/>
        <v>41764.99</v>
      </c>
      <c r="I4355" s="15"/>
    </row>
    <row r="4356" spans="1:9" s="8" customFormat="1" ht="21" customHeight="1" x14ac:dyDescent="0.6">
      <c r="A4356" s="7">
        <v>24.7198116</v>
      </c>
      <c r="B4356" s="7">
        <v>34.756507499999998</v>
      </c>
      <c r="C4356" s="7">
        <v>677666.73</v>
      </c>
      <c r="D4356" s="7">
        <v>2735062.56</v>
      </c>
      <c r="E4356" s="7">
        <v>459.28</v>
      </c>
      <c r="F4356" s="7">
        <v>41841.21</v>
      </c>
      <c r="G4356" s="7">
        <v>84526</v>
      </c>
      <c r="H4356" s="7">
        <f t="shared" si="114"/>
        <v>41791.21</v>
      </c>
      <c r="I4356" s="15"/>
    </row>
    <row r="4357" spans="1:9" s="8" customFormat="1" ht="21" customHeight="1" x14ac:dyDescent="0.6">
      <c r="A4357" s="7">
        <v>24.719827599999999</v>
      </c>
      <c r="B4357" s="7">
        <v>34.756485400000003</v>
      </c>
      <c r="C4357" s="7">
        <v>677664.47</v>
      </c>
      <c r="D4357" s="7">
        <v>2735064.3</v>
      </c>
      <c r="E4357" s="7">
        <v>459.56</v>
      </c>
      <c r="F4357" s="7">
        <v>41832.01</v>
      </c>
      <c r="G4357" s="7">
        <v>84528</v>
      </c>
      <c r="H4357" s="7">
        <f t="shared" si="114"/>
        <v>41782.01</v>
      </c>
      <c r="I4357" s="15"/>
    </row>
    <row r="4358" spans="1:9" s="8" customFormat="1" ht="21" customHeight="1" x14ac:dyDescent="0.6">
      <c r="A4358" s="7">
        <v>24.719840099999999</v>
      </c>
      <c r="B4358" s="7">
        <v>34.7564615</v>
      </c>
      <c r="C4358" s="7">
        <v>677662.04</v>
      </c>
      <c r="D4358" s="7">
        <v>2735065.66</v>
      </c>
      <c r="E4358" s="7">
        <v>459.71</v>
      </c>
      <c r="F4358" s="7">
        <v>41835.19</v>
      </c>
      <c r="G4358" s="7">
        <v>84530</v>
      </c>
      <c r="H4358" s="7">
        <f t="shared" si="114"/>
        <v>41785.19</v>
      </c>
      <c r="I4358" s="15"/>
    </row>
    <row r="4359" spans="1:9" s="8" customFormat="1" ht="21" customHeight="1" x14ac:dyDescent="0.6">
      <c r="A4359" s="7">
        <v>24.719852800000002</v>
      </c>
      <c r="B4359" s="7">
        <v>34.756435500000002</v>
      </c>
      <c r="C4359" s="7">
        <v>677659.39</v>
      </c>
      <c r="D4359" s="7">
        <v>2735067.03</v>
      </c>
      <c r="E4359" s="7">
        <v>459.85</v>
      </c>
      <c r="F4359" s="7">
        <v>41838.83</v>
      </c>
      <c r="G4359" s="7">
        <v>84532</v>
      </c>
      <c r="H4359" s="7">
        <f t="shared" si="114"/>
        <v>41788.83</v>
      </c>
      <c r="I4359" s="15"/>
    </row>
    <row r="4360" spans="1:9" s="8" customFormat="1" ht="21" customHeight="1" x14ac:dyDescent="0.6">
      <c r="A4360" s="7">
        <v>24.719866199999998</v>
      </c>
      <c r="B4360" s="7">
        <v>34.756410299999999</v>
      </c>
      <c r="C4360" s="7">
        <v>677656.82</v>
      </c>
      <c r="D4360" s="7">
        <v>2735068.48</v>
      </c>
      <c r="E4360" s="7">
        <v>459.86</v>
      </c>
      <c r="F4360" s="7">
        <v>41841.879999999997</v>
      </c>
      <c r="G4360" s="7">
        <v>84534</v>
      </c>
      <c r="H4360" s="7">
        <f t="shared" si="114"/>
        <v>41791.879999999997</v>
      </c>
      <c r="I4360" s="15"/>
    </row>
    <row r="4361" spans="1:9" s="8" customFormat="1" ht="21" customHeight="1" x14ac:dyDescent="0.6">
      <c r="A4361" s="7">
        <v>24.719878600000001</v>
      </c>
      <c r="B4361" s="7">
        <v>34.756384199999999</v>
      </c>
      <c r="C4361" s="7">
        <v>677654.16</v>
      </c>
      <c r="D4361" s="7">
        <v>2735069.83</v>
      </c>
      <c r="E4361" s="7">
        <v>459.93</v>
      </c>
      <c r="F4361" s="7">
        <v>41834.32</v>
      </c>
      <c r="G4361" s="7">
        <v>84536</v>
      </c>
      <c r="H4361" s="7">
        <f t="shared" si="114"/>
        <v>41784.32</v>
      </c>
      <c r="I4361" s="15"/>
    </row>
    <row r="4362" spans="1:9" s="8" customFormat="1" ht="21" customHeight="1" x14ac:dyDescent="0.6">
      <c r="A4362" s="7">
        <v>24.7198913</v>
      </c>
      <c r="B4362" s="7">
        <v>34.756359799999998</v>
      </c>
      <c r="C4362" s="7">
        <v>677651.68</v>
      </c>
      <c r="D4362" s="7">
        <v>2735071.2</v>
      </c>
      <c r="E4362" s="7">
        <v>460.02</v>
      </c>
      <c r="F4362" s="7">
        <v>41841.120000000003</v>
      </c>
      <c r="G4362" s="7">
        <v>84538</v>
      </c>
      <c r="H4362" s="7">
        <f t="shared" si="114"/>
        <v>41791.120000000003</v>
      </c>
      <c r="I4362" s="15"/>
    </row>
    <row r="4363" spans="1:9" s="8" customFormat="1" ht="21" customHeight="1" x14ac:dyDescent="0.6">
      <c r="A4363" s="7">
        <v>24.719907200000002</v>
      </c>
      <c r="B4363" s="7">
        <v>34.756338999999997</v>
      </c>
      <c r="C4363" s="7">
        <v>677649.55</v>
      </c>
      <c r="D4363" s="7">
        <v>2735072.93</v>
      </c>
      <c r="E4363" s="7">
        <v>460.23</v>
      </c>
      <c r="F4363" s="7">
        <v>41822.94</v>
      </c>
      <c r="G4363" s="7">
        <v>84540</v>
      </c>
      <c r="H4363" s="7">
        <f t="shared" si="114"/>
        <v>41772.94</v>
      </c>
      <c r="I4363" s="15"/>
    </row>
    <row r="4364" spans="1:9" s="8" customFormat="1" ht="21" customHeight="1" x14ac:dyDescent="0.6">
      <c r="A4364" s="7">
        <v>24.719921800000002</v>
      </c>
      <c r="B4364" s="7">
        <v>34.756316699999999</v>
      </c>
      <c r="C4364" s="7">
        <v>677647.28</v>
      </c>
      <c r="D4364" s="7">
        <v>2735074.52</v>
      </c>
      <c r="E4364" s="7">
        <v>460.39</v>
      </c>
      <c r="F4364" s="7">
        <v>41838.800000000003</v>
      </c>
      <c r="G4364" s="7">
        <v>84542</v>
      </c>
      <c r="H4364" s="7">
        <f t="shared" si="114"/>
        <v>41788.800000000003</v>
      </c>
      <c r="I4364" s="15"/>
    </row>
    <row r="4365" spans="1:9" s="8" customFormat="1" ht="21" customHeight="1" x14ac:dyDescent="0.6">
      <c r="A4365" s="7">
        <v>24.719939799999999</v>
      </c>
      <c r="B4365" s="7">
        <v>34.756297400000001</v>
      </c>
      <c r="C4365" s="7">
        <v>677645.29</v>
      </c>
      <c r="D4365" s="7">
        <v>2735076.49</v>
      </c>
      <c r="E4365" s="7">
        <v>460.57</v>
      </c>
      <c r="F4365" s="7">
        <v>41809.26</v>
      </c>
      <c r="G4365" s="7">
        <v>84544</v>
      </c>
      <c r="H4365" s="7">
        <f t="shared" si="114"/>
        <v>41759.26</v>
      </c>
      <c r="I4365" s="15"/>
    </row>
    <row r="4366" spans="1:9" s="8" customFormat="1" ht="21" customHeight="1" x14ac:dyDescent="0.6">
      <c r="A4366" s="7">
        <v>24.719957600000001</v>
      </c>
      <c r="B4366" s="7">
        <v>34.756277099999998</v>
      </c>
      <c r="C4366" s="7">
        <v>677643.22</v>
      </c>
      <c r="D4366" s="7">
        <v>2735078.43</v>
      </c>
      <c r="E4366" s="7">
        <v>460.68</v>
      </c>
      <c r="F4366" s="7">
        <v>41820.69</v>
      </c>
      <c r="G4366" s="7">
        <v>84546</v>
      </c>
      <c r="H4366" s="7">
        <f t="shared" si="114"/>
        <v>41770.69</v>
      </c>
      <c r="I4366" s="15"/>
    </row>
    <row r="4367" spans="1:9" s="8" customFormat="1" ht="21" customHeight="1" x14ac:dyDescent="0.6">
      <c r="A4367" s="7">
        <v>24.719974100000002</v>
      </c>
      <c r="B4367" s="7">
        <v>34.7562572</v>
      </c>
      <c r="C4367" s="7">
        <v>677641.18</v>
      </c>
      <c r="D4367" s="7">
        <v>2735080.23</v>
      </c>
      <c r="E4367" s="7">
        <v>460.7</v>
      </c>
      <c r="F4367" s="7">
        <v>41818.68</v>
      </c>
      <c r="G4367" s="7">
        <v>84548</v>
      </c>
      <c r="H4367" s="7">
        <f t="shared" si="114"/>
        <v>41768.68</v>
      </c>
      <c r="I4367" s="15"/>
    </row>
    <row r="4368" spans="1:9" s="8" customFormat="1" ht="21" customHeight="1" x14ac:dyDescent="0.6">
      <c r="A4368" s="7">
        <v>24.719989600000002</v>
      </c>
      <c r="B4368" s="7">
        <v>34.756233100000003</v>
      </c>
      <c r="C4368" s="7">
        <v>677638.72</v>
      </c>
      <c r="D4368" s="7">
        <v>2735081.92</v>
      </c>
      <c r="E4368" s="7">
        <v>460.89</v>
      </c>
      <c r="F4368" s="7">
        <v>41815.129999999997</v>
      </c>
      <c r="G4368" s="7">
        <v>84550</v>
      </c>
      <c r="H4368" s="7">
        <f t="shared" si="114"/>
        <v>41765.129999999997</v>
      </c>
      <c r="I4368" s="15"/>
    </row>
    <row r="4369" spans="1:9" s="8" customFormat="1" ht="21" customHeight="1" x14ac:dyDescent="0.6">
      <c r="A4369" s="7">
        <v>24.719999600000001</v>
      </c>
      <c r="B4369" s="7">
        <v>34.756208999999998</v>
      </c>
      <c r="C4369" s="7">
        <v>677636.26</v>
      </c>
      <c r="D4369" s="7">
        <v>2735082.99</v>
      </c>
      <c r="E4369" s="7">
        <v>461.06</v>
      </c>
      <c r="F4369" s="7">
        <v>41800.11</v>
      </c>
      <c r="G4369" s="7">
        <v>84552</v>
      </c>
      <c r="H4369" s="7">
        <f t="shared" si="114"/>
        <v>41750.11</v>
      </c>
      <c r="I4369" s="15"/>
    </row>
    <row r="4370" spans="1:9" s="8" customFormat="1" ht="21" customHeight="1" x14ac:dyDescent="0.6">
      <c r="A4370" s="7">
        <v>24.7200071</v>
      </c>
      <c r="B4370" s="7">
        <v>34.756182899999999</v>
      </c>
      <c r="C4370" s="7">
        <v>677633.61</v>
      </c>
      <c r="D4370" s="7">
        <v>2735083.79</v>
      </c>
      <c r="E4370" s="7">
        <v>461.08</v>
      </c>
      <c r="F4370" s="7">
        <v>41806.839999999997</v>
      </c>
      <c r="G4370" s="7">
        <v>84554</v>
      </c>
      <c r="H4370" s="7">
        <f t="shared" si="114"/>
        <v>41756.839999999997</v>
      </c>
      <c r="I4370" s="15"/>
    </row>
    <row r="4371" spans="1:9" s="8" customFormat="1" ht="21" customHeight="1" x14ac:dyDescent="0.6">
      <c r="A4371" s="7">
        <v>24.720011700000001</v>
      </c>
      <c r="B4371" s="7">
        <v>34.756156400000002</v>
      </c>
      <c r="C4371" s="7">
        <v>677630.93</v>
      </c>
      <c r="D4371" s="7">
        <v>2735084.27</v>
      </c>
      <c r="E4371" s="7">
        <v>461.11</v>
      </c>
      <c r="F4371" s="7">
        <v>41802.910000000003</v>
      </c>
      <c r="G4371" s="7">
        <v>84556</v>
      </c>
      <c r="H4371" s="7">
        <f t="shared" si="114"/>
        <v>41752.910000000003</v>
      </c>
      <c r="I4371" s="15"/>
    </row>
    <row r="4372" spans="1:9" s="8" customFormat="1" ht="21" customHeight="1" x14ac:dyDescent="0.6">
      <c r="A4372" s="7">
        <v>24.720029700000001</v>
      </c>
      <c r="B4372" s="7">
        <v>34.756137299999999</v>
      </c>
      <c r="C4372" s="7">
        <v>677628.97</v>
      </c>
      <c r="D4372" s="7">
        <v>2735086.24</v>
      </c>
      <c r="E4372" s="7">
        <v>461.05</v>
      </c>
      <c r="F4372" s="7">
        <v>41789.11</v>
      </c>
      <c r="G4372" s="7">
        <v>84558</v>
      </c>
      <c r="H4372" s="7">
        <f t="shared" ref="H4372:H4435" si="115">SUM(F4372-50)</f>
        <v>41739.11</v>
      </c>
      <c r="I4372" s="15"/>
    </row>
    <row r="4373" spans="1:9" s="8" customFormat="1" ht="21" customHeight="1" x14ac:dyDescent="0.6">
      <c r="A4373" s="7">
        <v>24.720049499999998</v>
      </c>
      <c r="B4373" s="7">
        <v>34.7561173</v>
      </c>
      <c r="C4373" s="7">
        <v>677626.91</v>
      </c>
      <c r="D4373" s="7">
        <v>2735088.4</v>
      </c>
      <c r="E4373" s="7">
        <v>460.91</v>
      </c>
      <c r="F4373" s="7">
        <v>41814.160000000003</v>
      </c>
      <c r="G4373" s="7">
        <v>84600</v>
      </c>
      <c r="H4373" s="7">
        <f t="shared" si="115"/>
        <v>41764.160000000003</v>
      </c>
      <c r="I4373" s="15"/>
    </row>
    <row r="4374" spans="1:9" s="8" customFormat="1" ht="21" customHeight="1" x14ac:dyDescent="0.6">
      <c r="A4374" s="7">
        <v>24.720055599999998</v>
      </c>
      <c r="B4374" s="7">
        <v>34.756091699999999</v>
      </c>
      <c r="C4374" s="7">
        <v>677624.31999999995</v>
      </c>
      <c r="D4374" s="7">
        <v>2735089.04</v>
      </c>
      <c r="E4374" s="7">
        <v>461.07</v>
      </c>
      <c r="F4374" s="7">
        <v>41819.51</v>
      </c>
      <c r="G4374" s="7">
        <v>84602</v>
      </c>
      <c r="H4374" s="7">
        <f t="shared" si="115"/>
        <v>41769.51</v>
      </c>
      <c r="I4374" s="15"/>
    </row>
    <row r="4375" spans="1:9" s="8" customFormat="1" ht="21" customHeight="1" x14ac:dyDescent="0.6">
      <c r="A4375" s="7">
        <v>24.720065300000002</v>
      </c>
      <c r="B4375" s="7">
        <v>34.756064600000002</v>
      </c>
      <c r="C4375" s="7">
        <v>677621.56</v>
      </c>
      <c r="D4375" s="7">
        <v>2735090.08</v>
      </c>
      <c r="E4375" s="7">
        <v>461.17</v>
      </c>
      <c r="F4375" s="7">
        <v>41830.620000000003</v>
      </c>
      <c r="G4375" s="7">
        <v>84604</v>
      </c>
      <c r="H4375" s="7">
        <f t="shared" si="115"/>
        <v>41780.620000000003</v>
      </c>
      <c r="I4375" s="15"/>
    </row>
    <row r="4376" spans="1:9" s="8" customFormat="1" ht="21" customHeight="1" x14ac:dyDescent="0.6">
      <c r="A4376" s="7">
        <v>24.720072699999999</v>
      </c>
      <c r="B4376" s="7">
        <v>34.756041799999998</v>
      </c>
      <c r="C4376" s="7">
        <v>677619.24</v>
      </c>
      <c r="D4376" s="7">
        <v>2735090.87</v>
      </c>
      <c r="E4376" s="7">
        <v>461.27</v>
      </c>
      <c r="F4376" s="7">
        <v>41837.53</v>
      </c>
      <c r="G4376" s="7">
        <v>84606</v>
      </c>
      <c r="H4376" s="7">
        <f t="shared" si="115"/>
        <v>41787.53</v>
      </c>
      <c r="I4376" s="15"/>
    </row>
    <row r="4377" spans="1:9" s="8" customFormat="1" ht="21" customHeight="1" x14ac:dyDescent="0.6">
      <c r="A4377" s="7">
        <v>24.720080500000002</v>
      </c>
      <c r="B4377" s="7">
        <v>34.756016700000004</v>
      </c>
      <c r="C4377" s="7">
        <v>677616.7</v>
      </c>
      <c r="D4377" s="7">
        <v>2735091.7</v>
      </c>
      <c r="E4377" s="7">
        <v>461.32</v>
      </c>
      <c r="F4377" s="7">
        <v>41838.050000000003</v>
      </c>
      <c r="G4377" s="7">
        <v>84608</v>
      </c>
      <c r="H4377" s="7">
        <f t="shared" si="115"/>
        <v>41788.050000000003</v>
      </c>
      <c r="I4377" s="15"/>
    </row>
    <row r="4378" spans="1:9" s="8" customFormat="1" ht="21" customHeight="1" x14ac:dyDescent="0.6">
      <c r="A4378" s="7">
        <v>24.7200861</v>
      </c>
      <c r="B4378" s="7">
        <v>34.755991100000003</v>
      </c>
      <c r="C4378" s="7">
        <v>677614.1</v>
      </c>
      <c r="D4378" s="7">
        <v>2735092.29</v>
      </c>
      <c r="E4378" s="7">
        <v>461.46</v>
      </c>
      <c r="F4378" s="7">
        <v>41857.79</v>
      </c>
      <c r="G4378" s="7">
        <v>84610</v>
      </c>
      <c r="H4378" s="7">
        <f t="shared" si="115"/>
        <v>41807.79</v>
      </c>
      <c r="I4378" s="15"/>
    </row>
    <row r="4379" spans="1:9" s="8" customFormat="1" ht="21" customHeight="1" x14ac:dyDescent="0.6">
      <c r="A4379" s="7">
        <v>24.720088400000002</v>
      </c>
      <c r="B4379" s="7">
        <v>34.755963299999998</v>
      </c>
      <c r="C4379" s="7">
        <v>677611.28</v>
      </c>
      <c r="D4379" s="7">
        <v>2735092.51</v>
      </c>
      <c r="E4379" s="7">
        <v>461.57</v>
      </c>
      <c r="F4379" s="7">
        <v>41852.58</v>
      </c>
      <c r="G4379" s="7">
        <v>84612</v>
      </c>
      <c r="H4379" s="7">
        <f t="shared" si="115"/>
        <v>41802.58</v>
      </c>
      <c r="I4379" s="15"/>
    </row>
    <row r="4380" spans="1:9" s="8" customFormat="1" ht="21" customHeight="1" x14ac:dyDescent="0.6">
      <c r="A4380" s="7">
        <v>24.720092300000001</v>
      </c>
      <c r="B4380" s="7">
        <v>34.755937099999997</v>
      </c>
      <c r="C4380" s="7">
        <v>677608.62</v>
      </c>
      <c r="D4380" s="7">
        <v>2735092.91</v>
      </c>
      <c r="E4380" s="7">
        <v>461.64</v>
      </c>
      <c r="F4380" s="7">
        <v>41856.5</v>
      </c>
      <c r="G4380" s="7">
        <v>84614</v>
      </c>
      <c r="H4380" s="7">
        <f t="shared" si="115"/>
        <v>41806.5</v>
      </c>
      <c r="I4380" s="15"/>
    </row>
    <row r="4381" spans="1:9" s="8" customFormat="1" ht="21" customHeight="1" x14ac:dyDescent="0.6">
      <c r="A4381" s="7">
        <v>24.720097899999999</v>
      </c>
      <c r="B4381" s="7">
        <v>34.755910299999996</v>
      </c>
      <c r="C4381" s="7">
        <v>677605.91</v>
      </c>
      <c r="D4381" s="7">
        <v>2735093.49</v>
      </c>
      <c r="E4381" s="7">
        <v>461.68</v>
      </c>
      <c r="F4381" s="7">
        <v>41866.07</v>
      </c>
      <c r="G4381" s="7">
        <v>84616</v>
      </c>
      <c r="H4381" s="7">
        <f t="shared" si="115"/>
        <v>41816.07</v>
      </c>
      <c r="I4381" s="15"/>
    </row>
    <row r="4382" spans="1:9" s="8" customFormat="1" ht="21" customHeight="1" x14ac:dyDescent="0.6">
      <c r="A4382" s="7">
        <v>24.720101</v>
      </c>
      <c r="B4382" s="7">
        <v>34.755884799999997</v>
      </c>
      <c r="C4382" s="7">
        <v>677603.32</v>
      </c>
      <c r="D4382" s="7">
        <v>2735093.81</v>
      </c>
      <c r="E4382" s="7">
        <v>461.85</v>
      </c>
      <c r="F4382" s="7">
        <v>41857.33</v>
      </c>
      <c r="G4382" s="7">
        <v>84618</v>
      </c>
      <c r="H4382" s="7">
        <f t="shared" si="115"/>
        <v>41807.33</v>
      </c>
      <c r="I4382" s="15"/>
    </row>
    <row r="4383" spans="1:9" s="8" customFormat="1" ht="21" customHeight="1" x14ac:dyDescent="0.6">
      <c r="A4383" s="7">
        <v>24.7201074</v>
      </c>
      <c r="B4383" s="7">
        <v>34.755861400000001</v>
      </c>
      <c r="C4383" s="7">
        <v>677600.95</v>
      </c>
      <c r="D4383" s="7">
        <v>2735094.49</v>
      </c>
      <c r="E4383" s="7">
        <v>462.15</v>
      </c>
      <c r="F4383" s="7">
        <v>41847.589999999997</v>
      </c>
      <c r="G4383" s="7">
        <v>84620</v>
      </c>
      <c r="H4383" s="7">
        <f t="shared" si="115"/>
        <v>41797.589999999997</v>
      </c>
      <c r="I4383" s="15"/>
    </row>
    <row r="4384" spans="1:9" s="8" customFormat="1" ht="21" customHeight="1" x14ac:dyDescent="0.6">
      <c r="A4384" s="7">
        <v>24.720113000000001</v>
      </c>
      <c r="B4384" s="7">
        <v>34.755837399999997</v>
      </c>
      <c r="C4384" s="7">
        <v>677598.51</v>
      </c>
      <c r="D4384" s="7">
        <v>2735095.08</v>
      </c>
      <c r="E4384" s="7">
        <v>462.16</v>
      </c>
      <c r="F4384" s="7">
        <v>41842.85</v>
      </c>
      <c r="G4384" s="7">
        <v>84622</v>
      </c>
      <c r="H4384" s="7">
        <f t="shared" si="115"/>
        <v>41792.85</v>
      </c>
      <c r="I4384" s="15"/>
    </row>
    <row r="4385" spans="1:9" s="8" customFormat="1" ht="21" customHeight="1" x14ac:dyDescent="0.6">
      <c r="A4385" s="7">
        <v>24.720126499999999</v>
      </c>
      <c r="B4385" s="7">
        <v>34.755816899999999</v>
      </c>
      <c r="C4385" s="7">
        <v>677596.41</v>
      </c>
      <c r="D4385" s="7">
        <v>2735096.54</v>
      </c>
      <c r="E4385" s="7">
        <v>462.27</v>
      </c>
      <c r="F4385" s="7">
        <v>41820.94</v>
      </c>
      <c r="G4385" s="7">
        <v>84624</v>
      </c>
      <c r="H4385" s="7">
        <f t="shared" si="115"/>
        <v>41770.94</v>
      </c>
      <c r="I4385" s="15"/>
    </row>
    <row r="4386" spans="1:9" s="8" customFormat="1" ht="21" customHeight="1" x14ac:dyDescent="0.6">
      <c r="A4386" s="7">
        <v>24.7201366</v>
      </c>
      <c r="B4386" s="7">
        <v>34.755792399999997</v>
      </c>
      <c r="C4386" s="7">
        <v>677593.92</v>
      </c>
      <c r="D4386" s="7">
        <v>2735097.63</v>
      </c>
      <c r="E4386" s="7">
        <v>462.44</v>
      </c>
      <c r="F4386" s="7">
        <v>41805.65</v>
      </c>
      <c r="G4386" s="7">
        <v>84626</v>
      </c>
      <c r="H4386" s="7">
        <f t="shared" si="115"/>
        <v>41755.65</v>
      </c>
      <c r="I4386" s="15"/>
    </row>
    <row r="4387" spans="1:9" s="8" customFormat="1" ht="21" customHeight="1" x14ac:dyDescent="0.6">
      <c r="A4387" s="7">
        <v>24.7201351</v>
      </c>
      <c r="B4387" s="7">
        <v>34.755768199999999</v>
      </c>
      <c r="C4387" s="7">
        <v>677591.47</v>
      </c>
      <c r="D4387" s="7">
        <v>2735097.43</v>
      </c>
      <c r="E4387" s="7">
        <v>462.71</v>
      </c>
      <c r="F4387" s="7">
        <v>41822.589999999997</v>
      </c>
      <c r="G4387" s="7">
        <v>84628</v>
      </c>
      <c r="H4387" s="7">
        <f t="shared" si="115"/>
        <v>41772.589999999997</v>
      </c>
      <c r="I4387" s="15"/>
    </row>
    <row r="4388" spans="1:9" s="8" customFormat="1" ht="21" customHeight="1" x14ac:dyDescent="0.6">
      <c r="A4388" s="7">
        <v>24.720126499999999</v>
      </c>
      <c r="B4388" s="7">
        <v>34.755744700000001</v>
      </c>
      <c r="C4388" s="7">
        <v>677589.11</v>
      </c>
      <c r="D4388" s="7">
        <v>2735096.45</v>
      </c>
      <c r="E4388" s="7">
        <v>462.9</v>
      </c>
      <c r="F4388" s="7">
        <v>41806.589999999997</v>
      </c>
      <c r="G4388" s="7">
        <v>84630</v>
      </c>
      <c r="H4388" s="7">
        <f t="shared" si="115"/>
        <v>41756.589999999997</v>
      </c>
      <c r="I4388" s="15"/>
    </row>
    <row r="4389" spans="1:9" s="8" customFormat="1" ht="21" customHeight="1" x14ac:dyDescent="0.6">
      <c r="A4389" s="7">
        <v>24.720119100000002</v>
      </c>
      <c r="B4389" s="7">
        <v>34.755720599999997</v>
      </c>
      <c r="C4389" s="7">
        <v>677586.69</v>
      </c>
      <c r="D4389" s="7">
        <v>2735095.6</v>
      </c>
      <c r="E4389" s="7">
        <v>463.15</v>
      </c>
      <c r="F4389" s="7">
        <v>41833.300000000003</v>
      </c>
      <c r="G4389" s="7">
        <v>84632</v>
      </c>
      <c r="H4389" s="7">
        <f t="shared" si="115"/>
        <v>41783.300000000003</v>
      </c>
      <c r="I4389" s="15"/>
    </row>
    <row r="4390" spans="1:9" s="8" customFormat="1" ht="21" customHeight="1" x14ac:dyDescent="0.6">
      <c r="A4390" s="7">
        <v>24.7201092</v>
      </c>
      <c r="B4390" s="7">
        <v>34.755695799999998</v>
      </c>
      <c r="C4390" s="7">
        <v>677584.19</v>
      </c>
      <c r="D4390" s="7">
        <v>2735094.47</v>
      </c>
      <c r="E4390" s="7">
        <v>463.26</v>
      </c>
      <c r="F4390" s="7">
        <v>41815.49</v>
      </c>
      <c r="G4390" s="7">
        <v>84634</v>
      </c>
      <c r="H4390" s="7">
        <f t="shared" si="115"/>
        <v>41765.49</v>
      </c>
      <c r="I4390" s="15"/>
    </row>
    <row r="4391" spans="1:9" s="8" customFormat="1" ht="21" customHeight="1" x14ac:dyDescent="0.6">
      <c r="A4391" s="7">
        <v>24.7201004</v>
      </c>
      <c r="B4391" s="7">
        <v>34.755671399999997</v>
      </c>
      <c r="C4391" s="7">
        <v>677581.73</v>
      </c>
      <c r="D4391" s="7">
        <v>2735093.46</v>
      </c>
      <c r="E4391" s="7">
        <v>463.34</v>
      </c>
      <c r="F4391" s="7">
        <v>41829.22</v>
      </c>
      <c r="G4391" s="7">
        <v>84636</v>
      </c>
      <c r="H4391" s="7">
        <f t="shared" si="115"/>
        <v>41779.22</v>
      </c>
      <c r="I4391" s="15"/>
    </row>
    <row r="4392" spans="1:9" s="8" customFormat="1" ht="21" customHeight="1" x14ac:dyDescent="0.6">
      <c r="A4392" s="7">
        <v>24.720094599999999</v>
      </c>
      <c r="B4392" s="7">
        <v>34.755647600000003</v>
      </c>
      <c r="C4392" s="7">
        <v>677579.33</v>
      </c>
      <c r="D4392" s="7">
        <v>2735092.79</v>
      </c>
      <c r="E4392" s="7">
        <v>463.53</v>
      </c>
      <c r="F4392" s="7">
        <v>41821.800000000003</v>
      </c>
      <c r="G4392" s="7">
        <v>84638</v>
      </c>
      <c r="H4392" s="7">
        <f t="shared" si="115"/>
        <v>41771.800000000003</v>
      </c>
      <c r="I4392" s="15"/>
    </row>
    <row r="4393" spans="1:9" s="8" customFormat="1" ht="21" customHeight="1" x14ac:dyDescent="0.6">
      <c r="A4393" s="7">
        <v>24.720091400000001</v>
      </c>
      <c r="B4393" s="7">
        <v>34.755621900000001</v>
      </c>
      <c r="C4393" s="7">
        <v>677576.74</v>
      </c>
      <c r="D4393" s="7">
        <v>2735092.4</v>
      </c>
      <c r="E4393" s="7">
        <v>463.68</v>
      </c>
      <c r="F4393" s="7">
        <v>41826.160000000003</v>
      </c>
      <c r="G4393" s="7">
        <v>84640</v>
      </c>
      <c r="H4393" s="7">
        <f t="shared" si="115"/>
        <v>41776.160000000003</v>
      </c>
      <c r="I4393" s="15"/>
    </row>
    <row r="4394" spans="1:9" s="8" customFormat="1" ht="21" customHeight="1" x14ac:dyDescent="0.6">
      <c r="A4394" s="7">
        <v>24.720091400000001</v>
      </c>
      <c r="B4394" s="7">
        <v>34.755599199999999</v>
      </c>
      <c r="C4394" s="7">
        <v>677574.44</v>
      </c>
      <c r="D4394" s="7">
        <v>2735092.38</v>
      </c>
      <c r="E4394" s="7">
        <v>463.71</v>
      </c>
      <c r="F4394" s="7">
        <v>41815.85</v>
      </c>
      <c r="G4394" s="7">
        <v>84642</v>
      </c>
      <c r="H4394" s="7">
        <f t="shared" si="115"/>
        <v>41765.85</v>
      </c>
      <c r="I4394" s="15"/>
    </row>
    <row r="4395" spans="1:9" s="8" customFormat="1" ht="21" customHeight="1" x14ac:dyDescent="0.6">
      <c r="A4395" s="7">
        <v>24.720085900000001</v>
      </c>
      <c r="B4395" s="7">
        <v>34.755573599999998</v>
      </c>
      <c r="C4395" s="7">
        <v>677571.86</v>
      </c>
      <c r="D4395" s="7">
        <v>2735091.73</v>
      </c>
      <c r="E4395" s="7">
        <v>463.84</v>
      </c>
      <c r="F4395" s="7">
        <v>41806.65</v>
      </c>
      <c r="G4395" s="7">
        <v>84644</v>
      </c>
      <c r="H4395" s="7">
        <f t="shared" si="115"/>
        <v>41756.65</v>
      </c>
      <c r="I4395" s="15"/>
    </row>
    <row r="4396" spans="1:9" s="8" customFormat="1" ht="21" customHeight="1" x14ac:dyDescent="0.6">
      <c r="A4396" s="7">
        <v>24.720078399999998</v>
      </c>
      <c r="B4396" s="7">
        <v>34.755547800000002</v>
      </c>
      <c r="C4396" s="7">
        <v>677569.26</v>
      </c>
      <c r="D4396" s="7">
        <v>2735090.87</v>
      </c>
      <c r="E4396" s="7">
        <v>464.04</v>
      </c>
      <c r="F4396" s="7">
        <v>41808.31</v>
      </c>
      <c r="G4396" s="7">
        <v>84646</v>
      </c>
      <c r="H4396" s="7">
        <f t="shared" si="115"/>
        <v>41758.31</v>
      </c>
      <c r="I4396" s="15"/>
    </row>
    <row r="4397" spans="1:9" s="8" customFormat="1" ht="21" customHeight="1" x14ac:dyDescent="0.6">
      <c r="A4397" s="7">
        <v>24.720067400000001</v>
      </c>
      <c r="B4397" s="7">
        <v>34.755523699999998</v>
      </c>
      <c r="C4397" s="7">
        <v>677566.84</v>
      </c>
      <c r="D4397" s="7">
        <v>2735089.61</v>
      </c>
      <c r="E4397" s="7">
        <v>464.19</v>
      </c>
      <c r="F4397" s="7">
        <v>41785.599999999999</v>
      </c>
      <c r="G4397" s="7">
        <v>84648</v>
      </c>
      <c r="H4397" s="7">
        <f t="shared" si="115"/>
        <v>41735.599999999999</v>
      </c>
      <c r="I4397" s="15"/>
    </row>
    <row r="4398" spans="1:9" s="8" customFormat="1" ht="21" customHeight="1" x14ac:dyDescent="0.6">
      <c r="A4398" s="7">
        <v>24.7200509</v>
      </c>
      <c r="B4398" s="7">
        <v>34.755506199999999</v>
      </c>
      <c r="C4398" s="7">
        <v>677565.1</v>
      </c>
      <c r="D4398" s="7">
        <v>2735087.77</v>
      </c>
      <c r="E4398" s="7">
        <v>464.38</v>
      </c>
      <c r="F4398" s="7">
        <v>41771.599999999999</v>
      </c>
      <c r="G4398" s="7">
        <v>84650</v>
      </c>
      <c r="H4398" s="7">
        <f t="shared" si="115"/>
        <v>41721.599999999999</v>
      </c>
      <c r="I4398" s="15"/>
    </row>
    <row r="4399" spans="1:9" s="8" customFormat="1" ht="21" customHeight="1" x14ac:dyDescent="0.6">
      <c r="A4399" s="7">
        <v>24.7200308</v>
      </c>
      <c r="B4399" s="7">
        <v>34.755492599999997</v>
      </c>
      <c r="C4399" s="7">
        <v>677563.74</v>
      </c>
      <c r="D4399" s="7">
        <v>2735085.52</v>
      </c>
      <c r="E4399" s="7">
        <v>464.53</v>
      </c>
      <c r="F4399" s="7">
        <v>41793.11</v>
      </c>
      <c r="G4399" s="7">
        <v>84652</v>
      </c>
      <c r="H4399" s="7">
        <f t="shared" si="115"/>
        <v>41743.11</v>
      </c>
      <c r="I4399" s="15"/>
    </row>
    <row r="4400" spans="1:9" s="8" customFormat="1" ht="21" customHeight="1" x14ac:dyDescent="0.6">
      <c r="A4400" s="7">
        <v>24.720020699999999</v>
      </c>
      <c r="B4400" s="7">
        <v>34.755467500000002</v>
      </c>
      <c r="C4400" s="7">
        <v>677561.22</v>
      </c>
      <c r="D4400" s="7">
        <v>2735084.37</v>
      </c>
      <c r="E4400" s="7">
        <v>464.75</v>
      </c>
      <c r="F4400" s="7">
        <v>41824.01</v>
      </c>
      <c r="G4400" s="7">
        <v>84654</v>
      </c>
      <c r="H4400" s="7">
        <f t="shared" si="115"/>
        <v>41774.01</v>
      </c>
      <c r="I4400" s="15"/>
    </row>
    <row r="4401" spans="1:9" s="8" customFormat="1" ht="21" customHeight="1" x14ac:dyDescent="0.6">
      <c r="A4401" s="7">
        <v>24.720018</v>
      </c>
      <c r="B4401" s="7">
        <v>34.755440999999998</v>
      </c>
      <c r="C4401" s="7">
        <v>677558.54</v>
      </c>
      <c r="D4401" s="7">
        <v>2735084.04</v>
      </c>
      <c r="E4401" s="7">
        <v>464.88</v>
      </c>
      <c r="F4401" s="7">
        <v>41825.14</v>
      </c>
      <c r="G4401" s="7">
        <v>84656</v>
      </c>
      <c r="H4401" s="7">
        <f t="shared" si="115"/>
        <v>41775.14</v>
      </c>
      <c r="I4401" s="15"/>
    </row>
    <row r="4402" spans="1:9" s="8" customFormat="1" ht="21" customHeight="1" x14ac:dyDescent="0.6">
      <c r="A4402" s="7">
        <v>24.720015799999999</v>
      </c>
      <c r="B4402" s="7">
        <v>34.755411899999999</v>
      </c>
      <c r="C4402" s="7">
        <v>677555.6</v>
      </c>
      <c r="D4402" s="7">
        <v>2735083.76</v>
      </c>
      <c r="E4402" s="7">
        <v>465.08</v>
      </c>
      <c r="F4402" s="7">
        <v>41807.040000000001</v>
      </c>
      <c r="G4402" s="7">
        <v>84658</v>
      </c>
      <c r="H4402" s="7">
        <f t="shared" si="115"/>
        <v>41757.040000000001</v>
      </c>
      <c r="I4402" s="15"/>
    </row>
    <row r="4403" spans="1:9" s="8" customFormat="1" ht="21" customHeight="1" x14ac:dyDescent="0.6">
      <c r="A4403" s="7">
        <v>24.7200168</v>
      </c>
      <c r="B4403" s="7">
        <v>34.755385400000002</v>
      </c>
      <c r="C4403" s="7">
        <v>677552.91</v>
      </c>
      <c r="D4403" s="7">
        <v>2735083.83</v>
      </c>
      <c r="E4403" s="7">
        <v>465.25</v>
      </c>
      <c r="F4403" s="7">
        <v>41811.4</v>
      </c>
      <c r="G4403" s="7">
        <v>84700</v>
      </c>
      <c r="H4403" s="7">
        <f t="shared" si="115"/>
        <v>41761.4</v>
      </c>
      <c r="I4403" s="15"/>
    </row>
    <row r="4404" spans="1:9" s="8" customFormat="1" ht="21" customHeight="1" x14ac:dyDescent="0.6">
      <c r="A4404" s="7">
        <v>24.720016699999999</v>
      </c>
      <c r="B4404" s="7">
        <v>34.755360000000003</v>
      </c>
      <c r="C4404" s="7">
        <v>677550.35</v>
      </c>
      <c r="D4404" s="7">
        <v>2735083.78</v>
      </c>
      <c r="E4404" s="7">
        <v>465.43</v>
      </c>
      <c r="F4404" s="7">
        <v>41808.33</v>
      </c>
      <c r="G4404" s="7">
        <v>84702</v>
      </c>
      <c r="H4404" s="7">
        <f t="shared" si="115"/>
        <v>41758.33</v>
      </c>
      <c r="I4404" s="15"/>
    </row>
    <row r="4405" spans="1:9" s="8" customFormat="1" ht="21" customHeight="1" x14ac:dyDescent="0.6">
      <c r="A4405" s="7">
        <v>24.720013900000001</v>
      </c>
      <c r="B4405" s="7">
        <v>34.755336800000002</v>
      </c>
      <c r="C4405" s="7">
        <v>677548.01</v>
      </c>
      <c r="D4405" s="7">
        <v>2735083.45</v>
      </c>
      <c r="E4405" s="7">
        <v>465.76</v>
      </c>
      <c r="F4405" s="7">
        <v>41798.89</v>
      </c>
      <c r="G4405" s="7">
        <v>84704</v>
      </c>
      <c r="H4405" s="7">
        <f t="shared" si="115"/>
        <v>41748.89</v>
      </c>
      <c r="I4405" s="15"/>
    </row>
    <row r="4406" spans="1:9" s="8" customFormat="1" ht="21" customHeight="1" x14ac:dyDescent="0.6">
      <c r="A4406" s="7">
        <v>24.720005799999999</v>
      </c>
      <c r="B4406" s="7">
        <v>34.7553105</v>
      </c>
      <c r="C4406" s="7">
        <v>677545.35</v>
      </c>
      <c r="D4406" s="7">
        <v>2735082.52</v>
      </c>
      <c r="E4406" s="7">
        <v>465.75</v>
      </c>
      <c r="F4406" s="7">
        <v>41803.769999999997</v>
      </c>
      <c r="G4406" s="7">
        <v>84706</v>
      </c>
      <c r="H4406" s="7">
        <f t="shared" si="115"/>
        <v>41753.769999999997</v>
      </c>
      <c r="I4406" s="15"/>
    </row>
    <row r="4407" spans="1:9" s="8" customFormat="1" ht="21" customHeight="1" x14ac:dyDescent="0.6">
      <c r="A4407" s="7">
        <v>24.720003500000001</v>
      </c>
      <c r="B4407" s="7">
        <v>34.755283200000001</v>
      </c>
      <c r="C4407" s="7">
        <v>677542.6</v>
      </c>
      <c r="D4407" s="7">
        <v>2735082.22</v>
      </c>
      <c r="E4407" s="7">
        <v>465.98</v>
      </c>
      <c r="F4407" s="7">
        <v>41802.400000000001</v>
      </c>
      <c r="G4407" s="7">
        <v>84708</v>
      </c>
      <c r="H4407" s="7">
        <f t="shared" si="115"/>
        <v>41752.400000000001</v>
      </c>
      <c r="I4407" s="15"/>
    </row>
    <row r="4408" spans="1:9" s="8" customFormat="1" ht="21" customHeight="1" x14ac:dyDescent="0.6">
      <c r="A4408" s="7">
        <v>24.720004800000002</v>
      </c>
      <c r="B4408" s="7">
        <v>34.7552558</v>
      </c>
      <c r="C4408" s="7">
        <v>677539.82</v>
      </c>
      <c r="D4408" s="7">
        <v>2735082.33</v>
      </c>
      <c r="E4408" s="7">
        <v>466.18</v>
      </c>
      <c r="F4408" s="7">
        <v>41806.35</v>
      </c>
      <c r="G4408" s="7">
        <v>84710</v>
      </c>
      <c r="H4408" s="7">
        <f t="shared" si="115"/>
        <v>41756.35</v>
      </c>
      <c r="I4408" s="15"/>
    </row>
    <row r="4409" spans="1:9" s="8" customFormat="1" ht="21" customHeight="1" x14ac:dyDescent="0.6">
      <c r="A4409" s="7">
        <v>24.7200004</v>
      </c>
      <c r="B4409" s="7">
        <v>34.755230699999998</v>
      </c>
      <c r="C4409" s="7">
        <v>677537.3</v>
      </c>
      <c r="D4409" s="7">
        <v>2735081.81</v>
      </c>
      <c r="E4409" s="7">
        <v>466.33</v>
      </c>
      <c r="F4409" s="7">
        <v>41791.56</v>
      </c>
      <c r="G4409" s="7">
        <v>84712</v>
      </c>
      <c r="H4409" s="7">
        <f t="shared" si="115"/>
        <v>41741.56</v>
      </c>
      <c r="I4409" s="15"/>
    </row>
    <row r="4410" spans="1:9" s="8" customFormat="1" ht="21" customHeight="1" x14ac:dyDescent="0.6">
      <c r="A4410" s="7">
        <v>24.7199943</v>
      </c>
      <c r="B4410" s="7">
        <v>34.755204200000001</v>
      </c>
      <c r="C4410" s="7">
        <v>677534.61</v>
      </c>
      <c r="D4410" s="7">
        <v>2735081.1</v>
      </c>
      <c r="E4410" s="7">
        <v>466.65</v>
      </c>
      <c r="F4410" s="7">
        <v>41805.160000000003</v>
      </c>
      <c r="G4410" s="7">
        <v>84714</v>
      </c>
      <c r="H4410" s="7">
        <f t="shared" si="115"/>
        <v>41755.160000000003</v>
      </c>
      <c r="I4410" s="15"/>
    </row>
    <row r="4411" spans="1:9" s="8" customFormat="1" ht="21" customHeight="1" x14ac:dyDescent="0.6">
      <c r="A4411" s="7">
        <v>24.719994199999999</v>
      </c>
      <c r="B4411" s="7">
        <v>34.755180099999997</v>
      </c>
      <c r="C4411" s="7">
        <v>677532.18</v>
      </c>
      <c r="D4411" s="7">
        <v>2735081.07</v>
      </c>
      <c r="E4411" s="7">
        <v>466.9</v>
      </c>
      <c r="F4411" s="7">
        <v>41821.949999999997</v>
      </c>
      <c r="G4411" s="7">
        <v>84716</v>
      </c>
      <c r="H4411" s="7">
        <f t="shared" si="115"/>
        <v>41771.949999999997</v>
      </c>
      <c r="I4411" s="15"/>
    </row>
    <row r="4412" spans="1:9" s="8" customFormat="1" ht="21" customHeight="1" x14ac:dyDescent="0.6">
      <c r="A4412" s="7">
        <v>24.719984400000001</v>
      </c>
      <c r="B4412" s="7">
        <v>34.755158199999997</v>
      </c>
      <c r="C4412" s="7">
        <v>677529.98</v>
      </c>
      <c r="D4412" s="7">
        <v>2735079.95</v>
      </c>
      <c r="E4412" s="7">
        <v>467.14</v>
      </c>
      <c r="F4412" s="7">
        <v>41827.660000000003</v>
      </c>
      <c r="G4412" s="7">
        <v>84718</v>
      </c>
      <c r="H4412" s="7">
        <f t="shared" si="115"/>
        <v>41777.660000000003</v>
      </c>
      <c r="I4412" s="15"/>
    </row>
    <row r="4413" spans="1:9" s="8" customFormat="1" ht="21" customHeight="1" x14ac:dyDescent="0.6">
      <c r="A4413" s="7">
        <v>24.719970100000001</v>
      </c>
      <c r="B4413" s="7">
        <v>34.755138799999997</v>
      </c>
      <c r="C4413" s="7">
        <v>677528.04</v>
      </c>
      <c r="D4413" s="7">
        <v>2735078.34</v>
      </c>
      <c r="E4413" s="7">
        <v>467.26</v>
      </c>
      <c r="F4413" s="7">
        <v>41862.239999999998</v>
      </c>
      <c r="G4413" s="7">
        <v>84720</v>
      </c>
      <c r="H4413" s="7">
        <f t="shared" si="115"/>
        <v>41812.239999999998</v>
      </c>
      <c r="I4413" s="15"/>
    </row>
    <row r="4414" spans="1:9" s="8" customFormat="1" ht="21" customHeight="1" x14ac:dyDescent="0.6">
      <c r="A4414" s="7">
        <v>24.719953100000001</v>
      </c>
      <c r="B4414" s="7">
        <v>34.755122</v>
      </c>
      <c r="C4414" s="7">
        <v>677526.36</v>
      </c>
      <c r="D4414" s="7">
        <v>2735076.43</v>
      </c>
      <c r="E4414" s="7">
        <v>467.33</v>
      </c>
      <c r="F4414" s="7">
        <v>41810.5</v>
      </c>
      <c r="G4414" s="7">
        <v>84722</v>
      </c>
      <c r="H4414" s="7">
        <f t="shared" si="115"/>
        <v>41760.5</v>
      </c>
      <c r="I4414" s="15"/>
    </row>
    <row r="4415" spans="1:9" s="8" customFormat="1" ht="21" customHeight="1" x14ac:dyDescent="0.6">
      <c r="A4415" s="7">
        <v>24.7199393</v>
      </c>
      <c r="B4415" s="7">
        <v>34.7551025</v>
      </c>
      <c r="C4415" s="7">
        <v>677524.4</v>
      </c>
      <c r="D4415" s="7">
        <v>2735074.88</v>
      </c>
      <c r="E4415" s="7">
        <v>467.55</v>
      </c>
      <c r="F4415" s="7">
        <v>41817.07</v>
      </c>
      <c r="G4415" s="7">
        <v>84724</v>
      </c>
      <c r="H4415" s="7">
        <f t="shared" si="115"/>
        <v>41767.07</v>
      </c>
      <c r="I4415" s="15"/>
    </row>
    <row r="4416" spans="1:9" s="8" customFormat="1" ht="21" customHeight="1" x14ac:dyDescent="0.6">
      <c r="A4416" s="7">
        <v>24.719930600000001</v>
      </c>
      <c r="B4416" s="7">
        <v>34.755085100000002</v>
      </c>
      <c r="C4416" s="7">
        <v>677522.66</v>
      </c>
      <c r="D4416" s="7">
        <v>2735073.9</v>
      </c>
      <c r="E4416" s="7">
        <v>467.73</v>
      </c>
      <c r="F4416" s="7">
        <v>41829.33</v>
      </c>
      <c r="G4416" s="7">
        <v>84726</v>
      </c>
      <c r="H4416" s="7">
        <f t="shared" si="115"/>
        <v>41779.33</v>
      </c>
      <c r="I4416" s="15"/>
    </row>
    <row r="4417" spans="1:9" s="8" customFormat="1" ht="21" customHeight="1" x14ac:dyDescent="0.6">
      <c r="A4417" s="7">
        <v>24.719922199999999</v>
      </c>
      <c r="B4417" s="7">
        <v>34.755072300000002</v>
      </c>
      <c r="C4417" s="7">
        <v>677521.38</v>
      </c>
      <c r="D4417" s="7">
        <v>2735072.95</v>
      </c>
      <c r="E4417" s="7">
        <v>467.88</v>
      </c>
      <c r="F4417" s="7">
        <v>41823.19</v>
      </c>
      <c r="G4417" s="7">
        <v>84728</v>
      </c>
      <c r="H4417" s="7">
        <f t="shared" si="115"/>
        <v>41773.19</v>
      </c>
      <c r="I4417" s="15"/>
    </row>
    <row r="4418" spans="1:9" s="8" customFormat="1" ht="21" customHeight="1" x14ac:dyDescent="0.6">
      <c r="A4418" s="7">
        <v>24.7199046</v>
      </c>
      <c r="B4418" s="7">
        <v>34.7550703</v>
      </c>
      <c r="C4418" s="7">
        <v>677521.2</v>
      </c>
      <c r="D4418" s="7">
        <v>2735071</v>
      </c>
      <c r="E4418" s="7">
        <v>467.99</v>
      </c>
      <c r="F4418" s="7">
        <v>41835.089999999997</v>
      </c>
      <c r="G4418" s="7">
        <v>84730</v>
      </c>
      <c r="H4418" s="7">
        <f t="shared" si="115"/>
        <v>41785.089999999997</v>
      </c>
      <c r="I4418" s="15"/>
    </row>
    <row r="4419" spans="1:9" s="8" customFormat="1" ht="21" customHeight="1" x14ac:dyDescent="0.6">
      <c r="A4419" s="7">
        <v>24.7198843</v>
      </c>
      <c r="B4419" s="7">
        <v>34.755063399999997</v>
      </c>
      <c r="C4419" s="7">
        <v>677520.53</v>
      </c>
      <c r="D4419" s="7">
        <v>2735068.74</v>
      </c>
      <c r="E4419" s="7">
        <v>468.25</v>
      </c>
      <c r="F4419" s="7">
        <v>41843</v>
      </c>
      <c r="G4419" s="7">
        <v>84732</v>
      </c>
      <c r="H4419" s="7">
        <f t="shared" si="115"/>
        <v>41793</v>
      </c>
      <c r="I4419" s="15"/>
    </row>
    <row r="4420" spans="1:9" s="8" customFormat="1" ht="21" customHeight="1" x14ac:dyDescent="0.6">
      <c r="A4420" s="7">
        <v>24.7198612</v>
      </c>
      <c r="B4420" s="7">
        <v>34.755053599999997</v>
      </c>
      <c r="C4420" s="7">
        <v>677519.57</v>
      </c>
      <c r="D4420" s="7">
        <v>2735066.16</v>
      </c>
      <c r="E4420" s="7">
        <v>468.48</v>
      </c>
      <c r="F4420" s="7">
        <v>41779.46</v>
      </c>
      <c r="G4420" s="7">
        <v>84734</v>
      </c>
      <c r="H4420" s="7">
        <f t="shared" si="115"/>
        <v>41729.46</v>
      </c>
      <c r="I4420" s="15"/>
    </row>
    <row r="4421" spans="1:9" s="8" customFormat="1" ht="21" customHeight="1" x14ac:dyDescent="0.6">
      <c r="A4421" s="7">
        <v>24.719842199999999</v>
      </c>
      <c r="B4421" s="7">
        <v>34.755035800000002</v>
      </c>
      <c r="C4421" s="7">
        <v>677517.79</v>
      </c>
      <c r="D4421" s="7">
        <v>2735064.05</v>
      </c>
      <c r="E4421" s="7">
        <v>468.64</v>
      </c>
      <c r="F4421" s="7">
        <v>41808.79</v>
      </c>
      <c r="G4421" s="7">
        <v>84736</v>
      </c>
      <c r="H4421" s="7">
        <f t="shared" si="115"/>
        <v>41758.79</v>
      </c>
      <c r="I4421" s="15"/>
    </row>
    <row r="4422" spans="1:9" s="8" customFormat="1" ht="21" customHeight="1" x14ac:dyDescent="0.6">
      <c r="A4422" s="7">
        <v>24.719822199999999</v>
      </c>
      <c r="B4422" s="7">
        <v>34.755020700000003</v>
      </c>
      <c r="C4422" s="7">
        <v>677516.29</v>
      </c>
      <c r="D4422" s="7">
        <v>2735061.8</v>
      </c>
      <c r="E4422" s="7">
        <v>468.76</v>
      </c>
      <c r="F4422" s="7">
        <v>41794.69</v>
      </c>
      <c r="G4422" s="7">
        <v>84738</v>
      </c>
      <c r="H4422" s="7">
        <f t="shared" si="115"/>
        <v>41744.69</v>
      </c>
      <c r="I4422" s="15"/>
    </row>
    <row r="4423" spans="1:9" s="8" customFormat="1" ht="21" customHeight="1" x14ac:dyDescent="0.6">
      <c r="A4423" s="7">
        <v>24.7198034</v>
      </c>
      <c r="B4423" s="7">
        <v>34.754999900000001</v>
      </c>
      <c r="C4423" s="7">
        <v>677514.22</v>
      </c>
      <c r="D4423" s="7">
        <v>2735059.7</v>
      </c>
      <c r="E4423" s="7">
        <v>469.01</v>
      </c>
      <c r="F4423" s="7">
        <v>41812.589999999997</v>
      </c>
      <c r="G4423" s="7">
        <v>84740</v>
      </c>
      <c r="H4423" s="7">
        <f t="shared" si="115"/>
        <v>41762.589999999997</v>
      </c>
      <c r="I4423" s="15"/>
    </row>
    <row r="4424" spans="1:9" s="8" customFormat="1" ht="21" customHeight="1" x14ac:dyDescent="0.6">
      <c r="A4424" s="7">
        <v>24.7197855</v>
      </c>
      <c r="B4424" s="7">
        <v>34.7549846</v>
      </c>
      <c r="C4424" s="7">
        <v>677512.69</v>
      </c>
      <c r="D4424" s="7">
        <v>2735057.7</v>
      </c>
      <c r="E4424" s="7">
        <v>469.36</v>
      </c>
      <c r="F4424" s="7">
        <v>41810.07</v>
      </c>
      <c r="G4424" s="7">
        <v>84742</v>
      </c>
      <c r="H4424" s="7">
        <f t="shared" si="115"/>
        <v>41760.07</v>
      </c>
      <c r="I4424" s="15"/>
    </row>
    <row r="4425" spans="1:9" s="8" customFormat="1" ht="21" customHeight="1" x14ac:dyDescent="0.6">
      <c r="A4425" s="7">
        <v>24.719766400000001</v>
      </c>
      <c r="B4425" s="7">
        <v>34.754967800000003</v>
      </c>
      <c r="C4425" s="7">
        <v>677511.03</v>
      </c>
      <c r="D4425" s="7">
        <v>2735055.56</v>
      </c>
      <c r="E4425" s="7">
        <v>469.56</v>
      </c>
      <c r="F4425" s="7">
        <v>41780.78</v>
      </c>
      <c r="G4425" s="7">
        <v>84744</v>
      </c>
      <c r="H4425" s="7">
        <f t="shared" si="115"/>
        <v>41730.78</v>
      </c>
      <c r="I4425" s="15"/>
    </row>
    <row r="4426" spans="1:9" s="8" customFormat="1" ht="21" customHeight="1" x14ac:dyDescent="0.6">
      <c r="A4426" s="7">
        <v>24.719747900000002</v>
      </c>
      <c r="B4426" s="7">
        <v>34.754950399999998</v>
      </c>
      <c r="C4426" s="7">
        <v>677509.29</v>
      </c>
      <c r="D4426" s="7">
        <v>2735053.49</v>
      </c>
      <c r="E4426" s="7">
        <v>469.74</v>
      </c>
      <c r="F4426" s="7">
        <v>41809.11</v>
      </c>
      <c r="G4426" s="7">
        <v>84746</v>
      </c>
      <c r="H4426" s="7">
        <f t="shared" si="115"/>
        <v>41759.11</v>
      </c>
      <c r="I4426" s="15"/>
    </row>
    <row r="4427" spans="1:9" s="8" customFormat="1" ht="21" customHeight="1" x14ac:dyDescent="0.6">
      <c r="A4427" s="7">
        <v>24.7197353</v>
      </c>
      <c r="B4427" s="7">
        <v>34.754928399999997</v>
      </c>
      <c r="C4427" s="7">
        <v>677507.08</v>
      </c>
      <c r="D4427" s="7">
        <v>2735052.06</v>
      </c>
      <c r="E4427" s="7">
        <v>470.09</v>
      </c>
      <c r="F4427" s="7">
        <v>41815.449999999997</v>
      </c>
      <c r="G4427" s="7">
        <v>84748</v>
      </c>
      <c r="H4427" s="7">
        <f t="shared" si="115"/>
        <v>41765.449999999997</v>
      </c>
      <c r="I4427" s="15"/>
    </row>
    <row r="4428" spans="1:9" s="8" customFormat="1" ht="21" customHeight="1" x14ac:dyDescent="0.6">
      <c r="A4428" s="7">
        <v>24.719722999999998</v>
      </c>
      <c r="B4428" s="7">
        <v>34.754911200000002</v>
      </c>
      <c r="C4428" s="7">
        <v>677505.36</v>
      </c>
      <c r="D4428" s="7">
        <v>2735050.68</v>
      </c>
      <c r="E4428" s="7">
        <v>470.49</v>
      </c>
      <c r="F4428" s="7">
        <v>41815.74</v>
      </c>
      <c r="G4428" s="7">
        <v>84750</v>
      </c>
      <c r="H4428" s="7">
        <f t="shared" si="115"/>
        <v>41765.74</v>
      </c>
      <c r="I4428" s="15"/>
    </row>
    <row r="4429" spans="1:9" s="8" customFormat="1" ht="21" customHeight="1" x14ac:dyDescent="0.6">
      <c r="A4429" s="7">
        <v>24.719705900000001</v>
      </c>
      <c r="B4429" s="7">
        <v>34.754891100000002</v>
      </c>
      <c r="C4429" s="7">
        <v>677503.35</v>
      </c>
      <c r="D4429" s="7">
        <v>2735048.76</v>
      </c>
      <c r="E4429" s="7">
        <v>470.68</v>
      </c>
      <c r="F4429" s="7">
        <v>41810.25</v>
      </c>
      <c r="G4429" s="7">
        <v>84752</v>
      </c>
      <c r="H4429" s="7">
        <f t="shared" si="115"/>
        <v>41760.25</v>
      </c>
      <c r="I4429" s="15"/>
    </row>
    <row r="4430" spans="1:9" s="8" customFormat="1" ht="21" customHeight="1" x14ac:dyDescent="0.6">
      <c r="A4430" s="7">
        <v>24.719693100000001</v>
      </c>
      <c r="B4430" s="7">
        <v>34.754869300000003</v>
      </c>
      <c r="C4430" s="7">
        <v>677501.17</v>
      </c>
      <c r="D4430" s="7">
        <v>2735047.31</v>
      </c>
      <c r="E4430" s="7">
        <v>470.77</v>
      </c>
      <c r="F4430" s="7">
        <v>41800.99</v>
      </c>
      <c r="G4430" s="7">
        <v>84754</v>
      </c>
      <c r="H4430" s="7">
        <f t="shared" si="115"/>
        <v>41750.99</v>
      </c>
      <c r="I4430" s="15"/>
    </row>
    <row r="4431" spans="1:9" s="8" customFormat="1" ht="21" customHeight="1" x14ac:dyDescent="0.6">
      <c r="A4431" s="7">
        <v>24.719682599999999</v>
      </c>
      <c r="B4431" s="7">
        <v>34.754846999999998</v>
      </c>
      <c r="C4431" s="7">
        <v>677498.93</v>
      </c>
      <c r="D4431" s="7">
        <v>2735046.12</v>
      </c>
      <c r="E4431" s="7">
        <v>470.96</v>
      </c>
      <c r="F4431" s="7">
        <v>41815.67</v>
      </c>
      <c r="G4431" s="7">
        <v>84756</v>
      </c>
      <c r="H4431" s="7">
        <f t="shared" si="115"/>
        <v>41765.67</v>
      </c>
      <c r="I4431" s="15"/>
    </row>
    <row r="4432" spans="1:9" s="8" customFormat="1" ht="21" customHeight="1" x14ac:dyDescent="0.6">
      <c r="A4432" s="7">
        <v>24.719672200000002</v>
      </c>
      <c r="B4432" s="7">
        <v>34.754819599999998</v>
      </c>
      <c r="C4432" s="7">
        <v>677496.16</v>
      </c>
      <c r="D4432" s="7">
        <v>2735044.93</v>
      </c>
      <c r="E4432" s="7">
        <v>471.14</v>
      </c>
      <c r="F4432" s="7">
        <v>41802.33</v>
      </c>
      <c r="G4432" s="7">
        <v>84758</v>
      </c>
      <c r="H4432" s="7">
        <f t="shared" si="115"/>
        <v>41752.33</v>
      </c>
      <c r="I4432" s="15"/>
    </row>
    <row r="4433" spans="1:9" s="8" customFormat="1" ht="21" customHeight="1" x14ac:dyDescent="0.6">
      <c r="A4433" s="7">
        <v>24.719662899999999</v>
      </c>
      <c r="B4433" s="7">
        <v>34.754798200000003</v>
      </c>
      <c r="C4433" s="7">
        <v>677494.01</v>
      </c>
      <c r="D4433" s="7">
        <v>2735043.87</v>
      </c>
      <c r="E4433" s="7">
        <v>471.47</v>
      </c>
      <c r="F4433" s="7">
        <v>41785.949999999997</v>
      </c>
      <c r="G4433" s="7">
        <v>84800</v>
      </c>
      <c r="H4433" s="7">
        <f t="shared" si="115"/>
        <v>41735.949999999997</v>
      </c>
      <c r="I4433" s="15"/>
    </row>
    <row r="4434" spans="1:9" s="8" customFormat="1" ht="21" customHeight="1" x14ac:dyDescent="0.6">
      <c r="A4434" s="7">
        <v>24.719650999999999</v>
      </c>
      <c r="B4434" s="7">
        <v>34.754780500000003</v>
      </c>
      <c r="C4434" s="7">
        <v>677492.24</v>
      </c>
      <c r="D4434" s="7">
        <v>2735042.54</v>
      </c>
      <c r="E4434" s="7">
        <v>471.84</v>
      </c>
      <c r="F4434" s="7">
        <v>41792.6</v>
      </c>
      <c r="G4434" s="7">
        <v>84802</v>
      </c>
      <c r="H4434" s="7">
        <f t="shared" si="115"/>
        <v>41742.6</v>
      </c>
      <c r="I4434" s="15"/>
    </row>
    <row r="4435" spans="1:9" s="8" customFormat="1" ht="21" customHeight="1" x14ac:dyDescent="0.6">
      <c r="A4435" s="7">
        <v>24.719643900000001</v>
      </c>
      <c r="B4435" s="7">
        <v>34.7547584</v>
      </c>
      <c r="C4435" s="7">
        <v>677490.01</v>
      </c>
      <c r="D4435" s="7">
        <v>2735041.72</v>
      </c>
      <c r="E4435" s="7">
        <v>471.94</v>
      </c>
      <c r="F4435" s="7">
        <v>41780</v>
      </c>
      <c r="G4435" s="7">
        <v>84804</v>
      </c>
      <c r="H4435" s="7">
        <f t="shared" si="115"/>
        <v>41730</v>
      </c>
      <c r="I4435" s="15"/>
    </row>
    <row r="4436" spans="1:9" s="8" customFormat="1" ht="21" customHeight="1" x14ac:dyDescent="0.6">
      <c r="A4436" s="7">
        <v>24.719638199999999</v>
      </c>
      <c r="B4436" s="7">
        <v>34.754736800000003</v>
      </c>
      <c r="C4436" s="7">
        <v>677487.83</v>
      </c>
      <c r="D4436" s="7">
        <v>2735041.06</v>
      </c>
      <c r="E4436" s="7">
        <v>472.17</v>
      </c>
      <c r="F4436" s="7">
        <v>41772.25</v>
      </c>
      <c r="G4436" s="7">
        <v>84806</v>
      </c>
      <c r="H4436" s="7">
        <f t="shared" ref="H4436:H4499" si="116">SUM(F4436-50)</f>
        <v>41722.25</v>
      </c>
      <c r="I4436" s="15"/>
    </row>
    <row r="4437" spans="1:9" s="8" customFormat="1" ht="21" customHeight="1" x14ac:dyDescent="0.6">
      <c r="A4437" s="7">
        <v>24.719635100000001</v>
      </c>
      <c r="B4437" s="7">
        <v>34.754713199999998</v>
      </c>
      <c r="C4437" s="7">
        <v>677485.46</v>
      </c>
      <c r="D4437" s="7">
        <v>2735040.69</v>
      </c>
      <c r="E4437" s="7">
        <v>472.46</v>
      </c>
      <c r="F4437" s="7">
        <v>41806.42</v>
      </c>
      <c r="G4437" s="7">
        <v>84808</v>
      </c>
      <c r="H4437" s="7">
        <f t="shared" si="116"/>
        <v>41756.42</v>
      </c>
      <c r="I4437" s="15"/>
    </row>
    <row r="4438" spans="1:9" s="8" customFormat="1" ht="21" customHeight="1" x14ac:dyDescent="0.6">
      <c r="A4438" s="7">
        <v>24.7196371</v>
      </c>
      <c r="B4438" s="7">
        <v>34.7546885</v>
      </c>
      <c r="C4438" s="7">
        <v>677482.95</v>
      </c>
      <c r="D4438" s="7">
        <v>2735040.87</v>
      </c>
      <c r="E4438" s="7">
        <v>472.83</v>
      </c>
      <c r="F4438" s="7">
        <v>41830.04</v>
      </c>
      <c r="G4438" s="7">
        <v>84810</v>
      </c>
      <c r="H4438" s="7">
        <f t="shared" si="116"/>
        <v>41780.04</v>
      </c>
      <c r="I4438" s="15"/>
    </row>
    <row r="4439" spans="1:9" s="8" customFormat="1" ht="21" customHeight="1" x14ac:dyDescent="0.6">
      <c r="A4439" s="7">
        <v>24.7196441</v>
      </c>
      <c r="B4439" s="7">
        <v>34.754665199999998</v>
      </c>
      <c r="C4439" s="7">
        <v>677480.59</v>
      </c>
      <c r="D4439" s="7">
        <v>2735041.62</v>
      </c>
      <c r="E4439" s="7">
        <v>473.17</v>
      </c>
      <c r="F4439" s="7">
        <v>41782.6</v>
      </c>
      <c r="G4439" s="7">
        <v>84812</v>
      </c>
      <c r="H4439" s="7">
        <f t="shared" si="116"/>
        <v>41732.6</v>
      </c>
      <c r="I4439" s="15"/>
    </row>
    <row r="4440" spans="1:9" s="8" customFormat="1" ht="21" customHeight="1" x14ac:dyDescent="0.6">
      <c r="A4440" s="7">
        <v>24.719651200000001</v>
      </c>
      <c r="B4440" s="7">
        <v>34.754642699999998</v>
      </c>
      <c r="C4440" s="7">
        <v>677478.3</v>
      </c>
      <c r="D4440" s="7">
        <v>2735042.38</v>
      </c>
      <c r="E4440" s="7">
        <v>473.41</v>
      </c>
      <c r="F4440" s="7">
        <v>41852.22</v>
      </c>
      <c r="G4440" s="7">
        <v>84814</v>
      </c>
      <c r="H4440" s="7">
        <f t="shared" si="116"/>
        <v>41802.22</v>
      </c>
      <c r="I4440" s="15"/>
    </row>
    <row r="4441" spans="1:9" s="8" customFormat="1" ht="21" customHeight="1" x14ac:dyDescent="0.6">
      <c r="A4441" s="7">
        <v>24.719650699999999</v>
      </c>
      <c r="B4441" s="7">
        <v>34.754617500000002</v>
      </c>
      <c r="C4441" s="7">
        <v>677475.75</v>
      </c>
      <c r="D4441" s="7">
        <v>2735042.29</v>
      </c>
      <c r="E4441" s="7">
        <v>473.63</v>
      </c>
      <c r="F4441" s="7">
        <v>41811.800000000003</v>
      </c>
      <c r="G4441" s="7">
        <v>84816</v>
      </c>
      <c r="H4441" s="7">
        <f t="shared" si="116"/>
        <v>41761.800000000003</v>
      </c>
      <c r="I4441" s="15"/>
    </row>
    <row r="4442" spans="1:9" s="8" customFormat="1" ht="21" customHeight="1" x14ac:dyDescent="0.6">
      <c r="A4442" s="7">
        <v>24.7196456</v>
      </c>
      <c r="B4442" s="7">
        <v>34.754595399999999</v>
      </c>
      <c r="C4442" s="7">
        <v>677473.53</v>
      </c>
      <c r="D4442" s="7">
        <v>2735041.69</v>
      </c>
      <c r="E4442" s="7">
        <v>474</v>
      </c>
      <c r="F4442" s="7">
        <v>41806.42</v>
      </c>
      <c r="G4442" s="7">
        <v>84818</v>
      </c>
      <c r="H4442" s="7">
        <f t="shared" si="116"/>
        <v>41756.42</v>
      </c>
      <c r="I4442" s="15"/>
    </row>
    <row r="4443" spans="1:9" s="8" customFormat="1" ht="21" customHeight="1" x14ac:dyDescent="0.6">
      <c r="A4443" s="7">
        <v>24.719636600000001</v>
      </c>
      <c r="B4443" s="7">
        <v>34.7545778</v>
      </c>
      <c r="C4443" s="7">
        <v>677471.75</v>
      </c>
      <c r="D4443" s="7">
        <v>2735040.68</v>
      </c>
      <c r="E4443" s="7">
        <v>474.14</v>
      </c>
      <c r="F4443" s="7">
        <v>41810.11</v>
      </c>
      <c r="G4443" s="7">
        <v>84820</v>
      </c>
      <c r="H4443" s="7">
        <f t="shared" si="116"/>
        <v>41760.11</v>
      </c>
      <c r="I4443" s="15"/>
    </row>
    <row r="4444" spans="1:9" s="8" customFormat="1" ht="21" customHeight="1" x14ac:dyDescent="0.6">
      <c r="A4444" s="7">
        <v>24.719633600000002</v>
      </c>
      <c r="B4444" s="7">
        <v>34.754556700000002</v>
      </c>
      <c r="C4444" s="7">
        <v>677469.63</v>
      </c>
      <c r="D4444" s="7">
        <v>2735040.31</v>
      </c>
      <c r="E4444" s="7">
        <v>474.35</v>
      </c>
      <c r="F4444" s="7">
        <v>41787.040000000001</v>
      </c>
      <c r="G4444" s="7">
        <v>84822</v>
      </c>
      <c r="H4444" s="7">
        <f t="shared" si="116"/>
        <v>41737.040000000001</v>
      </c>
      <c r="I4444" s="15"/>
    </row>
    <row r="4445" spans="1:9" s="8" customFormat="1" ht="21" customHeight="1" x14ac:dyDescent="0.6">
      <c r="A4445" s="7">
        <v>24.719625600000001</v>
      </c>
      <c r="B4445" s="7">
        <v>34.754537499999998</v>
      </c>
      <c r="C4445" s="7">
        <v>677467.7</v>
      </c>
      <c r="D4445" s="7">
        <v>2735039.41</v>
      </c>
      <c r="E4445" s="7">
        <v>474.65</v>
      </c>
      <c r="F4445" s="7">
        <v>41790.36</v>
      </c>
      <c r="G4445" s="7">
        <v>84824</v>
      </c>
      <c r="H4445" s="7">
        <f t="shared" si="116"/>
        <v>41740.36</v>
      </c>
      <c r="I4445" s="15"/>
    </row>
    <row r="4446" spans="1:9" s="8" customFormat="1" ht="21" customHeight="1" x14ac:dyDescent="0.6">
      <c r="A4446" s="7">
        <v>24.719619000000002</v>
      </c>
      <c r="B4446" s="7">
        <v>34.754523399999997</v>
      </c>
      <c r="C4446" s="7">
        <v>677466.28</v>
      </c>
      <c r="D4446" s="7">
        <v>2735038.65</v>
      </c>
      <c r="E4446" s="7">
        <v>474.66</v>
      </c>
      <c r="F4446" s="7">
        <v>41794.6</v>
      </c>
      <c r="G4446" s="7">
        <v>84826</v>
      </c>
      <c r="H4446" s="7">
        <f t="shared" si="116"/>
        <v>41744.6</v>
      </c>
      <c r="I4446" s="15"/>
    </row>
    <row r="4447" spans="1:9" s="8" customFormat="1" ht="21" customHeight="1" x14ac:dyDescent="0.6">
      <c r="A4447" s="7">
        <v>24.719623599999998</v>
      </c>
      <c r="B4447" s="7">
        <v>34.754531</v>
      </c>
      <c r="C4447" s="7">
        <v>677467.04</v>
      </c>
      <c r="D4447" s="7">
        <v>2735039.18</v>
      </c>
      <c r="E4447" s="7">
        <v>474.56</v>
      </c>
      <c r="F4447" s="7">
        <v>41795.550000000003</v>
      </c>
      <c r="G4447" s="7">
        <v>84828</v>
      </c>
      <c r="H4447" s="7">
        <f t="shared" si="116"/>
        <v>41745.550000000003</v>
      </c>
      <c r="I4447" s="15"/>
    </row>
    <row r="4448" spans="1:9" s="8" customFormat="1" ht="21" customHeight="1" x14ac:dyDescent="0.6">
      <c r="A4448" s="7">
        <v>24.719634800000001</v>
      </c>
      <c r="B4448" s="7">
        <v>34.754553999999999</v>
      </c>
      <c r="C4448" s="7">
        <v>677469.35</v>
      </c>
      <c r="D4448" s="7">
        <v>2735040.45</v>
      </c>
      <c r="E4448" s="7">
        <v>474.41</v>
      </c>
      <c r="F4448" s="7">
        <v>41794.67</v>
      </c>
      <c r="G4448" s="7">
        <v>84830</v>
      </c>
      <c r="H4448" s="7">
        <f t="shared" si="116"/>
        <v>41744.67</v>
      </c>
      <c r="I4448" s="15"/>
    </row>
    <row r="4449" spans="1:9" s="8" customFormat="1" ht="21" customHeight="1" x14ac:dyDescent="0.6">
      <c r="A4449" s="7">
        <v>24.719639399999998</v>
      </c>
      <c r="B4449" s="7">
        <v>34.754581299999998</v>
      </c>
      <c r="C4449" s="7">
        <v>677472.1</v>
      </c>
      <c r="D4449" s="7">
        <v>2735041</v>
      </c>
      <c r="E4449" s="7">
        <v>474.09</v>
      </c>
      <c r="F4449" s="7">
        <v>41801.39</v>
      </c>
      <c r="G4449" s="7">
        <v>84832</v>
      </c>
      <c r="H4449" s="7">
        <f t="shared" si="116"/>
        <v>41751.39</v>
      </c>
      <c r="I4449" s="15"/>
    </row>
    <row r="4450" spans="1:9" s="8" customFormat="1" ht="21" customHeight="1" x14ac:dyDescent="0.6">
      <c r="A4450" s="7">
        <v>24.719648800000002</v>
      </c>
      <c r="B4450" s="7">
        <v>34.7546058</v>
      </c>
      <c r="C4450" s="7">
        <v>677474.57</v>
      </c>
      <c r="D4450" s="7">
        <v>2735042.07</v>
      </c>
      <c r="E4450" s="7">
        <v>473.77</v>
      </c>
      <c r="F4450" s="7">
        <v>41804.79</v>
      </c>
      <c r="G4450" s="7">
        <v>84834</v>
      </c>
      <c r="H4450" s="7">
        <f t="shared" si="116"/>
        <v>41754.79</v>
      </c>
      <c r="I4450" s="15"/>
    </row>
    <row r="4451" spans="1:9" s="8" customFormat="1" ht="21" customHeight="1" x14ac:dyDescent="0.6">
      <c r="A4451" s="7">
        <v>24.719653099999999</v>
      </c>
      <c r="B4451" s="7">
        <v>34.754636099999999</v>
      </c>
      <c r="C4451" s="7">
        <v>677477.63</v>
      </c>
      <c r="D4451" s="7">
        <v>2735042.58</v>
      </c>
      <c r="E4451" s="7">
        <v>473.42</v>
      </c>
      <c r="F4451" s="7">
        <v>41812.92</v>
      </c>
      <c r="G4451" s="7">
        <v>84836</v>
      </c>
      <c r="H4451" s="7">
        <f t="shared" si="116"/>
        <v>41762.92</v>
      </c>
      <c r="I4451" s="15"/>
    </row>
    <row r="4452" spans="1:9" s="8" customFormat="1" ht="21" customHeight="1" x14ac:dyDescent="0.6">
      <c r="A4452" s="7">
        <v>24.719645700000001</v>
      </c>
      <c r="B4452" s="7">
        <v>34.754665299999999</v>
      </c>
      <c r="C4452" s="7">
        <v>677480.6</v>
      </c>
      <c r="D4452" s="7">
        <v>2735041.79</v>
      </c>
      <c r="E4452" s="7">
        <v>473.19</v>
      </c>
      <c r="F4452" s="7">
        <v>41824.089999999997</v>
      </c>
      <c r="G4452" s="7">
        <v>84838</v>
      </c>
      <c r="H4452" s="7">
        <f t="shared" si="116"/>
        <v>41774.089999999997</v>
      </c>
      <c r="I4452" s="15"/>
    </row>
    <row r="4453" spans="1:9" s="8" customFormat="1" ht="21" customHeight="1" x14ac:dyDescent="0.6">
      <c r="A4453" s="7">
        <v>24.719646300000001</v>
      </c>
      <c r="B4453" s="7">
        <v>34.754696600000003</v>
      </c>
      <c r="C4453" s="7">
        <v>677483.76</v>
      </c>
      <c r="D4453" s="7">
        <v>2735041.91</v>
      </c>
      <c r="E4453" s="7">
        <v>472.64</v>
      </c>
      <c r="F4453" s="7">
        <v>41805.57</v>
      </c>
      <c r="G4453" s="7">
        <v>84840</v>
      </c>
      <c r="H4453" s="7">
        <f t="shared" si="116"/>
        <v>41755.57</v>
      </c>
      <c r="I4453" s="15"/>
    </row>
    <row r="4454" spans="1:9" s="8" customFormat="1" ht="21" customHeight="1" x14ac:dyDescent="0.6">
      <c r="A4454" s="7">
        <v>24.719641899999999</v>
      </c>
      <c r="B4454" s="7">
        <v>34.754725899999997</v>
      </c>
      <c r="C4454" s="7">
        <v>677486.73</v>
      </c>
      <c r="D4454" s="7">
        <v>2735041.45</v>
      </c>
      <c r="E4454" s="7">
        <v>472.34</v>
      </c>
      <c r="F4454" s="7">
        <v>41805.800000000003</v>
      </c>
      <c r="G4454" s="7">
        <v>84842</v>
      </c>
      <c r="H4454" s="7">
        <f t="shared" si="116"/>
        <v>41755.800000000003</v>
      </c>
      <c r="I4454" s="15"/>
    </row>
    <row r="4455" spans="1:9" s="8" customFormat="1" ht="21" customHeight="1" x14ac:dyDescent="0.6">
      <c r="A4455" s="7">
        <v>24.7196395</v>
      </c>
      <c r="B4455" s="7">
        <v>34.7547541</v>
      </c>
      <c r="C4455" s="7">
        <v>677489.59</v>
      </c>
      <c r="D4455" s="7">
        <v>2735041.22</v>
      </c>
      <c r="E4455" s="7">
        <v>472.22</v>
      </c>
      <c r="F4455" s="7">
        <v>41767.910000000003</v>
      </c>
      <c r="G4455" s="7">
        <v>84844</v>
      </c>
      <c r="H4455" s="7">
        <f t="shared" si="116"/>
        <v>41717.910000000003</v>
      </c>
      <c r="I4455" s="15"/>
    </row>
    <row r="4456" spans="1:9" s="8" customFormat="1" ht="21" customHeight="1" x14ac:dyDescent="0.6">
      <c r="A4456" s="7">
        <v>24.719650099999999</v>
      </c>
      <c r="B4456" s="7">
        <v>34.754778999999999</v>
      </c>
      <c r="C4456" s="7">
        <v>677492.09</v>
      </c>
      <c r="D4456" s="7">
        <v>2735042.43</v>
      </c>
      <c r="E4456" s="7">
        <v>471.93</v>
      </c>
      <c r="F4456" s="7">
        <v>41790.839999999997</v>
      </c>
      <c r="G4456" s="7">
        <v>84846</v>
      </c>
      <c r="H4456" s="7">
        <f t="shared" si="116"/>
        <v>41740.839999999997</v>
      </c>
      <c r="I4456" s="15"/>
    </row>
    <row r="4457" spans="1:9" s="8" customFormat="1" ht="21" customHeight="1" x14ac:dyDescent="0.6">
      <c r="A4457" s="7">
        <v>24.7196648</v>
      </c>
      <c r="B4457" s="7">
        <v>34.754798399999999</v>
      </c>
      <c r="C4457" s="7">
        <v>677494.04</v>
      </c>
      <c r="D4457" s="7">
        <v>2735044.08</v>
      </c>
      <c r="E4457" s="7">
        <v>471.67</v>
      </c>
      <c r="F4457" s="7">
        <v>41785.57</v>
      </c>
      <c r="G4457" s="7">
        <v>84848</v>
      </c>
      <c r="H4457" s="7">
        <f t="shared" si="116"/>
        <v>41735.57</v>
      </c>
      <c r="I4457" s="15"/>
    </row>
    <row r="4458" spans="1:9" s="8" customFormat="1" ht="21" customHeight="1" x14ac:dyDescent="0.6">
      <c r="A4458" s="7">
        <v>24.719687100000002</v>
      </c>
      <c r="B4458" s="7">
        <v>34.754814799999998</v>
      </c>
      <c r="C4458" s="7">
        <v>677495.66</v>
      </c>
      <c r="D4458" s="7">
        <v>2735046.57</v>
      </c>
      <c r="E4458" s="7">
        <v>471.41</v>
      </c>
      <c r="F4458" s="7">
        <v>41801.919999999998</v>
      </c>
      <c r="G4458" s="7">
        <v>84850</v>
      </c>
      <c r="H4458" s="7">
        <f t="shared" si="116"/>
        <v>41751.919999999998</v>
      </c>
      <c r="I4458" s="15"/>
    </row>
    <row r="4459" spans="1:9" s="8" customFormat="1" ht="21" customHeight="1" x14ac:dyDescent="0.6">
      <c r="A4459" s="7">
        <v>24.719705999999999</v>
      </c>
      <c r="B4459" s="7">
        <v>34.754835399999997</v>
      </c>
      <c r="C4459" s="7">
        <v>677497.72</v>
      </c>
      <c r="D4459" s="7">
        <v>2735048.69</v>
      </c>
      <c r="E4459" s="7">
        <v>471.05</v>
      </c>
      <c r="F4459" s="7">
        <v>41808.94</v>
      </c>
      <c r="G4459" s="7">
        <v>84852</v>
      </c>
      <c r="H4459" s="7">
        <f t="shared" si="116"/>
        <v>41758.94</v>
      </c>
      <c r="I4459" s="15"/>
    </row>
    <row r="4460" spans="1:9" s="8" customFormat="1" ht="21" customHeight="1" x14ac:dyDescent="0.6">
      <c r="A4460" s="7">
        <v>24.719719699999999</v>
      </c>
      <c r="B4460" s="7">
        <v>34.754861300000002</v>
      </c>
      <c r="C4460" s="7">
        <v>677500.31</v>
      </c>
      <c r="D4460" s="7">
        <v>2735050.25</v>
      </c>
      <c r="E4460" s="7">
        <v>470.72</v>
      </c>
      <c r="F4460" s="7">
        <v>41798.21</v>
      </c>
      <c r="G4460" s="7">
        <v>84854</v>
      </c>
      <c r="H4460" s="7">
        <f t="shared" si="116"/>
        <v>41748.21</v>
      </c>
      <c r="I4460" s="15"/>
    </row>
    <row r="4461" spans="1:9" s="8" customFormat="1" ht="21" customHeight="1" x14ac:dyDescent="0.6">
      <c r="A4461" s="7">
        <v>24.719738499999998</v>
      </c>
      <c r="B4461" s="7">
        <v>34.754884099999998</v>
      </c>
      <c r="C4461" s="7">
        <v>677502.6</v>
      </c>
      <c r="D4461" s="7">
        <v>2735052.36</v>
      </c>
      <c r="E4461" s="7">
        <v>470.32</v>
      </c>
      <c r="F4461" s="7">
        <v>41807.29</v>
      </c>
      <c r="G4461" s="7">
        <v>84856</v>
      </c>
      <c r="H4461" s="7">
        <f t="shared" si="116"/>
        <v>41757.29</v>
      </c>
      <c r="I4461" s="15"/>
    </row>
    <row r="4462" spans="1:9" s="8" customFormat="1" ht="21" customHeight="1" x14ac:dyDescent="0.6">
      <c r="A4462" s="7">
        <v>24.719755500000002</v>
      </c>
      <c r="B4462" s="7">
        <v>34.754902700000002</v>
      </c>
      <c r="C4462" s="7">
        <v>677504.46</v>
      </c>
      <c r="D4462" s="7">
        <v>2735054.27</v>
      </c>
      <c r="E4462" s="7">
        <v>470.11</v>
      </c>
      <c r="F4462" s="7">
        <v>41782.81</v>
      </c>
      <c r="G4462" s="7">
        <v>84858</v>
      </c>
      <c r="H4462" s="7">
        <f t="shared" si="116"/>
        <v>41732.81</v>
      </c>
      <c r="I4462" s="15"/>
    </row>
    <row r="4463" spans="1:9" s="8" customFormat="1" ht="21" customHeight="1" x14ac:dyDescent="0.6">
      <c r="A4463" s="7">
        <v>24.719772200000001</v>
      </c>
      <c r="B4463" s="7">
        <v>34.754924699999997</v>
      </c>
      <c r="C4463" s="7">
        <v>677506.66</v>
      </c>
      <c r="D4463" s="7">
        <v>2735056.14</v>
      </c>
      <c r="E4463" s="7">
        <v>469.69</v>
      </c>
      <c r="F4463" s="7">
        <v>41789.870000000003</v>
      </c>
      <c r="G4463" s="7">
        <v>84900</v>
      </c>
      <c r="H4463" s="7">
        <f t="shared" si="116"/>
        <v>41739.870000000003</v>
      </c>
      <c r="I4463" s="15"/>
    </row>
    <row r="4464" spans="1:9" s="8" customFormat="1" ht="21" customHeight="1" x14ac:dyDescent="0.6">
      <c r="A4464" s="7">
        <v>24.719792699999999</v>
      </c>
      <c r="B4464" s="7">
        <v>34.754939100000001</v>
      </c>
      <c r="C4464" s="7">
        <v>677508.09</v>
      </c>
      <c r="D4464" s="7">
        <v>2735058.43</v>
      </c>
      <c r="E4464" s="7">
        <v>469.54</v>
      </c>
      <c r="F4464" s="7">
        <v>41804.800000000003</v>
      </c>
      <c r="G4464" s="7">
        <v>84902</v>
      </c>
      <c r="H4464" s="7">
        <f t="shared" si="116"/>
        <v>41754.800000000003</v>
      </c>
      <c r="I4464" s="15"/>
    </row>
    <row r="4465" spans="1:9" s="8" customFormat="1" ht="21" customHeight="1" x14ac:dyDescent="0.6">
      <c r="A4465" s="7">
        <v>24.719814</v>
      </c>
      <c r="B4465" s="7">
        <v>34.754953700000002</v>
      </c>
      <c r="C4465" s="7">
        <v>677509.53</v>
      </c>
      <c r="D4465" s="7">
        <v>2735060.81</v>
      </c>
      <c r="E4465" s="7">
        <v>469.28</v>
      </c>
      <c r="F4465" s="7">
        <v>41809.980000000003</v>
      </c>
      <c r="G4465" s="7">
        <v>84904</v>
      </c>
      <c r="H4465" s="7">
        <f t="shared" si="116"/>
        <v>41759.980000000003</v>
      </c>
      <c r="I4465" s="15"/>
    </row>
    <row r="4466" spans="1:9" s="8" customFormat="1" ht="21" customHeight="1" x14ac:dyDescent="0.6">
      <c r="A4466" s="7">
        <v>24.719834200000001</v>
      </c>
      <c r="B4466" s="7">
        <v>34.754974699999998</v>
      </c>
      <c r="C4466" s="7">
        <v>677511.63</v>
      </c>
      <c r="D4466" s="7">
        <v>2735063.08</v>
      </c>
      <c r="E4466" s="7">
        <v>468.96</v>
      </c>
      <c r="F4466" s="7">
        <v>41812.769999999997</v>
      </c>
      <c r="G4466" s="7">
        <v>84906</v>
      </c>
      <c r="H4466" s="7">
        <f t="shared" si="116"/>
        <v>41762.769999999997</v>
      </c>
      <c r="I4466" s="15"/>
    </row>
    <row r="4467" spans="1:9" s="8" customFormat="1" ht="21" customHeight="1" x14ac:dyDescent="0.6">
      <c r="A4467" s="7">
        <v>24.719852400000001</v>
      </c>
      <c r="B4467" s="7">
        <v>34.754995700000002</v>
      </c>
      <c r="C4467" s="7">
        <v>677513.72</v>
      </c>
      <c r="D4467" s="7">
        <v>2735065.11</v>
      </c>
      <c r="E4467" s="7">
        <v>468.8</v>
      </c>
      <c r="F4467" s="7">
        <v>41806.06</v>
      </c>
      <c r="G4467" s="7">
        <v>84908</v>
      </c>
      <c r="H4467" s="7">
        <f t="shared" si="116"/>
        <v>41756.06</v>
      </c>
      <c r="I4467" s="15"/>
    </row>
    <row r="4468" spans="1:9" s="8" customFormat="1" ht="21" customHeight="1" x14ac:dyDescent="0.6">
      <c r="A4468" s="7">
        <v>24.719865200000001</v>
      </c>
      <c r="B4468" s="7">
        <v>34.755020100000003</v>
      </c>
      <c r="C4468" s="7">
        <v>677516.18</v>
      </c>
      <c r="D4468" s="7">
        <v>2735066.56</v>
      </c>
      <c r="E4468" s="7">
        <v>468.56</v>
      </c>
      <c r="F4468" s="7">
        <v>41813.49</v>
      </c>
      <c r="G4468" s="7">
        <v>84910</v>
      </c>
      <c r="H4468" s="7">
        <f t="shared" si="116"/>
        <v>41763.49</v>
      </c>
      <c r="I4468" s="15"/>
    </row>
    <row r="4469" spans="1:9" s="8" customFormat="1" ht="21" customHeight="1" x14ac:dyDescent="0.6">
      <c r="A4469" s="7">
        <v>24.719882299999998</v>
      </c>
      <c r="B4469" s="7">
        <v>34.755042799999998</v>
      </c>
      <c r="C4469" s="7">
        <v>677518.45</v>
      </c>
      <c r="D4469" s="7">
        <v>2735068.49</v>
      </c>
      <c r="E4469" s="7">
        <v>468.34</v>
      </c>
      <c r="F4469" s="7">
        <v>41812.76</v>
      </c>
      <c r="G4469" s="7">
        <v>84912</v>
      </c>
      <c r="H4469" s="7">
        <f t="shared" si="116"/>
        <v>41762.76</v>
      </c>
      <c r="I4469" s="15"/>
    </row>
    <row r="4470" spans="1:9" s="8" customFormat="1" ht="21" customHeight="1" x14ac:dyDescent="0.6">
      <c r="A4470" s="7">
        <v>24.7199001</v>
      </c>
      <c r="B4470" s="7">
        <v>34.755062600000002</v>
      </c>
      <c r="C4470" s="7">
        <v>677520.43</v>
      </c>
      <c r="D4470" s="7">
        <v>2735070.49</v>
      </c>
      <c r="E4470" s="7">
        <v>468.08</v>
      </c>
      <c r="F4470" s="7">
        <v>41857.4</v>
      </c>
      <c r="G4470" s="7">
        <v>84914</v>
      </c>
      <c r="H4470" s="7">
        <f t="shared" si="116"/>
        <v>41807.4</v>
      </c>
      <c r="I4470" s="15"/>
    </row>
    <row r="4471" spans="1:9" s="8" customFormat="1" ht="21" customHeight="1" x14ac:dyDescent="0.6">
      <c r="A4471" s="7">
        <v>24.7199174</v>
      </c>
      <c r="B4471" s="7">
        <v>34.755082899999998</v>
      </c>
      <c r="C4471" s="7">
        <v>677522.46</v>
      </c>
      <c r="D4471" s="7">
        <v>2735072.43</v>
      </c>
      <c r="E4471" s="7">
        <v>467.75</v>
      </c>
      <c r="F4471" s="7">
        <v>41824.800000000003</v>
      </c>
      <c r="G4471" s="7">
        <v>84916</v>
      </c>
      <c r="H4471" s="7">
        <f t="shared" si="116"/>
        <v>41774.800000000003</v>
      </c>
      <c r="I4471" s="15"/>
    </row>
    <row r="4472" spans="1:9" s="8" customFormat="1" ht="21" customHeight="1" x14ac:dyDescent="0.6">
      <c r="A4472" s="7">
        <v>24.7199372</v>
      </c>
      <c r="B4472" s="7">
        <v>34.755103099999999</v>
      </c>
      <c r="C4472" s="7">
        <v>677524.47</v>
      </c>
      <c r="D4472" s="7">
        <v>2735074.65</v>
      </c>
      <c r="E4472" s="7">
        <v>467.46</v>
      </c>
      <c r="F4472" s="7">
        <v>41831.9</v>
      </c>
      <c r="G4472" s="7">
        <v>84918</v>
      </c>
      <c r="H4472" s="7">
        <f t="shared" si="116"/>
        <v>41781.9</v>
      </c>
      <c r="I4472" s="15"/>
    </row>
    <row r="4473" spans="1:9" s="8" customFormat="1" ht="21" customHeight="1" x14ac:dyDescent="0.6">
      <c r="A4473" s="7">
        <v>24.719954600000001</v>
      </c>
      <c r="B4473" s="7">
        <v>34.755122700000001</v>
      </c>
      <c r="C4473" s="7">
        <v>677526.43</v>
      </c>
      <c r="D4473" s="7">
        <v>2735076.6</v>
      </c>
      <c r="E4473" s="7">
        <v>467.28</v>
      </c>
      <c r="F4473" s="7">
        <v>41801.4</v>
      </c>
      <c r="G4473" s="7">
        <v>84920</v>
      </c>
      <c r="H4473" s="7">
        <f t="shared" si="116"/>
        <v>41751.4</v>
      </c>
      <c r="I4473" s="15"/>
    </row>
    <row r="4474" spans="1:9" s="8" customFormat="1" ht="21" customHeight="1" x14ac:dyDescent="0.6">
      <c r="A4474" s="7">
        <v>24.719972299999998</v>
      </c>
      <c r="B4474" s="7">
        <v>34.7551439</v>
      </c>
      <c r="C4474" s="7">
        <v>677528.55</v>
      </c>
      <c r="D4474" s="7">
        <v>2735078.59</v>
      </c>
      <c r="E4474" s="7">
        <v>467.1</v>
      </c>
      <c r="F4474" s="7">
        <v>41866.85</v>
      </c>
      <c r="G4474" s="7">
        <v>84922</v>
      </c>
      <c r="H4474" s="7">
        <f t="shared" si="116"/>
        <v>41816.85</v>
      </c>
      <c r="I4474" s="15"/>
    </row>
    <row r="4475" spans="1:9" s="8" customFormat="1" ht="21" customHeight="1" x14ac:dyDescent="0.6">
      <c r="A4475" s="7">
        <v>24.719986800000001</v>
      </c>
      <c r="B4475" s="7">
        <v>34.7551664</v>
      </c>
      <c r="C4475" s="7">
        <v>677530.81</v>
      </c>
      <c r="D4475" s="7">
        <v>2735080.22</v>
      </c>
      <c r="E4475" s="7">
        <v>466.88</v>
      </c>
      <c r="F4475" s="7">
        <v>41828.980000000003</v>
      </c>
      <c r="G4475" s="7">
        <v>84924</v>
      </c>
      <c r="H4475" s="7">
        <f t="shared" si="116"/>
        <v>41778.980000000003</v>
      </c>
      <c r="I4475" s="15"/>
    </row>
    <row r="4476" spans="1:9" s="8" customFormat="1" ht="21" customHeight="1" x14ac:dyDescent="0.6">
      <c r="A4476" s="7">
        <v>24.720004800000002</v>
      </c>
      <c r="B4476" s="7">
        <v>34.755186100000003</v>
      </c>
      <c r="C4476" s="7">
        <v>677532.78</v>
      </c>
      <c r="D4476" s="7">
        <v>2735082.25</v>
      </c>
      <c r="E4476" s="7">
        <v>466.56</v>
      </c>
      <c r="F4476" s="7">
        <v>41824.959999999999</v>
      </c>
      <c r="G4476" s="7">
        <v>84926</v>
      </c>
      <c r="H4476" s="7">
        <f t="shared" si="116"/>
        <v>41774.959999999999</v>
      </c>
      <c r="I4476" s="15"/>
    </row>
    <row r="4477" spans="1:9" s="8" customFormat="1" ht="21" customHeight="1" x14ac:dyDescent="0.6">
      <c r="A4477" s="7">
        <v>24.7200202</v>
      </c>
      <c r="B4477" s="7">
        <v>34.755207800000001</v>
      </c>
      <c r="C4477" s="7">
        <v>677534.95</v>
      </c>
      <c r="D4477" s="7">
        <v>2735083.98</v>
      </c>
      <c r="E4477" s="7">
        <v>466.35</v>
      </c>
      <c r="F4477" s="7">
        <v>41784.97</v>
      </c>
      <c r="G4477" s="7">
        <v>84928</v>
      </c>
      <c r="H4477" s="7">
        <f t="shared" si="116"/>
        <v>41734.97</v>
      </c>
      <c r="I4477" s="15"/>
    </row>
    <row r="4478" spans="1:9" s="8" customFormat="1" ht="21" customHeight="1" x14ac:dyDescent="0.6">
      <c r="A4478" s="7">
        <v>24.720019600000001</v>
      </c>
      <c r="B4478" s="7">
        <v>34.755234100000003</v>
      </c>
      <c r="C4478" s="7">
        <v>677537.61</v>
      </c>
      <c r="D4478" s="7">
        <v>2735083.95</v>
      </c>
      <c r="E4478" s="7">
        <v>466.23</v>
      </c>
      <c r="F4478" s="7">
        <v>41804.36</v>
      </c>
      <c r="G4478" s="7">
        <v>84930</v>
      </c>
      <c r="H4478" s="7">
        <f t="shared" si="116"/>
        <v>41754.36</v>
      </c>
      <c r="I4478" s="15"/>
    </row>
    <row r="4479" spans="1:9" s="8" customFormat="1" ht="21" customHeight="1" x14ac:dyDescent="0.6">
      <c r="A4479" s="7">
        <v>24.720013300000002</v>
      </c>
      <c r="B4479" s="7">
        <v>34.755260800000002</v>
      </c>
      <c r="C4479" s="7">
        <v>677540.32</v>
      </c>
      <c r="D4479" s="7">
        <v>2735083.28</v>
      </c>
      <c r="E4479" s="7">
        <v>466</v>
      </c>
      <c r="F4479" s="7">
        <v>41804.94</v>
      </c>
      <c r="G4479" s="7">
        <v>84932</v>
      </c>
      <c r="H4479" s="7">
        <f t="shared" si="116"/>
        <v>41754.94</v>
      </c>
      <c r="I4479" s="15"/>
    </row>
    <row r="4480" spans="1:9" s="8" customFormat="1" ht="21" customHeight="1" x14ac:dyDescent="0.6">
      <c r="A4480" s="7">
        <v>24.7200022</v>
      </c>
      <c r="B4480" s="7">
        <v>34.755286499999997</v>
      </c>
      <c r="C4480" s="7">
        <v>677542.93</v>
      </c>
      <c r="D4480" s="7">
        <v>2735082.09</v>
      </c>
      <c r="E4480" s="7">
        <v>465.9</v>
      </c>
      <c r="F4480" s="7">
        <v>41801.919999999998</v>
      </c>
      <c r="G4480" s="7">
        <v>84934</v>
      </c>
      <c r="H4480" s="7">
        <f t="shared" si="116"/>
        <v>41751.919999999998</v>
      </c>
      <c r="I4480" s="15"/>
    </row>
    <row r="4481" spans="1:9" s="8" customFormat="1" ht="21" customHeight="1" x14ac:dyDescent="0.6">
      <c r="A4481" s="7">
        <v>24.719995399999998</v>
      </c>
      <c r="B4481" s="7">
        <v>34.755313000000001</v>
      </c>
      <c r="C4481" s="7">
        <v>677545.62</v>
      </c>
      <c r="D4481" s="7">
        <v>2735081.37</v>
      </c>
      <c r="E4481" s="7">
        <v>465.74</v>
      </c>
      <c r="F4481" s="7">
        <v>41812.01</v>
      </c>
      <c r="G4481" s="7">
        <v>84936</v>
      </c>
      <c r="H4481" s="7">
        <f t="shared" si="116"/>
        <v>41762.01</v>
      </c>
      <c r="I4481" s="15"/>
    </row>
    <row r="4482" spans="1:9" s="8" customFormat="1" ht="21" customHeight="1" x14ac:dyDescent="0.6">
      <c r="A4482" s="7">
        <v>24.719992900000001</v>
      </c>
      <c r="B4482" s="7">
        <v>34.755340099999998</v>
      </c>
      <c r="C4482" s="7">
        <v>677548.37</v>
      </c>
      <c r="D4482" s="7">
        <v>2735081.12</v>
      </c>
      <c r="E4482" s="7">
        <v>465.52</v>
      </c>
      <c r="F4482" s="7">
        <v>41808.99</v>
      </c>
      <c r="G4482" s="7">
        <v>84938</v>
      </c>
      <c r="H4482" s="7">
        <f t="shared" si="116"/>
        <v>41758.99</v>
      </c>
      <c r="I4482" s="15"/>
    </row>
    <row r="4483" spans="1:9" s="8" customFormat="1" ht="21" customHeight="1" x14ac:dyDescent="0.6">
      <c r="A4483" s="7">
        <v>24.719986899999999</v>
      </c>
      <c r="B4483" s="7">
        <v>34.755368199999999</v>
      </c>
      <c r="C4483" s="7">
        <v>677551.22</v>
      </c>
      <c r="D4483" s="7">
        <v>2735080.5</v>
      </c>
      <c r="E4483" s="7">
        <v>465.25</v>
      </c>
      <c r="F4483" s="7">
        <v>41833.980000000003</v>
      </c>
      <c r="G4483" s="7">
        <v>84940</v>
      </c>
      <c r="H4483" s="7">
        <f t="shared" si="116"/>
        <v>41783.980000000003</v>
      </c>
      <c r="I4483" s="15"/>
    </row>
    <row r="4484" spans="1:9" s="8" customFormat="1" ht="21" customHeight="1" x14ac:dyDescent="0.6">
      <c r="A4484" s="7">
        <v>24.7199797</v>
      </c>
      <c r="B4484" s="7">
        <v>34.755396500000003</v>
      </c>
      <c r="C4484" s="7">
        <v>677554.1</v>
      </c>
      <c r="D4484" s="7">
        <v>2735079.74</v>
      </c>
      <c r="E4484" s="7">
        <v>465.1</v>
      </c>
      <c r="F4484" s="7">
        <v>41820.870000000003</v>
      </c>
      <c r="G4484" s="7">
        <v>84942</v>
      </c>
      <c r="H4484" s="7">
        <f t="shared" si="116"/>
        <v>41770.870000000003</v>
      </c>
      <c r="I4484" s="15"/>
    </row>
    <row r="4485" spans="1:9" s="8" customFormat="1" ht="21" customHeight="1" x14ac:dyDescent="0.6">
      <c r="A4485" s="7">
        <v>24.7199746</v>
      </c>
      <c r="B4485" s="7">
        <v>34.755425000000002</v>
      </c>
      <c r="C4485" s="7">
        <v>677556.98</v>
      </c>
      <c r="D4485" s="7">
        <v>2735079.21</v>
      </c>
      <c r="E4485" s="7">
        <v>464.92</v>
      </c>
      <c r="F4485" s="7">
        <v>41833.57</v>
      </c>
      <c r="G4485" s="7">
        <v>84944</v>
      </c>
      <c r="H4485" s="7">
        <f t="shared" si="116"/>
        <v>41783.57</v>
      </c>
      <c r="I4485" s="15"/>
    </row>
    <row r="4486" spans="1:9" s="8" customFormat="1" ht="21" customHeight="1" x14ac:dyDescent="0.6">
      <c r="A4486" s="7">
        <v>24.719978600000001</v>
      </c>
      <c r="B4486" s="7">
        <v>34.755452900000002</v>
      </c>
      <c r="C4486" s="7">
        <v>677559.8</v>
      </c>
      <c r="D4486" s="7">
        <v>2735079.69</v>
      </c>
      <c r="E4486" s="7">
        <v>464.83</v>
      </c>
      <c r="F4486" s="7">
        <v>41826.089999999997</v>
      </c>
      <c r="G4486" s="7">
        <v>84946</v>
      </c>
      <c r="H4486" s="7">
        <f t="shared" si="116"/>
        <v>41776.089999999997</v>
      </c>
      <c r="I4486" s="15"/>
    </row>
    <row r="4487" spans="1:9" s="8" customFormat="1" ht="21" customHeight="1" x14ac:dyDescent="0.6">
      <c r="A4487" s="7">
        <v>24.719993899999999</v>
      </c>
      <c r="B4487" s="7">
        <v>34.755476899999998</v>
      </c>
      <c r="C4487" s="7">
        <v>677562.21</v>
      </c>
      <c r="D4487" s="7">
        <v>2735081.42</v>
      </c>
      <c r="E4487" s="7">
        <v>464.65</v>
      </c>
      <c r="F4487" s="7">
        <v>41825.839999999997</v>
      </c>
      <c r="G4487" s="7">
        <v>84948</v>
      </c>
      <c r="H4487" s="7">
        <f t="shared" si="116"/>
        <v>41775.839999999997</v>
      </c>
      <c r="I4487" s="15"/>
    </row>
    <row r="4488" spans="1:9" s="8" customFormat="1" ht="21" customHeight="1" x14ac:dyDescent="0.6">
      <c r="A4488" s="7">
        <v>24.720011</v>
      </c>
      <c r="B4488" s="7">
        <v>34.755498199999998</v>
      </c>
      <c r="C4488" s="7">
        <v>677564.34</v>
      </c>
      <c r="D4488" s="7">
        <v>2735083.34</v>
      </c>
      <c r="E4488" s="7">
        <v>464.53</v>
      </c>
      <c r="F4488" s="7">
        <v>41823.89</v>
      </c>
      <c r="G4488" s="7">
        <v>84950</v>
      </c>
      <c r="H4488" s="7">
        <f t="shared" si="116"/>
        <v>41773.89</v>
      </c>
      <c r="I4488" s="15"/>
    </row>
    <row r="4489" spans="1:9" s="8" customFormat="1" ht="21" customHeight="1" x14ac:dyDescent="0.6">
      <c r="A4489" s="7">
        <v>24.720031899999999</v>
      </c>
      <c r="B4489" s="7">
        <v>34.755515299999999</v>
      </c>
      <c r="C4489" s="7">
        <v>677566.04</v>
      </c>
      <c r="D4489" s="7">
        <v>2735085.68</v>
      </c>
      <c r="E4489" s="7">
        <v>464.31</v>
      </c>
      <c r="F4489" s="7">
        <v>41819.89</v>
      </c>
      <c r="G4489" s="7">
        <v>84952</v>
      </c>
      <c r="H4489" s="7">
        <f t="shared" si="116"/>
        <v>41769.89</v>
      </c>
      <c r="I4489" s="15"/>
    </row>
    <row r="4490" spans="1:9" s="8" customFormat="1" ht="21" customHeight="1" x14ac:dyDescent="0.6">
      <c r="A4490" s="7">
        <v>24.720049899999999</v>
      </c>
      <c r="B4490" s="7">
        <v>34.755536300000003</v>
      </c>
      <c r="C4490" s="7">
        <v>677568.14</v>
      </c>
      <c r="D4490" s="7">
        <v>2735087.69</v>
      </c>
      <c r="E4490" s="7">
        <v>464.02</v>
      </c>
      <c r="F4490" s="7">
        <v>41765.54</v>
      </c>
      <c r="G4490" s="7">
        <v>84954</v>
      </c>
      <c r="H4490" s="7">
        <f t="shared" si="116"/>
        <v>41715.54</v>
      </c>
      <c r="I4490" s="15"/>
    </row>
    <row r="4491" spans="1:9" s="8" customFormat="1" ht="21" customHeight="1" x14ac:dyDescent="0.6">
      <c r="A4491" s="7">
        <v>24.720065300000002</v>
      </c>
      <c r="B4491" s="7">
        <v>34.755562099999999</v>
      </c>
      <c r="C4491" s="7">
        <v>677570.73</v>
      </c>
      <c r="D4491" s="7">
        <v>2735089.43</v>
      </c>
      <c r="E4491" s="7">
        <v>463.71</v>
      </c>
      <c r="F4491" s="7">
        <v>41784.33</v>
      </c>
      <c r="G4491" s="7">
        <v>84956</v>
      </c>
      <c r="H4491" s="7">
        <f t="shared" si="116"/>
        <v>41734.33</v>
      </c>
      <c r="I4491" s="15"/>
    </row>
    <row r="4492" spans="1:9" s="8" customFormat="1" ht="21" customHeight="1" x14ac:dyDescent="0.6">
      <c r="A4492" s="7">
        <v>24.7200782</v>
      </c>
      <c r="B4492" s="7">
        <v>34.7555865</v>
      </c>
      <c r="C4492" s="7">
        <v>677573.18</v>
      </c>
      <c r="D4492" s="7">
        <v>2735090.89</v>
      </c>
      <c r="E4492" s="7">
        <v>463.49</v>
      </c>
      <c r="F4492" s="7">
        <v>41809.35</v>
      </c>
      <c r="G4492" s="7">
        <v>84958</v>
      </c>
      <c r="H4492" s="7">
        <f t="shared" si="116"/>
        <v>41759.35</v>
      </c>
      <c r="I4492" s="15"/>
    </row>
    <row r="4493" spans="1:9" s="8" customFormat="1" ht="21" customHeight="1" x14ac:dyDescent="0.6">
      <c r="A4493" s="7">
        <v>24.720085099999999</v>
      </c>
      <c r="B4493" s="7">
        <v>34.755615599999999</v>
      </c>
      <c r="C4493" s="7">
        <v>677576.12</v>
      </c>
      <c r="D4493" s="7">
        <v>2735091.69</v>
      </c>
      <c r="E4493" s="7">
        <v>463.36</v>
      </c>
      <c r="F4493" s="7">
        <v>41828.94</v>
      </c>
      <c r="G4493" s="7">
        <v>85000</v>
      </c>
      <c r="H4493" s="7">
        <f t="shared" si="116"/>
        <v>41778.94</v>
      </c>
      <c r="I4493" s="15"/>
    </row>
    <row r="4494" spans="1:9" s="8" customFormat="1" ht="21" customHeight="1" x14ac:dyDescent="0.6">
      <c r="A4494" s="7">
        <v>24.7200898</v>
      </c>
      <c r="B4494" s="7">
        <v>34.755645999999999</v>
      </c>
      <c r="C4494" s="7">
        <v>677579.18</v>
      </c>
      <c r="D4494" s="7">
        <v>2735092.26</v>
      </c>
      <c r="E4494" s="7">
        <v>463.22</v>
      </c>
      <c r="F4494" s="7">
        <v>41815.4</v>
      </c>
      <c r="G4494" s="7">
        <v>85002</v>
      </c>
      <c r="H4494" s="7">
        <f t="shared" si="116"/>
        <v>41765.4</v>
      </c>
      <c r="I4494" s="15"/>
    </row>
    <row r="4495" spans="1:9" s="8" customFormat="1" ht="21" customHeight="1" x14ac:dyDescent="0.6">
      <c r="A4495" s="7">
        <v>24.7200965</v>
      </c>
      <c r="B4495" s="7">
        <v>34.755675099999998</v>
      </c>
      <c r="C4495" s="7">
        <v>677582.12</v>
      </c>
      <c r="D4495" s="7">
        <v>2735093.03</v>
      </c>
      <c r="E4495" s="7">
        <v>463.1</v>
      </c>
      <c r="F4495" s="7">
        <v>41826.42</v>
      </c>
      <c r="G4495" s="7">
        <v>85004</v>
      </c>
      <c r="H4495" s="7">
        <f t="shared" si="116"/>
        <v>41776.42</v>
      </c>
      <c r="I4495" s="15"/>
    </row>
    <row r="4496" spans="1:9" s="8" customFormat="1" ht="21" customHeight="1" x14ac:dyDescent="0.6">
      <c r="A4496" s="7">
        <v>24.720102399999998</v>
      </c>
      <c r="B4496" s="7">
        <v>34.755704199999997</v>
      </c>
      <c r="C4496" s="7">
        <v>677585.05</v>
      </c>
      <c r="D4496" s="7">
        <v>2735093.73</v>
      </c>
      <c r="E4496" s="7">
        <v>463.01</v>
      </c>
      <c r="F4496" s="7">
        <v>41813.42</v>
      </c>
      <c r="G4496" s="7">
        <v>85006</v>
      </c>
      <c r="H4496" s="7">
        <f t="shared" si="116"/>
        <v>41763.42</v>
      </c>
      <c r="I4496" s="15"/>
    </row>
    <row r="4497" spans="1:9" s="8" customFormat="1" ht="21" customHeight="1" x14ac:dyDescent="0.6">
      <c r="A4497" s="7">
        <v>24.720108799999998</v>
      </c>
      <c r="B4497" s="7">
        <v>34.755732299999998</v>
      </c>
      <c r="C4497" s="7">
        <v>677587.88</v>
      </c>
      <c r="D4497" s="7">
        <v>2735094.47</v>
      </c>
      <c r="E4497" s="7">
        <v>462.89</v>
      </c>
      <c r="F4497" s="7">
        <v>41827.269999999997</v>
      </c>
      <c r="G4497" s="7">
        <v>85008</v>
      </c>
      <c r="H4497" s="7">
        <f t="shared" si="116"/>
        <v>41777.269999999997</v>
      </c>
      <c r="I4497" s="15"/>
    </row>
    <row r="4498" spans="1:9" s="8" customFormat="1" ht="21" customHeight="1" x14ac:dyDescent="0.6">
      <c r="A4498" s="7">
        <v>24.7201144</v>
      </c>
      <c r="B4498" s="7">
        <v>34.755760700000003</v>
      </c>
      <c r="C4498" s="7">
        <v>677590.74</v>
      </c>
      <c r="D4498" s="7">
        <v>2735095.13</v>
      </c>
      <c r="E4498" s="7">
        <v>462.79</v>
      </c>
      <c r="F4498" s="7">
        <v>41801.019999999997</v>
      </c>
      <c r="G4498" s="7">
        <v>85010</v>
      </c>
      <c r="H4498" s="7">
        <f t="shared" si="116"/>
        <v>41751.019999999997</v>
      </c>
      <c r="I4498" s="15"/>
    </row>
    <row r="4499" spans="1:9" s="8" customFormat="1" ht="21" customHeight="1" x14ac:dyDescent="0.6">
      <c r="A4499" s="7">
        <v>24.720116999999998</v>
      </c>
      <c r="B4499" s="7">
        <v>34.755789999999998</v>
      </c>
      <c r="C4499" s="7">
        <v>677593.71</v>
      </c>
      <c r="D4499" s="7">
        <v>2735095.45</v>
      </c>
      <c r="E4499" s="7">
        <v>462.54</v>
      </c>
      <c r="F4499" s="7">
        <v>41815.1</v>
      </c>
      <c r="G4499" s="7">
        <v>85012</v>
      </c>
      <c r="H4499" s="7">
        <f t="shared" si="116"/>
        <v>41765.1</v>
      </c>
      <c r="I4499" s="15"/>
    </row>
    <row r="4500" spans="1:9" s="8" customFormat="1" ht="21" customHeight="1" x14ac:dyDescent="0.6">
      <c r="A4500" s="7">
        <v>24.7201159</v>
      </c>
      <c r="B4500" s="7">
        <v>34.755820700000001</v>
      </c>
      <c r="C4500" s="7">
        <v>677596.81</v>
      </c>
      <c r="D4500" s="7">
        <v>2735095.37</v>
      </c>
      <c r="E4500" s="7">
        <v>462.16</v>
      </c>
      <c r="F4500" s="7">
        <v>41823.65</v>
      </c>
      <c r="G4500" s="7">
        <v>85014</v>
      </c>
      <c r="H4500" s="7">
        <f t="shared" ref="H4500:H4563" si="117">SUM(F4500-50)</f>
        <v>41773.65</v>
      </c>
      <c r="I4500" s="15"/>
    </row>
    <row r="4501" spans="1:9" s="8" customFormat="1" ht="21" customHeight="1" x14ac:dyDescent="0.6">
      <c r="A4501" s="7">
        <v>24.720107200000001</v>
      </c>
      <c r="B4501" s="7">
        <v>34.755848100000001</v>
      </c>
      <c r="C4501" s="7">
        <v>677599.61</v>
      </c>
      <c r="D4501" s="7">
        <v>2735094.45</v>
      </c>
      <c r="E4501" s="7">
        <v>462.14</v>
      </c>
      <c r="F4501" s="7">
        <v>41841.18</v>
      </c>
      <c r="G4501" s="7">
        <v>85016</v>
      </c>
      <c r="H4501" s="7">
        <f t="shared" si="117"/>
        <v>41791.18</v>
      </c>
      <c r="I4501" s="15"/>
    </row>
    <row r="4502" spans="1:9" s="8" customFormat="1" ht="21" customHeight="1" x14ac:dyDescent="0.6">
      <c r="A4502" s="7">
        <v>24.720098499999999</v>
      </c>
      <c r="B4502" s="7">
        <v>34.755873200000003</v>
      </c>
      <c r="C4502" s="7">
        <v>677602.16</v>
      </c>
      <c r="D4502" s="7">
        <v>2735093.51</v>
      </c>
      <c r="E4502" s="7">
        <v>461.95</v>
      </c>
      <c r="F4502" s="7">
        <v>41848.639999999999</v>
      </c>
      <c r="G4502" s="7">
        <v>85018</v>
      </c>
      <c r="H4502" s="7">
        <f t="shared" si="117"/>
        <v>41798.639999999999</v>
      </c>
      <c r="I4502" s="15"/>
    </row>
    <row r="4503" spans="1:9" s="8" customFormat="1" ht="21" customHeight="1" x14ac:dyDescent="0.6">
      <c r="A4503" s="7">
        <v>24.720090599999999</v>
      </c>
      <c r="B4503" s="7">
        <v>34.755898299999998</v>
      </c>
      <c r="C4503" s="7">
        <v>677604.71</v>
      </c>
      <c r="D4503" s="7">
        <v>2735092.67</v>
      </c>
      <c r="E4503" s="7">
        <v>461.78</v>
      </c>
      <c r="F4503" s="7">
        <v>41859.629999999997</v>
      </c>
      <c r="G4503" s="7">
        <v>85020</v>
      </c>
      <c r="H4503" s="7">
        <f t="shared" si="117"/>
        <v>41809.629999999997</v>
      </c>
      <c r="I4503" s="15"/>
    </row>
    <row r="4504" spans="1:9" s="8" customFormat="1" ht="21" customHeight="1" x14ac:dyDescent="0.6">
      <c r="A4504" s="7">
        <v>24.720087800000002</v>
      </c>
      <c r="B4504" s="7">
        <v>34.755925400000002</v>
      </c>
      <c r="C4504" s="7">
        <v>677607.45</v>
      </c>
      <c r="D4504" s="7">
        <v>2735092.4</v>
      </c>
      <c r="E4504" s="7">
        <v>461.69</v>
      </c>
      <c r="F4504" s="7">
        <v>41865.599999999999</v>
      </c>
      <c r="G4504" s="7">
        <v>85022</v>
      </c>
      <c r="H4504" s="7">
        <f t="shared" si="117"/>
        <v>41815.599999999999</v>
      </c>
      <c r="I4504" s="15"/>
    </row>
    <row r="4505" spans="1:9" s="8" customFormat="1" ht="21" customHeight="1" x14ac:dyDescent="0.6">
      <c r="A4505" s="7">
        <v>24.720083200000001</v>
      </c>
      <c r="B4505" s="7">
        <v>34.755952499999999</v>
      </c>
      <c r="C4505" s="7">
        <v>677610.2</v>
      </c>
      <c r="D4505" s="7">
        <v>2735091.92</v>
      </c>
      <c r="E4505" s="7">
        <v>461.58</v>
      </c>
      <c r="F4505" s="7">
        <v>41858.14</v>
      </c>
      <c r="G4505" s="7">
        <v>85024</v>
      </c>
      <c r="H4505" s="7">
        <f t="shared" si="117"/>
        <v>41808.14</v>
      </c>
      <c r="I4505" s="15"/>
    </row>
    <row r="4506" spans="1:9" s="8" customFormat="1" ht="21" customHeight="1" x14ac:dyDescent="0.6">
      <c r="A4506" s="7">
        <v>24.720081400000002</v>
      </c>
      <c r="B4506" s="7">
        <v>34.755982500000002</v>
      </c>
      <c r="C4506" s="7">
        <v>677613.24</v>
      </c>
      <c r="D4506" s="7">
        <v>2735091.76</v>
      </c>
      <c r="E4506" s="7">
        <v>461.54</v>
      </c>
      <c r="F4506" s="7">
        <v>41851.03</v>
      </c>
      <c r="G4506" s="7">
        <v>85026</v>
      </c>
      <c r="H4506" s="7">
        <f t="shared" si="117"/>
        <v>41801.03</v>
      </c>
      <c r="I4506" s="15"/>
    </row>
    <row r="4507" spans="1:9" s="8" customFormat="1" ht="21" customHeight="1" x14ac:dyDescent="0.6">
      <c r="A4507" s="7">
        <v>24.7200779</v>
      </c>
      <c r="B4507" s="7">
        <v>34.756010600000003</v>
      </c>
      <c r="C4507" s="7">
        <v>677616.08</v>
      </c>
      <c r="D4507" s="7">
        <v>2735091.42</v>
      </c>
      <c r="E4507" s="7">
        <v>461.48</v>
      </c>
      <c r="F4507" s="7">
        <v>41854.120000000003</v>
      </c>
      <c r="G4507" s="7">
        <v>85028</v>
      </c>
      <c r="H4507" s="7">
        <f t="shared" si="117"/>
        <v>41804.120000000003</v>
      </c>
      <c r="I4507" s="15"/>
    </row>
    <row r="4508" spans="1:9" s="8" customFormat="1" ht="21" customHeight="1" x14ac:dyDescent="0.6">
      <c r="A4508" s="7">
        <v>24.7200746</v>
      </c>
      <c r="B4508" s="7">
        <v>34.756039600000001</v>
      </c>
      <c r="C4508" s="7">
        <v>677619.02</v>
      </c>
      <c r="D4508" s="7">
        <v>2735091.09</v>
      </c>
      <c r="E4508" s="7">
        <v>461.42</v>
      </c>
      <c r="F4508" s="7">
        <v>41837.78</v>
      </c>
      <c r="G4508" s="7">
        <v>85030</v>
      </c>
      <c r="H4508" s="7">
        <f t="shared" si="117"/>
        <v>41787.78</v>
      </c>
      <c r="I4508" s="15"/>
    </row>
    <row r="4509" spans="1:9" s="8" customFormat="1" ht="21" customHeight="1" x14ac:dyDescent="0.6">
      <c r="A4509" s="7">
        <v>24.720067799999999</v>
      </c>
      <c r="B4509" s="7">
        <v>34.756065100000001</v>
      </c>
      <c r="C4509" s="7">
        <v>677621.61</v>
      </c>
      <c r="D4509" s="7">
        <v>2735090.37</v>
      </c>
      <c r="E4509" s="7">
        <v>461.42</v>
      </c>
      <c r="F4509" s="7">
        <v>41838.89</v>
      </c>
      <c r="G4509" s="7">
        <v>85032</v>
      </c>
      <c r="H4509" s="7">
        <f t="shared" si="117"/>
        <v>41788.89</v>
      </c>
      <c r="I4509" s="15"/>
    </row>
    <row r="4510" spans="1:9" s="8" customFormat="1" ht="21" customHeight="1" x14ac:dyDescent="0.6">
      <c r="A4510" s="7">
        <v>24.720055599999998</v>
      </c>
      <c r="B4510" s="7">
        <v>34.756088099999999</v>
      </c>
      <c r="C4510" s="7">
        <v>677623.95</v>
      </c>
      <c r="D4510" s="7">
        <v>2735089.04</v>
      </c>
      <c r="E4510" s="7">
        <v>461.36</v>
      </c>
      <c r="F4510" s="7">
        <v>41833.050000000003</v>
      </c>
      <c r="G4510" s="7">
        <v>85034</v>
      </c>
      <c r="H4510" s="7">
        <f t="shared" si="117"/>
        <v>41783.050000000003</v>
      </c>
      <c r="I4510" s="15"/>
    </row>
    <row r="4511" spans="1:9" s="8" customFormat="1" ht="21" customHeight="1" x14ac:dyDescent="0.6">
      <c r="A4511" s="7">
        <v>24.720045599999999</v>
      </c>
      <c r="B4511" s="7">
        <v>34.756113599999999</v>
      </c>
      <c r="C4511" s="7">
        <v>677626.55</v>
      </c>
      <c r="D4511" s="7">
        <v>2735087.97</v>
      </c>
      <c r="E4511" s="7">
        <v>461.27</v>
      </c>
      <c r="F4511" s="7">
        <v>41822.959999999999</v>
      </c>
      <c r="G4511" s="7">
        <v>85036</v>
      </c>
      <c r="H4511" s="7">
        <f t="shared" si="117"/>
        <v>41772.959999999999</v>
      </c>
      <c r="I4511" s="15"/>
    </row>
    <row r="4512" spans="1:9" s="8" customFormat="1" ht="21" customHeight="1" x14ac:dyDescent="0.6">
      <c r="A4512" s="7">
        <v>24.720032499999999</v>
      </c>
      <c r="B4512" s="7">
        <v>34.756140799999997</v>
      </c>
      <c r="C4512" s="7">
        <v>677629.32</v>
      </c>
      <c r="D4512" s="7">
        <v>2735086.56</v>
      </c>
      <c r="E4512" s="7">
        <v>461.05</v>
      </c>
      <c r="F4512" s="7">
        <v>41803.14</v>
      </c>
      <c r="G4512" s="7">
        <v>85038</v>
      </c>
      <c r="H4512" s="7">
        <f t="shared" si="117"/>
        <v>41753.14</v>
      </c>
      <c r="I4512" s="15"/>
    </row>
    <row r="4513" spans="1:9" s="8" customFormat="1" ht="21" customHeight="1" x14ac:dyDescent="0.6">
      <c r="A4513" s="7">
        <v>24.720016099999999</v>
      </c>
      <c r="B4513" s="7">
        <v>34.756163200000003</v>
      </c>
      <c r="C4513" s="7">
        <v>677631.6</v>
      </c>
      <c r="D4513" s="7">
        <v>2735084.76</v>
      </c>
      <c r="E4513" s="7">
        <v>461.23</v>
      </c>
      <c r="F4513" s="7">
        <v>41791.32</v>
      </c>
      <c r="G4513" s="7">
        <v>85040</v>
      </c>
      <c r="H4513" s="7">
        <f t="shared" si="117"/>
        <v>41741.32</v>
      </c>
      <c r="I4513" s="15"/>
    </row>
    <row r="4514" spans="1:9" s="8" customFormat="1" ht="21" customHeight="1" x14ac:dyDescent="0.6">
      <c r="A4514" s="7">
        <v>24.720001799999999</v>
      </c>
      <c r="B4514" s="7">
        <v>34.756183399999998</v>
      </c>
      <c r="C4514" s="7">
        <v>677633.67</v>
      </c>
      <c r="D4514" s="7">
        <v>2735083.21</v>
      </c>
      <c r="E4514" s="7">
        <v>461.47</v>
      </c>
      <c r="F4514" s="7">
        <v>41807.15</v>
      </c>
      <c r="G4514" s="7">
        <v>85042</v>
      </c>
      <c r="H4514" s="7">
        <f t="shared" si="117"/>
        <v>41757.15</v>
      </c>
      <c r="I4514" s="15"/>
    </row>
    <row r="4515" spans="1:9" s="8" customFormat="1" ht="21" customHeight="1" x14ac:dyDescent="0.6">
      <c r="A4515" s="7">
        <v>24.719985099999999</v>
      </c>
      <c r="B4515" s="7">
        <v>34.756206300000002</v>
      </c>
      <c r="C4515" s="7">
        <v>677636.01</v>
      </c>
      <c r="D4515" s="7">
        <v>2735081.38</v>
      </c>
      <c r="E4515" s="7">
        <v>461.35</v>
      </c>
      <c r="F4515" s="7">
        <v>41817.269999999997</v>
      </c>
      <c r="G4515" s="7">
        <v>85044</v>
      </c>
      <c r="H4515" s="7">
        <f t="shared" si="117"/>
        <v>41767.269999999997</v>
      </c>
      <c r="I4515" s="15"/>
    </row>
    <row r="4516" spans="1:9" s="8" customFormat="1" ht="21" customHeight="1" x14ac:dyDescent="0.6">
      <c r="A4516" s="7">
        <v>24.719967199999999</v>
      </c>
      <c r="B4516" s="7">
        <v>34.7562292</v>
      </c>
      <c r="C4516" s="7">
        <v>677638.36</v>
      </c>
      <c r="D4516" s="7">
        <v>2735079.43</v>
      </c>
      <c r="E4516" s="7">
        <v>461.22</v>
      </c>
      <c r="F4516" s="7">
        <v>41831.17</v>
      </c>
      <c r="G4516" s="7">
        <v>85046</v>
      </c>
      <c r="H4516" s="7">
        <f t="shared" si="117"/>
        <v>41781.17</v>
      </c>
      <c r="I4516" s="15"/>
    </row>
    <row r="4517" spans="1:9" s="8" customFormat="1" ht="21" customHeight="1" x14ac:dyDescent="0.6">
      <c r="A4517" s="7">
        <v>24.719949799999998</v>
      </c>
      <c r="B4517" s="7">
        <v>34.756252500000002</v>
      </c>
      <c r="C4517" s="7">
        <v>677640.73</v>
      </c>
      <c r="D4517" s="7">
        <v>2735077.54</v>
      </c>
      <c r="E4517" s="7">
        <v>461.1</v>
      </c>
      <c r="F4517" s="7">
        <v>41829.480000000003</v>
      </c>
      <c r="G4517" s="7">
        <v>85048</v>
      </c>
      <c r="H4517" s="7">
        <f t="shared" si="117"/>
        <v>41779.480000000003</v>
      </c>
      <c r="I4517" s="15"/>
    </row>
    <row r="4518" spans="1:9" s="8" customFormat="1" ht="21" customHeight="1" x14ac:dyDescent="0.6">
      <c r="A4518" s="7">
        <v>24.719933600000001</v>
      </c>
      <c r="B4518" s="7">
        <v>34.756276700000001</v>
      </c>
      <c r="C4518" s="7">
        <v>677643.21</v>
      </c>
      <c r="D4518" s="7">
        <v>2735075.77</v>
      </c>
      <c r="E4518" s="7">
        <v>460.98</v>
      </c>
      <c r="F4518" s="7">
        <v>41836.79</v>
      </c>
      <c r="G4518" s="7">
        <v>85050</v>
      </c>
      <c r="H4518" s="7">
        <f t="shared" si="117"/>
        <v>41786.79</v>
      </c>
      <c r="I4518" s="15"/>
    </row>
    <row r="4519" spans="1:9" s="8" customFormat="1" ht="21" customHeight="1" x14ac:dyDescent="0.6">
      <c r="A4519" s="7">
        <v>24.719915499999999</v>
      </c>
      <c r="B4519" s="7">
        <v>34.756299200000001</v>
      </c>
      <c r="C4519" s="7">
        <v>677645.51</v>
      </c>
      <c r="D4519" s="7">
        <v>2735073.8</v>
      </c>
      <c r="E4519" s="7">
        <v>460.84</v>
      </c>
      <c r="F4519" s="7">
        <v>41833.620000000003</v>
      </c>
      <c r="G4519" s="7">
        <v>85052</v>
      </c>
      <c r="H4519" s="7">
        <f t="shared" si="117"/>
        <v>41783.620000000003</v>
      </c>
      <c r="I4519" s="15"/>
    </row>
    <row r="4520" spans="1:9" s="8" customFormat="1" ht="21" customHeight="1" x14ac:dyDescent="0.6">
      <c r="A4520" s="7">
        <v>24.719893299999999</v>
      </c>
      <c r="B4520" s="7">
        <v>34.756314799999998</v>
      </c>
      <c r="C4520" s="7">
        <v>677647.12</v>
      </c>
      <c r="D4520" s="7">
        <v>2735071.36</v>
      </c>
      <c r="E4520" s="7">
        <v>460.7</v>
      </c>
      <c r="F4520" s="7">
        <v>41860.720000000001</v>
      </c>
      <c r="G4520" s="7">
        <v>85054</v>
      </c>
      <c r="H4520" s="7">
        <f t="shared" si="117"/>
        <v>41810.720000000001</v>
      </c>
      <c r="I4520" s="15"/>
    </row>
    <row r="4521" spans="1:9" s="8" customFormat="1" ht="21" customHeight="1" x14ac:dyDescent="0.6">
      <c r="A4521" s="7">
        <v>24.719878000000001</v>
      </c>
      <c r="B4521" s="7">
        <v>34.756338499999998</v>
      </c>
      <c r="C4521" s="7">
        <v>677649.54</v>
      </c>
      <c r="D4521" s="7">
        <v>2735069.69</v>
      </c>
      <c r="E4521" s="7">
        <v>460.53</v>
      </c>
      <c r="F4521" s="7">
        <v>41843.980000000003</v>
      </c>
      <c r="G4521" s="7">
        <v>85056</v>
      </c>
      <c r="H4521" s="7">
        <f t="shared" si="117"/>
        <v>41793.980000000003</v>
      </c>
      <c r="I4521" s="15"/>
    </row>
    <row r="4522" spans="1:9" s="8" customFormat="1" ht="21" customHeight="1" x14ac:dyDescent="0.6">
      <c r="A4522" s="7">
        <v>24.719868200000001</v>
      </c>
      <c r="B4522" s="7">
        <v>34.7563672</v>
      </c>
      <c r="C4522" s="7">
        <v>677652.46</v>
      </c>
      <c r="D4522" s="7">
        <v>2735068.65</v>
      </c>
      <c r="E4522" s="7">
        <v>460.43</v>
      </c>
      <c r="F4522" s="7">
        <v>41848.01</v>
      </c>
      <c r="G4522" s="7">
        <v>85058</v>
      </c>
      <c r="H4522" s="7">
        <f t="shared" si="117"/>
        <v>41798.01</v>
      </c>
      <c r="I4522" s="15"/>
    </row>
    <row r="4523" spans="1:9" s="8" customFormat="1" ht="21" customHeight="1" x14ac:dyDescent="0.6">
      <c r="A4523" s="7">
        <v>24.719859899999999</v>
      </c>
      <c r="B4523" s="7">
        <v>34.756395099999999</v>
      </c>
      <c r="C4523" s="7">
        <v>677655.29</v>
      </c>
      <c r="D4523" s="7">
        <v>2735067.76</v>
      </c>
      <c r="E4523" s="7">
        <v>460.34</v>
      </c>
      <c r="F4523" s="7">
        <v>41848.620000000003</v>
      </c>
      <c r="G4523" s="7">
        <v>85100</v>
      </c>
      <c r="H4523" s="7">
        <f t="shared" si="117"/>
        <v>41798.620000000003</v>
      </c>
      <c r="I4523" s="15"/>
    </row>
    <row r="4524" spans="1:9" s="8" customFormat="1" ht="21" customHeight="1" x14ac:dyDescent="0.6">
      <c r="A4524" s="7">
        <v>24.719847300000001</v>
      </c>
      <c r="B4524" s="7">
        <v>34.756421099999997</v>
      </c>
      <c r="C4524" s="7">
        <v>677657.94</v>
      </c>
      <c r="D4524" s="7">
        <v>2735066.4</v>
      </c>
      <c r="E4524" s="7">
        <v>460.22</v>
      </c>
      <c r="F4524" s="7">
        <v>41852.120000000003</v>
      </c>
      <c r="G4524" s="7">
        <v>85102</v>
      </c>
      <c r="H4524" s="7">
        <f t="shared" si="117"/>
        <v>41802.120000000003</v>
      </c>
      <c r="I4524" s="15"/>
    </row>
    <row r="4525" spans="1:9" s="8" customFormat="1" ht="21" customHeight="1" x14ac:dyDescent="0.6">
      <c r="A4525" s="7">
        <v>24.719832100000001</v>
      </c>
      <c r="B4525" s="7">
        <v>34.756445200000002</v>
      </c>
      <c r="C4525" s="7">
        <v>677660.4</v>
      </c>
      <c r="D4525" s="7">
        <v>2735064.76</v>
      </c>
      <c r="E4525" s="7">
        <v>460.17</v>
      </c>
      <c r="F4525" s="7">
        <v>41846.589999999997</v>
      </c>
      <c r="G4525" s="7">
        <v>85104</v>
      </c>
      <c r="H4525" s="7">
        <f t="shared" si="117"/>
        <v>41796.589999999997</v>
      </c>
      <c r="I4525" s="15"/>
    </row>
    <row r="4526" spans="1:9" s="8" customFormat="1" ht="21" customHeight="1" x14ac:dyDescent="0.6">
      <c r="A4526" s="7">
        <v>24.719815100000002</v>
      </c>
      <c r="B4526" s="7">
        <v>34.756468699999999</v>
      </c>
      <c r="C4526" s="7">
        <v>677662.8</v>
      </c>
      <c r="D4526" s="7">
        <v>2735062.9</v>
      </c>
      <c r="E4526" s="7">
        <v>460.09</v>
      </c>
      <c r="F4526" s="7">
        <v>41844.14</v>
      </c>
      <c r="G4526" s="7">
        <v>85106</v>
      </c>
      <c r="H4526" s="7">
        <f t="shared" si="117"/>
        <v>41794.14</v>
      </c>
      <c r="I4526" s="15"/>
    </row>
    <row r="4527" spans="1:9" s="8" customFormat="1" ht="21" customHeight="1" x14ac:dyDescent="0.6">
      <c r="A4527" s="7">
        <v>24.719797100000001</v>
      </c>
      <c r="B4527" s="7">
        <v>34.756489899999998</v>
      </c>
      <c r="C4527" s="7">
        <v>677664.98</v>
      </c>
      <c r="D4527" s="7">
        <v>2735060.94</v>
      </c>
      <c r="E4527" s="7">
        <v>460.16</v>
      </c>
      <c r="F4527" s="7">
        <v>41835.449999999997</v>
      </c>
      <c r="G4527" s="7">
        <v>85108</v>
      </c>
      <c r="H4527" s="7">
        <f t="shared" si="117"/>
        <v>41785.449999999997</v>
      </c>
      <c r="I4527" s="15"/>
    </row>
    <row r="4528" spans="1:9" s="8" customFormat="1" ht="21" customHeight="1" x14ac:dyDescent="0.6">
      <c r="A4528" s="7">
        <v>24.719778900000001</v>
      </c>
      <c r="B4528" s="7">
        <v>34.756508699999998</v>
      </c>
      <c r="C4528" s="7">
        <v>677666.9</v>
      </c>
      <c r="D4528" s="7">
        <v>2735058.95</v>
      </c>
      <c r="E4528" s="7">
        <v>460.36</v>
      </c>
      <c r="F4528" s="7">
        <v>41826.06</v>
      </c>
      <c r="G4528" s="7">
        <v>85110</v>
      </c>
      <c r="H4528" s="7">
        <f t="shared" si="117"/>
        <v>41776.06</v>
      </c>
      <c r="I4528" s="15"/>
    </row>
    <row r="4529" spans="1:9" s="8" customFormat="1" ht="21" customHeight="1" x14ac:dyDescent="0.6">
      <c r="A4529" s="7">
        <v>24.719758500000001</v>
      </c>
      <c r="B4529" s="7">
        <v>34.756529100000002</v>
      </c>
      <c r="C4529" s="7">
        <v>677668.99</v>
      </c>
      <c r="D4529" s="7">
        <v>2735056.71</v>
      </c>
      <c r="E4529" s="7">
        <v>460.47</v>
      </c>
      <c r="F4529" s="7">
        <v>41816.65</v>
      </c>
      <c r="G4529" s="7">
        <v>85112</v>
      </c>
      <c r="H4529" s="7">
        <f t="shared" si="117"/>
        <v>41766.65</v>
      </c>
      <c r="I4529" s="15"/>
    </row>
    <row r="4530" spans="1:9" s="8" customFormat="1" ht="21" customHeight="1" x14ac:dyDescent="0.6">
      <c r="A4530" s="7">
        <v>24.719738400000001</v>
      </c>
      <c r="B4530" s="7">
        <v>34.756548500000001</v>
      </c>
      <c r="C4530" s="7">
        <v>677670.98</v>
      </c>
      <c r="D4530" s="7">
        <v>2735054.5</v>
      </c>
      <c r="E4530" s="7">
        <v>460.59</v>
      </c>
      <c r="F4530" s="7">
        <v>41815.519999999997</v>
      </c>
      <c r="G4530" s="7">
        <v>85114</v>
      </c>
      <c r="H4530" s="7">
        <f t="shared" si="117"/>
        <v>41765.519999999997</v>
      </c>
      <c r="I4530" s="15"/>
    </row>
    <row r="4531" spans="1:9" s="8" customFormat="1" ht="21" customHeight="1" x14ac:dyDescent="0.6">
      <c r="A4531" s="7">
        <v>24.719715399999998</v>
      </c>
      <c r="B4531" s="7">
        <v>34.756564599999997</v>
      </c>
      <c r="C4531" s="7">
        <v>677672.64</v>
      </c>
      <c r="D4531" s="7">
        <v>2735051.98</v>
      </c>
      <c r="E4531" s="7">
        <v>460.73</v>
      </c>
      <c r="F4531" s="7">
        <v>41817.14</v>
      </c>
      <c r="G4531" s="7">
        <v>85116</v>
      </c>
      <c r="H4531" s="7">
        <f t="shared" si="117"/>
        <v>41767.14</v>
      </c>
      <c r="I4531" s="15"/>
    </row>
    <row r="4532" spans="1:9" s="8" customFormat="1" ht="21" customHeight="1" x14ac:dyDescent="0.6">
      <c r="A4532" s="7">
        <v>24.719693199999998</v>
      </c>
      <c r="B4532" s="7">
        <v>34.756579799999997</v>
      </c>
      <c r="C4532" s="7">
        <v>677674.22</v>
      </c>
      <c r="D4532" s="7">
        <v>2735049.54</v>
      </c>
      <c r="E4532" s="7">
        <v>460.77</v>
      </c>
      <c r="F4532" s="7">
        <v>41823.97</v>
      </c>
      <c r="G4532" s="7">
        <v>85118</v>
      </c>
      <c r="H4532" s="7">
        <f t="shared" si="117"/>
        <v>41773.97</v>
      </c>
      <c r="I4532" s="15"/>
    </row>
    <row r="4533" spans="1:9" s="8" customFormat="1" ht="21" customHeight="1" x14ac:dyDescent="0.6">
      <c r="A4533" s="7">
        <v>24.719669400000001</v>
      </c>
      <c r="B4533" s="7">
        <v>34.756591</v>
      </c>
      <c r="C4533" s="7">
        <v>677675.38</v>
      </c>
      <c r="D4533" s="7">
        <v>2735046.92</v>
      </c>
      <c r="E4533" s="7">
        <v>460.83</v>
      </c>
      <c r="F4533" s="7">
        <v>41823.96</v>
      </c>
      <c r="G4533" s="7">
        <v>85120</v>
      </c>
      <c r="H4533" s="7">
        <f t="shared" si="117"/>
        <v>41773.96</v>
      </c>
      <c r="I4533" s="15"/>
    </row>
    <row r="4534" spans="1:9" s="8" customFormat="1" ht="21" customHeight="1" x14ac:dyDescent="0.6">
      <c r="A4534" s="7">
        <v>24.719643999999999</v>
      </c>
      <c r="B4534" s="7">
        <v>34.756601000000003</v>
      </c>
      <c r="C4534" s="7">
        <v>677676.42</v>
      </c>
      <c r="D4534" s="7">
        <v>2735044.12</v>
      </c>
      <c r="E4534" s="7">
        <v>460.76</v>
      </c>
      <c r="F4534" s="7">
        <v>41827.69</v>
      </c>
      <c r="G4534" s="7">
        <v>85122</v>
      </c>
      <c r="H4534" s="7">
        <f t="shared" si="117"/>
        <v>41777.69</v>
      </c>
      <c r="I4534" s="15"/>
    </row>
    <row r="4535" spans="1:9" s="8" customFormat="1" ht="21" customHeight="1" x14ac:dyDescent="0.6">
      <c r="A4535" s="7">
        <v>24.7196183</v>
      </c>
      <c r="B4535" s="7">
        <v>34.756613199999997</v>
      </c>
      <c r="C4535" s="7">
        <v>677677.7</v>
      </c>
      <c r="D4535" s="7">
        <v>2735041.29</v>
      </c>
      <c r="E4535" s="7">
        <v>460.75</v>
      </c>
      <c r="F4535" s="7">
        <v>41812.25</v>
      </c>
      <c r="G4535" s="7">
        <v>85124</v>
      </c>
      <c r="H4535" s="7">
        <f t="shared" si="117"/>
        <v>41762.25</v>
      </c>
      <c r="I4535" s="15"/>
    </row>
    <row r="4536" spans="1:9" s="8" customFormat="1" ht="21" customHeight="1" x14ac:dyDescent="0.6">
      <c r="A4536" s="7">
        <v>24.719593</v>
      </c>
      <c r="B4536" s="7">
        <v>34.756623900000001</v>
      </c>
      <c r="C4536" s="7">
        <v>677678.81</v>
      </c>
      <c r="D4536" s="7">
        <v>2735038.5</v>
      </c>
      <c r="E4536" s="7">
        <v>460.62</v>
      </c>
      <c r="F4536" s="7">
        <v>41812.11</v>
      </c>
      <c r="G4536" s="7">
        <v>85126</v>
      </c>
      <c r="H4536" s="7">
        <f t="shared" si="117"/>
        <v>41762.11</v>
      </c>
      <c r="I4536" s="15"/>
    </row>
    <row r="4537" spans="1:9" s="8" customFormat="1" ht="21" customHeight="1" x14ac:dyDescent="0.6">
      <c r="A4537" s="7">
        <v>24.719567099999999</v>
      </c>
      <c r="B4537" s="7">
        <v>34.756627600000002</v>
      </c>
      <c r="C4537" s="7">
        <v>677679.23</v>
      </c>
      <c r="D4537" s="7">
        <v>2735035.64</v>
      </c>
      <c r="E4537" s="7">
        <v>460.38</v>
      </c>
      <c r="F4537" s="7">
        <v>41835.129999999997</v>
      </c>
      <c r="G4537" s="7">
        <v>85128</v>
      </c>
      <c r="H4537" s="7">
        <f t="shared" si="117"/>
        <v>41785.129999999997</v>
      </c>
      <c r="I4537" s="15"/>
    </row>
    <row r="4538" spans="1:9" s="8" customFormat="1" ht="21" customHeight="1" x14ac:dyDescent="0.6">
      <c r="A4538" s="7">
        <v>24.719535799999999</v>
      </c>
      <c r="B4538" s="7">
        <v>34.756632500000002</v>
      </c>
      <c r="C4538" s="7">
        <v>677679.77</v>
      </c>
      <c r="D4538" s="7">
        <v>2735032.18</v>
      </c>
      <c r="E4538" s="7">
        <v>460.07</v>
      </c>
      <c r="F4538" s="7">
        <v>41834.29</v>
      </c>
      <c r="G4538" s="7">
        <v>85130</v>
      </c>
      <c r="H4538" s="7">
        <f t="shared" si="117"/>
        <v>41784.29</v>
      </c>
      <c r="I4538" s="15"/>
    </row>
    <row r="4539" spans="1:9" s="8" customFormat="1" ht="21" customHeight="1" x14ac:dyDescent="0.6">
      <c r="A4539" s="7">
        <v>24.71951</v>
      </c>
      <c r="B4539" s="7">
        <v>34.756649199999998</v>
      </c>
      <c r="C4539" s="7">
        <v>677681.5</v>
      </c>
      <c r="D4539" s="7">
        <v>2735029.34</v>
      </c>
      <c r="E4539" s="7">
        <v>460.09</v>
      </c>
      <c r="F4539" s="7">
        <v>41823.03</v>
      </c>
      <c r="G4539" s="7">
        <v>85132</v>
      </c>
      <c r="H4539" s="7">
        <f t="shared" si="117"/>
        <v>41773.03</v>
      </c>
      <c r="I4539" s="15"/>
    </row>
    <row r="4540" spans="1:9" s="8" customFormat="1" ht="21" customHeight="1" x14ac:dyDescent="0.6">
      <c r="A4540" s="7">
        <v>24.7194845</v>
      </c>
      <c r="B4540" s="7">
        <v>34.756665599999998</v>
      </c>
      <c r="C4540" s="7">
        <v>677683.19</v>
      </c>
      <c r="D4540" s="7">
        <v>2735026.54</v>
      </c>
      <c r="E4540" s="7">
        <v>460.06</v>
      </c>
      <c r="F4540" s="7">
        <v>41822.28</v>
      </c>
      <c r="G4540" s="7">
        <v>85134</v>
      </c>
      <c r="H4540" s="7">
        <f t="shared" si="117"/>
        <v>41772.28</v>
      </c>
      <c r="I4540" s="15"/>
    </row>
    <row r="4541" spans="1:9" s="8" customFormat="1" ht="21" customHeight="1" x14ac:dyDescent="0.6">
      <c r="A4541" s="7">
        <v>24.719459000000001</v>
      </c>
      <c r="B4541" s="7">
        <v>34.7566785</v>
      </c>
      <c r="C4541" s="7">
        <v>677684.53</v>
      </c>
      <c r="D4541" s="7">
        <v>2735023.73</v>
      </c>
      <c r="E4541" s="7">
        <v>459.94</v>
      </c>
      <c r="F4541" s="7">
        <v>41807</v>
      </c>
      <c r="G4541" s="7">
        <v>85136</v>
      </c>
      <c r="H4541" s="7">
        <f t="shared" si="117"/>
        <v>41757</v>
      </c>
      <c r="I4541" s="15"/>
    </row>
    <row r="4542" spans="1:9" s="8" customFormat="1" ht="21" customHeight="1" x14ac:dyDescent="0.6">
      <c r="A4542" s="7">
        <v>24.7194301</v>
      </c>
      <c r="B4542" s="7">
        <v>34.756688099999998</v>
      </c>
      <c r="C4542" s="7">
        <v>677685.54</v>
      </c>
      <c r="D4542" s="7">
        <v>2735020.55</v>
      </c>
      <c r="E4542" s="7">
        <v>459.94</v>
      </c>
      <c r="F4542" s="7">
        <v>41809.69</v>
      </c>
      <c r="G4542" s="7">
        <v>85138</v>
      </c>
      <c r="H4542" s="7">
        <f t="shared" si="117"/>
        <v>41759.69</v>
      </c>
      <c r="I4542" s="15"/>
    </row>
    <row r="4543" spans="1:9" s="8" customFormat="1" ht="21" customHeight="1" x14ac:dyDescent="0.6">
      <c r="A4543" s="7">
        <v>24.7194033</v>
      </c>
      <c r="B4543" s="7">
        <v>34.756698999999998</v>
      </c>
      <c r="C4543" s="7">
        <v>677686.68</v>
      </c>
      <c r="D4543" s="7">
        <v>2735017.59</v>
      </c>
      <c r="E4543" s="7">
        <v>460.07</v>
      </c>
      <c r="F4543" s="7">
        <v>41819.339999999997</v>
      </c>
      <c r="G4543" s="7">
        <v>85140</v>
      </c>
      <c r="H4543" s="7">
        <f t="shared" si="117"/>
        <v>41769.339999999997</v>
      </c>
      <c r="I4543" s="15"/>
    </row>
    <row r="4544" spans="1:9" s="8" customFormat="1" ht="21" customHeight="1" x14ac:dyDescent="0.6">
      <c r="A4544" s="7">
        <v>24.7193781</v>
      </c>
      <c r="B4544" s="7">
        <v>34.756709999999998</v>
      </c>
      <c r="C4544" s="7">
        <v>677687.84</v>
      </c>
      <c r="D4544" s="7">
        <v>2735014.81</v>
      </c>
      <c r="E4544" s="7">
        <v>460.25</v>
      </c>
      <c r="F4544" s="7">
        <v>41802.07</v>
      </c>
      <c r="G4544" s="7">
        <v>85142</v>
      </c>
      <c r="H4544" s="7">
        <f t="shared" si="117"/>
        <v>41752.07</v>
      </c>
      <c r="I4544" s="15"/>
    </row>
    <row r="4545" spans="1:9" s="8" customFormat="1" ht="21" customHeight="1" x14ac:dyDescent="0.6">
      <c r="A4545" s="7">
        <v>24.719351700000001</v>
      </c>
      <c r="B4545" s="7">
        <v>34.756718900000003</v>
      </c>
      <c r="C4545" s="7">
        <v>677688.77</v>
      </c>
      <c r="D4545" s="7">
        <v>2735011.89</v>
      </c>
      <c r="E4545" s="7">
        <v>460.51</v>
      </c>
      <c r="F4545" s="7">
        <v>41815.629999999997</v>
      </c>
      <c r="G4545" s="7">
        <v>85144</v>
      </c>
      <c r="H4545" s="7">
        <f t="shared" si="117"/>
        <v>41765.629999999997</v>
      </c>
      <c r="I4545" s="15"/>
    </row>
    <row r="4546" spans="1:9" s="8" customFormat="1" ht="21" customHeight="1" x14ac:dyDescent="0.6">
      <c r="A4546" s="7">
        <v>24.719323800000002</v>
      </c>
      <c r="B4546" s="7">
        <v>34.756723000000001</v>
      </c>
      <c r="C4546" s="7">
        <v>677689.23</v>
      </c>
      <c r="D4546" s="7">
        <v>2735008.81</v>
      </c>
      <c r="E4546" s="7">
        <v>460.71</v>
      </c>
      <c r="F4546" s="7">
        <v>41819.47</v>
      </c>
      <c r="G4546" s="7">
        <v>85146</v>
      </c>
      <c r="H4546" s="7">
        <f t="shared" si="117"/>
        <v>41769.47</v>
      </c>
      <c r="I4546" s="15"/>
    </row>
    <row r="4547" spans="1:9" s="8" customFormat="1" ht="21" customHeight="1" x14ac:dyDescent="0.6">
      <c r="A4547" s="7">
        <v>24.7192963</v>
      </c>
      <c r="B4547" s="7">
        <v>34.756724200000001</v>
      </c>
      <c r="C4547" s="7">
        <v>677689.38</v>
      </c>
      <c r="D4547" s="7">
        <v>2735005.77</v>
      </c>
      <c r="E4547" s="7">
        <v>460.88</v>
      </c>
      <c r="F4547" s="7">
        <v>41803.53</v>
      </c>
      <c r="G4547" s="7">
        <v>85148</v>
      </c>
      <c r="H4547" s="7">
        <f t="shared" si="117"/>
        <v>41753.53</v>
      </c>
      <c r="I4547" s="15"/>
    </row>
    <row r="4548" spans="1:9" s="8" customFormat="1" ht="21" customHeight="1" x14ac:dyDescent="0.6">
      <c r="A4548" s="7">
        <v>24.719269499999999</v>
      </c>
      <c r="B4548" s="7">
        <v>34.756722799999999</v>
      </c>
      <c r="C4548" s="7">
        <v>677689.28</v>
      </c>
      <c r="D4548" s="7">
        <v>2735002.8</v>
      </c>
      <c r="E4548" s="7">
        <v>461.1</v>
      </c>
      <c r="F4548" s="7">
        <v>41813.629999999997</v>
      </c>
      <c r="G4548" s="7">
        <v>85150</v>
      </c>
      <c r="H4548" s="7">
        <f t="shared" si="117"/>
        <v>41763.629999999997</v>
      </c>
      <c r="I4548" s="15"/>
    </row>
    <row r="4549" spans="1:9" s="8" customFormat="1" ht="21" customHeight="1" x14ac:dyDescent="0.6">
      <c r="A4549" s="7">
        <v>24.7192422</v>
      </c>
      <c r="B4549" s="7">
        <v>34.756719099999998</v>
      </c>
      <c r="C4549" s="7">
        <v>677688.95</v>
      </c>
      <c r="D4549" s="7">
        <v>2734999.77</v>
      </c>
      <c r="E4549" s="7">
        <v>461.24</v>
      </c>
      <c r="F4549" s="7">
        <v>41808.660000000003</v>
      </c>
      <c r="G4549" s="7">
        <v>85152</v>
      </c>
      <c r="H4549" s="7">
        <f t="shared" si="117"/>
        <v>41758.660000000003</v>
      </c>
      <c r="I4549" s="15"/>
    </row>
    <row r="4550" spans="1:9" s="8" customFormat="1" ht="21" customHeight="1" x14ac:dyDescent="0.6">
      <c r="A4550" s="7">
        <v>24.719216299999999</v>
      </c>
      <c r="B4550" s="7">
        <v>34.756712999999998</v>
      </c>
      <c r="C4550" s="7">
        <v>677688.36</v>
      </c>
      <c r="D4550" s="7">
        <v>2734996.9</v>
      </c>
      <c r="E4550" s="7">
        <v>461.49</v>
      </c>
      <c r="F4550" s="7">
        <v>41816.480000000003</v>
      </c>
      <c r="G4550" s="7">
        <v>85154</v>
      </c>
      <c r="H4550" s="7">
        <f t="shared" si="117"/>
        <v>41766.480000000003</v>
      </c>
      <c r="I4550" s="15"/>
    </row>
    <row r="4551" spans="1:9" s="8" customFormat="1" ht="21" customHeight="1" x14ac:dyDescent="0.6">
      <c r="A4551" s="7">
        <v>24.719192400000001</v>
      </c>
      <c r="B4551" s="7">
        <v>34.7567071</v>
      </c>
      <c r="C4551" s="7">
        <v>677687.81</v>
      </c>
      <c r="D4551" s="7">
        <v>2734994.23</v>
      </c>
      <c r="E4551" s="7">
        <v>461.75</v>
      </c>
      <c r="F4551" s="7">
        <v>41814.639999999999</v>
      </c>
      <c r="G4551" s="7">
        <v>85156</v>
      </c>
      <c r="H4551" s="7">
        <f t="shared" si="117"/>
        <v>41764.639999999999</v>
      </c>
      <c r="I4551" s="15"/>
    </row>
    <row r="4552" spans="1:9" s="8" customFormat="1" ht="21" customHeight="1" x14ac:dyDescent="0.6">
      <c r="A4552" s="7">
        <v>24.719167800000001</v>
      </c>
      <c r="B4552" s="7">
        <v>34.756699900000001</v>
      </c>
      <c r="C4552" s="7">
        <v>677687.11</v>
      </c>
      <c r="D4552" s="7">
        <v>2734991.51</v>
      </c>
      <c r="E4552" s="7">
        <v>461.93</v>
      </c>
      <c r="F4552" s="7">
        <v>41817.730000000003</v>
      </c>
      <c r="G4552" s="7">
        <v>85158</v>
      </c>
      <c r="H4552" s="7">
        <f t="shared" si="117"/>
        <v>41767.730000000003</v>
      </c>
      <c r="I4552" s="15"/>
    </row>
    <row r="4553" spans="1:9" s="8" customFormat="1" ht="21" customHeight="1" x14ac:dyDescent="0.6">
      <c r="A4553" s="7">
        <v>24.719143500000001</v>
      </c>
      <c r="B4553" s="7">
        <v>34.756691500000002</v>
      </c>
      <c r="C4553" s="7">
        <v>677686.3</v>
      </c>
      <c r="D4553" s="7">
        <v>2734988.8</v>
      </c>
      <c r="E4553" s="7">
        <v>462.07</v>
      </c>
      <c r="F4553" s="7">
        <v>41821.39</v>
      </c>
      <c r="G4553" s="7">
        <v>85200</v>
      </c>
      <c r="H4553" s="7">
        <f t="shared" si="117"/>
        <v>41771.39</v>
      </c>
      <c r="I4553" s="15"/>
    </row>
    <row r="4554" spans="1:9" s="8" customFormat="1" ht="21" customHeight="1" x14ac:dyDescent="0.6">
      <c r="A4554" s="7">
        <v>24.719114999999999</v>
      </c>
      <c r="B4554" s="7">
        <v>34.756689999999999</v>
      </c>
      <c r="C4554" s="7">
        <v>677686.19</v>
      </c>
      <c r="D4554" s="7">
        <v>2734985.64</v>
      </c>
      <c r="E4554" s="7">
        <v>462.11</v>
      </c>
      <c r="F4554" s="7">
        <v>41810.82</v>
      </c>
      <c r="G4554" s="7">
        <v>85202</v>
      </c>
      <c r="H4554" s="7">
        <f t="shared" si="117"/>
        <v>41760.82</v>
      </c>
      <c r="I4554" s="15"/>
    </row>
    <row r="4555" spans="1:9" s="8" customFormat="1" ht="21" customHeight="1" x14ac:dyDescent="0.6">
      <c r="A4555" s="7">
        <v>24.7190878</v>
      </c>
      <c r="B4555" s="7">
        <v>34.756682499999997</v>
      </c>
      <c r="C4555" s="7">
        <v>677685.46</v>
      </c>
      <c r="D4555" s="7">
        <v>2734982.62</v>
      </c>
      <c r="E4555" s="7">
        <v>462.27</v>
      </c>
      <c r="F4555" s="7">
        <v>41809.86</v>
      </c>
      <c r="G4555" s="7">
        <v>85204</v>
      </c>
      <c r="H4555" s="7">
        <f t="shared" si="117"/>
        <v>41759.86</v>
      </c>
      <c r="I4555" s="15"/>
    </row>
    <row r="4556" spans="1:9" s="8" customFormat="1" ht="21" customHeight="1" x14ac:dyDescent="0.6">
      <c r="A4556" s="7">
        <v>24.7190625</v>
      </c>
      <c r="B4556" s="7">
        <v>34.756672299999998</v>
      </c>
      <c r="C4556" s="7">
        <v>677684.47</v>
      </c>
      <c r="D4556" s="7">
        <v>2734979.81</v>
      </c>
      <c r="E4556" s="7">
        <v>462.41</v>
      </c>
      <c r="F4556" s="7">
        <v>41812.89</v>
      </c>
      <c r="G4556" s="7">
        <v>85206</v>
      </c>
      <c r="H4556" s="7">
        <f t="shared" si="117"/>
        <v>41762.89</v>
      </c>
      <c r="I4556" s="15"/>
    </row>
    <row r="4557" spans="1:9" s="8" customFormat="1" ht="21" customHeight="1" x14ac:dyDescent="0.6">
      <c r="A4557" s="7">
        <v>24.719038699999999</v>
      </c>
      <c r="B4557" s="7">
        <v>34.756657400000002</v>
      </c>
      <c r="C4557" s="7">
        <v>677683</v>
      </c>
      <c r="D4557" s="7">
        <v>2734977.16</v>
      </c>
      <c r="E4557" s="7">
        <v>462.65</v>
      </c>
      <c r="F4557" s="7">
        <v>41819.769999999997</v>
      </c>
      <c r="G4557" s="7">
        <v>85208</v>
      </c>
      <c r="H4557" s="7">
        <f t="shared" si="117"/>
        <v>41769.769999999997</v>
      </c>
      <c r="I4557" s="15"/>
    </row>
    <row r="4558" spans="1:9" s="8" customFormat="1" ht="21" customHeight="1" x14ac:dyDescent="0.6">
      <c r="A4558" s="7">
        <v>24.719018299999998</v>
      </c>
      <c r="B4558" s="7">
        <v>34.756642200000002</v>
      </c>
      <c r="C4558" s="7">
        <v>677681.48</v>
      </c>
      <c r="D4558" s="7">
        <v>2734974.87</v>
      </c>
      <c r="E4558" s="7">
        <v>462.92</v>
      </c>
      <c r="F4558" s="7">
        <v>41817.53</v>
      </c>
      <c r="G4558" s="7">
        <v>85210</v>
      </c>
      <c r="H4558" s="7">
        <f t="shared" si="117"/>
        <v>41767.53</v>
      </c>
      <c r="I4558" s="15"/>
    </row>
    <row r="4559" spans="1:9" s="8" customFormat="1" ht="21" customHeight="1" x14ac:dyDescent="0.6">
      <c r="A4559" s="7">
        <v>24.718996400000002</v>
      </c>
      <c r="B4559" s="7">
        <v>34.756626099999998</v>
      </c>
      <c r="C4559" s="7">
        <v>677679.89</v>
      </c>
      <c r="D4559" s="7">
        <v>2734972.42</v>
      </c>
      <c r="E4559" s="7">
        <v>463.08</v>
      </c>
      <c r="F4559" s="7">
        <v>41807.949999999997</v>
      </c>
      <c r="G4559" s="7">
        <v>85212</v>
      </c>
      <c r="H4559" s="7">
        <f t="shared" si="117"/>
        <v>41757.949999999997</v>
      </c>
      <c r="I4559" s="15"/>
    </row>
    <row r="4560" spans="1:9" s="8" customFormat="1" ht="21" customHeight="1" x14ac:dyDescent="0.6">
      <c r="A4560" s="7">
        <v>24.718976699999999</v>
      </c>
      <c r="B4560" s="7">
        <v>34.756607299999999</v>
      </c>
      <c r="C4560" s="7">
        <v>677678.01</v>
      </c>
      <c r="D4560" s="7">
        <v>2734970.21</v>
      </c>
      <c r="E4560" s="7">
        <v>463.31</v>
      </c>
      <c r="F4560" s="7">
        <v>41809.660000000003</v>
      </c>
      <c r="G4560" s="7">
        <v>85214</v>
      </c>
      <c r="H4560" s="7">
        <f t="shared" si="117"/>
        <v>41759.660000000003</v>
      </c>
      <c r="I4560" s="15"/>
    </row>
    <row r="4561" spans="1:9" s="8" customFormat="1" ht="21" customHeight="1" x14ac:dyDescent="0.6">
      <c r="A4561" s="7">
        <v>24.718957199999998</v>
      </c>
      <c r="B4561" s="7">
        <v>34.756591700000001</v>
      </c>
      <c r="C4561" s="7">
        <v>677676.46</v>
      </c>
      <c r="D4561" s="7">
        <v>2734968.04</v>
      </c>
      <c r="E4561" s="7">
        <v>463.46</v>
      </c>
      <c r="F4561" s="7">
        <v>41810.04</v>
      </c>
      <c r="G4561" s="7">
        <v>85216</v>
      </c>
      <c r="H4561" s="7">
        <f t="shared" si="117"/>
        <v>41760.04</v>
      </c>
      <c r="I4561" s="15"/>
    </row>
    <row r="4562" spans="1:9" s="8" customFormat="1" ht="21" customHeight="1" x14ac:dyDescent="0.6">
      <c r="A4562" s="7">
        <v>24.718935699999999</v>
      </c>
      <c r="B4562" s="7">
        <v>34.756577800000002</v>
      </c>
      <c r="C4562" s="7">
        <v>677675.09</v>
      </c>
      <c r="D4562" s="7">
        <v>2734965.64</v>
      </c>
      <c r="E4562" s="7">
        <v>463.67</v>
      </c>
      <c r="F4562" s="7">
        <v>41800.720000000001</v>
      </c>
      <c r="G4562" s="7">
        <v>85218</v>
      </c>
      <c r="H4562" s="7">
        <f t="shared" si="117"/>
        <v>41750.720000000001</v>
      </c>
      <c r="I4562" s="15"/>
    </row>
    <row r="4563" spans="1:9" s="8" customFormat="1" ht="21" customHeight="1" x14ac:dyDescent="0.6">
      <c r="A4563" s="7">
        <v>24.718919100000001</v>
      </c>
      <c r="B4563" s="7">
        <v>34.756555900000002</v>
      </c>
      <c r="C4563" s="7">
        <v>677672.89</v>
      </c>
      <c r="D4563" s="7">
        <v>2734963.77</v>
      </c>
      <c r="E4563" s="7">
        <v>464</v>
      </c>
      <c r="F4563" s="7">
        <v>41798.5</v>
      </c>
      <c r="G4563" s="7">
        <v>85220</v>
      </c>
      <c r="H4563" s="7">
        <f t="shared" si="117"/>
        <v>41748.5</v>
      </c>
      <c r="I4563" s="15"/>
    </row>
    <row r="4564" spans="1:9" s="8" customFormat="1" ht="21" customHeight="1" x14ac:dyDescent="0.6">
      <c r="A4564" s="7">
        <v>24.718899400000002</v>
      </c>
      <c r="B4564" s="7">
        <v>34.7565387</v>
      </c>
      <c r="C4564" s="7">
        <v>677671.18</v>
      </c>
      <c r="D4564" s="7">
        <v>2734961.57</v>
      </c>
      <c r="E4564" s="7">
        <v>464.17</v>
      </c>
      <c r="F4564" s="7">
        <v>41795.68</v>
      </c>
      <c r="G4564" s="7">
        <v>85222</v>
      </c>
      <c r="H4564" s="7">
        <f t="shared" ref="H4564:H4627" si="118">SUM(F4564-50)</f>
        <v>41745.68</v>
      </c>
      <c r="I4564" s="15"/>
    </row>
    <row r="4565" spans="1:9" s="8" customFormat="1" ht="21" customHeight="1" x14ac:dyDescent="0.6">
      <c r="A4565" s="7">
        <v>24.718877200000001</v>
      </c>
      <c r="B4565" s="7">
        <v>34.756523999999999</v>
      </c>
      <c r="C4565" s="7">
        <v>677669.73</v>
      </c>
      <c r="D4565" s="7">
        <v>2734959.09</v>
      </c>
      <c r="E4565" s="7">
        <v>464.28</v>
      </c>
      <c r="F4565" s="7">
        <v>41790.36</v>
      </c>
      <c r="G4565" s="7">
        <v>85224</v>
      </c>
      <c r="H4565" s="7">
        <f t="shared" si="118"/>
        <v>41740.36</v>
      </c>
      <c r="I4565" s="15"/>
    </row>
    <row r="4566" spans="1:9" s="8" customFormat="1" ht="21" customHeight="1" x14ac:dyDescent="0.6">
      <c r="A4566" s="7">
        <v>24.718854400000001</v>
      </c>
      <c r="B4566" s="7">
        <v>34.7565107</v>
      </c>
      <c r="C4566" s="7">
        <v>677668.42</v>
      </c>
      <c r="D4566" s="7">
        <v>2734956.55</v>
      </c>
      <c r="E4566" s="7">
        <v>464.35</v>
      </c>
      <c r="F4566" s="7">
        <v>41796.230000000003</v>
      </c>
      <c r="G4566" s="7">
        <v>85226</v>
      </c>
      <c r="H4566" s="7">
        <f t="shared" si="118"/>
        <v>41746.230000000003</v>
      </c>
      <c r="I4566" s="15"/>
    </row>
    <row r="4567" spans="1:9" s="8" customFormat="1" ht="21" customHeight="1" x14ac:dyDescent="0.6">
      <c r="A4567" s="7">
        <v>24.718829599999999</v>
      </c>
      <c r="B4567" s="7">
        <v>34.756502300000001</v>
      </c>
      <c r="C4567" s="7">
        <v>677667.6</v>
      </c>
      <c r="D4567" s="7">
        <v>2734953.79</v>
      </c>
      <c r="E4567" s="7">
        <v>464.22</v>
      </c>
      <c r="F4567" s="7">
        <v>41798.81</v>
      </c>
      <c r="G4567" s="7">
        <v>85228</v>
      </c>
      <c r="H4567" s="7">
        <f t="shared" si="118"/>
        <v>41748.81</v>
      </c>
      <c r="I4567" s="15"/>
    </row>
    <row r="4568" spans="1:9" s="8" customFormat="1" ht="21" customHeight="1" x14ac:dyDescent="0.6">
      <c r="A4568" s="7">
        <v>24.7188038</v>
      </c>
      <c r="B4568" s="7">
        <v>34.756496599999998</v>
      </c>
      <c r="C4568" s="7">
        <v>677667.06</v>
      </c>
      <c r="D4568" s="7">
        <v>2734950.92</v>
      </c>
      <c r="E4568" s="7">
        <v>464.09</v>
      </c>
      <c r="F4568" s="7">
        <v>41796.300000000003</v>
      </c>
      <c r="G4568" s="7">
        <v>85230</v>
      </c>
      <c r="H4568" s="7">
        <f t="shared" si="118"/>
        <v>41746.300000000003</v>
      </c>
      <c r="I4568" s="15"/>
    </row>
    <row r="4569" spans="1:9" s="8" customFormat="1" ht="21" customHeight="1" x14ac:dyDescent="0.6">
      <c r="A4569" s="7">
        <v>24.7187783</v>
      </c>
      <c r="B4569" s="7">
        <v>34.756492999999999</v>
      </c>
      <c r="C4569" s="7">
        <v>677666.73</v>
      </c>
      <c r="D4569" s="7">
        <v>2734948.09</v>
      </c>
      <c r="E4569" s="7">
        <v>463.97</v>
      </c>
      <c r="F4569" s="7">
        <v>41788.050000000003</v>
      </c>
      <c r="G4569" s="7">
        <v>85232</v>
      </c>
      <c r="H4569" s="7">
        <f t="shared" si="118"/>
        <v>41738.050000000003</v>
      </c>
      <c r="I4569" s="15"/>
    </row>
    <row r="4570" spans="1:9" s="8" customFormat="1" ht="21" customHeight="1" x14ac:dyDescent="0.6">
      <c r="A4570" s="7">
        <v>24.7187512</v>
      </c>
      <c r="B4570" s="7">
        <v>34.7564943</v>
      </c>
      <c r="C4570" s="7">
        <v>677666.9</v>
      </c>
      <c r="D4570" s="7">
        <v>2734945.1</v>
      </c>
      <c r="E4570" s="7">
        <v>464.03</v>
      </c>
      <c r="F4570" s="7">
        <v>41753.74</v>
      </c>
      <c r="G4570" s="7">
        <v>85234</v>
      </c>
      <c r="H4570" s="7">
        <f t="shared" si="118"/>
        <v>41703.74</v>
      </c>
      <c r="I4570" s="15"/>
    </row>
    <row r="4571" spans="1:9" s="8" customFormat="1" ht="21" customHeight="1" x14ac:dyDescent="0.6">
      <c r="A4571" s="7">
        <v>24.718725599999999</v>
      </c>
      <c r="B4571" s="7">
        <v>34.756502300000001</v>
      </c>
      <c r="C4571" s="7">
        <v>677667.75</v>
      </c>
      <c r="D4571" s="7">
        <v>2734942.28</v>
      </c>
      <c r="E4571" s="7">
        <v>463.99</v>
      </c>
      <c r="F4571" s="7">
        <v>41757.550000000003</v>
      </c>
      <c r="G4571" s="7">
        <v>85236</v>
      </c>
      <c r="H4571" s="7">
        <f t="shared" si="118"/>
        <v>41707.550000000003</v>
      </c>
      <c r="I4571" s="15"/>
    </row>
    <row r="4572" spans="1:9" s="8" customFormat="1" ht="21" customHeight="1" x14ac:dyDescent="0.6">
      <c r="A4572" s="7">
        <v>24.718699399999998</v>
      </c>
      <c r="B4572" s="7">
        <v>34.756508599999997</v>
      </c>
      <c r="C4572" s="7">
        <v>677668.42</v>
      </c>
      <c r="D4572" s="7">
        <v>2734939.38</v>
      </c>
      <c r="E4572" s="7">
        <v>464.04</v>
      </c>
      <c r="F4572" s="7">
        <v>41807.97</v>
      </c>
      <c r="G4572" s="7">
        <v>85238</v>
      </c>
      <c r="H4572" s="7">
        <f t="shared" si="118"/>
        <v>41757.97</v>
      </c>
      <c r="I4572" s="15"/>
    </row>
    <row r="4573" spans="1:9" s="8" customFormat="1" ht="21" customHeight="1" x14ac:dyDescent="0.6">
      <c r="A4573" s="7">
        <v>24.718673599999999</v>
      </c>
      <c r="B4573" s="7">
        <v>34.756508199999999</v>
      </c>
      <c r="C4573" s="7">
        <v>677668.42</v>
      </c>
      <c r="D4573" s="7">
        <v>2734936.52</v>
      </c>
      <c r="E4573" s="7">
        <v>464.13</v>
      </c>
      <c r="F4573" s="7">
        <v>41771.06</v>
      </c>
      <c r="G4573" s="7">
        <v>85240</v>
      </c>
      <c r="H4573" s="7">
        <f t="shared" si="118"/>
        <v>41721.06</v>
      </c>
      <c r="I4573" s="15"/>
    </row>
    <row r="4574" spans="1:9" s="8" customFormat="1" ht="21" customHeight="1" x14ac:dyDescent="0.6">
      <c r="A4574" s="7">
        <v>24.718648000000002</v>
      </c>
      <c r="B4574" s="7">
        <v>34.756500199999998</v>
      </c>
      <c r="C4574" s="7">
        <v>677667.64</v>
      </c>
      <c r="D4574" s="7">
        <v>2734933.68</v>
      </c>
      <c r="E4574" s="7">
        <v>464.23</v>
      </c>
      <c r="F4574" s="7">
        <v>41776.239999999998</v>
      </c>
      <c r="G4574" s="7">
        <v>85242</v>
      </c>
      <c r="H4574" s="7">
        <f t="shared" si="118"/>
        <v>41726.239999999998</v>
      </c>
      <c r="I4574" s="15"/>
    </row>
    <row r="4575" spans="1:9" s="8" customFormat="1" ht="21" customHeight="1" x14ac:dyDescent="0.6">
      <c r="A4575" s="7">
        <v>24.718622100000001</v>
      </c>
      <c r="B4575" s="7">
        <v>34.756489500000001</v>
      </c>
      <c r="C4575" s="7">
        <v>677666.6</v>
      </c>
      <c r="D4575" s="7">
        <v>2734930.79</v>
      </c>
      <c r="E4575" s="7">
        <v>464.36</v>
      </c>
      <c r="F4575" s="7">
        <v>41804.07</v>
      </c>
      <c r="G4575" s="7">
        <v>85244</v>
      </c>
      <c r="H4575" s="7">
        <f t="shared" si="118"/>
        <v>41754.07</v>
      </c>
      <c r="I4575" s="15"/>
    </row>
    <row r="4576" spans="1:9" s="8" customFormat="1" ht="21" customHeight="1" x14ac:dyDescent="0.6">
      <c r="A4576" s="7">
        <v>24.718596000000002</v>
      </c>
      <c r="B4576" s="7">
        <v>34.756480099999997</v>
      </c>
      <c r="C4576" s="7">
        <v>677665.69</v>
      </c>
      <c r="D4576" s="7">
        <v>2734927.89</v>
      </c>
      <c r="E4576" s="7">
        <v>464.52</v>
      </c>
      <c r="F4576" s="7">
        <v>41759.769999999997</v>
      </c>
      <c r="G4576" s="7">
        <v>85246</v>
      </c>
      <c r="H4576" s="7">
        <f t="shared" si="118"/>
        <v>41709.769999999997</v>
      </c>
      <c r="I4576" s="15"/>
    </row>
    <row r="4577" spans="1:9" s="8" customFormat="1" ht="21" customHeight="1" x14ac:dyDescent="0.6">
      <c r="A4577" s="7">
        <v>24.718572500000001</v>
      </c>
      <c r="B4577" s="7">
        <v>34.756470299999997</v>
      </c>
      <c r="C4577" s="7">
        <v>677664.73</v>
      </c>
      <c r="D4577" s="7">
        <v>2734925.27</v>
      </c>
      <c r="E4577" s="7">
        <v>464.63</v>
      </c>
      <c r="F4577" s="7">
        <v>41763.800000000003</v>
      </c>
      <c r="G4577" s="7">
        <v>85248</v>
      </c>
      <c r="H4577" s="7">
        <f t="shared" si="118"/>
        <v>41713.800000000003</v>
      </c>
      <c r="I4577" s="15"/>
    </row>
    <row r="4578" spans="1:9" s="8" customFormat="1" ht="21" customHeight="1" x14ac:dyDescent="0.6">
      <c r="A4578" s="7">
        <v>24.718545899999999</v>
      </c>
      <c r="B4578" s="7">
        <v>34.756464899999997</v>
      </c>
      <c r="C4578" s="7">
        <v>677664.22</v>
      </c>
      <c r="D4578" s="7">
        <v>2734922.32</v>
      </c>
      <c r="E4578" s="7">
        <v>464.63</v>
      </c>
      <c r="F4578" s="7">
        <v>41776.839999999997</v>
      </c>
      <c r="G4578" s="7">
        <v>85250</v>
      </c>
      <c r="H4578" s="7">
        <f t="shared" si="118"/>
        <v>41726.839999999997</v>
      </c>
      <c r="I4578" s="15"/>
    </row>
    <row r="4579" spans="1:9" s="8" customFormat="1" ht="21" customHeight="1" x14ac:dyDescent="0.6">
      <c r="A4579" s="7">
        <v>24.718520000000002</v>
      </c>
      <c r="B4579" s="7">
        <v>34.756456399999998</v>
      </c>
      <c r="C4579" s="7">
        <v>677663.4</v>
      </c>
      <c r="D4579" s="7">
        <v>2734919.43</v>
      </c>
      <c r="E4579" s="7">
        <v>464.74</v>
      </c>
      <c r="F4579" s="7">
        <v>41773.57</v>
      </c>
      <c r="G4579" s="7">
        <v>85252</v>
      </c>
      <c r="H4579" s="7">
        <f t="shared" si="118"/>
        <v>41723.57</v>
      </c>
      <c r="I4579" s="15"/>
    </row>
    <row r="4580" spans="1:9" s="8" customFormat="1" ht="21" customHeight="1" x14ac:dyDescent="0.6">
      <c r="A4580" s="7">
        <v>24.718495600000001</v>
      </c>
      <c r="B4580" s="7">
        <v>34.756444899999998</v>
      </c>
      <c r="C4580" s="7">
        <v>677662.27</v>
      </c>
      <c r="D4580" s="7">
        <v>2734916.72</v>
      </c>
      <c r="E4580" s="7">
        <v>464.91</v>
      </c>
      <c r="F4580" s="7">
        <v>41770.879999999997</v>
      </c>
      <c r="G4580" s="7">
        <v>85254</v>
      </c>
      <c r="H4580" s="7">
        <f t="shared" si="118"/>
        <v>41720.879999999997</v>
      </c>
      <c r="I4580" s="15"/>
    </row>
    <row r="4581" spans="1:9" s="8" customFormat="1" ht="21" customHeight="1" x14ac:dyDescent="0.6">
      <c r="A4581" s="7">
        <v>24.718470799999999</v>
      </c>
      <c r="B4581" s="7">
        <v>34.756431800000001</v>
      </c>
      <c r="C4581" s="7">
        <v>677660.98</v>
      </c>
      <c r="D4581" s="7">
        <v>2734913.96</v>
      </c>
      <c r="E4581" s="7">
        <v>465.02</v>
      </c>
      <c r="F4581" s="7">
        <v>41792.25</v>
      </c>
      <c r="G4581" s="7">
        <v>85256</v>
      </c>
      <c r="H4581" s="7">
        <f t="shared" si="118"/>
        <v>41742.25</v>
      </c>
      <c r="I4581" s="15"/>
    </row>
    <row r="4582" spans="1:9" s="8" customFormat="1" ht="21" customHeight="1" x14ac:dyDescent="0.6">
      <c r="A4582" s="7">
        <v>24.7184472</v>
      </c>
      <c r="B4582" s="7">
        <v>34.756417300000003</v>
      </c>
      <c r="C4582" s="7">
        <v>677659.54</v>
      </c>
      <c r="D4582" s="7">
        <v>2734911.33</v>
      </c>
      <c r="E4582" s="7">
        <v>465.17</v>
      </c>
      <c r="F4582" s="7">
        <v>41787.19</v>
      </c>
      <c r="G4582" s="7">
        <v>85258</v>
      </c>
      <c r="H4582" s="7">
        <f t="shared" si="118"/>
        <v>41737.19</v>
      </c>
      <c r="I4582" s="15"/>
    </row>
    <row r="4583" spans="1:9" s="8" customFormat="1" ht="21" customHeight="1" x14ac:dyDescent="0.6">
      <c r="A4583" s="7">
        <v>24.7184214</v>
      </c>
      <c r="B4583" s="7">
        <v>34.756407500000002</v>
      </c>
      <c r="C4583" s="7">
        <v>677658.59</v>
      </c>
      <c r="D4583" s="7">
        <v>2734908.46</v>
      </c>
      <c r="E4583" s="7">
        <v>465.27</v>
      </c>
      <c r="F4583" s="7">
        <v>41798.910000000003</v>
      </c>
      <c r="G4583" s="7">
        <v>85300</v>
      </c>
      <c r="H4583" s="7">
        <f t="shared" si="118"/>
        <v>41748.910000000003</v>
      </c>
      <c r="I4583" s="15"/>
    </row>
    <row r="4584" spans="1:9" s="8" customFormat="1" ht="21" customHeight="1" x14ac:dyDescent="0.6">
      <c r="A4584" s="7">
        <v>24.718394400000001</v>
      </c>
      <c r="B4584" s="7">
        <v>34.756400599999999</v>
      </c>
      <c r="C4584" s="7">
        <v>677657.93</v>
      </c>
      <c r="D4584" s="7">
        <v>2734905.45</v>
      </c>
      <c r="E4584" s="7">
        <v>465.38</v>
      </c>
      <c r="F4584" s="7">
        <v>41863.370000000003</v>
      </c>
      <c r="G4584" s="7">
        <v>85302</v>
      </c>
      <c r="H4584" s="7">
        <f t="shared" si="118"/>
        <v>41813.370000000003</v>
      </c>
      <c r="I4584" s="15"/>
    </row>
    <row r="4585" spans="1:9" s="8" customFormat="1" ht="21" customHeight="1" x14ac:dyDescent="0.6">
      <c r="A4585" s="7">
        <v>24.718367400000002</v>
      </c>
      <c r="B4585" s="7">
        <v>34.756391200000003</v>
      </c>
      <c r="C4585" s="7">
        <v>677657.02</v>
      </c>
      <c r="D4585" s="7">
        <v>2734902.46</v>
      </c>
      <c r="E4585" s="7">
        <v>465.56</v>
      </c>
      <c r="F4585" s="7">
        <v>41812.11</v>
      </c>
      <c r="G4585" s="7">
        <v>85304</v>
      </c>
      <c r="H4585" s="7">
        <f t="shared" si="118"/>
        <v>41762.11</v>
      </c>
      <c r="I4585" s="15"/>
    </row>
    <row r="4586" spans="1:9" s="8" customFormat="1" ht="21" customHeight="1" x14ac:dyDescent="0.6">
      <c r="A4586" s="7">
        <v>24.718341200000001</v>
      </c>
      <c r="B4586" s="7">
        <v>34.756383900000003</v>
      </c>
      <c r="C4586" s="7">
        <v>677656.31</v>
      </c>
      <c r="D4586" s="7">
        <v>2734899.54</v>
      </c>
      <c r="E4586" s="7">
        <v>465.71</v>
      </c>
      <c r="F4586" s="7">
        <v>41766.589999999997</v>
      </c>
      <c r="G4586" s="7">
        <v>85306</v>
      </c>
      <c r="H4586" s="7">
        <f t="shared" si="118"/>
        <v>41716.589999999997</v>
      </c>
      <c r="I4586" s="15"/>
    </row>
    <row r="4587" spans="1:9" s="8" customFormat="1" ht="21" customHeight="1" x14ac:dyDescent="0.6">
      <c r="A4587" s="7">
        <v>24.718316999999999</v>
      </c>
      <c r="B4587" s="7">
        <v>34.7563751</v>
      </c>
      <c r="C4587" s="7">
        <v>677655.46</v>
      </c>
      <c r="D4587" s="7">
        <v>2734896.84</v>
      </c>
      <c r="E4587" s="7">
        <v>465.86</v>
      </c>
      <c r="F4587" s="7">
        <v>41767.629999999997</v>
      </c>
      <c r="G4587" s="7">
        <v>85308</v>
      </c>
      <c r="H4587" s="7">
        <f t="shared" si="118"/>
        <v>41717.629999999997</v>
      </c>
      <c r="I4587" s="15"/>
    </row>
    <row r="4588" spans="1:9" s="8" customFormat="1" ht="21" customHeight="1" x14ac:dyDescent="0.6">
      <c r="A4588" s="7">
        <v>24.7182928</v>
      </c>
      <c r="B4588" s="7">
        <v>34.756365600000002</v>
      </c>
      <c r="C4588" s="7">
        <v>677654.54</v>
      </c>
      <c r="D4588" s="7">
        <v>2734894.16</v>
      </c>
      <c r="E4588" s="7">
        <v>465.87</v>
      </c>
      <c r="F4588" s="7">
        <v>41766.870000000003</v>
      </c>
      <c r="G4588" s="7">
        <v>85310</v>
      </c>
      <c r="H4588" s="7">
        <f t="shared" si="118"/>
        <v>41716.870000000003</v>
      </c>
      <c r="I4588" s="15"/>
    </row>
    <row r="4589" spans="1:9" s="8" customFormat="1" ht="21" customHeight="1" x14ac:dyDescent="0.6">
      <c r="A4589" s="7">
        <v>24.718266199999999</v>
      </c>
      <c r="B4589" s="7">
        <v>34.756365600000002</v>
      </c>
      <c r="C4589" s="7">
        <v>677654.57</v>
      </c>
      <c r="D4589" s="7">
        <v>2734891.21</v>
      </c>
      <c r="E4589" s="7">
        <v>465.91</v>
      </c>
      <c r="F4589" s="7">
        <v>41759.629999999997</v>
      </c>
      <c r="G4589" s="7">
        <v>85312</v>
      </c>
      <c r="H4589" s="7">
        <f t="shared" si="118"/>
        <v>41709.629999999997</v>
      </c>
      <c r="I4589" s="15"/>
    </row>
    <row r="4590" spans="1:9" s="8" customFormat="1" ht="21" customHeight="1" x14ac:dyDescent="0.6">
      <c r="A4590" s="7">
        <v>24.718243000000001</v>
      </c>
      <c r="B4590" s="7">
        <v>34.756373500000002</v>
      </c>
      <c r="C4590" s="7">
        <v>677655.41</v>
      </c>
      <c r="D4590" s="7">
        <v>2734888.65</v>
      </c>
      <c r="E4590" s="7">
        <v>466.07</v>
      </c>
      <c r="F4590" s="7">
        <v>41778.51</v>
      </c>
      <c r="G4590" s="7">
        <v>85314</v>
      </c>
      <c r="H4590" s="7">
        <f t="shared" si="118"/>
        <v>41728.51</v>
      </c>
      <c r="I4590" s="15"/>
    </row>
    <row r="4591" spans="1:9" s="8" customFormat="1" ht="21" customHeight="1" x14ac:dyDescent="0.6">
      <c r="A4591" s="7">
        <v>24.718218100000001</v>
      </c>
      <c r="B4591" s="7">
        <v>34.756365299999999</v>
      </c>
      <c r="C4591" s="7">
        <v>677654.61</v>
      </c>
      <c r="D4591" s="7">
        <v>2734885.88</v>
      </c>
      <c r="E4591" s="7">
        <v>466.09</v>
      </c>
      <c r="F4591" s="7">
        <v>41780.839999999997</v>
      </c>
      <c r="G4591" s="7">
        <v>85316</v>
      </c>
      <c r="H4591" s="7">
        <f t="shared" si="118"/>
        <v>41730.839999999997</v>
      </c>
      <c r="I4591" s="15"/>
    </row>
    <row r="4592" spans="1:9" s="8" customFormat="1" ht="21" customHeight="1" x14ac:dyDescent="0.6">
      <c r="A4592" s="7">
        <v>24.7181918</v>
      </c>
      <c r="B4592" s="7">
        <v>34.756353599999997</v>
      </c>
      <c r="C4592" s="7">
        <v>677653.46</v>
      </c>
      <c r="D4592" s="7">
        <v>2734882.95</v>
      </c>
      <c r="E4592" s="7">
        <v>466.2</v>
      </c>
      <c r="F4592" s="7">
        <v>41783.300000000003</v>
      </c>
      <c r="G4592" s="7">
        <v>85318</v>
      </c>
      <c r="H4592" s="7">
        <f t="shared" si="118"/>
        <v>41733.300000000003</v>
      </c>
      <c r="I4592" s="15"/>
    </row>
    <row r="4593" spans="1:9" s="8" customFormat="1" ht="21" customHeight="1" x14ac:dyDescent="0.6">
      <c r="A4593" s="7">
        <v>24.718168800000001</v>
      </c>
      <c r="B4593" s="7">
        <v>34.756342699999998</v>
      </c>
      <c r="C4593" s="7">
        <v>677652.39</v>
      </c>
      <c r="D4593" s="7">
        <v>2734880.39</v>
      </c>
      <c r="E4593" s="7">
        <v>466.39</v>
      </c>
      <c r="F4593" s="7">
        <v>41757.67</v>
      </c>
      <c r="G4593" s="7">
        <v>85320</v>
      </c>
      <c r="H4593" s="7">
        <f t="shared" si="118"/>
        <v>41707.67</v>
      </c>
      <c r="I4593" s="15"/>
    </row>
    <row r="4594" spans="1:9" s="8" customFormat="1" ht="21" customHeight="1" x14ac:dyDescent="0.6">
      <c r="A4594" s="7">
        <v>24.7181429</v>
      </c>
      <c r="B4594" s="7">
        <v>34.756336500000003</v>
      </c>
      <c r="C4594" s="7">
        <v>677651.8</v>
      </c>
      <c r="D4594" s="7">
        <v>2734877.52</v>
      </c>
      <c r="E4594" s="7">
        <v>466.58</v>
      </c>
      <c r="F4594" s="7">
        <v>41756.230000000003</v>
      </c>
      <c r="G4594" s="7">
        <v>85322</v>
      </c>
      <c r="H4594" s="7">
        <f t="shared" si="118"/>
        <v>41706.230000000003</v>
      </c>
      <c r="I4594" s="15"/>
    </row>
    <row r="4595" spans="1:9" s="8" customFormat="1" ht="21" customHeight="1" x14ac:dyDescent="0.6">
      <c r="A4595" s="7">
        <v>24.718115900000001</v>
      </c>
      <c r="B4595" s="7">
        <v>34.756336099999999</v>
      </c>
      <c r="C4595" s="7">
        <v>677651.8</v>
      </c>
      <c r="D4595" s="7">
        <v>2734874.53</v>
      </c>
      <c r="E4595" s="7">
        <v>466.66</v>
      </c>
      <c r="F4595" s="7">
        <v>41744.769999999997</v>
      </c>
      <c r="G4595" s="7">
        <v>85324</v>
      </c>
      <c r="H4595" s="7">
        <f t="shared" si="118"/>
        <v>41694.769999999997</v>
      </c>
      <c r="I4595" s="15"/>
    </row>
    <row r="4596" spans="1:9" s="8" customFormat="1" ht="21" customHeight="1" x14ac:dyDescent="0.6">
      <c r="A4596" s="7">
        <v>24.7180888</v>
      </c>
      <c r="B4596" s="7">
        <v>34.756335300000003</v>
      </c>
      <c r="C4596" s="7">
        <v>677651.76</v>
      </c>
      <c r="D4596" s="7">
        <v>2734871.53</v>
      </c>
      <c r="E4596" s="7">
        <v>466.73</v>
      </c>
      <c r="F4596" s="7">
        <v>41736.28</v>
      </c>
      <c r="G4596" s="7">
        <v>85326</v>
      </c>
      <c r="H4596" s="7">
        <f t="shared" si="118"/>
        <v>41686.28</v>
      </c>
      <c r="I4596" s="15"/>
    </row>
    <row r="4597" spans="1:9" s="8" customFormat="1" ht="21" customHeight="1" x14ac:dyDescent="0.6">
      <c r="A4597" s="7">
        <v>24.7180617</v>
      </c>
      <c r="B4597" s="7">
        <v>34.756332399999998</v>
      </c>
      <c r="C4597" s="7">
        <v>677651.5</v>
      </c>
      <c r="D4597" s="7">
        <v>2734868.51</v>
      </c>
      <c r="E4597" s="7">
        <v>466.85</v>
      </c>
      <c r="F4597" s="7">
        <v>41742.449999999997</v>
      </c>
      <c r="G4597" s="7">
        <v>85328</v>
      </c>
      <c r="H4597" s="7">
        <f t="shared" si="118"/>
        <v>41692.449999999997</v>
      </c>
      <c r="I4597" s="15"/>
    </row>
    <row r="4598" spans="1:9" s="8" customFormat="1" ht="21" customHeight="1" x14ac:dyDescent="0.6">
      <c r="A4598" s="7">
        <v>24.7180359</v>
      </c>
      <c r="B4598" s="7">
        <v>34.7563289</v>
      </c>
      <c r="C4598" s="7">
        <v>677651.18</v>
      </c>
      <c r="D4598" s="7">
        <v>2734865.65</v>
      </c>
      <c r="E4598" s="7">
        <v>466.98</v>
      </c>
      <c r="F4598" s="7">
        <v>41738.18</v>
      </c>
      <c r="G4598" s="7">
        <v>85330</v>
      </c>
      <c r="H4598" s="7">
        <f t="shared" si="118"/>
        <v>41688.18</v>
      </c>
      <c r="I4598" s="15"/>
    </row>
    <row r="4599" spans="1:9" s="8" customFormat="1" ht="21" customHeight="1" x14ac:dyDescent="0.6">
      <c r="A4599" s="7">
        <v>24.718008900000001</v>
      </c>
      <c r="B4599" s="7">
        <v>34.756324200000002</v>
      </c>
      <c r="C4599" s="7">
        <v>677650.75</v>
      </c>
      <c r="D4599" s="7">
        <v>2734862.66</v>
      </c>
      <c r="E4599" s="7">
        <v>467.08</v>
      </c>
      <c r="F4599" s="7">
        <v>41724.01</v>
      </c>
      <c r="G4599" s="7">
        <v>85332</v>
      </c>
      <c r="H4599" s="7">
        <f t="shared" si="118"/>
        <v>41674.01</v>
      </c>
      <c r="I4599" s="15"/>
    </row>
    <row r="4600" spans="1:9" s="8" customFormat="1" ht="21" customHeight="1" x14ac:dyDescent="0.6">
      <c r="A4600" s="7">
        <v>24.717981999999999</v>
      </c>
      <c r="B4600" s="7">
        <v>34.756324999999997</v>
      </c>
      <c r="C4600" s="7">
        <v>677650.87</v>
      </c>
      <c r="D4600" s="7">
        <v>2734859.68</v>
      </c>
      <c r="E4600" s="7">
        <v>467.27</v>
      </c>
      <c r="F4600" s="7">
        <v>41693.75</v>
      </c>
      <c r="G4600" s="7">
        <v>85334</v>
      </c>
      <c r="H4600" s="7">
        <f t="shared" si="118"/>
        <v>41643.75</v>
      </c>
      <c r="I4600" s="15"/>
    </row>
    <row r="4601" spans="1:9" s="8" customFormat="1" ht="21" customHeight="1" x14ac:dyDescent="0.6">
      <c r="A4601" s="7">
        <v>24.717954899999999</v>
      </c>
      <c r="B4601" s="7">
        <v>34.756327200000001</v>
      </c>
      <c r="C4601" s="7">
        <v>677651.12</v>
      </c>
      <c r="D4601" s="7">
        <v>2734856.68</v>
      </c>
      <c r="E4601" s="7">
        <v>467.33</v>
      </c>
      <c r="F4601" s="7">
        <v>41771.72</v>
      </c>
      <c r="G4601" s="7">
        <v>85336</v>
      </c>
      <c r="H4601" s="7">
        <f t="shared" si="118"/>
        <v>41721.72</v>
      </c>
      <c r="I4601" s="15"/>
    </row>
    <row r="4602" spans="1:9" s="8" customFormat="1" ht="21" customHeight="1" x14ac:dyDescent="0.6">
      <c r="A4602" s="7">
        <v>24.717926500000001</v>
      </c>
      <c r="B4602" s="7">
        <v>34.756327900000002</v>
      </c>
      <c r="C4602" s="7">
        <v>677651.24</v>
      </c>
      <c r="D4602" s="7">
        <v>2734853.54</v>
      </c>
      <c r="E4602" s="7">
        <v>467.5</v>
      </c>
      <c r="F4602" s="7">
        <v>41779.440000000002</v>
      </c>
      <c r="G4602" s="7">
        <v>85338</v>
      </c>
      <c r="H4602" s="7">
        <f t="shared" si="118"/>
        <v>41729.440000000002</v>
      </c>
      <c r="I4602" s="15"/>
    </row>
    <row r="4603" spans="1:9" s="8" customFormat="1" ht="21" customHeight="1" x14ac:dyDescent="0.6">
      <c r="A4603" s="7">
        <v>24.717899800000001</v>
      </c>
      <c r="B4603" s="7">
        <v>34.756327200000001</v>
      </c>
      <c r="C4603" s="7">
        <v>677651.2</v>
      </c>
      <c r="D4603" s="7">
        <v>2734850.58</v>
      </c>
      <c r="E4603" s="7">
        <v>467.66</v>
      </c>
      <c r="F4603" s="7">
        <v>41725.5</v>
      </c>
      <c r="G4603" s="7">
        <v>85340</v>
      </c>
      <c r="H4603" s="7">
        <f t="shared" si="118"/>
        <v>41675.5</v>
      </c>
      <c r="I4603" s="15"/>
    </row>
    <row r="4604" spans="1:9" s="8" customFormat="1" ht="21" customHeight="1" x14ac:dyDescent="0.6">
      <c r="A4604" s="7">
        <v>24.717872799999999</v>
      </c>
      <c r="B4604" s="7">
        <v>34.756326700000002</v>
      </c>
      <c r="C4604" s="7">
        <v>677651.2</v>
      </c>
      <c r="D4604" s="7">
        <v>2734847.58</v>
      </c>
      <c r="E4604" s="7">
        <v>467.78</v>
      </c>
      <c r="F4604" s="7">
        <v>41718.28</v>
      </c>
      <c r="G4604" s="7">
        <v>85342</v>
      </c>
      <c r="H4604" s="7">
        <f t="shared" si="118"/>
        <v>41668.28</v>
      </c>
      <c r="I4604" s="15"/>
    </row>
    <row r="4605" spans="1:9" s="8" customFormat="1" ht="21" customHeight="1" x14ac:dyDescent="0.6">
      <c r="A4605" s="7">
        <v>24.717846999999999</v>
      </c>
      <c r="B4605" s="7">
        <v>34.756332999999998</v>
      </c>
      <c r="C4605" s="7">
        <v>677651.87</v>
      </c>
      <c r="D4605" s="7">
        <v>2734844.73</v>
      </c>
      <c r="E4605" s="7">
        <v>467.99</v>
      </c>
      <c r="F4605" s="7">
        <v>41726.76</v>
      </c>
      <c r="G4605" s="7">
        <v>85344</v>
      </c>
      <c r="H4605" s="7">
        <f t="shared" si="118"/>
        <v>41676.76</v>
      </c>
      <c r="I4605" s="15"/>
    </row>
    <row r="4606" spans="1:9" s="8" customFormat="1" ht="21" customHeight="1" x14ac:dyDescent="0.6">
      <c r="A4606" s="7">
        <v>24.717819299999999</v>
      </c>
      <c r="B4606" s="7">
        <v>34.756334199999998</v>
      </c>
      <c r="C4606" s="7">
        <v>677652.03</v>
      </c>
      <c r="D4606" s="7">
        <v>2734841.67</v>
      </c>
      <c r="E4606" s="7">
        <v>468.08</v>
      </c>
      <c r="F4606" s="7">
        <v>41714.65</v>
      </c>
      <c r="G4606" s="7">
        <v>85346</v>
      </c>
      <c r="H4606" s="7">
        <f t="shared" si="118"/>
        <v>41664.65</v>
      </c>
      <c r="I4606" s="15"/>
    </row>
    <row r="4607" spans="1:9" s="8" customFormat="1" ht="21" customHeight="1" x14ac:dyDescent="0.6">
      <c r="A4607" s="7">
        <v>24.717792200000002</v>
      </c>
      <c r="B4607" s="7">
        <v>34.756334600000002</v>
      </c>
      <c r="C4607" s="7">
        <v>677652.1</v>
      </c>
      <c r="D4607" s="7">
        <v>2734838.67</v>
      </c>
      <c r="E4607" s="7">
        <v>468.23</v>
      </c>
      <c r="F4607" s="7">
        <v>41712.089999999997</v>
      </c>
      <c r="G4607" s="7">
        <v>85348</v>
      </c>
      <c r="H4607" s="7">
        <f t="shared" si="118"/>
        <v>41662.089999999997</v>
      </c>
      <c r="I4607" s="15"/>
    </row>
    <row r="4608" spans="1:9" s="8" customFormat="1" ht="21" customHeight="1" x14ac:dyDescent="0.6">
      <c r="A4608" s="7">
        <v>24.7177659</v>
      </c>
      <c r="B4608" s="7">
        <v>34.756333099999999</v>
      </c>
      <c r="C4608" s="7">
        <v>677651.99</v>
      </c>
      <c r="D4608" s="7">
        <v>2734835.75</v>
      </c>
      <c r="E4608" s="7">
        <v>468.34</v>
      </c>
      <c r="F4608" s="7">
        <v>41712.300000000003</v>
      </c>
      <c r="G4608" s="7">
        <v>85350</v>
      </c>
      <c r="H4608" s="7">
        <f t="shared" si="118"/>
        <v>41662.300000000003</v>
      </c>
      <c r="I4608" s="15"/>
    </row>
    <row r="4609" spans="1:9" s="8" customFormat="1" ht="21" customHeight="1" x14ac:dyDescent="0.6">
      <c r="A4609" s="7">
        <v>24.7177395</v>
      </c>
      <c r="B4609" s="7">
        <v>34.756334799999998</v>
      </c>
      <c r="C4609" s="7">
        <v>677652.21</v>
      </c>
      <c r="D4609" s="7">
        <v>2734832.84</v>
      </c>
      <c r="E4609" s="7">
        <v>468.45</v>
      </c>
      <c r="F4609" s="7">
        <v>41701.599999999999</v>
      </c>
      <c r="G4609" s="7">
        <v>85352</v>
      </c>
      <c r="H4609" s="7">
        <f t="shared" si="118"/>
        <v>41651.599999999999</v>
      </c>
      <c r="I4609" s="15"/>
    </row>
    <row r="4610" spans="1:9" s="8" customFormat="1" ht="21" customHeight="1" x14ac:dyDescent="0.6">
      <c r="A4610" s="7">
        <v>24.717716599999999</v>
      </c>
      <c r="B4610" s="7">
        <v>34.756343000000001</v>
      </c>
      <c r="C4610" s="7">
        <v>677653.07</v>
      </c>
      <c r="D4610" s="7">
        <v>2734830.31</v>
      </c>
      <c r="E4610" s="7">
        <v>468.76</v>
      </c>
      <c r="F4610" s="7">
        <v>41710.43</v>
      </c>
      <c r="G4610" s="7">
        <v>85354</v>
      </c>
      <c r="H4610" s="7">
        <f t="shared" si="118"/>
        <v>41660.43</v>
      </c>
      <c r="I4610" s="15"/>
    </row>
    <row r="4611" spans="1:9" s="8" customFormat="1" ht="21" customHeight="1" x14ac:dyDescent="0.6">
      <c r="A4611" s="7">
        <v>24.7176896</v>
      </c>
      <c r="B4611" s="7">
        <v>34.756344200000001</v>
      </c>
      <c r="C4611" s="7">
        <v>677653.22</v>
      </c>
      <c r="D4611" s="7">
        <v>2734827.32</v>
      </c>
      <c r="E4611" s="7">
        <v>468.79</v>
      </c>
      <c r="F4611" s="7">
        <v>41690.22</v>
      </c>
      <c r="G4611" s="7">
        <v>85356</v>
      </c>
      <c r="H4611" s="7">
        <f t="shared" si="118"/>
        <v>41640.22</v>
      </c>
      <c r="I4611" s="15"/>
    </row>
    <row r="4612" spans="1:9" s="8" customFormat="1" ht="21" customHeight="1" x14ac:dyDescent="0.6">
      <c r="A4612" s="7">
        <v>24.717662900000001</v>
      </c>
      <c r="B4612" s="7">
        <v>34.756341599999999</v>
      </c>
      <c r="C4612" s="7">
        <v>677653</v>
      </c>
      <c r="D4612" s="7">
        <v>2734824.36</v>
      </c>
      <c r="E4612" s="7">
        <v>468.86</v>
      </c>
      <c r="F4612" s="7">
        <v>41678.559999999998</v>
      </c>
      <c r="G4612" s="7">
        <v>85358</v>
      </c>
      <c r="H4612" s="7">
        <f t="shared" si="118"/>
        <v>41628.559999999998</v>
      </c>
      <c r="I4612" s="15"/>
    </row>
    <row r="4613" spans="1:9" s="8" customFormat="1" ht="21" customHeight="1" x14ac:dyDescent="0.6">
      <c r="A4613" s="7">
        <v>24.717636200000001</v>
      </c>
      <c r="B4613" s="7">
        <v>34.7563435</v>
      </c>
      <c r="C4613" s="7">
        <v>677653.23</v>
      </c>
      <c r="D4613" s="7">
        <v>2734821.41</v>
      </c>
      <c r="E4613" s="7">
        <v>468.99</v>
      </c>
      <c r="F4613" s="7">
        <v>41666.68</v>
      </c>
      <c r="G4613" s="7">
        <v>85400</v>
      </c>
      <c r="H4613" s="7">
        <f t="shared" si="118"/>
        <v>41616.68</v>
      </c>
      <c r="I4613" s="15"/>
    </row>
    <row r="4614" spans="1:9" s="8" customFormat="1" ht="21" customHeight="1" x14ac:dyDescent="0.6">
      <c r="A4614" s="7">
        <v>24.717610400000002</v>
      </c>
      <c r="B4614" s="7">
        <v>34.756342099999998</v>
      </c>
      <c r="C4614" s="7">
        <v>677653.13</v>
      </c>
      <c r="D4614" s="7">
        <v>2734818.54</v>
      </c>
      <c r="E4614" s="7">
        <v>469.11</v>
      </c>
      <c r="F4614" s="7">
        <v>41652.74</v>
      </c>
      <c r="G4614" s="7">
        <v>85402</v>
      </c>
      <c r="H4614" s="7">
        <f t="shared" si="118"/>
        <v>41602.74</v>
      </c>
      <c r="I4614" s="15"/>
    </row>
    <row r="4615" spans="1:9" s="8" customFormat="1" ht="21" customHeight="1" x14ac:dyDescent="0.6">
      <c r="A4615" s="7">
        <v>24.717583000000001</v>
      </c>
      <c r="B4615" s="7">
        <v>34.756340600000001</v>
      </c>
      <c r="C4615" s="7">
        <v>677653.01</v>
      </c>
      <c r="D4615" s="7">
        <v>2734815.51</v>
      </c>
      <c r="E4615" s="7">
        <v>469.16</v>
      </c>
      <c r="F4615" s="7">
        <v>41640.230000000003</v>
      </c>
      <c r="G4615" s="7">
        <v>85404</v>
      </c>
      <c r="H4615" s="7">
        <f t="shared" si="118"/>
        <v>41590.230000000003</v>
      </c>
      <c r="I4615" s="15"/>
    </row>
    <row r="4616" spans="1:9" s="8" customFormat="1" ht="21" customHeight="1" x14ac:dyDescent="0.6">
      <c r="A4616" s="7">
        <v>24.717556200000001</v>
      </c>
      <c r="B4616" s="7">
        <v>34.756341399999997</v>
      </c>
      <c r="C4616" s="7">
        <v>677653.13</v>
      </c>
      <c r="D4616" s="7">
        <v>2734812.54</v>
      </c>
      <c r="E4616" s="7">
        <v>469.34</v>
      </c>
      <c r="F4616" s="7">
        <v>41625.160000000003</v>
      </c>
      <c r="G4616" s="7">
        <v>85406</v>
      </c>
      <c r="H4616" s="7">
        <f t="shared" si="118"/>
        <v>41575.160000000003</v>
      </c>
      <c r="I4616" s="15"/>
    </row>
    <row r="4617" spans="1:9" s="8" customFormat="1" ht="21" customHeight="1" x14ac:dyDescent="0.6">
      <c r="A4617" s="7">
        <v>24.717528999999999</v>
      </c>
      <c r="B4617" s="7">
        <v>34.756344200000001</v>
      </c>
      <c r="C4617" s="7">
        <v>677653.45</v>
      </c>
      <c r="D4617" s="7">
        <v>2734809.53</v>
      </c>
      <c r="E4617" s="7">
        <v>469.46</v>
      </c>
      <c r="F4617" s="7">
        <v>41604.879999999997</v>
      </c>
      <c r="G4617" s="7">
        <v>85408</v>
      </c>
      <c r="H4617" s="7">
        <f t="shared" si="118"/>
        <v>41554.879999999997</v>
      </c>
      <c r="I4617" s="15"/>
    </row>
    <row r="4618" spans="1:9" s="8" customFormat="1" ht="21" customHeight="1" x14ac:dyDescent="0.6">
      <c r="A4618" s="7">
        <v>24.7175045</v>
      </c>
      <c r="B4618" s="7">
        <v>34.756346399999998</v>
      </c>
      <c r="C4618" s="7">
        <v>677653.71</v>
      </c>
      <c r="D4618" s="7">
        <v>2734806.82</v>
      </c>
      <c r="E4618" s="7">
        <v>469.59</v>
      </c>
      <c r="F4618" s="7">
        <v>41590.06</v>
      </c>
      <c r="G4618" s="7">
        <v>85410</v>
      </c>
      <c r="H4618" s="7">
        <f t="shared" si="118"/>
        <v>41540.06</v>
      </c>
      <c r="I4618" s="15"/>
    </row>
    <row r="4619" spans="1:9" s="8" customFormat="1" ht="21" customHeight="1" x14ac:dyDescent="0.6">
      <c r="A4619" s="7">
        <v>24.717478799999999</v>
      </c>
      <c r="B4619" s="7">
        <v>34.756347699999999</v>
      </c>
      <c r="C4619" s="7">
        <v>677653.88</v>
      </c>
      <c r="D4619" s="7">
        <v>2734803.98</v>
      </c>
      <c r="E4619" s="7">
        <v>469.76</v>
      </c>
      <c r="F4619" s="7">
        <v>41566.080000000002</v>
      </c>
      <c r="G4619" s="7">
        <v>85412</v>
      </c>
      <c r="H4619" s="7">
        <f t="shared" si="118"/>
        <v>41516.080000000002</v>
      </c>
      <c r="I4619" s="15"/>
    </row>
    <row r="4620" spans="1:9" s="8" customFormat="1" ht="21" customHeight="1" x14ac:dyDescent="0.6">
      <c r="A4620" s="7">
        <v>24.717453299999999</v>
      </c>
      <c r="B4620" s="7">
        <v>34.756339799999999</v>
      </c>
      <c r="C4620" s="7">
        <v>677653.12</v>
      </c>
      <c r="D4620" s="7">
        <v>2734801.14</v>
      </c>
      <c r="E4620" s="7">
        <v>469.88</v>
      </c>
      <c r="F4620" s="7">
        <v>41537.47</v>
      </c>
      <c r="G4620" s="7">
        <v>85414</v>
      </c>
      <c r="H4620" s="7">
        <f t="shared" si="118"/>
        <v>41487.47</v>
      </c>
      <c r="I4620" s="15"/>
    </row>
    <row r="4621" spans="1:9" s="8" customFormat="1" ht="21" customHeight="1" x14ac:dyDescent="0.6">
      <c r="A4621" s="7">
        <v>24.717428300000002</v>
      </c>
      <c r="B4621" s="7">
        <v>34.756330800000001</v>
      </c>
      <c r="C4621" s="7">
        <v>677652.24</v>
      </c>
      <c r="D4621" s="7">
        <v>2734798.36</v>
      </c>
      <c r="E4621" s="7">
        <v>470.01</v>
      </c>
      <c r="F4621" s="7">
        <v>41514.36</v>
      </c>
      <c r="G4621" s="7">
        <v>85416</v>
      </c>
      <c r="H4621" s="7">
        <f t="shared" si="118"/>
        <v>41464.36</v>
      </c>
      <c r="I4621" s="15"/>
    </row>
    <row r="4622" spans="1:9" s="8" customFormat="1" ht="21" customHeight="1" x14ac:dyDescent="0.6">
      <c r="A4622" s="7">
        <v>24.717402</v>
      </c>
      <c r="B4622" s="7">
        <v>34.756322900000001</v>
      </c>
      <c r="C4622" s="7">
        <v>677651.48</v>
      </c>
      <c r="D4622" s="7">
        <v>2734795.44</v>
      </c>
      <c r="E4622" s="7">
        <v>470.07</v>
      </c>
      <c r="F4622" s="7">
        <v>41477.160000000003</v>
      </c>
      <c r="G4622" s="7">
        <v>85418</v>
      </c>
      <c r="H4622" s="7">
        <f t="shared" si="118"/>
        <v>41427.160000000003</v>
      </c>
      <c r="I4622" s="15"/>
    </row>
    <row r="4623" spans="1:9" s="8" customFormat="1" ht="21" customHeight="1" x14ac:dyDescent="0.6">
      <c r="A4623" s="7">
        <v>24.717375700000002</v>
      </c>
      <c r="B4623" s="7">
        <v>34.7563198</v>
      </c>
      <c r="C4623" s="7">
        <v>677651.2</v>
      </c>
      <c r="D4623" s="7">
        <v>2734792.52</v>
      </c>
      <c r="E4623" s="7">
        <v>470.15</v>
      </c>
      <c r="F4623" s="7">
        <v>41430.1</v>
      </c>
      <c r="G4623" s="7">
        <v>85420</v>
      </c>
      <c r="H4623" s="7">
        <f t="shared" si="118"/>
        <v>41380.1</v>
      </c>
      <c r="I4623" s="15"/>
    </row>
    <row r="4624" spans="1:9" s="8" customFormat="1" ht="21" customHeight="1" x14ac:dyDescent="0.6">
      <c r="A4624" s="7">
        <v>24.717349299999999</v>
      </c>
      <c r="B4624" s="7">
        <v>34.756314799999998</v>
      </c>
      <c r="C4624" s="7">
        <v>677650.74</v>
      </c>
      <c r="D4624" s="7">
        <v>2734789.59</v>
      </c>
      <c r="E4624" s="7">
        <v>470.25</v>
      </c>
      <c r="F4624" s="7">
        <v>41377.440000000002</v>
      </c>
      <c r="G4624" s="7">
        <v>85422</v>
      </c>
      <c r="H4624" s="7">
        <f t="shared" si="118"/>
        <v>41327.440000000002</v>
      </c>
      <c r="I4624" s="15"/>
    </row>
    <row r="4625" spans="1:9" s="8" customFormat="1" ht="21" customHeight="1" x14ac:dyDescent="0.6">
      <c r="A4625" s="7">
        <v>24.7173227</v>
      </c>
      <c r="B4625" s="7">
        <v>34.756307900000003</v>
      </c>
      <c r="C4625" s="7">
        <v>677650.07</v>
      </c>
      <c r="D4625" s="7">
        <v>2734786.63</v>
      </c>
      <c r="E4625" s="7">
        <v>470.37</v>
      </c>
      <c r="F4625" s="7">
        <v>41313.089999999997</v>
      </c>
      <c r="G4625" s="7">
        <v>85424</v>
      </c>
      <c r="H4625" s="7">
        <f t="shared" si="118"/>
        <v>41263.089999999997</v>
      </c>
      <c r="I4625" s="15"/>
    </row>
    <row r="4626" spans="1:9" s="8" customFormat="1" ht="21" customHeight="1" x14ac:dyDescent="0.6">
      <c r="A4626" s="7">
        <v>24.717297899999998</v>
      </c>
      <c r="B4626" s="7">
        <v>34.756297799999999</v>
      </c>
      <c r="C4626" s="7">
        <v>677649.09</v>
      </c>
      <c r="D4626" s="7">
        <v>2734783.87</v>
      </c>
      <c r="E4626" s="7">
        <v>470.53</v>
      </c>
      <c r="F4626" s="7">
        <v>41242.370000000003</v>
      </c>
      <c r="G4626" s="7">
        <v>85426</v>
      </c>
      <c r="H4626" s="7">
        <f t="shared" si="118"/>
        <v>41192.370000000003</v>
      </c>
      <c r="I4626" s="15"/>
    </row>
    <row r="4627" spans="1:9" s="8" customFormat="1" ht="21" customHeight="1" x14ac:dyDescent="0.6">
      <c r="A4627" s="7">
        <v>24.7172722</v>
      </c>
      <c r="B4627" s="7">
        <v>34.756288099999999</v>
      </c>
      <c r="C4627" s="7">
        <v>677648.14</v>
      </c>
      <c r="D4627" s="7">
        <v>2734781.01</v>
      </c>
      <c r="E4627" s="7">
        <v>470.64</v>
      </c>
      <c r="F4627" s="7">
        <v>41146.29</v>
      </c>
      <c r="G4627" s="7">
        <v>85428</v>
      </c>
      <c r="H4627" s="7">
        <f t="shared" si="118"/>
        <v>41096.29</v>
      </c>
      <c r="I4627" s="15"/>
    </row>
    <row r="4628" spans="1:9" s="8" customFormat="1" ht="21" customHeight="1" x14ac:dyDescent="0.6">
      <c r="A4628" s="7">
        <v>24.717246800000002</v>
      </c>
      <c r="B4628" s="7">
        <v>34.756279399999997</v>
      </c>
      <c r="C4628" s="7">
        <v>677647.3</v>
      </c>
      <c r="D4628" s="7">
        <v>2734778.19</v>
      </c>
      <c r="E4628" s="7">
        <v>470.78</v>
      </c>
      <c r="F4628" s="7">
        <v>41035.51</v>
      </c>
      <c r="G4628" s="7">
        <v>85430</v>
      </c>
      <c r="H4628" s="7">
        <f t="shared" ref="H4628:H4691" si="119">SUM(F4628-50)</f>
        <v>40985.51</v>
      </c>
      <c r="I4628" s="15"/>
    </row>
    <row r="4629" spans="1:9" s="8" customFormat="1" ht="21" customHeight="1" x14ac:dyDescent="0.6">
      <c r="A4629" s="7">
        <v>24.7172205</v>
      </c>
      <c r="B4629" s="7">
        <v>34.756271400000003</v>
      </c>
      <c r="C4629" s="7">
        <v>677646.53</v>
      </c>
      <c r="D4629" s="7">
        <v>2734775.27</v>
      </c>
      <c r="E4629" s="7">
        <v>470.87</v>
      </c>
      <c r="F4629" s="7">
        <v>40918.550000000003</v>
      </c>
      <c r="G4629" s="7">
        <v>85432</v>
      </c>
      <c r="H4629" s="7">
        <f t="shared" si="119"/>
        <v>40868.550000000003</v>
      </c>
      <c r="I4629" s="15"/>
    </row>
    <row r="4630" spans="1:9" s="8" customFormat="1" ht="21" customHeight="1" x14ac:dyDescent="0.6">
      <c r="A4630" s="7">
        <v>24.717193399999999</v>
      </c>
      <c r="B4630" s="7">
        <v>34.7562651</v>
      </c>
      <c r="C4630" s="7">
        <v>677645.93</v>
      </c>
      <c r="D4630" s="7">
        <v>2734772.26</v>
      </c>
      <c r="E4630" s="7">
        <v>471.02</v>
      </c>
      <c r="F4630" s="7">
        <v>40773.65</v>
      </c>
      <c r="G4630" s="7">
        <v>85434</v>
      </c>
      <c r="H4630" s="7">
        <f t="shared" si="119"/>
        <v>40723.65</v>
      </c>
      <c r="I4630" s="15"/>
    </row>
    <row r="4631" spans="1:9" s="8" customFormat="1" ht="21" customHeight="1" x14ac:dyDescent="0.6">
      <c r="A4631" s="7">
        <v>24.7171682</v>
      </c>
      <c r="B4631" s="7">
        <v>34.756256499999999</v>
      </c>
      <c r="C4631" s="7">
        <v>677645.09</v>
      </c>
      <c r="D4631" s="7">
        <v>2734769.45</v>
      </c>
      <c r="E4631" s="7">
        <v>471.24</v>
      </c>
      <c r="F4631" s="7">
        <v>40570.1</v>
      </c>
      <c r="G4631" s="7">
        <v>85436</v>
      </c>
      <c r="H4631" s="7">
        <f t="shared" si="119"/>
        <v>40520.1</v>
      </c>
      <c r="I4631" s="15"/>
    </row>
    <row r="4632" spans="1:9" s="8" customFormat="1" ht="21" customHeight="1" x14ac:dyDescent="0.6">
      <c r="A4632" s="7">
        <v>24.717145200000001</v>
      </c>
      <c r="B4632" s="7">
        <v>34.756239899999997</v>
      </c>
      <c r="C4632" s="7">
        <v>677643.44</v>
      </c>
      <c r="D4632" s="7">
        <v>2734766.88</v>
      </c>
      <c r="E4632" s="7">
        <v>471.4</v>
      </c>
      <c r="F4632" s="7">
        <v>40277.78</v>
      </c>
      <c r="G4632" s="7">
        <v>85438</v>
      </c>
      <c r="H4632" s="7">
        <f t="shared" si="119"/>
        <v>40227.78</v>
      </c>
      <c r="I4632" s="15"/>
    </row>
    <row r="4633" spans="1:9" s="8" customFormat="1" ht="21" customHeight="1" x14ac:dyDescent="0.6">
      <c r="A4633" s="7">
        <v>24.717122799999999</v>
      </c>
      <c r="B4633" s="7">
        <v>34.756225200000003</v>
      </c>
      <c r="C4633" s="7">
        <v>677641.99</v>
      </c>
      <c r="D4633" s="7">
        <v>2734764.39</v>
      </c>
      <c r="E4633" s="7">
        <v>471.48</v>
      </c>
      <c r="F4633" s="7">
        <v>40038.74</v>
      </c>
      <c r="G4633" s="7">
        <v>85440</v>
      </c>
      <c r="H4633" s="7">
        <f t="shared" si="119"/>
        <v>39988.74</v>
      </c>
      <c r="I4633" s="15"/>
    </row>
    <row r="4634" spans="1:9" s="8" customFormat="1" ht="21" customHeight="1" x14ac:dyDescent="0.6">
      <c r="A4634" s="7">
        <v>24.7170989</v>
      </c>
      <c r="B4634" s="7">
        <v>34.756213500000001</v>
      </c>
      <c r="C4634" s="7">
        <v>677640.84</v>
      </c>
      <c r="D4634" s="7">
        <v>2734761.73</v>
      </c>
      <c r="E4634" s="7">
        <v>471.54</v>
      </c>
      <c r="F4634" s="7">
        <v>40075.129999999997</v>
      </c>
      <c r="G4634" s="7">
        <v>85442</v>
      </c>
      <c r="H4634" s="7">
        <f t="shared" si="119"/>
        <v>40025.129999999997</v>
      </c>
      <c r="I4634" s="15"/>
    </row>
    <row r="4635" spans="1:9" s="8" customFormat="1" ht="21" customHeight="1" x14ac:dyDescent="0.6">
      <c r="A4635" s="7">
        <v>24.717074100000001</v>
      </c>
      <c r="B4635" s="7">
        <v>34.756201900000001</v>
      </c>
      <c r="C4635" s="7">
        <v>677639.71</v>
      </c>
      <c r="D4635" s="7">
        <v>2734758.96</v>
      </c>
      <c r="E4635" s="7">
        <v>471.61</v>
      </c>
      <c r="F4635" s="7">
        <v>40313.67</v>
      </c>
      <c r="G4635" s="7">
        <v>85444</v>
      </c>
      <c r="H4635" s="7">
        <f t="shared" si="119"/>
        <v>40263.67</v>
      </c>
      <c r="I4635" s="15"/>
    </row>
    <row r="4636" spans="1:9" s="8" customFormat="1" ht="21" customHeight="1" x14ac:dyDescent="0.6">
      <c r="A4636" s="7">
        <v>24.7170509</v>
      </c>
      <c r="B4636" s="7">
        <v>34.756189499999998</v>
      </c>
      <c r="C4636" s="7">
        <v>677638.48</v>
      </c>
      <c r="D4636" s="7">
        <v>2734756.37</v>
      </c>
      <c r="E4636" s="7">
        <v>471.79</v>
      </c>
      <c r="F4636" s="7">
        <v>40562.86</v>
      </c>
      <c r="G4636" s="7">
        <v>85446</v>
      </c>
      <c r="H4636" s="7">
        <f t="shared" si="119"/>
        <v>40512.86</v>
      </c>
      <c r="I4636" s="15"/>
    </row>
    <row r="4637" spans="1:9" s="8" customFormat="1" ht="21" customHeight="1" x14ac:dyDescent="0.6">
      <c r="A4637" s="7">
        <v>24.7170253</v>
      </c>
      <c r="B4637" s="7">
        <v>34.756177299999997</v>
      </c>
      <c r="C4637" s="7">
        <v>677637.28</v>
      </c>
      <c r="D4637" s="7">
        <v>2734753.53</v>
      </c>
      <c r="E4637" s="7">
        <v>471.9</v>
      </c>
      <c r="F4637" s="7">
        <v>40714.1</v>
      </c>
      <c r="G4637" s="7">
        <v>85448</v>
      </c>
      <c r="H4637" s="7">
        <f t="shared" si="119"/>
        <v>40664.1</v>
      </c>
      <c r="I4637" s="15"/>
    </row>
    <row r="4638" spans="1:9" s="8" customFormat="1" ht="21" customHeight="1" x14ac:dyDescent="0.6">
      <c r="A4638" s="7">
        <v>24.716999900000001</v>
      </c>
      <c r="B4638" s="7">
        <v>34.756166800000003</v>
      </c>
      <c r="C4638" s="7">
        <v>677636.26</v>
      </c>
      <c r="D4638" s="7">
        <v>2734750.7</v>
      </c>
      <c r="E4638" s="7">
        <v>472.01</v>
      </c>
      <c r="F4638" s="7">
        <v>40760.36</v>
      </c>
      <c r="G4638" s="7">
        <v>85450</v>
      </c>
      <c r="H4638" s="7">
        <f t="shared" si="119"/>
        <v>40710.36</v>
      </c>
      <c r="I4638" s="15"/>
    </row>
    <row r="4639" spans="1:9" s="8" customFormat="1" ht="21" customHeight="1" x14ac:dyDescent="0.6">
      <c r="A4639" s="7">
        <v>24.716975900000001</v>
      </c>
      <c r="B4639" s="7">
        <v>34.756152299999997</v>
      </c>
      <c r="C4639" s="7">
        <v>677634.83</v>
      </c>
      <c r="D4639" s="7">
        <v>2734748.03</v>
      </c>
      <c r="E4639" s="7">
        <v>472.15</v>
      </c>
      <c r="F4639" s="7">
        <v>40790.22</v>
      </c>
      <c r="G4639" s="7">
        <v>85452</v>
      </c>
      <c r="H4639" s="7">
        <f t="shared" si="119"/>
        <v>40740.22</v>
      </c>
      <c r="I4639" s="15"/>
    </row>
    <row r="4640" spans="1:9" s="8" customFormat="1" ht="21" customHeight="1" x14ac:dyDescent="0.6">
      <c r="A4640" s="7">
        <v>24.716954000000001</v>
      </c>
      <c r="B4640" s="7">
        <v>34.756134699999997</v>
      </c>
      <c r="C4640" s="7">
        <v>677633.07</v>
      </c>
      <c r="D4640" s="7">
        <v>2734745.58</v>
      </c>
      <c r="E4640" s="7">
        <v>472.27</v>
      </c>
      <c r="F4640" s="7">
        <v>40861.9</v>
      </c>
      <c r="G4640" s="7">
        <v>85454</v>
      </c>
      <c r="H4640" s="7">
        <f t="shared" si="119"/>
        <v>40811.9</v>
      </c>
      <c r="I4640" s="15"/>
    </row>
    <row r="4641" spans="1:9" s="8" customFormat="1" ht="21" customHeight="1" x14ac:dyDescent="0.6">
      <c r="A4641" s="7">
        <v>24.716935700000001</v>
      </c>
      <c r="B4641" s="7">
        <v>34.756112299999998</v>
      </c>
      <c r="C4641" s="7">
        <v>677630.84</v>
      </c>
      <c r="D4641" s="7">
        <v>2734743.52</v>
      </c>
      <c r="E4641" s="7">
        <v>472.42</v>
      </c>
      <c r="F4641" s="7">
        <v>41002.29</v>
      </c>
      <c r="G4641" s="7">
        <v>85456</v>
      </c>
      <c r="H4641" s="7">
        <f t="shared" si="119"/>
        <v>40952.29</v>
      </c>
      <c r="I4641" s="15"/>
    </row>
    <row r="4642" spans="1:9" s="8" customFormat="1" ht="21" customHeight="1" x14ac:dyDescent="0.6">
      <c r="A4642" s="7">
        <v>24.716920600000002</v>
      </c>
      <c r="B4642" s="7">
        <v>34.7560875</v>
      </c>
      <c r="C4642" s="7">
        <v>677628.35</v>
      </c>
      <c r="D4642" s="7">
        <v>2734741.81</v>
      </c>
      <c r="E4642" s="7">
        <v>472.6</v>
      </c>
      <c r="F4642" s="7">
        <v>41233.040000000001</v>
      </c>
      <c r="G4642" s="7">
        <v>85458</v>
      </c>
      <c r="H4642" s="7">
        <f t="shared" si="119"/>
        <v>41183.040000000001</v>
      </c>
      <c r="I4642" s="15"/>
    </row>
    <row r="4643" spans="1:9" s="8" customFormat="1" ht="21" customHeight="1" x14ac:dyDescent="0.6">
      <c r="A4643" s="7">
        <v>24.716908499999999</v>
      </c>
      <c r="B4643" s="7">
        <v>34.756059700000002</v>
      </c>
      <c r="C4643" s="7">
        <v>677625.55</v>
      </c>
      <c r="D4643" s="7">
        <v>2734740.44</v>
      </c>
      <c r="E4643" s="7">
        <v>472.8</v>
      </c>
      <c r="F4643" s="7">
        <v>41392.639999999999</v>
      </c>
      <c r="G4643" s="7">
        <v>85500</v>
      </c>
      <c r="H4643" s="7">
        <f t="shared" si="119"/>
        <v>41342.639999999999</v>
      </c>
      <c r="I4643" s="15"/>
    </row>
    <row r="4644" spans="1:9" s="8" customFormat="1" ht="21" customHeight="1" x14ac:dyDescent="0.6">
      <c r="A4644" s="7">
        <v>24.716899300000001</v>
      </c>
      <c r="B4644" s="7">
        <v>34.756032400000002</v>
      </c>
      <c r="C4644" s="7">
        <v>677622.8</v>
      </c>
      <c r="D4644" s="7">
        <v>2734739.39</v>
      </c>
      <c r="E4644" s="7">
        <v>473.03</v>
      </c>
      <c r="F4644" s="7">
        <v>41108.53</v>
      </c>
      <c r="G4644" s="7">
        <v>85502</v>
      </c>
      <c r="H4644" s="7">
        <f t="shared" si="119"/>
        <v>41058.53</v>
      </c>
      <c r="I4644" s="15"/>
    </row>
    <row r="4645" spans="1:9" s="8" customFormat="1" ht="21" customHeight="1" x14ac:dyDescent="0.6">
      <c r="A4645" s="7">
        <v>24.7168934</v>
      </c>
      <c r="B4645" s="7">
        <v>34.756002299999999</v>
      </c>
      <c r="C4645" s="7">
        <v>677619.76</v>
      </c>
      <c r="D4645" s="7">
        <v>2734738.7</v>
      </c>
      <c r="E4645" s="7">
        <v>473.17</v>
      </c>
      <c r="F4645" s="7">
        <v>41129.03</v>
      </c>
      <c r="G4645" s="7">
        <v>85504</v>
      </c>
      <c r="H4645" s="7">
        <f t="shared" si="119"/>
        <v>41079.03</v>
      </c>
      <c r="I4645" s="15"/>
    </row>
    <row r="4646" spans="1:9" s="8" customFormat="1" ht="21" customHeight="1" x14ac:dyDescent="0.6">
      <c r="A4646" s="7">
        <v>24.716888999999998</v>
      </c>
      <c r="B4646" s="7">
        <v>34.7559732</v>
      </c>
      <c r="C4646" s="7">
        <v>677616.83</v>
      </c>
      <c r="D4646" s="7">
        <v>2734738.17</v>
      </c>
      <c r="E4646" s="7">
        <v>473.3</v>
      </c>
      <c r="F4646" s="7">
        <v>41518.03</v>
      </c>
      <c r="G4646" s="7">
        <v>85506</v>
      </c>
      <c r="H4646" s="7">
        <f t="shared" si="119"/>
        <v>41468.03</v>
      </c>
      <c r="I4646" s="15"/>
    </row>
    <row r="4647" spans="1:9" s="8" customFormat="1" ht="21" customHeight="1" x14ac:dyDescent="0.6">
      <c r="A4647" s="7">
        <v>24.7168815</v>
      </c>
      <c r="B4647" s="7">
        <v>34.755944</v>
      </c>
      <c r="C4647" s="7">
        <v>677613.89</v>
      </c>
      <c r="D4647" s="7">
        <v>2734737.3</v>
      </c>
      <c r="E4647" s="7">
        <v>473.47</v>
      </c>
      <c r="F4647" s="7">
        <v>42300.7</v>
      </c>
      <c r="G4647" s="7">
        <v>85508</v>
      </c>
      <c r="H4647" s="7">
        <f t="shared" si="119"/>
        <v>42250.7</v>
      </c>
      <c r="I4647" s="15"/>
    </row>
    <row r="4648" spans="1:9" s="8" customFormat="1" ht="21" customHeight="1" x14ac:dyDescent="0.6">
      <c r="A4648" s="7">
        <v>24.716870199999999</v>
      </c>
      <c r="B4648" s="7">
        <v>34.755919499999997</v>
      </c>
      <c r="C4648" s="7">
        <v>677611.42</v>
      </c>
      <c r="D4648" s="7">
        <v>2734736.02</v>
      </c>
      <c r="E4648" s="7">
        <v>473.81</v>
      </c>
      <c r="F4648" s="7">
        <v>42021.2</v>
      </c>
      <c r="G4648" s="7">
        <v>85510</v>
      </c>
      <c r="H4648" s="7">
        <f t="shared" si="119"/>
        <v>41971.199999999997</v>
      </c>
      <c r="I4648" s="15"/>
    </row>
    <row r="4649" spans="1:9" s="8" customFormat="1" ht="21" customHeight="1" x14ac:dyDescent="0.6">
      <c r="A4649" s="7">
        <v>24.716856100000001</v>
      </c>
      <c r="B4649" s="7">
        <v>34.755897400000002</v>
      </c>
      <c r="C4649" s="7">
        <v>677609.21</v>
      </c>
      <c r="D4649" s="7">
        <v>2734734.42</v>
      </c>
      <c r="E4649" s="7">
        <v>473.87</v>
      </c>
      <c r="F4649" s="7">
        <v>41894.589999999997</v>
      </c>
      <c r="G4649" s="7">
        <v>85512</v>
      </c>
      <c r="H4649" s="7">
        <f t="shared" si="119"/>
        <v>41844.589999999997</v>
      </c>
      <c r="I4649" s="15"/>
    </row>
    <row r="4650" spans="1:9" s="8" customFormat="1" ht="21" customHeight="1" x14ac:dyDescent="0.6">
      <c r="A4650" s="7">
        <v>24.7168475</v>
      </c>
      <c r="B4650" s="7">
        <v>34.755870100000003</v>
      </c>
      <c r="C4650" s="7">
        <v>677606.45</v>
      </c>
      <c r="D4650" s="7">
        <v>2734733.44</v>
      </c>
      <c r="E4650" s="7">
        <v>474.05</v>
      </c>
      <c r="F4650" s="7">
        <v>41869.49</v>
      </c>
      <c r="G4650" s="7">
        <v>85514</v>
      </c>
      <c r="H4650" s="7">
        <f t="shared" si="119"/>
        <v>41819.49</v>
      </c>
      <c r="I4650" s="15"/>
    </row>
    <row r="4651" spans="1:9" s="8" customFormat="1" ht="21" customHeight="1" x14ac:dyDescent="0.6">
      <c r="A4651" s="7">
        <v>24.716846100000001</v>
      </c>
      <c r="B4651" s="7">
        <v>34.755843200000001</v>
      </c>
      <c r="C4651" s="7">
        <v>677603.74</v>
      </c>
      <c r="D4651" s="7">
        <v>2734733.25</v>
      </c>
      <c r="E4651" s="7">
        <v>474.2</v>
      </c>
      <c r="F4651" s="7">
        <v>41925.919999999998</v>
      </c>
      <c r="G4651" s="7">
        <v>85516</v>
      </c>
      <c r="H4651" s="7">
        <f t="shared" si="119"/>
        <v>41875.919999999998</v>
      </c>
      <c r="I4651" s="15"/>
    </row>
    <row r="4652" spans="1:9" s="8" customFormat="1" ht="21" customHeight="1" x14ac:dyDescent="0.6">
      <c r="A4652" s="7">
        <v>24.7168378</v>
      </c>
      <c r="B4652" s="7">
        <v>34.755813500000002</v>
      </c>
      <c r="C4652" s="7">
        <v>677600.75</v>
      </c>
      <c r="D4652" s="7">
        <v>2734732.29</v>
      </c>
      <c r="E4652" s="7">
        <v>474.12</v>
      </c>
      <c r="F4652" s="7">
        <v>42004.92</v>
      </c>
      <c r="G4652" s="7">
        <v>85518</v>
      </c>
      <c r="H4652" s="7">
        <f t="shared" si="119"/>
        <v>41954.92</v>
      </c>
      <c r="I4652" s="15"/>
    </row>
    <row r="4653" spans="1:9" s="8" customFormat="1" ht="21" customHeight="1" x14ac:dyDescent="0.6">
      <c r="A4653" s="7">
        <v>24.716821500000002</v>
      </c>
      <c r="B4653" s="7">
        <v>34.755790400000002</v>
      </c>
      <c r="C4653" s="7">
        <v>677598.42</v>
      </c>
      <c r="D4653" s="7">
        <v>2734730.45</v>
      </c>
      <c r="E4653" s="7">
        <v>474.22</v>
      </c>
      <c r="F4653" s="7">
        <v>42134.16</v>
      </c>
      <c r="G4653" s="7">
        <v>85520</v>
      </c>
      <c r="H4653" s="7">
        <f t="shared" si="119"/>
        <v>42084.160000000003</v>
      </c>
      <c r="I4653" s="15"/>
    </row>
    <row r="4654" spans="1:9" s="8" customFormat="1" ht="21" customHeight="1" x14ac:dyDescent="0.6">
      <c r="A4654" s="7">
        <v>24.716803299999999</v>
      </c>
      <c r="B4654" s="7">
        <v>34.755767400000003</v>
      </c>
      <c r="C4654" s="7">
        <v>677596.13</v>
      </c>
      <c r="D4654" s="7">
        <v>2734728.41</v>
      </c>
      <c r="E4654" s="7">
        <v>474.35</v>
      </c>
      <c r="F4654" s="7">
        <v>42237.21</v>
      </c>
      <c r="G4654" s="7">
        <v>85522</v>
      </c>
      <c r="H4654" s="7">
        <f t="shared" si="119"/>
        <v>42187.21</v>
      </c>
      <c r="I4654" s="15"/>
    </row>
    <row r="4655" spans="1:9" s="8" customFormat="1" ht="21" customHeight="1" x14ac:dyDescent="0.6">
      <c r="A4655" s="7">
        <v>24.716791199999999</v>
      </c>
      <c r="B4655" s="7">
        <v>34.755740899999999</v>
      </c>
      <c r="C4655" s="7">
        <v>677593.47</v>
      </c>
      <c r="D4655" s="7">
        <v>2734727.03</v>
      </c>
      <c r="E4655" s="7">
        <v>474.45</v>
      </c>
      <c r="F4655" s="7">
        <v>42271.06</v>
      </c>
      <c r="G4655" s="7">
        <v>85524</v>
      </c>
      <c r="H4655" s="7">
        <f t="shared" si="119"/>
        <v>42221.06</v>
      </c>
      <c r="I4655" s="15"/>
    </row>
    <row r="4656" spans="1:9" s="8" customFormat="1" ht="21" customHeight="1" x14ac:dyDescent="0.6">
      <c r="A4656" s="7">
        <v>24.7167788</v>
      </c>
      <c r="B4656" s="7">
        <v>34.755715100000003</v>
      </c>
      <c r="C4656" s="7">
        <v>677590.87</v>
      </c>
      <c r="D4656" s="7">
        <v>2734725.63</v>
      </c>
      <c r="E4656" s="7">
        <v>474.51</v>
      </c>
      <c r="F4656" s="7">
        <v>42262.54</v>
      </c>
      <c r="G4656" s="7">
        <v>85526</v>
      </c>
      <c r="H4656" s="7">
        <f t="shared" si="119"/>
        <v>42212.54</v>
      </c>
      <c r="I4656" s="15"/>
    </row>
    <row r="4657" spans="1:9" s="8" customFormat="1" ht="21" customHeight="1" x14ac:dyDescent="0.6">
      <c r="A4657" s="7">
        <v>24.7167654</v>
      </c>
      <c r="B4657" s="7">
        <v>34.755690700000002</v>
      </c>
      <c r="C4657" s="7">
        <v>677588.42</v>
      </c>
      <c r="D4657" s="7">
        <v>2734724.11</v>
      </c>
      <c r="E4657" s="7">
        <v>474.57</v>
      </c>
      <c r="F4657" s="7">
        <v>42261.34</v>
      </c>
      <c r="G4657" s="7">
        <v>85528</v>
      </c>
      <c r="H4657" s="7">
        <f t="shared" si="119"/>
        <v>42211.34</v>
      </c>
      <c r="I4657" s="15"/>
    </row>
    <row r="4658" spans="1:9" s="8" customFormat="1" ht="21" customHeight="1" x14ac:dyDescent="0.6">
      <c r="A4658" s="7">
        <v>24.716752499999998</v>
      </c>
      <c r="B4658" s="7">
        <v>34.755664000000003</v>
      </c>
      <c r="C4658" s="7">
        <v>677585.74</v>
      </c>
      <c r="D4658" s="7">
        <v>2734722.65</v>
      </c>
      <c r="E4658" s="7">
        <v>474.66</v>
      </c>
      <c r="F4658" s="7">
        <v>42325.78</v>
      </c>
      <c r="G4658" s="7">
        <v>85530</v>
      </c>
      <c r="H4658" s="7">
        <f t="shared" si="119"/>
        <v>42275.78</v>
      </c>
      <c r="I4658" s="15"/>
    </row>
    <row r="4659" spans="1:9" s="8" customFormat="1" ht="21" customHeight="1" x14ac:dyDescent="0.6">
      <c r="A4659" s="7">
        <v>24.716742100000001</v>
      </c>
      <c r="B4659" s="7">
        <v>34.755634899999997</v>
      </c>
      <c r="C4659" s="7">
        <v>677582.81</v>
      </c>
      <c r="D4659" s="7">
        <v>2734721.46</v>
      </c>
      <c r="E4659" s="7">
        <v>474.68</v>
      </c>
      <c r="F4659" s="7">
        <v>42324.44</v>
      </c>
      <c r="G4659" s="7">
        <v>85532</v>
      </c>
      <c r="H4659" s="7">
        <f t="shared" si="119"/>
        <v>42274.44</v>
      </c>
      <c r="I4659" s="15"/>
    </row>
    <row r="4660" spans="1:9" s="8" customFormat="1" ht="21" customHeight="1" x14ac:dyDescent="0.6">
      <c r="A4660" s="7">
        <v>24.7167329</v>
      </c>
      <c r="B4660" s="7">
        <v>34.755605600000003</v>
      </c>
      <c r="C4660" s="7">
        <v>677579.86</v>
      </c>
      <c r="D4660" s="7">
        <v>2734720.4</v>
      </c>
      <c r="E4660" s="7">
        <v>474.94</v>
      </c>
      <c r="F4660" s="7">
        <v>41979.56</v>
      </c>
      <c r="G4660" s="7">
        <v>85534</v>
      </c>
      <c r="H4660" s="7">
        <f t="shared" si="119"/>
        <v>41929.56</v>
      </c>
      <c r="I4660" s="15"/>
    </row>
    <row r="4661" spans="1:9" s="8" customFormat="1" ht="21" customHeight="1" x14ac:dyDescent="0.6">
      <c r="A4661" s="7">
        <v>24.716723000000002</v>
      </c>
      <c r="B4661" s="7">
        <v>34.755576900000001</v>
      </c>
      <c r="C4661" s="7">
        <v>677576.96</v>
      </c>
      <c r="D4661" s="7">
        <v>2734719.27</v>
      </c>
      <c r="E4661" s="7">
        <v>474.99</v>
      </c>
      <c r="F4661" s="7">
        <v>41803.199999999997</v>
      </c>
      <c r="G4661" s="7">
        <v>85536</v>
      </c>
      <c r="H4661" s="7">
        <f t="shared" si="119"/>
        <v>41753.199999999997</v>
      </c>
      <c r="I4661" s="15"/>
    </row>
    <row r="4662" spans="1:9" s="8" customFormat="1" ht="21" customHeight="1" x14ac:dyDescent="0.6">
      <c r="A4662" s="7">
        <v>24.716708799999999</v>
      </c>
      <c r="B4662" s="7">
        <v>34.755551199999999</v>
      </c>
      <c r="C4662" s="7">
        <v>677574.39</v>
      </c>
      <c r="D4662" s="7">
        <v>2734717.66</v>
      </c>
      <c r="E4662" s="7">
        <v>475.15</v>
      </c>
      <c r="F4662" s="7">
        <v>41774.76</v>
      </c>
      <c r="G4662" s="7">
        <v>85538</v>
      </c>
      <c r="H4662" s="7">
        <f t="shared" si="119"/>
        <v>41724.76</v>
      </c>
      <c r="I4662" s="15"/>
    </row>
    <row r="4663" spans="1:9" s="8" customFormat="1" ht="21" customHeight="1" x14ac:dyDescent="0.6">
      <c r="A4663" s="7">
        <v>24.716697400000001</v>
      </c>
      <c r="B4663" s="7">
        <v>34.755523699999998</v>
      </c>
      <c r="C4663" s="7">
        <v>677571.62</v>
      </c>
      <c r="D4663" s="7">
        <v>2734716.36</v>
      </c>
      <c r="E4663" s="7">
        <v>475.32</v>
      </c>
      <c r="F4663" s="7">
        <v>41761.68</v>
      </c>
      <c r="G4663" s="7">
        <v>85540</v>
      </c>
      <c r="H4663" s="7">
        <f t="shared" si="119"/>
        <v>41711.68</v>
      </c>
      <c r="I4663" s="15"/>
    </row>
    <row r="4664" spans="1:9" s="8" customFormat="1" ht="21" customHeight="1" x14ac:dyDescent="0.6">
      <c r="A4664" s="7">
        <v>24.716691600000001</v>
      </c>
      <c r="B4664" s="7">
        <v>34.755493800000004</v>
      </c>
      <c r="C4664" s="7">
        <v>677568.61</v>
      </c>
      <c r="D4664" s="7">
        <v>2734715.68</v>
      </c>
      <c r="E4664" s="7">
        <v>475.41</v>
      </c>
      <c r="F4664" s="7">
        <v>41752.94</v>
      </c>
      <c r="G4664" s="7">
        <v>85542</v>
      </c>
      <c r="H4664" s="7">
        <f t="shared" si="119"/>
        <v>41702.94</v>
      </c>
      <c r="I4664" s="15"/>
    </row>
    <row r="4665" spans="1:9" s="8" customFormat="1" ht="21" customHeight="1" x14ac:dyDescent="0.6">
      <c r="A4665" s="7">
        <v>24.716684600000001</v>
      </c>
      <c r="B4665" s="7">
        <v>34.755464199999999</v>
      </c>
      <c r="C4665" s="7">
        <v>677565.62</v>
      </c>
      <c r="D4665" s="7">
        <v>2734714.87</v>
      </c>
      <c r="E4665" s="7">
        <v>475.47</v>
      </c>
      <c r="F4665" s="7">
        <v>41850.1</v>
      </c>
      <c r="G4665" s="7">
        <v>85544</v>
      </c>
      <c r="H4665" s="7">
        <f t="shared" si="119"/>
        <v>41800.1</v>
      </c>
      <c r="I4665" s="15"/>
    </row>
    <row r="4666" spans="1:9" s="8" customFormat="1" ht="21" customHeight="1" x14ac:dyDescent="0.6">
      <c r="A4666" s="7">
        <v>24.716678900000002</v>
      </c>
      <c r="B4666" s="7">
        <v>34.755435599999998</v>
      </c>
      <c r="C4666" s="7">
        <v>677562.73</v>
      </c>
      <c r="D4666" s="7">
        <v>2734714.2</v>
      </c>
      <c r="E4666" s="7">
        <v>475.68</v>
      </c>
      <c r="F4666" s="7">
        <v>42125.37</v>
      </c>
      <c r="G4666" s="7">
        <v>85546</v>
      </c>
      <c r="H4666" s="7">
        <f t="shared" si="119"/>
        <v>42075.37</v>
      </c>
      <c r="I4666" s="15"/>
    </row>
    <row r="4667" spans="1:9" s="8" customFormat="1" ht="21" customHeight="1" x14ac:dyDescent="0.6">
      <c r="A4667" s="7">
        <v>24.716679200000002</v>
      </c>
      <c r="B4667" s="7">
        <v>34.755406000000001</v>
      </c>
      <c r="C4667" s="7">
        <v>677559.74</v>
      </c>
      <c r="D4667" s="7">
        <v>2734714.2</v>
      </c>
      <c r="E4667" s="7">
        <v>475.83</v>
      </c>
      <c r="F4667" s="7">
        <v>42415.25</v>
      </c>
      <c r="G4667" s="7">
        <v>85548</v>
      </c>
      <c r="H4667" s="7">
        <f t="shared" si="119"/>
        <v>42365.25</v>
      </c>
      <c r="I4667" s="15"/>
    </row>
    <row r="4668" spans="1:9" s="8" customFormat="1" ht="21" customHeight="1" x14ac:dyDescent="0.6">
      <c r="A4668" s="7">
        <v>24.716682299999999</v>
      </c>
      <c r="B4668" s="7">
        <v>34.755378399999998</v>
      </c>
      <c r="C4668" s="7">
        <v>677556.95</v>
      </c>
      <c r="D4668" s="7">
        <v>2734714.5</v>
      </c>
      <c r="E4668" s="7">
        <v>476.19</v>
      </c>
      <c r="F4668" s="7">
        <v>42526.91</v>
      </c>
      <c r="G4668" s="7">
        <v>85550</v>
      </c>
      <c r="H4668" s="7">
        <f t="shared" si="119"/>
        <v>42476.91</v>
      </c>
      <c r="I4668" s="15"/>
    </row>
    <row r="4669" spans="1:9" s="8" customFormat="1" ht="21" customHeight="1" x14ac:dyDescent="0.6">
      <c r="A4669" s="7">
        <v>24.716684900000001</v>
      </c>
      <c r="B4669" s="7">
        <v>34.755352000000002</v>
      </c>
      <c r="C4669" s="7">
        <v>677554.27</v>
      </c>
      <c r="D4669" s="7">
        <v>2734714.75</v>
      </c>
      <c r="E4669" s="7">
        <v>476.47</v>
      </c>
      <c r="F4669" s="7">
        <v>42431.65</v>
      </c>
      <c r="G4669" s="7">
        <v>85552</v>
      </c>
      <c r="H4669" s="7">
        <f t="shared" si="119"/>
        <v>42381.65</v>
      </c>
      <c r="I4669" s="15"/>
    </row>
    <row r="4670" spans="1:9" s="8" customFormat="1" ht="21" customHeight="1" x14ac:dyDescent="0.6">
      <c r="A4670" s="7">
        <v>24.716695399999999</v>
      </c>
      <c r="B4670" s="7">
        <v>34.7553293</v>
      </c>
      <c r="C4670" s="7">
        <v>677551.95</v>
      </c>
      <c r="D4670" s="7">
        <v>2734715.88</v>
      </c>
      <c r="E4670" s="7">
        <v>476.59</v>
      </c>
      <c r="F4670" s="7">
        <v>42293.83</v>
      </c>
      <c r="G4670" s="7">
        <v>85554</v>
      </c>
      <c r="H4670" s="7">
        <f t="shared" si="119"/>
        <v>42243.83</v>
      </c>
      <c r="I4670" s="15"/>
    </row>
    <row r="4671" spans="1:9" s="8" customFormat="1" ht="21" customHeight="1" x14ac:dyDescent="0.6">
      <c r="A4671" s="7">
        <v>24.716710599999999</v>
      </c>
      <c r="B4671" s="7">
        <v>34.7553062</v>
      </c>
      <c r="C4671" s="7">
        <v>677549.6</v>
      </c>
      <c r="D4671" s="7">
        <v>2734717.54</v>
      </c>
      <c r="E4671" s="7">
        <v>476.94</v>
      </c>
      <c r="F4671" s="7">
        <v>42188.98</v>
      </c>
      <c r="G4671" s="7">
        <v>85556</v>
      </c>
      <c r="H4671" s="7">
        <f t="shared" si="119"/>
        <v>42138.98</v>
      </c>
      <c r="I4671" s="15"/>
    </row>
    <row r="4672" spans="1:9" s="8" customFormat="1" ht="21" customHeight="1" x14ac:dyDescent="0.6">
      <c r="A4672" s="7">
        <v>24.716729000000001</v>
      </c>
      <c r="B4672" s="7">
        <v>34.755289500000003</v>
      </c>
      <c r="C4672" s="7">
        <v>677547.89</v>
      </c>
      <c r="D4672" s="7">
        <v>2734719.56</v>
      </c>
      <c r="E4672" s="7">
        <v>477.17</v>
      </c>
      <c r="F4672" s="7">
        <v>42089.46</v>
      </c>
      <c r="G4672" s="7">
        <v>85558</v>
      </c>
      <c r="H4672" s="7">
        <f t="shared" si="119"/>
        <v>42039.46</v>
      </c>
      <c r="I4672" s="15"/>
    </row>
    <row r="4673" spans="1:9" s="8" customFormat="1" ht="21" customHeight="1" x14ac:dyDescent="0.6">
      <c r="A4673" s="7">
        <v>24.716748200000001</v>
      </c>
      <c r="B4673" s="7">
        <v>34.755274999999997</v>
      </c>
      <c r="C4673" s="7">
        <v>677546.38</v>
      </c>
      <c r="D4673" s="7">
        <v>2734721.67</v>
      </c>
      <c r="E4673" s="7">
        <v>477.77</v>
      </c>
      <c r="F4673" s="7">
        <v>42058.45</v>
      </c>
      <c r="G4673" s="7">
        <v>85600</v>
      </c>
      <c r="H4673" s="7">
        <f t="shared" si="119"/>
        <v>42008.45</v>
      </c>
      <c r="I4673" s="15"/>
    </row>
    <row r="4674" spans="1:9" s="8" customFormat="1" ht="21" customHeight="1" x14ac:dyDescent="0.6">
      <c r="A4674" s="7">
        <v>24.716765800000001</v>
      </c>
      <c r="B4674" s="7">
        <v>34.755257899999997</v>
      </c>
      <c r="C4674" s="7">
        <v>677544.63</v>
      </c>
      <c r="D4674" s="7">
        <v>2734723.6</v>
      </c>
      <c r="E4674" s="7">
        <v>478.1</v>
      </c>
      <c r="F4674" s="7">
        <v>41891.46</v>
      </c>
      <c r="G4674" s="7">
        <v>85602</v>
      </c>
      <c r="H4674" s="7">
        <f t="shared" si="119"/>
        <v>41841.46</v>
      </c>
      <c r="I4674" s="15"/>
    </row>
    <row r="4675" spans="1:9" s="8" customFormat="1" ht="21" customHeight="1" x14ac:dyDescent="0.6">
      <c r="A4675" s="7">
        <v>24.7167824</v>
      </c>
      <c r="B4675" s="7">
        <v>34.755239400000001</v>
      </c>
      <c r="C4675" s="7">
        <v>677542.74</v>
      </c>
      <c r="D4675" s="7">
        <v>2734725.41</v>
      </c>
      <c r="E4675" s="7">
        <v>478.43</v>
      </c>
      <c r="F4675" s="7">
        <v>41823.4</v>
      </c>
      <c r="G4675" s="7">
        <v>85604</v>
      </c>
      <c r="H4675" s="7">
        <f t="shared" si="119"/>
        <v>41773.4</v>
      </c>
      <c r="I4675" s="15"/>
    </row>
    <row r="4676" spans="1:9" s="8" customFormat="1" ht="21" customHeight="1" x14ac:dyDescent="0.6">
      <c r="A4676" s="7">
        <v>24.716799200000001</v>
      </c>
      <c r="B4676" s="7">
        <v>34.755228000000002</v>
      </c>
      <c r="C4676" s="7">
        <v>677541.56</v>
      </c>
      <c r="D4676" s="7">
        <v>2734727.26</v>
      </c>
      <c r="E4676" s="7">
        <v>478.9</v>
      </c>
      <c r="F4676" s="7">
        <v>41803.22</v>
      </c>
      <c r="G4676" s="7">
        <v>85606</v>
      </c>
      <c r="H4676" s="7">
        <f t="shared" si="119"/>
        <v>41753.22</v>
      </c>
      <c r="I4676" s="15"/>
    </row>
    <row r="4677" spans="1:9" s="8" customFormat="1" ht="21" customHeight="1" x14ac:dyDescent="0.6">
      <c r="A4677" s="7">
        <v>24.716816399999999</v>
      </c>
      <c r="B4677" s="7">
        <v>34.755218300000003</v>
      </c>
      <c r="C4677" s="7">
        <v>677540.55</v>
      </c>
      <c r="D4677" s="7">
        <v>2734729.15</v>
      </c>
      <c r="E4677" s="7">
        <v>479.22</v>
      </c>
      <c r="F4677" s="7">
        <v>41809.26</v>
      </c>
      <c r="G4677" s="7">
        <v>85608</v>
      </c>
      <c r="H4677" s="7">
        <f t="shared" si="119"/>
        <v>41759.26</v>
      </c>
      <c r="I4677" s="15"/>
    </row>
    <row r="4678" spans="1:9" s="8" customFormat="1" ht="21" customHeight="1" x14ac:dyDescent="0.6">
      <c r="A4678" s="7">
        <v>24.716832499999999</v>
      </c>
      <c r="B4678" s="7">
        <v>34.755222000000003</v>
      </c>
      <c r="C4678" s="7">
        <v>677540.9</v>
      </c>
      <c r="D4678" s="7">
        <v>2734730.93</v>
      </c>
      <c r="E4678" s="7">
        <v>479.56</v>
      </c>
      <c r="F4678" s="7">
        <v>41796.699999999997</v>
      </c>
      <c r="G4678" s="7">
        <v>85610</v>
      </c>
      <c r="H4678" s="7">
        <f t="shared" si="119"/>
        <v>41746.699999999997</v>
      </c>
      <c r="I4678" s="15"/>
    </row>
    <row r="4679" spans="1:9" s="8" customFormat="1" ht="21" customHeight="1" x14ac:dyDescent="0.6">
      <c r="A4679" s="7">
        <v>24.7168566</v>
      </c>
      <c r="B4679" s="7">
        <v>34.755214500000001</v>
      </c>
      <c r="C4679" s="7">
        <v>677540.11</v>
      </c>
      <c r="D4679" s="7">
        <v>2734733.59</v>
      </c>
      <c r="E4679" s="7">
        <v>479.99</v>
      </c>
      <c r="F4679" s="7">
        <v>41827.370000000003</v>
      </c>
      <c r="G4679" s="7">
        <v>85612</v>
      </c>
      <c r="H4679" s="7">
        <f t="shared" si="119"/>
        <v>41777.370000000003</v>
      </c>
      <c r="I4679" s="15"/>
    </row>
    <row r="4680" spans="1:9" s="8" customFormat="1" ht="21" customHeight="1" x14ac:dyDescent="0.6">
      <c r="A4680" s="7">
        <v>24.7168788</v>
      </c>
      <c r="B4680" s="7">
        <v>34.755206800000003</v>
      </c>
      <c r="C4680" s="7">
        <v>677539.31</v>
      </c>
      <c r="D4680" s="7">
        <v>2734736.05</v>
      </c>
      <c r="E4680" s="7">
        <v>480.59</v>
      </c>
      <c r="F4680" s="7">
        <v>41825.03</v>
      </c>
      <c r="G4680" s="7">
        <v>85614</v>
      </c>
      <c r="H4680" s="7">
        <f t="shared" si="119"/>
        <v>41775.03</v>
      </c>
      <c r="I4680" s="15"/>
    </row>
    <row r="4681" spans="1:9" s="8" customFormat="1" ht="21" customHeight="1" x14ac:dyDescent="0.6">
      <c r="A4681" s="7">
        <v>24.716894700000001</v>
      </c>
      <c r="B4681" s="7">
        <v>34.755197699999997</v>
      </c>
      <c r="C4681" s="7">
        <v>677538.36</v>
      </c>
      <c r="D4681" s="7">
        <v>2734737.79</v>
      </c>
      <c r="E4681" s="7">
        <v>480.98</v>
      </c>
      <c r="F4681" s="7">
        <v>41845.629999999997</v>
      </c>
      <c r="G4681" s="7">
        <v>85616</v>
      </c>
      <c r="H4681" s="7">
        <f t="shared" si="119"/>
        <v>41795.629999999997</v>
      </c>
      <c r="I4681" s="15"/>
    </row>
    <row r="4682" spans="1:9" s="8" customFormat="1" ht="21" customHeight="1" x14ac:dyDescent="0.6">
      <c r="A4682" s="7">
        <v>24.716912000000001</v>
      </c>
      <c r="B4682" s="7">
        <v>34.755179499999997</v>
      </c>
      <c r="C4682" s="7">
        <v>677536.49</v>
      </c>
      <c r="D4682" s="7">
        <v>2734739.69</v>
      </c>
      <c r="E4682" s="7">
        <v>481.17</v>
      </c>
      <c r="F4682" s="7">
        <v>41855.449999999997</v>
      </c>
      <c r="G4682" s="7">
        <v>85618</v>
      </c>
      <c r="H4682" s="7">
        <f t="shared" si="119"/>
        <v>41805.449999999997</v>
      </c>
      <c r="I4682" s="15"/>
    </row>
    <row r="4683" spans="1:9" s="8" customFormat="1" ht="21" customHeight="1" x14ac:dyDescent="0.6">
      <c r="A4683" s="7">
        <v>24.716929400000001</v>
      </c>
      <c r="B4683" s="7">
        <v>34.755163699999997</v>
      </c>
      <c r="C4683" s="7">
        <v>677534.87</v>
      </c>
      <c r="D4683" s="7">
        <v>2734741.59</v>
      </c>
      <c r="E4683" s="7">
        <v>481.82</v>
      </c>
      <c r="F4683" s="7">
        <v>41862.68</v>
      </c>
      <c r="G4683" s="7">
        <v>85620</v>
      </c>
      <c r="H4683" s="7">
        <f t="shared" si="119"/>
        <v>41812.68</v>
      </c>
      <c r="I4683" s="15"/>
    </row>
    <row r="4684" spans="1:9" s="8" customFormat="1" ht="21" customHeight="1" x14ac:dyDescent="0.6">
      <c r="A4684" s="7">
        <v>24.7169481</v>
      </c>
      <c r="B4684" s="7">
        <v>34.755147299999997</v>
      </c>
      <c r="C4684" s="7">
        <v>677533.18</v>
      </c>
      <c r="D4684" s="7">
        <v>2734743.64</v>
      </c>
      <c r="E4684" s="7">
        <v>482.41</v>
      </c>
      <c r="F4684" s="7">
        <v>41858.19</v>
      </c>
      <c r="G4684" s="7">
        <v>85622</v>
      </c>
      <c r="H4684" s="7">
        <f t="shared" si="119"/>
        <v>41808.19</v>
      </c>
      <c r="I4684" s="15"/>
    </row>
    <row r="4685" spans="1:9" s="8" customFormat="1" ht="21" customHeight="1" x14ac:dyDescent="0.6">
      <c r="A4685" s="7">
        <v>24.716961399999999</v>
      </c>
      <c r="B4685" s="7">
        <v>34.755128900000003</v>
      </c>
      <c r="C4685" s="7">
        <v>677531.31</v>
      </c>
      <c r="D4685" s="7">
        <v>2734745.09</v>
      </c>
      <c r="E4685" s="7">
        <v>482.98</v>
      </c>
      <c r="F4685" s="7">
        <v>41881.730000000003</v>
      </c>
      <c r="G4685" s="7">
        <v>85624</v>
      </c>
      <c r="H4685" s="7">
        <f t="shared" si="119"/>
        <v>41831.730000000003</v>
      </c>
      <c r="I4685" s="15"/>
    </row>
    <row r="4686" spans="1:9" s="8" customFormat="1" ht="21" customHeight="1" x14ac:dyDescent="0.6">
      <c r="A4686" s="7">
        <v>24.716978399999999</v>
      </c>
      <c r="B4686" s="7">
        <v>34.755113700000003</v>
      </c>
      <c r="C4686" s="7">
        <v>677529.75</v>
      </c>
      <c r="D4686" s="7">
        <v>2734746.95</v>
      </c>
      <c r="E4686" s="7">
        <v>483.58</v>
      </c>
      <c r="F4686" s="7">
        <v>41907.96</v>
      </c>
      <c r="G4686" s="7">
        <v>85626</v>
      </c>
      <c r="H4686" s="7">
        <f t="shared" si="119"/>
        <v>41857.96</v>
      </c>
      <c r="I4686" s="15"/>
    </row>
    <row r="4687" spans="1:9" s="8" customFormat="1" ht="21" customHeight="1" x14ac:dyDescent="0.6">
      <c r="A4687" s="7">
        <v>24.716995600000001</v>
      </c>
      <c r="B4687" s="7">
        <v>34.755099000000001</v>
      </c>
      <c r="C4687" s="7">
        <v>677528.23</v>
      </c>
      <c r="D4687" s="7">
        <v>2734748.84</v>
      </c>
      <c r="E4687" s="7">
        <v>484.14</v>
      </c>
      <c r="F4687" s="7">
        <v>41881.49</v>
      </c>
      <c r="G4687" s="7">
        <v>85628</v>
      </c>
      <c r="H4687" s="7">
        <f t="shared" si="119"/>
        <v>41831.49</v>
      </c>
      <c r="I4687" s="15"/>
    </row>
    <row r="4688" spans="1:9" s="8" customFormat="1" ht="21" customHeight="1" x14ac:dyDescent="0.6">
      <c r="A4688" s="7">
        <v>24.717012799999999</v>
      </c>
      <c r="B4688" s="7">
        <v>34.755086499999997</v>
      </c>
      <c r="C4688" s="7">
        <v>677526.94</v>
      </c>
      <c r="D4688" s="7">
        <v>2734750.73</v>
      </c>
      <c r="E4688" s="7">
        <v>484.61</v>
      </c>
      <c r="F4688" s="7">
        <v>41882.42</v>
      </c>
      <c r="G4688" s="7">
        <v>85630</v>
      </c>
      <c r="H4688" s="7">
        <f t="shared" si="119"/>
        <v>41832.42</v>
      </c>
      <c r="I4688" s="15"/>
    </row>
    <row r="4689" spans="1:9" s="8" customFormat="1" ht="21" customHeight="1" x14ac:dyDescent="0.6">
      <c r="A4689" s="7">
        <v>24.7170275</v>
      </c>
      <c r="B4689" s="7">
        <v>34.755068799999997</v>
      </c>
      <c r="C4689" s="7">
        <v>677525.14</v>
      </c>
      <c r="D4689" s="7">
        <v>2734752.33</v>
      </c>
      <c r="E4689" s="7">
        <v>485.19</v>
      </c>
      <c r="F4689" s="7">
        <v>41912.51</v>
      </c>
      <c r="G4689" s="7">
        <v>85632</v>
      </c>
      <c r="H4689" s="7">
        <f t="shared" si="119"/>
        <v>41862.51</v>
      </c>
      <c r="I4689" s="15"/>
    </row>
    <row r="4690" spans="1:9" s="8" customFormat="1" ht="21" customHeight="1" x14ac:dyDescent="0.6">
      <c r="A4690" s="7">
        <v>24.717043100000001</v>
      </c>
      <c r="B4690" s="7">
        <v>34.755050799999999</v>
      </c>
      <c r="C4690" s="7">
        <v>677523.28</v>
      </c>
      <c r="D4690" s="7">
        <v>2734754.04</v>
      </c>
      <c r="E4690" s="7">
        <v>485.75</v>
      </c>
      <c r="F4690" s="7">
        <v>41892.019999999997</v>
      </c>
      <c r="G4690" s="7">
        <v>85634</v>
      </c>
      <c r="H4690" s="7">
        <f t="shared" si="119"/>
        <v>41842.019999999997</v>
      </c>
      <c r="I4690" s="15"/>
    </row>
    <row r="4691" spans="1:9" s="8" customFormat="1" ht="21" customHeight="1" x14ac:dyDescent="0.6">
      <c r="A4691" s="7">
        <v>24.717061600000001</v>
      </c>
      <c r="B4691" s="7">
        <v>34.755035599999999</v>
      </c>
      <c r="C4691" s="7">
        <v>677521.72</v>
      </c>
      <c r="D4691" s="7">
        <v>2734756.06</v>
      </c>
      <c r="E4691" s="7">
        <v>486.27</v>
      </c>
      <c r="F4691" s="7">
        <v>41895.67</v>
      </c>
      <c r="G4691" s="7">
        <v>85636</v>
      </c>
      <c r="H4691" s="7">
        <f t="shared" si="119"/>
        <v>41845.67</v>
      </c>
      <c r="I4691" s="15"/>
    </row>
    <row r="4692" spans="1:9" s="8" customFormat="1" ht="21" customHeight="1" x14ac:dyDescent="0.6">
      <c r="A4692" s="7">
        <v>24.717080599999999</v>
      </c>
      <c r="B4692" s="7">
        <v>34.755018800000002</v>
      </c>
      <c r="C4692" s="7">
        <v>677520</v>
      </c>
      <c r="D4692" s="7">
        <v>2734758.15</v>
      </c>
      <c r="E4692" s="7">
        <v>486.63</v>
      </c>
      <c r="F4692" s="7">
        <v>41902.550000000003</v>
      </c>
      <c r="G4692" s="7">
        <v>85638</v>
      </c>
      <c r="H4692" s="7">
        <f t="shared" ref="H4692:H4755" si="120">SUM(F4692-50)</f>
        <v>41852.550000000003</v>
      </c>
      <c r="I4692" s="15"/>
    </row>
    <row r="4693" spans="1:9" s="8" customFormat="1" ht="21" customHeight="1" x14ac:dyDescent="0.6">
      <c r="A4693" s="7">
        <v>24.717095799999999</v>
      </c>
      <c r="B4693" s="7">
        <v>34.755003199999997</v>
      </c>
      <c r="C4693" s="7">
        <v>677518.39</v>
      </c>
      <c r="D4693" s="7">
        <v>2734759.81</v>
      </c>
      <c r="E4693" s="7">
        <v>487.19</v>
      </c>
      <c r="F4693" s="7">
        <v>41898.160000000003</v>
      </c>
      <c r="G4693" s="7">
        <v>85640</v>
      </c>
      <c r="H4693" s="7">
        <f t="shared" si="120"/>
        <v>41848.160000000003</v>
      </c>
      <c r="I4693" s="15"/>
    </row>
    <row r="4694" spans="1:9" s="8" customFormat="1" ht="21" customHeight="1" x14ac:dyDescent="0.6">
      <c r="A4694" s="7">
        <v>24.717110099999999</v>
      </c>
      <c r="B4694" s="7">
        <v>34.754983699999997</v>
      </c>
      <c r="C4694" s="7">
        <v>677516.4</v>
      </c>
      <c r="D4694" s="7">
        <v>2734761.37</v>
      </c>
      <c r="E4694" s="7">
        <v>487.72</v>
      </c>
      <c r="F4694" s="7">
        <v>41942.33</v>
      </c>
      <c r="G4694" s="7">
        <v>85642</v>
      </c>
      <c r="H4694" s="7">
        <f t="shared" si="120"/>
        <v>41892.33</v>
      </c>
      <c r="I4694" s="15"/>
    </row>
    <row r="4695" spans="1:9" s="8" customFormat="1" ht="21" customHeight="1" x14ac:dyDescent="0.6">
      <c r="A4695" s="7">
        <v>24.717129</v>
      </c>
      <c r="B4695" s="7">
        <v>34.754966199999998</v>
      </c>
      <c r="C4695" s="7">
        <v>677514.61</v>
      </c>
      <c r="D4695" s="7">
        <v>2734763.44</v>
      </c>
      <c r="E4695" s="7">
        <v>488.09</v>
      </c>
      <c r="F4695" s="7">
        <v>41952.92</v>
      </c>
      <c r="G4695" s="7">
        <v>85644</v>
      </c>
      <c r="H4695" s="7">
        <f t="shared" si="120"/>
        <v>41902.92</v>
      </c>
      <c r="I4695" s="15"/>
    </row>
    <row r="4696" spans="1:9" s="8" customFormat="1" ht="21" customHeight="1" x14ac:dyDescent="0.6">
      <c r="A4696" s="7">
        <v>24.717146700000001</v>
      </c>
      <c r="B4696" s="7">
        <v>34.754951200000001</v>
      </c>
      <c r="C4696" s="7">
        <v>677513.07</v>
      </c>
      <c r="D4696" s="7">
        <v>2734765.38</v>
      </c>
      <c r="E4696" s="7">
        <v>488.52</v>
      </c>
      <c r="F4696" s="7">
        <v>41979.57</v>
      </c>
      <c r="G4696" s="7">
        <v>85646</v>
      </c>
      <c r="H4696" s="7">
        <f t="shared" si="120"/>
        <v>41929.57</v>
      </c>
      <c r="I4696" s="15"/>
    </row>
    <row r="4697" spans="1:9" s="8" customFormat="1" ht="21" customHeight="1" x14ac:dyDescent="0.6">
      <c r="A4697" s="7">
        <v>24.7171661</v>
      </c>
      <c r="B4697" s="7">
        <v>34.7549378</v>
      </c>
      <c r="C4697" s="7">
        <v>677511.68000000005</v>
      </c>
      <c r="D4697" s="7">
        <v>2734767.51</v>
      </c>
      <c r="E4697" s="7">
        <v>488.95</v>
      </c>
      <c r="F4697" s="7">
        <v>41991.35</v>
      </c>
      <c r="G4697" s="7">
        <v>85648</v>
      </c>
      <c r="H4697" s="7">
        <f t="shared" si="120"/>
        <v>41941.35</v>
      </c>
      <c r="I4697" s="15"/>
    </row>
    <row r="4698" spans="1:9" s="8" customFormat="1" ht="21" customHeight="1" x14ac:dyDescent="0.6">
      <c r="A4698" s="7">
        <v>24.7171828</v>
      </c>
      <c r="B4698" s="7">
        <v>34.754922299999997</v>
      </c>
      <c r="C4698" s="7">
        <v>677510.09</v>
      </c>
      <c r="D4698" s="7">
        <v>2734769.35</v>
      </c>
      <c r="E4698" s="7">
        <v>489.45</v>
      </c>
      <c r="F4698" s="7">
        <v>41985.11</v>
      </c>
      <c r="G4698" s="7">
        <v>85650</v>
      </c>
      <c r="H4698" s="7">
        <f t="shared" si="120"/>
        <v>41935.11</v>
      </c>
      <c r="I4698" s="15"/>
    </row>
    <row r="4699" spans="1:9" s="8" customFormat="1" ht="21" customHeight="1" x14ac:dyDescent="0.6">
      <c r="A4699" s="7">
        <v>24.7172014</v>
      </c>
      <c r="B4699" s="7">
        <v>34.7549104</v>
      </c>
      <c r="C4699" s="7">
        <v>677508.86</v>
      </c>
      <c r="D4699" s="7">
        <v>2734771.39</v>
      </c>
      <c r="E4699" s="7">
        <v>489.65</v>
      </c>
      <c r="F4699" s="7">
        <v>42041.94</v>
      </c>
      <c r="G4699" s="7">
        <v>85652</v>
      </c>
      <c r="H4699" s="7">
        <f t="shared" si="120"/>
        <v>41991.94</v>
      </c>
      <c r="I4699" s="15"/>
    </row>
    <row r="4700" spans="1:9" s="8" customFormat="1" ht="21" customHeight="1" x14ac:dyDescent="0.6">
      <c r="A4700" s="7">
        <v>24.7172187</v>
      </c>
      <c r="B4700" s="7">
        <v>34.754894299999997</v>
      </c>
      <c r="C4700" s="7">
        <v>677507.21</v>
      </c>
      <c r="D4700" s="7">
        <v>2734773.28</v>
      </c>
      <c r="E4700" s="7">
        <v>489.98</v>
      </c>
      <c r="F4700" s="7">
        <v>42037.06</v>
      </c>
      <c r="G4700" s="7">
        <v>85654</v>
      </c>
      <c r="H4700" s="7">
        <f t="shared" si="120"/>
        <v>41987.06</v>
      </c>
      <c r="I4700" s="15"/>
    </row>
    <row r="4701" spans="1:9" s="8" customFormat="1" ht="21" customHeight="1" x14ac:dyDescent="0.6">
      <c r="A4701" s="7">
        <v>24.7172345</v>
      </c>
      <c r="B4701" s="7">
        <v>34.754875800000001</v>
      </c>
      <c r="C4701" s="7">
        <v>677505.31</v>
      </c>
      <c r="D4701" s="7">
        <v>2734775.01</v>
      </c>
      <c r="E4701" s="7">
        <v>490.47</v>
      </c>
      <c r="F4701" s="7">
        <v>42065.59</v>
      </c>
      <c r="G4701" s="7">
        <v>85656</v>
      </c>
      <c r="H4701" s="7">
        <f t="shared" si="120"/>
        <v>42015.59</v>
      </c>
      <c r="I4701" s="15"/>
    </row>
    <row r="4702" spans="1:9" s="8" customFormat="1" ht="21" customHeight="1" x14ac:dyDescent="0.6">
      <c r="A4702" s="7">
        <v>24.717244699999998</v>
      </c>
      <c r="B4702" s="7">
        <v>34.754855900000003</v>
      </c>
      <c r="C4702" s="7">
        <v>677503.28</v>
      </c>
      <c r="D4702" s="7">
        <v>2734776.11</v>
      </c>
      <c r="E4702" s="7">
        <v>490.82</v>
      </c>
      <c r="F4702" s="7">
        <v>42093.27</v>
      </c>
      <c r="G4702" s="7">
        <v>85658</v>
      </c>
      <c r="H4702" s="7">
        <f t="shared" si="120"/>
        <v>42043.27</v>
      </c>
      <c r="I4702" s="15"/>
    </row>
    <row r="4703" spans="1:9" s="8" customFormat="1" ht="21" customHeight="1" x14ac:dyDescent="0.6">
      <c r="A4703" s="7">
        <v>24.7172564</v>
      </c>
      <c r="B4703" s="7">
        <v>34.754835700000001</v>
      </c>
      <c r="C4703" s="7">
        <v>677501.22</v>
      </c>
      <c r="D4703" s="7">
        <v>2734777.39</v>
      </c>
      <c r="E4703" s="7">
        <v>491.11</v>
      </c>
      <c r="F4703" s="7">
        <v>42121.31</v>
      </c>
      <c r="G4703" s="7">
        <v>85700</v>
      </c>
      <c r="H4703" s="7">
        <f t="shared" si="120"/>
        <v>42071.31</v>
      </c>
      <c r="I4703" s="15"/>
    </row>
    <row r="4704" spans="1:9" s="8" customFormat="1" ht="21" customHeight="1" x14ac:dyDescent="0.6">
      <c r="A4704" s="7">
        <v>24.717268199999999</v>
      </c>
      <c r="B4704" s="7">
        <v>34.754815000000001</v>
      </c>
      <c r="C4704" s="7">
        <v>677499.11</v>
      </c>
      <c r="D4704" s="7">
        <v>2734778.66</v>
      </c>
      <c r="E4704" s="7">
        <v>491.36</v>
      </c>
      <c r="F4704" s="7">
        <v>42141.599999999999</v>
      </c>
      <c r="G4704" s="7">
        <v>85702</v>
      </c>
      <c r="H4704" s="7">
        <f t="shared" si="120"/>
        <v>42091.6</v>
      </c>
      <c r="I4704" s="15"/>
    </row>
    <row r="4705" spans="1:9" s="8" customFormat="1" ht="21" customHeight="1" x14ac:dyDescent="0.6">
      <c r="A4705" s="7">
        <v>24.717280800000001</v>
      </c>
      <c r="B4705" s="7">
        <v>34.754793100000001</v>
      </c>
      <c r="C4705" s="7">
        <v>677496.88</v>
      </c>
      <c r="D4705" s="7">
        <v>2734780.03</v>
      </c>
      <c r="E4705" s="7">
        <v>491.62</v>
      </c>
      <c r="F4705" s="7">
        <v>42116.959999999999</v>
      </c>
      <c r="G4705" s="7">
        <v>85704</v>
      </c>
      <c r="H4705" s="7">
        <f t="shared" si="120"/>
        <v>42066.96</v>
      </c>
      <c r="I4705" s="15"/>
    </row>
    <row r="4706" spans="1:9" s="8" customFormat="1" ht="21" customHeight="1" x14ac:dyDescent="0.6">
      <c r="A4706" s="7">
        <v>24.7172904</v>
      </c>
      <c r="B4706" s="7">
        <v>34.7547718</v>
      </c>
      <c r="C4706" s="7">
        <v>677494.71</v>
      </c>
      <c r="D4706" s="7">
        <v>2734781.07</v>
      </c>
      <c r="E4706" s="7">
        <v>491.82</v>
      </c>
      <c r="F4706" s="7">
        <v>42129.5</v>
      </c>
      <c r="G4706" s="7">
        <v>85706</v>
      </c>
      <c r="H4706" s="7">
        <f t="shared" si="120"/>
        <v>42079.5</v>
      </c>
      <c r="I4706" s="15"/>
    </row>
    <row r="4707" spans="1:9" s="8" customFormat="1" ht="21" customHeight="1" x14ac:dyDescent="0.6">
      <c r="A4707" s="7">
        <v>24.7172999</v>
      </c>
      <c r="B4707" s="7">
        <v>34.754751800000001</v>
      </c>
      <c r="C4707" s="7">
        <v>677492.67</v>
      </c>
      <c r="D4707" s="7">
        <v>2734782.1</v>
      </c>
      <c r="E4707" s="7">
        <v>492.03</v>
      </c>
      <c r="F4707" s="7">
        <v>42130.559999999998</v>
      </c>
      <c r="G4707" s="7">
        <v>85708</v>
      </c>
      <c r="H4707" s="7">
        <f t="shared" si="120"/>
        <v>42080.56</v>
      </c>
      <c r="I4707" s="15"/>
    </row>
    <row r="4708" spans="1:9" s="8" customFormat="1" ht="21" customHeight="1" x14ac:dyDescent="0.6">
      <c r="A4708" s="7">
        <v>24.7173114</v>
      </c>
      <c r="B4708" s="7">
        <v>34.754731900000003</v>
      </c>
      <c r="C4708" s="7">
        <v>677490.65</v>
      </c>
      <c r="D4708" s="7">
        <v>2734783.34</v>
      </c>
      <c r="E4708" s="7">
        <v>492.32</v>
      </c>
      <c r="F4708" s="7">
        <v>42127.39</v>
      </c>
      <c r="G4708" s="7">
        <v>85710</v>
      </c>
      <c r="H4708" s="7">
        <f t="shared" si="120"/>
        <v>42077.39</v>
      </c>
      <c r="I4708" s="15"/>
    </row>
    <row r="4709" spans="1:9" s="8" customFormat="1" ht="21" customHeight="1" x14ac:dyDescent="0.6">
      <c r="A4709" s="7">
        <v>24.717321699999999</v>
      </c>
      <c r="B4709" s="7">
        <v>34.754710500000002</v>
      </c>
      <c r="C4709" s="7">
        <v>677488.46</v>
      </c>
      <c r="D4709" s="7">
        <v>2734784.45</v>
      </c>
      <c r="E4709" s="7">
        <v>492.61</v>
      </c>
      <c r="F4709" s="7">
        <v>42161.94</v>
      </c>
      <c r="G4709" s="7">
        <v>85712</v>
      </c>
      <c r="H4709" s="7">
        <f t="shared" si="120"/>
        <v>42111.94</v>
      </c>
      <c r="I4709" s="15"/>
    </row>
    <row r="4710" spans="1:9" s="8" customFormat="1" ht="21" customHeight="1" x14ac:dyDescent="0.6">
      <c r="A4710" s="7">
        <v>24.717327999999998</v>
      </c>
      <c r="B4710" s="7">
        <v>34.754689599999999</v>
      </c>
      <c r="C4710" s="7">
        <v>677486.34</v>
      </c>
      <c r="D4710" s="7">
        <v>2734785.12</v>
      </c>
      <c r="E4710" s="7">
        <v>492.97</v>
      </c>
      <c r="F4710" s="7">
        <v>42153.45</v>
      </c>
      <c r="G4710" s="7">
        <v>85714</v>
      </c>
      <c r="H4710" s="7">
        <f t="shared" si="120"/>
        <v>42103.45</v>
      </c>
      <c r="I4710" s="15"/>
    </row>
    <row r="4711" spans="1:9" s="8" customFormat="1" ht="21" customHeight="1" x14ac:dyDescent="0.6">
      <c r="A4711" s="7">
        <v>24.717336</v>
      </c>
      <c r="B4711" s="7">
        <v>34.754667099999999</v>
      </c>
      <c r="C4711" s="7">
        <v>677484.06</v>
      </c>
      <c r="D4711" s="7">
        <v>2734785.98</v>
      </c>
      <c r="E4711" s="7">
        <v>493.36</v>
      </c>
      <c r="F4711" s="7">
        <v>42147.65</v>
      </c>
      <c r="G4711" s="7">
        <v>85716</v>
      </c>
      <c r="H4711" s="7">
        <f t="shared" si="120"/>
        <v>42097.65</v>
      </c>
      <c r="I4711" s="15"/>
    </row>
    <row r="4712" spans="1:9" s="8" customFormat="1" ht="21" customHeight="1" x14ac:dyDescent="0.6">
      <c r="A4712" s="7">
        <v>24.717346200000001</v>
      </c>
      <c r="B4712" s="7">
        <v>34.754646999999999</v>
      </c>
      <c r="C4712" s="7">
        <v>677482.01</v>
      </c>
      <c r="D4712" s="7">
        <v>2734787.09</v>
      </c>
      <c r="E4712" s="7">
        <v>493.75</v>
      </c>
      <c r="F4712" s="7">
        <v>42169.49</v>
      </c>
      <c r="G4712" s="7">
        <v>85718</v>
      </c>
      <c r="H4712" s="7">
        <f t="shared" si="120"/>
        <v>42119.49</v>
      </c>
      <c r="I4712" s="15"/>
    </row>
    <row r="4713" spans="1:9" s="8" customFormat="1" ht="21" customHeight="1" x14ac:dyDescent="0.6">
      <c r="A4713" s="7">
        <v>24.717357</v>
      </c>
      <c r="B4713" s="7">
        <v>34.754625599999997</v>
      </c>
      <c r="C4713" s="7">
        <v>677479.82</v>
      </c>
      <c r="D4713" s="7">
        <v>2734788.25</v>
      </c>
      <c r="E4713" s="7">
        <v>494</v>
      </c>
      <c r="F4713" s="7">
        <v>42187.01</v>
      </c>
      <c r="G4713" s="7">
        <v>85720</v>
      </c>
      <c r="H4713" s="7">
        <f t="shared" si="120"/>
        <v>42137.01</v>
      </c>
      <c r="I4713" s="15"/>
    </row>
    <row r="4714" spans="1:9" s="8" customFormat="1" ht="21" customHeight="1" x14ac:dyDescent="0.6">
      <c r="A4714" s="7">
        <v>24.717366599999998</v>
      </c>
      <c r="B4714" s="7">
        <v>34.754601299999997</v>
      </c>
      <c r="C4714" s="7">
        <v>677477.35</v>
      </c>
      <c r="D4714" s="7">
        <v>2734789.28</v>
      </c>
      <c r="E4714" s="7">
        <v>494.29</v>
      </c>
      <c r="F4714" s="7">
        <v>42184.44</v>
      </c>
      <c r="G4714" s="7">
        <v>85722</v>
      </c>
      <c r="H4714" s="7">
        <f t="shared" si="120"/>
        <v>42134.44</v>
      </c>
      <c r="I4714" s="15"/>
    </row>
    <row r="4715" spans="1:9" s="8" customFormat="1" ht="21" customHeight="1" x14ac:dyDescent="0.6">
      <c r="A4715" s="7">
        <v>24.717374100000001</v>
      </c>
      <c r="B4715" s="7">
        <v>34.754578600000002</v>
      </c>
      <c r="C4715" s="7">
        <v>677475.05</v>
      </c>
      <c r="D4715" s="7">
        <v>2734790.08</v>
      </c>
      <c r="E4715" s="7">
        <v>494.56</v>
      </c>
      <c r="F4715" s="7">
        <v>42192.639999999999</v>
      </c>
      <c r="G4715" s="7">
        <v>85724</v>
      </c>
      <c r="H4715" s="7">
        <f t="shared" si="120"/>
        <v>42142.64</v>
      </c>
      <c r="I4715" s="15"/>
    </row>
    <row r="4716" spans="1:9" s="8" customFormat="1" ht="21" customHeight="1" x14ac:dyDescent="0.6">
      <c r="A4716" s="7">
        <v>24.717383000000002</v>
      </c>
      <c r="B4716" s="7">
        <v>34.754558500000002</v>
      </c>
      <c r="C4716" s="7">
        <v>677473</v>
      </c>
      <c r="D4716" s="7">
        <v>2734791.04</v>
      </c>
      <c r="E4716" s="7">
        <v>494.78</v>
      </c>
      <c r="F4716" s="7">
        <v>42200.28</v>
      </c>
      <c r="G4716" s="7">
        <v>85726</v>
      </c>
      <c r="H4716" s="7">
        <f t="shared" si="120"/>
        <v>42150.28</v>
      </c>
      <c r="I4716" s="15"/>
    </row>
    <row r="4717" spans="1:9" s="8" customFormat="1" ht="21" customHeight="1" x14ac:dyDescent="0.6">
      <c r="A4717" s="7">
        <v>24.7173883</v>
      </c>
      <c r="B4717" s="7">
        <v>34.754536199999997</v>
      </c>
      <c r="C4717" s="7">
        <v>677470.73</v>
      </c>
      <c r="D4717" s="7">
        <v>2734791.6</v>
      </c>
      <c r="E4717" s="7">
        <v>495.02</v>
      </c>
      <c r="F4717" s="7">
        <v>42212.14</v>
      </c>
      <c r="G4717" s="7">
        <v>85728</v>
      </c>
      <c r="H4717" s="7">
        <f t="shared" si="120"/>
        <v>42162.14</v>
      </c>
      <c r="I4717" s="15"/>
    </row>
    <row r="4718" spans="1:9" s="8" customFormat="1" ht="21" customHeight="1" x14ac:dyDescent="0.6">
      <c r="A4718" s="7">
        <v>24.717396999999998</v>
      </c>
      <c r="B4718" s="7">
        <v>34.754516700000003</v>
      </c>
      <c r="C4718" s="7">
        <v>677468.75</v>
      </c>
      <c r="D4718" s="7">
        <v>2734792.55</v>
      </c>
      <c r="E4718" s="7">
        <v>495.2</v>
      </c>
      <c r="F4718" s="7">
        <v>42225.43</v>
      </c>
      <c r="G4718" s="7">
        <v>85730</v>
      </c>
      <c r="H4718" s="7">
        <f t="shared" si="120"/>
        <v>42175.43</v>
      </c>
      <c r="I4718" s="15"/>
    </row>
    <row r="4719" spans="1:9" s="8" customFormat="1" ht="21" customHeight="1" x14ac:dyDescent="0.6">
      <c r="A4719" s="7">
        <v>24.717411899999998</v>
      </c>
      <c r="B4719" s="7">
        <v>34.754497700000002</v>
      </c>
      <c r="C4719" s="7">
        <v>677466.8</v>
      </c>
      <c r="D4719" s="7">
        <v>2734794.17</v>
      </c>
      <c r="E4719" s="7">
        <v>495.43</v>
      </c>
      <c r="F4719" s="7">
        <v>42237.59</v>
      </c>
      <c r="G4719" s="7">
        <v>85732</v>
      </c>
      <c r="H4719" s="7">
        <f t="shared" si="120"/>
        <v>42187.59</v>
      </c>
      <c r="I4719" s="15"/>
    </row>
    <row r="4720" spans="1:9" s="8" customFormat="1" ht="21" customHeight="1" x14ac:dyDescent="0.6">
      <c r="A4720" s="7">
        <v>24.7174254</v>
      </c>
      <c r="B4720" s="7">
        <v>34.754479500000002</v>
      </c>
      <c r="C4720" s="7">
        <v>677464.94</v>
      </c>
      <c r="D4720" s="7">
        <v>2734795.64</v>
      </c>
      <c r="E4720" s="7">
        <v>495.52</v>
      </c>
      <c r="F4720" s="7">
        <v>42252.52</v>
      </c>
      <c r="G4720" s="7">
        <v>85734</v>
      </c>
      <c r="H4720" s="7">
        <f t="shared" si="120"/>
        <v>42202.52</v>
      </c>
      <c r="I4720" s="15"/>
    </row>
    <row r="4721" spans="1:9" s="8" customFormat="1" ht="21" customHeight="1" x14ac:dyDescent="0.6">
      <c r="A4721" s="7">
        <v>24.717438300000001</v>
      </c>
      <c r="B4721" s="7">
        <v>34.754459099999998</v>
      </c>
      <c r="C4721" s="7">
        <v>677462.86</v>
      </c>
      <c r="D4721" s="7">
        <v>2734797.05</v>
      </c>
      <c r="E4721" s="7">
        <v>495.37</v>
      </c>
      <c r="F4721" s="7">
        <v>42266.79</v>
      </c>
      <c r="G4721" s="7">
        <v>85736</v>
      </c>
      <c r="H4721" s="7">
        <f t="shared" si="120"/>
        <v>42216.79</v>
      </c>
      <c r="I4721" s="15"/>
    </row>
    <row r="4722" spans="1:9" s="8" customFormat="1" ht="21" customHeight="1" x14ac:dyDescent="0.6">
      <c r="A4722" s="7">
        <v>24.7174516</v>
      </c>
      <c r="B4722" s="7">
        <v>34.754438100000002</v>
      </c>
      <c r="C4722" s="7">
        <v>677460.72</v>
      </c>
      <c r="D4722" s="7">
        <v>2734798.48</v>
      </c>
      <c r="E4722" s="7">
        <v>495.14</v>
      </c>
      <c r="F4722" s="7">
        <v>42284.54</v>
      </c>
      <c r="G4722" s="7">
        <v>85738</v>
      </c>
      <c r="H4722" s="7">
        <f t="shared" si="120"/>
        <v>42234.54</v>
      </c>
      <c r="I4722" s="15"/>
    </row>
    <row r="4723" spans="1:9" s="8" customFormat="1" ht="21" customHeight="1" x14ac:dyDescent="0.6">
      <c r="A4723" s="7">
        <v>24.717465399999998</v>
      </c>
      <c r="B4723" s="7">
        <v>34.754419300000002</v>
      </c>
      <c r="C4723" s="7">
        <v>677458.8</v>
      </c>
      <c r="D4723" s="7">
        <v>2734799.99</v>
      </c>
      <c r="E4723" s="7">
        <v>494.8</v>
      </c>
      <c r="F4723" s="7">
        <v>42300.95</v>
      </c>
      <c r="G4723" s="7">
        <v>85740</v>
      </c>
      <c r="H4723" s="7">
        <f t="shared" si="120"/>
        <v>42250.95</v>
      </c>
      <c r="I4723" s="15"/>
    </row>
    <row r="4724" spans="1:9" s="8" customFormat="1" ht="21" customHeight="1" x14ac:dyDescent="0.6">
      <c r="A4724" s="7">
        <v>24.717481200000002</v>
      </c>
      <c r="B4724" s="7">
        <v>34.754402200000001</v>
      </c>
      <c r="C4724" s="7">
        <v>677457.05</v>
      </c>
      <c r="D4724" s="7">
        <v>2734801.72</v>
      </c>
      <c r="E4724" s="7">
        <v>494.42</v>
      </c>
      <c r="F4724" s="7">
        <v>42317.04</v>
      </c>
      <c r="G4724" s="7">
        <v>85742</v>
      </c>
      <c r="H4724" s="7">
        <f t="shared" si="120"/>
        <v>42267.040000000001</v>
      </c>
      <c r="I4724" s="15"/>
    </row>
    <row r="4725" spans="1:9" s="8" customFormat="1" ht="21" customHeight="1" x14ac:dyDescent="0.6">
      <c r="A4725" s="7">
        <v>24.717493000000001</v>
      </c>
      <c r="B4725" s="7">
        <v>34.754382399999997</v>
      </c>
      <c r="C4725" s="7">
        <v>677455.02</v>
      </c>
      <c r="D4725" s="7">
        <v>2734803</v>
      </c>
      <c r="E4725" s="7">
        <v>494.13</v>
      </c>
      <c r="F4725" s="7">
        <v>42333.02</v>
      </c>
      <c r="G4725" s="7">
        <v>85744</v>
      </c>
      <c r="H4725" s="7">
        <f t="shared" si="120"/>
        <v>42283.02</v>
      </c>
      <c r="I4725" s="15"/>
    </row>
    <row r="4726" spans="1:9" s="8" customFormat="1" ht="21" customHeight="1" x14ac:dyDescent="0.6">
      <c r="A4726" s="7">
        <v>24.7175048</v>
      </c>
      <c r="B4726" s="7">
        <v>34.754364600000002</v>
      </c>
      <c r="C4726" s="7">
        <v>677453.21</v>
      </c>
      <c r="D4726" s="7">
        <v>2734804.28</v>
      </c>
      <c r="E4726" s="7">
        <v>493.66</v>
      </c>
      <c r="F4726" s="7">
        <v>42349.81</v>
      </c>
      <c r="G4726" s="7">
        <v>85746</v>
      </c>
      <c r="H4726" s="7">
        <f t="shared" si="120"/>
        <v>42299.81</v>
      </c>
      <c r="I4726" s="15"/>
    </row>
    <row r="4727" spans="1:9" s="8" customFormat="1" ht="21" customHeight="1" x14ac:dyDescent="0.6">
      <c r="A4727" s="7">
        <v>24.7175163</v>
      </c>
      <c r="B4727" s="7">
        <v>34.754346300000002</v>
      </c>
      <c r="C4727" s="7">
        <v>677451.34</v>
      </c>
      <c r="D4727" s="7">
        <v>2734805.54</v>
      </c>
      <c r="E4727" s="7">
        <v>493.27</v>
      </c>
      <c r="F4727" s="7">
        <v>42365.14</v>
      </c>
      <c r="G4727" s="7">
        <v>85748</v>
      </c>
      <c r="H4727" s="7">
        <f t="shared" si="120"/>
        <v>42315.14</v>
      </c>
      <c r="I4727" s="15"/>
    </row>
    <row r="4728" spans="1:9" s="8" customFormat="1" ht="21" customHeight="1" x14ac:dyDescent="0.6">
      <c r="A4728" s="7">
        <v>24.7175254</v>
      </c>
      <c r="B4728" s="7">
        <v>34.7543243</v>
      </c>
      <c r="C4728" s="7">
        <v>677449.11</v>
      </c>
      <c r="D4728" s="7">
        <v>2734806.51</v>
      </c>
      <c r="E4728" s="7">
        <v>492.79</v>
      </c>
      <c r="F4728" s="7">
        <v>42382.13</v>
      </c>
      <c r="G4728" s="7">
        <v>85750</v>
      </c>
      <c r="H4728" s="7">
        <f t="shared" si="120"/>
        <v>42332.13</v>
      </c>
      <c r="I4728" s="15"/>
    </row>
    <row r="4729" spans="1:9" s="8" customFormat="1" ht="21" customHeight="1" x14ac:dyDescent="0.6">
      <c r="A4729" s="7">
        <v>24.717534799999999</v>
      </c>
      <c r="B4729" s="7">
        <v>34.754303200000003</v>
      </c>
      <c r="C4729" s="7">
        <v>677446.96</v>
      </c>
      <c r="D4729" s="7">
        <v>2734807.53</v>
      </c>
      <c r="E4729" s="7">
        <v>492.32</v>
      </c>
      <c r="F4729" s="7">
        <v>42388.72</v>
      </c>
      <c r="G4729" s="7">
        <v>85752</v>
      </c>
      <c r="H4729" s="7">
        <f t="shared" si="120"/>
        <v>42338.720000000001</v>
      </c>
      <c r="I4729" s="15"/>
    </row>
    <row r="4730" spans="1:9" s="8" customFormat="1" ht="21" customHeight="1" x14ac:dyDescent="0.6">
      <c r="A4730" s="7">
        <v>24.717548799999999</v>
      </c>
      <c r="B4730" s="7">
        <v>34.754284300000002</v>
      </c>
      <c r="C4730" s="7">
        <v>677445.03</v>
      </c>
      <c r="D4730" s="7">
        <v>2734809.06</v>
      </c>
      <c r="E4730" s="7">
        <v>491.99</v>
      </c>
      <c r="F4730" s="7">
        <v>42413.99</v>
      </c>
      <c r="G4730" s="7">
        <v>85754</v>
      </c>
      <c r="H4730" s="7">
        <f t="shared" si="120"/>
        <v>42363.99</v>
      </c>
      <c r="I4730" s="15"/>
    </row>
    <row r="4731" spans="1:9" s="8" customFormat="1" ht="21" customHeight="1" x14ac:dyDescent="0.6">
      <c r="A4731" s="7">
        <v>24.717561700000001</v>
      </c>
      <c r="B4731" s="7">
        <v>34.754262300000001</v>
      </c>
      <c r="C4731" s="7">
        <v>677442.78</v>
      </c>
      <c r="D4731" s="7">
        <v>2734810.45</v>
      </c>
      <c r="E4731" s="7">
        <v>491.61</v>
      </c>
      <c r="F4731" s="7">
        <v>42437.07</v>
      </c>
      <c r="G4731" s="7">
        <v>85756</v>
      </c>
      <c r="H4731" s="7">
        <f t="shared" si="120"/>
        <v>42387.07</v>
      </c>
      <c r="I4731" s="15"/>
    </row>
    <row r="4732" spans="1:9" s="8" customFormat="1" ht="21" customHeight="1" x14ac:dyDescent="0.6">
      <c r="A4732" s="7">
        <v>24.717572199999999</v>
      </c>
      <c r="B4732" s="7">
        <v>34.754238200000003</v>
      </c>
      <c r="C4732" s="7">
        <v>677440.32</v>
      </c>
      <c r="D4732" s="7">
        <v>2734811.59</v>
      </c>
      <c r="E4732" s="7">
        <v>491.27</v>
      </c>
      <c r="F4732" s="7">
        <v>42458.25</v>
      </c>
      <c r="G4732" s="7">
        <v>85758</v>
      </c>
      <c r="H4732" s="7">
        <f t="shared" si="120"/>
        <v>42408.25</v>
      </c>
      <c r="I4732" s="15"/>
    </row>
    <row r="4733" spans="1:9" s="8" customFormat="1" ht="21" customHeight="1" x14ac:dyDescent="0.6">
      <c r="A4733" s="7">
        <v>24.7175808</v>
      </c>
      <c r="B4733" s="7">
        <v>34.754213999999997</v>
      </c>
      <c r="C4733" s="7">
        <v>677437.87</v>
      </c>
      <c r="D4733" s="7">
        <v>2734812.51</v>
      </c>
      <c r="E4733" s="7">
        <v>490.94</v>
      </c>
      <c r="F4733" s="7">
        <v>42478.42</v>
      </c>
      <c r="G4733" s="7">
        <v>85800</v>
      </c>
      <c r="H4733" s="7">
        <f t="shared" si="120"/>
        <v>42428.42</v>
      </c>
      <c r="I4733" s="15"/>
    </row>
    <row r="4734" spans="1:9" s="8" customFormat="1" ht="21" customHeight="1" x14ac:dyDescent="0.6">
      <c r="A4734" s="7">
        <v>24.717584200000001</v>
      </c>
      <c r="B4734" s="7">
        <v>34.754189199999999</v>
      </c>
      <c r="C4734" s="7">
        <v>677435.36</v>
      </c>
      <c r="D4734" s="7">
        <v>2734812.85</v>
      </c>
      <c r="E4734" s="7">
        <v>490.61</v>
      </c>
      <c r="F4734" s="7">
        <v>42498.94</v>
      </c>
      <c r="G4734" s="7">
        <v>85802</v>
      </c>
      <c r="H4734" s="7">
        <f t="shared" si="120"/>
        <v>42448.94</v>
      </c>
      <c r="I4734" s="15"/>
    </row>
    <row r="4735" spans="1:9" s="8" customFormat="1" ht="21" customHeight="1" x14ac:dyDescent="0.6">
      <c r="A4735" s="7">
        <v>24.717592799999998</v>
      </c>
      <c r="B4735" s="7">
        <v>34.754164899999999</v>
      </c>
      <c r="C4735" s="7">
        <v>677432.88</v>
      </c>
      <c r="D4735" s="7">
        <v>2734813.77</v>
      </c>
      <c r="E4735" s="7">
        <v>490.28</v>
      </c>
      <c r="F4735" s="7">
        <v>42513.440000000002</v>
      </c>
      <c r="G4735" s="7">
        <v>85804</v>
      </c>
      <c r="H4735" s="7">
        <f t="shared" si="120"/>
        <v>42463.44</v>
      </c>
      <c r="I4735" s="15"/>
    </row>
    <row r="4736" spans="1:9" s="8" customFormat="1" ht="21" customHeight="1" x14ac:dyDescent="0.6">
      <c r="A4736" s="7">
        <v>24.717606100000001</v>
      </c>
      <c r="B4736" s="7">
        <v>34.754146800000001</v>
      </c>
      <c r="C4736" s="7">
        <v>677431.03</v>
      </c>
      <c r="D4736" s="7">
        <v>2734815.22</v>
      </c>
      <c r="E4736" s="7">
        <v>490.01</v>
      </c>
      <c r="F4736" s="7">
        <v>42512.76</v>
      </c>
      <c r="G4736" s="7">
        <v>85806</v>
      </c>
      <c r="H4736" s="7">
        <f t="shared" si="120"/>
        <v>42462.76</v>
      </c>
      <c r="I4736" s="15"/>
    </row>
    <row r="4737" spans="1:9" s="8" customFormat="1" ht="21" customHeight="1" x14ac:dyDescent="0.6">
      <c r="A4737" s="7">
        <v>24.717613799999999</v>
      </c>
      <c r="B4737" s="7">
        <v>34.754127599999997</v>
      </c>
      <c r="C4737" s="7">
        <v>677429.08</v>
      </c>
      <c r="D4737" s="7">
        <v>2734816.05</v>
      </c>
      <c r="E4737" s="7">
        <v>489.68</v>
      </c>
      <c r="F4737" s="7">
        <v>42519.6</v>
      </c>
      <c r="G4737" s="7">
        <v>85808</v>
      </c>
      <c r="H4737" s="7">
        <f t="shared" si="120"/>
        <v>42469.599999999999</v>
      </c>
      <c r="I4737" s="15"/>
    </row>
    <row r="4738" spans="1:9" s="8" customFormat="1" ht="21" customHeight="1" x14ac:dyDescent="0.6">
      <c r="A4738" s="7">
        <v>24.7176239</v>
      </c>
      <c r="B4738" s="7">
        <v>34.754107099999999</v>
      </c>
      <c r="C4738" s="7">
        <v>677426.99</v>
      </c>
      <c r="D4738" s="7">
        <v>2734817.14</v>
      </c>
      <c r="E4738" s="7">
        <v>489.21</v>
      </c>
      <c r="F4738" s="7">
        <v>42558.45</v>
      </c>
      <c r="G4738" s="7">
        <v>85810</v>
      </c>
      <c r="H4738" s="7">
        <f t="shared" si="120"/>
        <v>42508.45</v>
      </c>
      <c r="I4738" s="15"/>
    </row>
    <row r="4739" spans="1:9" s="8" customFormat="1" ht="21" customHeight="1" x14ac:dyDescent="0.6">
      <c r="A4739" s="7">
        <v>24.717634199999999</v>
      </c>
      <c r="B4739" s="7">
        <v>34.754088899999999</v>
      </c>
      <c r="C4739" s="7">
        <v>677425.13</v>
      </c>
      <c r="D4739" s="7">
        <v>2734818.26</v>
      </c>
      <c r="E4739" s="7">
        <v>488.82</v>
      </c>
      <c r="F4739" s="7">
        <v>42555</v>
      </c>
      <c r="G4739" s="7">
        <v>85812</v>
      </c>
      <c r="H4739" s="7">
        <f t="shared" si="120"/>
        <v>42505</v>
      </c>
      <c r="I4739" s="15"/>
    </row>
    <row r="4740" spans="1:9" s="8" customFormat="1" ht="21" customHeight="1" x14ac:dyDescent="0.6">
      <c r="A4740" s="7">
        <v>24.7176437</v>
      </c>
      <c r="B4740" s="7">
        <v>34.754063500000001</v>
      </c>
      <c r="C4740" s="7">
        <v>677422.55</v>
      </c>
      <c r="D4740" s="7">
        <v>2734819.28</v>
      </c>
      <c r="E4740" s="7">
        <v>488.63</v>
      </c>
      <c r="F4740" s="7">
        <v>42576.15</v>
      </c>
      <c r="G4740" s="7">
        <v>85814</v>
      </c>
      <c r="H4740" s="7">
        <f t="shared" si="120"/>
        <v>42526.15</v>
      </c>
      <c r="I4740" s="15"/>
    </row>
    <row r="4741" spans="1:9" s="8" customFormat="1" ht="21" customHeight="1" x14ac:dyDescent="0.6">
      <c r="A4741" s="7">
        <v>24.7176486</v>
      </c>
      <c r="B4741" s="7">
        <v>34.754037500000003</v>
      </c>
      <c r="C4741" s="7">
        <v>677419.91</v>
      </c>
      <c r="D4741" s="7">
        <v>2734819.78</v>
      </c>
      <c r="E4741" s="7">
        <v>488.42</v>
      </c>
      <c r="F4741" s="7">
        <v>42599.43</v>
      </c>
      <c r="G4741" s="7">
        <v>85816</v>
      </c>
      <c r="H4741" s="7">
        <f t="shared" si="120"/>
        <v>42549.43</v>
      </c>
      <c r="I4741" s="15"/>
    </row>
    <row r="4742" spans="1:9" s="8" customFormat="1" ht="21" customHeight="1" x14ac:dyDescent="0.6">
      <c r="A4742" s="7">
        <v>24.717658199999999</v>
      </c>
      <c r="B4742" s="7">
        <v>34.754011599999998</v>
      </c>
      <c r="C4742" s="7">
        <v>677417.28</v>
      </c>
      <c r="D4742" s="7">
        <v>2734820.82</v>
      </c>
      <c r="E4742" s="7">
        <v>488.08</v>
      </c>
      <c r="F4742" s="7">
        <v>42610.15</v>
      </c>
      <c r="G4742" s="7">
        <v>85818</v>
      </c>
      <c r="H4742" s="7">
        <f t="shared" si="120"/>
        <v>42560.15</v>
      </c>
      <c r="I4742" s="15"/>
    </row>
    <row r="4743" spans="1:9" s="8" customFormat="1" ht="21" customHeight="1" x14ac:dyDescent="0.6">
      <c r="A4743" s="7">
        <v>24.717669099999998</v>
      </c>
      <c r="B4743" s="7">
        <v>34.7539886</v>
      </c>
      <c r="C4743" s="7">
        <v>677414.93</v>
      </c>
      <c r="D4743" s="7">
        <v>2734821.99</v>
      </c>
      <c r="E4743" s="7">
        <v>487.86</v>
      </c>
      <c r="F4743" s="7">
        <v>42612.65</v>
      </c>
      <c r="G4743" s="7">
        <v>85820</v>
      </c>
      <c r="H4743" s="7">
        <f t="shared" si="120"/>
        <v>42562.65</v>
      </c>
      <c r="I4743" s="15"/>
    </row>
    <row r="4744" spans="1:9" s="8" customFormat="1" ht="21" customHeight="1" x14ac:dyDescent="0.6">
      <c r="A4744" s="7">
        <v>24.717682799999999</v>
      </c>
      <c r="B4744" s="7">
        <v>34.753964799999999</v>
      </c>
      <c r="C4744" s="7">
        <v>677412.51</v>
      </c>
      <c r="D4744" s="7">
        <v>2734823.49</v>
      </c>
      <c r="E4744" s="7">
        <v>487.59</v>
      </c>
      <c r="F4744" s="7">
        <v>42626.13</v>
      </c>
      <c r="G4744" s="7">
        <v>85822</v>
      </c>
      <c r="H4744" s="7">
        <f t="shared" si="120"/>
        <v>42576.13</v>
      </c>
      <c r="I4744" s="15"/>
    </row>
    <row r="4745" spans="1:9" s="8" customFormat="1" ht="21" customHeight="1" x14ac:dyDescent="0.6">
      <c r="A4745" s="7">
        <v>24.717694999999999</v>
      </c>
      <c r="B4745" s="7">
        <v>34.753940700000001</v>
      </c>
      <c r="C4745" s="7">
        <v>677410.06</v>
      </c>
      <c r="D4745" s="7">
        <v>2734824.8</v>
      </c>
      <c r="E4745" s="7">
        <v>487.34</v>
      </c>
      <c r="F4745" s="7">
        <v>42637.69</v>
      </c>
      <c r="G4745" s="7">
        <v>85824</v>
      </c>
      <c r="H4745" s="7">
        <f t="shared" si="120"/>
        <v>42587.69</v>
      </c>
      <c r="I4745" s="15"/>
    </row>
    <row r="4746" spans="1:9" s="8" customFormat="1" ht="21" customHeight="1" x14ac:dyDescent="0.6">
      <c r="A4746" s="7">
        <v>24.717706199999999</v>
      </c>
      <c r="B4746" s="7">
        <v>34.7539151</v>
      </c>
      <c r="C4746" s="7">
        <v>677407.45</v>
      </c>
      <c r="D4746" s="7">
        <v>2734826.01</v>
      </c>
      <c r="E4746" s="7">
        <v>487.07</v>
      </c>
      <c r="F4746" s="7">
        <v>42665.73</v>
      </c>
      <c r="G4746" s="7">
        <v>85826</v>
      </c>
      <c r="H4746" s="7">
        <f t="shared" si="120"/>
        <v>42615.73</v>
      </c>
      <c r="I4746" s="15"/>
    </row>
    <row r="4747" spans="1:9" s="8" customFormat="1" ht="21" customHeight="1" x14ac:dyDescent="0.6">
      <c r="A4747" s="7">
        <v>24.717715399999999</v>
      </c>
      <c r="B4747" s="7">
        <v>34.753890200000001</v>
      </c>
      <c r="C4747" s="7">
        <v>677404.91</v>
      </c>
      <c r="D4747" s="7">
        <v>2734826.99</v>
      </c>
      <c r="E4747" s="7">
        <v>486.78</v>
      </c>
      <c r="F4747" s="7">
        <v>42649.84</v>
      </c>
      <c r="G4747" s="7">
        <v>85828</v>
      </c>
      <c r="H4747" s="7">
        <f t="shared" si="120"/>
        <v>42599.839999999997</v>
      </c>
      <c r="I4747" s="15"/>
    </row>
    <row r="4748" spans="1:9" s="8" customFormat="1" ht="21" customHeight="1" x14ac:dyDescent="0.6">
      <c r="A4748" s="7">
        <v>24.717727199999999</v>
      </c>
      <c r="B4748" s="7">
        <v>34.753866299999999</v>
      </c>
      <c r="C4748" s="7">
        <v>677402.48</v>
      </c>
      <c r="D4748" s="7">
        <v>2734828.27</v>
      </c>
      <c r="E4748" s="7">
        <v>486.48</v>
      </c>
      <c r="F4748" s="7">
        <v>42638.21</v>
      </c>
      <c r="G4748" s="7">
        <v>85830</v>
      </c>
      <c r="H4748" s="7">
        <f t="shared" si="120"/>
        <v>42588.21</v>
      </c>
      <c r="I4748" s="15"/>
    </row>
    <row r="4749" spans="1:9" s="8" customFormat="1" ht="21" customHeight="1" x14ac:dyDescent="0.6">
      <c r="A4749" s="7">
        <v>24.7177392</v>
      </c>
      <c r="B4749" s="7">
        <v>34.7538427</v>
      </c>
      <c r="C4749" s="7">
        <v>677400.08</v>
      </c>
      <c r="D4749" s="7">
        <v>2734829.57</v>
      </c>
      <c r="E4749" s="7">
        <v>486.16</v>
      </c>
      <c r="F4749" s="7">
        <v>42674.94</v>
      </c>
      <c r="G4749" s="7">
        <v>85832</v>
      </c>
      <c r="H4749" s="7">
        <f t="shared" si="120"/>
        <v>42624.94</v>
      </c>
      <c r="I4749" s="15"/>
    </row>
    <row r="4750" spans="1:9" s="8" customFormat="1" ht="21" customHeight="1" x14ac:dyDescent="0.6">
      <c r="A4750" s="7">
        <v>24.717750299999999</v>
      </c>
      <c r="B4750" s="7">
        <v>34.753824199999997</v>
      </c>
      <c r="C4750" s="7">
        <v>677398.19</v>
      </c>
      <c r="D4750" s="7">
        <v>2734830.77</v>
      </c>
      <c r="E4750" s="7">
        <v>486.03</v>
      </c>
      <c r="F4750" s="7">
        <v>42670.23</v>
      </c>
      <c r="G4750" s="7">
        <v>85834</v>
      </c>
      <c r="H4750" s="7">
        <f t="shared" si="120"/>
        <v>42620.23</v>
      </c>
      <c r="I4750" s="15"/>
    </row>
    <row r="4751" spans="1:9" s="8" customFormat="1" ht="21" customHeight="1" x14ac:dyDescent="0.6">
      <c r="A4751" s="7">
        <v>24.717762700000002</v>
      </c>
      <c r="B4751" s="7">
        <v>34.753801600000003</v>
      </c>
      <c r="C4751" s="7">
        <v>677395.89</v>
      </c>
      <c r="D4751" s="7">
        <v>2734832.12</v>
      </c>
      <c r="E4751" s="7">
        <v>485.65</v>
      </c>
      <c r="F4751" s="7">
        <v>42664.21</v>
      </c>
      <c r="G4751" s="7">
        <v>85836</v>
      </c>
      <c r="H4751" s="7">
        <f t="shared" si="120"/>
        <v>42614.21</v>
      </c>
      <c r="I4751" s="15"/>
    </row>
    <row r="4752" spans="1:9" s="8" customFormat="1" ht="21" customHeight="1" x14ac:dyDescent="0.6">
      <c r="A4752" s="7">
        <v>24.717777900000002</v>
      </c>
      <c r="B4752" s="7">
        <v>34.753783200000001</v>
      </c>
      <c r="C4752" s="7">
        <v>677394</v>
      </c>
      <c r="D4752" s="7">
        <v>2734833.78</v>
      </c>
      <c r="E4752" s="7">
        <v>485.22</v>
      </c>
      <c r="F4752" s="7">
        <v>42666.44</v>
      </c>
      <c r="G4752" s="7">
        <v>85838</v>
      </c>
      <c r="H4752" s="7">
        <f t="shared" si="120"/>
        <v>42616.44</v>
      </c>
      <c r="I4752" s="15"/>
    </row>
    <row r="4753" spans="1:9" s="8" customFormat="1" ht="21" customHeight="1" x14ac:dyDescent="0.6">
      <c r="A4753" s="7">
        <v>24.7177933</v>
      </c>
      <c r="B4753" s="7">
        <v>34.753763200000002</v>
      </c>
      <c r="C4753" s="7">
        <v>677391.95</v>
      </c>
      <c r="D4753" s="7">
        <v>2734835.46</v>
      </c>
      <c r="E4753" s="7">
        <v>484.82</v>
      </c>
      <c r="F4753" s="7">
        <v>42687.68</v>
      </c>
      <c r="G4753" s="7">
        <v>85840</v>
      </c>
      <c r="H4753" s="7">
        <f t="shared" si="120"/>
        <v>42637.68</v>
      </c>
      <c r="I4753" s="15"/>
    </row>
    <row r="4754" spans="1:9" s="8" customFormat="1" ht="21" customHeight="1" x14ac:dyDescent="0.6">
      <c r="A4754" s="7">
        <v>24.717809299999999</v>
      </c>
      <c r="B4754" s="7">
        <v>34.753742199999998</v>
      </c>
      <c r="C4754" s="7">
        <v>677389.81</v>
      </c>
      <c r="D4754" s="7">
        <v>2734837.2</v>
      </c>
      <c r="E4754" s="7">
        <v>484.53</v>
      </c>
      <c r="F4754" s="7">
        <v>42695.28</v>
      </c>
      <c r="G4754" s="7">
        <v>85842</v>
      </c>
      <c r="H4754" s="7">
        <f t="shared" si="120"/>
        <v>42645.279999999999</v>
      </c>
      <c r="I4754" s="15"/>
    </row>
    <row r="4755" spans="1:9" s="8" customFormat="1" ht="21" customHeight="1" x14ac:dyDescent="0.6">
      <c r="A4755" s="7">
        <v>24.717825600000001</v>
      </c>
      <c r="B4755" s="7">
        <v>34.7537217</v>
      </c>
      <c r="C4755" s="7">
        <v>677387.71</v>
      </c>
      <c r="D4755" s="7">
        <v>2734838.99</v>
      </c>
      <c r="E4755" s="7">
        <v>484.24</v>
      </c>
      <c r="F4755" s="7">
        <v>42711.65</v>
      </c>
      <c r="G4755" s="7">
        <v>85844</v>
      </c>
      <c r="H4755" s="7">
        <f t="shared" si="120"/>
        <v>42661.65</v>
      </c>
      <c r="I4755" s="15"/>
    </row>
    <row r="4756" spans="1:9" s="8" customFormat="1" ht="21" customHeight="1" x14ac:dyDescent="0.6">
      <c r="A4756" s="7">
        <v>24.717837400000001</v>
      </c>
      <c r="B4756" s="7">
        <v>34.753698100000001</v>
      </c>
      <c r="C4756" s="7">
        <v>677385.31</v>
      </c>
      <c r="D4756" s="7">
        <v>2734840.27</v>
      </c>
      <c r="E4756" s="7">
        <v>483.96</v>
      </c>
      <c r="F4756" s="7">
        <v>42716.72</v>
      </c>
      <c r="G4756" s="7">
        <v>85846</v>
      </c>
      <c r="H4756" s="7">
        <f t="shared" ref="H4756:H4819" si="121">SUM(F4756-50)</f>
        <v>42666.720000000001</v>
      </c>
      <c r="I4756" s="15"/>
    </row>
    <row r="4757" spans="1:9" s="8" customFormat="1" ht="21" customHeight="1" x14ac:dyDescent="0.6">
      <c r="A4757" s="7">
        <v>24.7178501</v>
      </c>
      <c r="B4757" s="7">
        <v>34.753677400000001</v>
      </c>
      <c r="C4757" s="7">
        <v>677383.19</v>
      </c>
      <c r="D4757" s="7">
        <v>2734841.64</v>
      </c>
      <c r="E4757" s="7">
        <v>483.62</v>
      </c>
      <c r="F4757" s="7">
        <v>42719.1</v>
      </c>
      <c r="G4757" s="7">
        <v>85848</v>
      </c>
      <c r="H4757" s="7">
        <f t="shared" si="121"/>
        <v>42669.1</v>
      </c>
      <c r="I4757" s="15"/>
    </row>
    <row r="4758" spans="1:9" s="8" customFormat="1" ht="21" customHeight="1" x14ac:dyDescent="0.6">
      <c r="A4758" s="7">
        <v>24.7178614</v>
      </c>
      <c r="B4758" s="7">
        <v>34.753656399999997</v>
      </c>
      <c r="C4758" s="7">
        <v>677381.06</v>
      </c>
      <c r="D4758" s="7">
        <v>2734842.87</v>
      </c>
      <c r="E4758" s="7">
        <v>483.45</v>
      </c>
      <c r="F4758" s="7">
        <v>42722.29</v>
      </c>
      <c r="G4758" s="7">
        <v>85850</v>
      </c>
      <c r="H4758" s="7">
        <f t="shared" si="121"/>
        <v>42672.29</v>
      </c>
      <c r="I4758" s="15"/>
    </row>
    <row r="4759" spans="1:9" s="8" customFormat="1" ht="21" customHeight="1" x14ac:dyDescent="0.6">
      <c r="A4759" s="7">
        <v>24.717872499999999</v>
      </c>
      <c r="B4759" s="7">
        <v>34.753633000000001</v>
      </c>
      <c r="C4759" s="7">
        <v>677378.67</v>
      </c>
      <c r="D4759" s="7">
        <v>2734844.06</v>
      </c>
      <c r="E4759" s="7">
        <v>482.86</v>
      </c>
      <c r="F4759" s="7">
        <v>42722.52</v>
      </c>
      <c r="G4759" s="7">
        <v>85852</v>
      </c>
      <c r="H4759" s="7">
        <f t="shared" si="121"/>
        <v>42672.52</v>
      </c>
      <c r="I4759" s="15"/>
    </row>
    <row r="4760" spans="1:9" s="8" customFormat="1" ht="21" customHeight="1" x14ac:dyDescent="0.6">
      <c r="A4760" s="7">
        <v>24.717878899999999</v>
      </c>
      <c r="B4760" s="7">
        <v>34.753606499999997</v>
      </c>
      <c r="C4760" s="7">
        <v>677375.98</v>
      </c>
      <c r="D4760" s="7">
        <v>2734844.73</v>
      </c>
      <c r="E4760" s="7">
        <v>482.35</v>
      </c>
      <c r="F4760" s="7">
        <v>42726.36</v>
      </c>
      <c r="G4760" s="7">
        <v>85854</v>
      </c>
      <c r="H4760" s="7">
        <f t="shared" si="121"/>
        <v>42676.36</v>
      </c>
      <c r="I4760" s="15"/>
    </row>
    <row r="4761" spans="1:9" s="8" customFormat="1" ht="21" customHeight="1" x14ac:dyDescent="0.6">
      <c r="A4761" s="7">
        <v>24.717887699999999</v>
      </c>
      <c r="B4761" s="7">
        <v>34.753580200000002</v>
      </c>
      <c r="C4761" s="7">
        <v>677373.31</v>
      </c>
      <c r="D4761" s="7">
        <v>2734845.68</v>
      </c>
      <c r="E4761" s="7">
        <v>481.91</v>
      </c>
      <c r="F4761" s="7">
        <v>42725.95</v>
      </c>
      <c r="G4761" s="7">
        <v>85856</v>
      </c>
      <c r="H4761" s="7">
        <f t="shared" si="121"/>
        <v>42675.95</v>
      </c>
      <c r="I4761" s="15"/>
    </row>
    <row r="4762" spans="1:9" s="8" customFormat="1" ht="21" customHeight="1" x14ac:dyDescent="0.6">
      <c r="A4762" s="7">
        <v>24.717902299999999</v>
      </c>
      <c r="B4762" s="7">
        <v>34.753556799999998</v>
      </c>
      <c r="C4762" s="7">
        <v>677370.93</v>
      </c>
      <c r="D4762" s="7">
        <v>2734847.26</v>
      </c>
      <c r="E4762" s="7">
        <v>481.62</v>
      </c>
      <c r="F4762" s="7">
        <v>42728.93</v>
      </c>
      <c r="G4762" s="7">
        <v>85858</v>
      </c>
      <c r="H4762" s="7">
        <f t="shared" si="121"/>
        <v>42678.93</v>
      </c>
      <c r="I4762" s="15"/>
    </row>
    <row r="4763" spans="1:9" s="8" customFormat="1" ht="21" customHeight="1" x14ac:dyDescent="0.6">
      <c r="A4763" s="7">
        <v>24.717920899999999</v>
      </c>
      <c r="B4763" s="7">
        <v>34.753534600000002</v>
      </c>
      <c r="C4763" s="7">
        <v>677368.65</v>
      </c>
      <c r="D4763" s="7">
        <v>2734849.3</v>
      </c>
      <c r="E4763" s="7">
        <v>481.43</v>
      </c>
      <c r="F4763" s="7">
        <v>42747.19</v>
      </c>
      <c r="G4763" s="7">
        <v>85900</v>
      </c>
      <c r="H4763" s="7">
        <f t="shared" si="121"/>
        <v>42697.19</v>
      </c>
      <c r="I4763" s="15"/>
    </row>
    <row r="4764" spans="1:9" s="8" customFormat="1" ht="21" customHeight="1" x14ac:dyDescent="0.6">
      <c r="A4764" s="7">
        <v>24.7179398</v>
      </c>
      <c r="B4764" s="7">
        <v>34.753517899999999</v>
      </c>
      <c r="C4764" s="7">
        <v>677366.93</v>
      </c>
      <c r="D4764" s="7">
        <v>2734851.37</v>
      </c>
      <c r="E4764" s="7">
        <v>481.39</v>
      </c>
      <c r="F4764" s="7">
        <v>42753.82</v>
      </c>
      <c r="G4764" s="7">
        <v>85902</v>
      </c>
      <c r="H4764" s="7">
        <f t="shared" si="121"/>
        <v>42703.82</v>
      </c>
      <c r="I4764" s="15"/>
    </row>
    <row r="4765" spans="1:9" s="8" customFormat="1" ht="21" customHeight="1" x14ac:dyDescent="0.6">
      <c r="A4765" s="7">
        <v>24.717958599999999</v>
      </c>
      <c r="B4765" s="7">
        <v>34.753500299999999</v>
      </c>
      <c r="C4765" s="7">
        <v>677365.12</v>
      </c>
      <c r="D4765" s="7">
        <v>2734853.43</v>
      </c>
      <c r="E4765" s="7">
        <v>481.22</v>
      </c>
      <c r="F4765" s="7">
        <v>42768.87</v>
      </c>
      <c r="G4765" s="7">
        <v>85904</v>
      </c>
      <c r="H4765" s="7">
        <f t="shared" si="121"/>
        <v>42718.87</v>
      </c>
      <c r="I4765" s="15"/>
    </row>
    <row r="4766" spans="1:9" s="8" customFormat="1" ht="21" customHeight="1" x14ac:dyDescent="0.6">
      <c r="A4766" s="7">
        <v>24.7179775</v>
      </c>
      <c r="B4766" s="7">
        <v>34.753480600000003</v>
      </c>
      <c r="C4766" s="7">
        <v>677363.1</v>
      </c>
      <c r="D4766" s="7">
        <v>2734855.5</v>
      </c>
      <c r="E4766" s="7">
        <v>480.9</v>
      </c>
      <c r="F4766" s="7">
        <v>42777.75</v>
      </c>
      <c r="G4766" s="7">
        <v>85906</v>
      </c>
      <c r="H4766" s="7">
        <f t="shared" si="121"/>
        <v>42727.75</v>
      </c>
      <c r="I4766" s="15"/>
    </row>
    <row r="4767" spans="1:9" s="8" customFormat="1" ht="21" customHeight="1" x14ac:dyDescent="0.6">
      <c r="A4767" s="7">
        <v>24.7179939</v>
      </c>
      <c r="B4767" s="7">
        <v>34.753459100000001</v>
      </c>
      <c r="C4767" s="7">
        <v>677360.91</v>
      </c>
      <c r="D4767" s="7">
        <v>2734857.28</v>
      </c>
      <c r="E4767" s="7">
        <v>480.81</v>
      </c>
      <c r="F4767" s="7">
        <v>42810.1</v>
      </c>
      <c r="G4767" s="7">
        <v>85908</v>
      </c>
      <c r="H4767" s="7">
        <f t="shared" si="121"/>
        <v>42760.1</v>
      </c>
      <c r="I4767" s="15"/>
    </row>
    <row r="4768" spans="1:9" s="8" customFormat="1" ht="21" customHeight="1" x14ac:dyDescent="0.6">
      <c r="A4768" s="7">
        <v>24.718011400000002</v>
      </c>
      <c r="B4768" s="7">
        <v>34.753438899999999</v>
      </c>
      <c r="C4768" s="7">
        <v>677358.83</v>
      </c>
      <c r="D4768" s="7">
        <v>2734859.19</v>
      </c>
      <c r="E4768" s="7">
        <v>480.75</v>
      </c>
      <c r="F4768" s="7">
        <v>42883.71</v>
      </c>
      <c r="G4768" s="7">
        <v>85910</v>
      </c>
      <c r="H4768" s="7">
        <f t="shared" si="121"/>
        <v>42833.71</v>
      </c>
      <c r="I4768" s="15"/>
    </row>
    <row r="4769" spans="1:9" s="8" customFormat="1" ht="21" customHeight="1" x14ac:dyDescent="0.6">
      <c r="A4769" s="7">
        <v>24.7180307</v>
      </c>
      <c r="B4769" s="7">
        <v>34.753422800000003</v>
      </c>
      <c r="C4769" s="7">
        <v>677357.18</v>
      </c>
      <c r="D4769" s="7">
        <v>2734861.32</v>
      </c>
      <c r="E4769" s="7">
        <v>480.71</v>
      </c>
      <c r="F4769" s="7">
        <v>42881.55</v>
      </c>
      <c r="G4769" s="7">
        <v>85912</v>
      </c>
      <c r="H4769" s="7">
        <f t="shared" si="121"/>
        <v>42831.55</v>
      </c>
      <c r="I4769" s="15"/>
    </row>
    <row r="4770" spans="1:9" s="8" customFormat="1" ht="21" customHeight="1" x14ac:dyDescent="0.6">
      <c r="A4770" s="7">
        <v>24.718048100000001</v>
      </c>
      <c r="B4770" s="7">
        <v>34.753405700000002</v>
      </c>
      <c r="C4770" s="7">
        <v>677355.43</v>
      </c>
      <c r="D4770" s="7">
        <v>2734863.22</v>
      </c>
      <c r="E4770" s="7">
        <v>480.6</v>
      </c>
      <c r="F4770" s="7">
        <v>42893.23</v>
      </c>
      <c r="G4770" s="7">
        <v>85914</v>
      </c>
      <c r="H4770" s="7">
        <f t="shared" si="121"/>
        <v>42843.23</v>
      </c>
      <c r="I4770" s="15"/>
    </row>
    <row r="4771" spans="1:9" s="8" customFormat="1" ht="21" customHeight="1" x14ac:dyDescent="0.6">
      <c r="A4771" s="7">
        <v>24.718070099999998</v>
      </c>
      <c r="B4771" s="7">
        <v>34.753393500000001</v>
      </c>
      <c r="C4771" s="7">
        <v>677354.16</v>
      </c>
      <c r="D4771" s="7">
        <v>2734865.64</v>
      </c>
      <c r="E4771" s="7">
        <v>480.62</v>
      </c>
      <c r="F4771" s="7">
        <v>42936.17</v>
      </c>
      <c r="G4771" s="7">
        <v>85916</v>
      </c>
      <c r="H4771" s="7">
        <f t="shared" si="121"/>
        <v>42886.17</v>
      </c>
      <c r="I4771" s="15"/>
    </row>
    <row r="4772" spans="1:9" s="8" customFormat="1" ht="21" customHeight="1" x14ac:dyDescent="0.6">
      <c r="A4772" s="7">
        <v>24.7180906</v>
      </c>
      <c r="B4772" s="7">
        <v>34.753379000000002</v>
      </c>
      <c r="C4772" s="7">
        <v>677352.67</v>
      </c>
      <c r="D4772" s="7">
        <v>2734867.89</v>
      </c>
      <c r="E4772" s="7">
        <v>480.7</v>
      </c>
      <c r="F4772" s="7">
        <v>43002.63</v>
      </c>
      <c r="G4772" s="7">
        <v>85918</v>
      </c>
      <c r="H4772" s="7">
        <f t="shared" si="121"/>
        <v>42952.63</v>
      </c>
      <c r="I4772" s="15"/>
    </row>
    <row r="4773" spans="1:9" s="8" customFormat="1" ht="21" customHeight="1" x14ac:dyDescent="0.6">
      <c r="A4773" s="7">
        <v>24.718108999999998</v>
      </c>
      <c r="B4773" s="7">
        <v>34.753367300000001</v>
      </c>
      <c r="C4773" s="7">
        <v>677351.46</v>
      </c>
      <c r="D4773" s="7">
        <v>2734869.91</v>
      </c>
      <c r="E4773" s="7">
        <v>480.82</v>
      </c>
      <c r="F4773" s="7">
        <v>42975.71</v>
      </c>
      <c r="G4773" s="7">
        <v>85920</v>
      </c>
      <c r="H4773" s="7">
        <f t="shared" si="121"/>
        <v>42925.71</v>
      </c>
      <c r="I4773" s="15"/>
    </row>
    <row r="4774" spans="1:9" s="8" customFormat="1" ht="21" customHeight="1" x14ac:dyDescent="0.6">
      <c r="A4774" s="7">
        <v>24.7181262</v>
      </c>
      <c r="B4774" s="7">
        <v>34.753355800000001</v>
      </c>
      <c r="C4774" s="7">
        <v>677350.26</v>
      </c>
      <c r="D4774" s="7">
        <v>2734871.81</v>
      </c>
      <c r="E4774" s="7">
        <v>480.7</v>
      </c>
      <c r="F4774" s="7">
        <v>42969.75</v>
      </c>
      <c r="G4774" s="7">
        <v>85922</v>
      </c>
      <c r="H4774" s="7">
        <f t="shared" si="121"/>
        <v>42919.75</v>
      </c>
      <c r="I4774" s="15"/>
    </row>
    <row r="4775" spans="1:9" s="8" customFormat="1" ht="21" customHeight="1" x14ac:dyDescent="0.6">
      <c r="A4775" s="7">
        <v>24.718150000000001</v>
      </c>
      <c r="B4775" s="7">
        <v>34.7533411</v>
      </c>
      <c r="C4775" s="7">
        <v>677348.75</v>
      </c>
      <c r="D4775" s="7">
        <v>2734874.42</v>
      </c>
      <c r="E4775" s="7">
        <v>480.66</v>
      </c>
      <c r="F4775" s="7">
        <v>43005.3</v>
      </c>
      <c r="G4775" s="7">
        <v>85924</v>
      </c>
      <c r="H4775" s="7">
        <f t="shared" si="121"/>
        <v>42955.3</v>
      </c>
      <c r="I4775" s="15"/>
    </row>
    <row r="4776" spans="1:9" s="8" customFormat="1" ht="21" customHeight="1" x14ac:dyDescent="0.6">
      <c r="A4776" s="7">
        <v>24.7181642</v>
      </c>
      <c r="B4776" s="7">
        <v>34.753328199999999</v>
      </c>
      <c r="C4776" s="7">
        <v>677347.42</v>
      </c>
      <c r="D4776" s="7">
        <v>2734875.98</v>
      </c>
      <c r="E4776" s="7">
        <v>481.01</v>
      </c>
      <c r="F4776" s="7">
        <v>42950.35</v>
      </c>
      <c r="G4776" s="7">
        <v>85926</v>
      </c>
      <c r="H4776" s="7">
        <f t="shared" si="121"/>
        <v>42900.35</v>
      </c>
      <c r="I4776" s="15"/>
    </row>
    <row r="4777" spans="1:9" s="8" customFormat="1" ht="21" customHeight="1" x14ac:dyDescent="0.6">
      <c r="A4777" s="7">
        <v>24.7181821</v>
      </c>
      <c r="B4777" s="7">
        <v>34.753314699999997</v>
      </c>
      <c r="C4777" s="7">
        <v>677346.03</v>
      </c>
      <c r="D4777" s="7">
        <v>2734877.94</v>
      </c>
      <c r="E4777" s="7">
        <v>480.97</v>
      </c>
      <c r="F4777" s="7">
        <v>42884.55</v>
      </c>
      <c r="G4777" s="7">
        <v>85928</v>
      </c>
      <c r="H4777" s="7">
        <f t="shared" si="121"/>
        <v>42834.55</v>
      </c>
      <c r="I4777" s="15"/>
    </row>
    <row r="4778" spans="1:9" s="8" customFormat="1" ht="21" customHeight="1" x14ac:dyDescent="0.6">
      <c r="A4778" s="7">
        <v>24.718205300000001</v>
      </c>
      <c r="B4778" s="7">
        <v>34.7533016</v>
      </c>
      <c r="C4778" s="7">
        <v>677344.67</v>
      </c>
      <c r="D4778" s="7">
        <v>2734880.5</v>
      </c>
      <c r="E4778" s="7">
        <v>480.9</v>
      </c>
      <c r="F4778" s="7">
        <v>42872.89</v>
      </c>
      <c r="G4778" s="7">
        <v>85930</v>
      </c>
      <c r="H4778" s="7">
        <f t="shared" si="121"/>
        <v>42822.89</v>
      </c>
      <c r="I4778" s="15"/>
    </row>
    <row r="4779" spans="1:9" s="8" customFormat="1" ht="21" customHeight="1" x14ac:dyDescent="0.6">
      <c r="A4779" s="7">
        <v>24.718220599999999</v>
      </c>
      <c r="B4779" s="7">
        <v>34.753284800000003</v>
      </c>
      <c r="C4779" s="7">
        <v>677342.95</v>
      </c>
      <c r="D4779" s="7">
        <v>2734882.17</v>
      </c>
      <c r="E4779" s="7">
        <v>480.89</v>
      </c>
      <c r="F4779" s="7">
        <v>42901.61</v>
      </c>
      <c r="G4779" s="7">
        <v>85932</v>
      </c>
      <c r="H4779" s="7">
        <f t="shared" si="121"/>
        <v>42851.61</v>
      </c>
      <c r="I4779" s="15"/>
    </row>
    <row r="4780" spans="1:9" s="8" customFormat="1" ht="21" customHeight="1" x14ac:dyDescent="0.6">
      <c r="A4780" s="7">
        <v>24.718240699999999</v>
      </c>
      <c r="B4780" s="7">
        <v>34.753268800000001</v>
      </c>
      <c r="C4780" s="7">
        <v>677341.3</v>
      </c>
      <c r="D4780" s="7">
        <v>2734884.37</v>
      </c>
      <c r="E4780" s="7">
        <v>480.87</v>
      </c>
      <c r="F4780" s="7">
        <v>42979.35</v>
      </c>
      <c r="G4780" s="7">
        <v>85934</v>
      </c>
      <c r="H4780" s="7">
        <f t="shared" si="121"/>
        <v>42929.35</v>
      </c>
      <c r="I4780" s="15"/>
    </row>
    <row r="4781" spans="1:9" s="8" customFormat="1" ht="21" customHeight="1" x14ac:dyDescent="0.6">
      <c r="A4781" s="7">
        <v>24.718250600000001</v>
      </c>
      <c r="B4781" s="7">
        <v>34.753249799999999</v>
      </c>
      <c r="C4781" s="7">
        <v>677339.36</v>
      </c>
      <c r="D4781" s="7">
        <v>2734885.44</v>
      </c>
      <c r="E4781" s="7">
        <v>481</v>
      </c>
      <c r="F4781" s="7">
        <v>43065.279999999999</v>
      </c>
      <c r="G4781" s="7">
        <v>85936</v>
      </c>
      <c r="H4781" s="7">
        <f t="shared" si="121"/>
        <v>43015.28</v>
      </c>
      <c r="I4781" s="15"/>
    </row>
    <row r="4782" spans="1:9" s="8" customFormat="1" ht="21" customHeight="1" x14ac:dyDescent="0.6">
      <c r="A4782" s="7">
        <v>24.7182599</v>
      </c>
      <c r="B4782" s="7">
        <v>34.753229900000001</v>
      </c>
      <c r="C4782" s="7">
        <v>677337.34</v>
      </c>
      <c r="D4782" s="7">
        <v>2734886.45</v>
      </c>
      <c r="E4782" s="7">
        <v>480.84</v>
      </c>
      <c r="F4782" s="7">
        <v>43087.57</v>
      </c>
      <c r="G4782" s="7">
        <v>85938</v>
      </c>
      <c r="H4782" s="7">
        <f t="shared" si="121"/>
        <v>43037.57</v>
      </c>
      <c r="I4782" s="15"/>
    </row>
    <row r="4783" spans="1:9" s="8" customFormat="1" ht="21" customHeight="1" x14ac:dyDescent="0.6">
      <c r="A4783" s="7">
        <v>24.718270700000001</v>
      </c>
      <c r="B4783" s="7">
        <v>34.753212499999997</v>
      </c>
      <c r="C4783" s="7">
        <v>677335.57</v>
      </c>
      <c r="D4783" s="7">
        <v>2734887.62</v>
      </c>
      <c r="E4783" s="7">
        <v>480.93</v>
      </c>
      <c r="F4783" s="7">
        <v>43072.94</v>
      </c>
      <c r="G4783" s="7">
        <v>85940</v>
      </c>
      <c r="H4783" s="7">
        <f t="shared" si="121"/>
        <v>43022.94</v>
      </c>
      <c r="I4783" s="15"/>
    </row>
    <row r="4784" spans="1:9" s="8" customFormat="1" ht="21" customHeight="1" x14ac:dyDescent="0.6">
      <c r="A4784" s="7">
        <v>24.718290400000001</v>
      </c>
      <c r="B4784" s="7">
        <v>34.753195099999999</v>
      </c>
      <c r="C4784" s="7">
        <v>677333.78</v>
      </c>
      <c r="D4784" s="7">
        <v>2734889.78</v>
      </c>
      <c r="E4784" s="7">
        <v>480.76</v>
      </c>
      <c r="F4784" s="7">
        <v>43002.6</v>
      </c>
      <c r="G4784" s="7">
        <v>85942</v>
      </c>
      <c r="H4784" s="7">
        <f t="shared" si="121"/>
        <v>42952.6</v>
      </c>
      <c r="I4784" s="15"/>
    </row>
    <row r="4785" spans="1:9" s="8" customFormat="1" ht="21" customHeight="1" x14ac:dyDescent="0.6">
      <c r="A4785" s="7">
        <v>24.7182998</v>
      </c>
      <c r="B4785" s="7">
        <v>34.753171999999999</v>
      </c>
      <c r="C4785" s="7">
        <v>677331.43</v>
      </c>
      <c r="D4785" s="7">
        <v>2734890.79</v>
      </c>
      <c r="E4785" s="7">
        <v>480.61</v>
      </c>
      <c r="F4785" s="7">
        <v>43057.57</v>
      </c>
      <c r="G4785" s="7">
        <v>85944</v>
      </c>
      <c r="H4785" s="7">
        <f t="shared" si="121"/>
        <v>43007.57</v>
      </c>
      <c r="I4785" s="15"/>
    </row>
    <row r="4786" spans="1:9" s="8" customFormat="1" ht="21" customHeight="1" x14ac:dyDescent="0.6">
      <c r="A4786" s="7">
        <v>24.718310599999999</v>
      </c>
      <c r="B4786" s="7">
        <v>34.753152300000004</v>
      </c>
      <c r="C4786" s="7">
        <v>677329.41</v>
      </c>
      <c r="D4786" s="7">
        <v>2734891.97</v>
      </c>
      <c r="E4786" s="7">
        <v>480.62</v>
      </c>
      <c r="F4786" s="7">
        <v>43139.92</v>
      </c>
      <c r="G4786" s="7">
        <v>85946</v>
      </c>
      <c r="H4786" s="7">
        <f t="shared" si="121"/>
        <v>43089.919999999998</v>
      </c>
      <c r="I4786" s="15"/>
    </row>
    <row r="4787" spans="1:9" s="8" customFormat="1" ht="21" customHeight="1" x14ac:dyDescent="0.6">
      <c r="A4787" s="7">
        <v>24.718322499999999</v>
      </c>
      <c r="B4787" s="7">
        <v>34.7531325</v>
      </c>
      <c r="C4787" s="7">
        <v>677327.4</v>
      </c>
      <c r="D4787" s="7">
        <v>2734893.25</v>
      </c>
      <c r="E4787" s="7">
        <v>480.62</v>
      </c>
      <c r="F4787" s="7">
        <v>43208.47</v>
      </c>
      <c r="G4787" s="7">
        <v>85948</v>
      </c>
      <c r="H4787" s="7">
        <f t="shared" si="121"/>
        <v>43158.47</v>
      </c>
      <c r="I4787" s="15"/>
    </row>
    <row r="4788" spans="1:9" s="8" customFormat="1" ht="21" customHeight="1" x14ac:dyDescent="0.6">
      <c r="A4788" s="7">
        <v>24.718332499999999</v>
      </c>
      <c r="B4788" s="7">
        <v>34.753111099999998</v>
      </c>
      <c r="C4788" s="7">
        <v>677325.22</v>
      </c>
      <c r="D4788" s="7">
        <v>2734894.34</v>
      </c>
      <c r="E4788" s="7">
        <v>480.72</v>
      </c>
      <c r="F4788" s="7">
        <v>43261.54</v>
      </c>
      <c r="G4788" s="7">
        <v>85950</v>
      </c>
      <c r="H4788" s="7">
        <f t="shared" si="121"/>
        <v>43211.54</v>
      </c>
      <c r="I4788" s="15"/>
    </row>
    <row r="4789" spans="1:9" s="8" customFormat="1" ht="21" customHeight="1" x14ac:dyDescent="0.6">
      <c r="A4789" s="7">
        <v>24.7183417</v>
      </c>
      <c r="B4789" s="7">
        <v>34.753087800000003</v>
      </c>
      <c r="C4789" s="7">
        <v>677322.85</v>
      </c>
      <c r="D4789" s="7">
        <v>2734895.32</v>
      </c>
      <c r="E4789" s="7">
        <v>480.95</v>
      </c>
      <c r="F4789" s="7">
        <v>43333.45</v>
      </c>
      <c r="G4789" s="7">
        <v>85952</v>
      </c>
      <c r="H4789" s="7">
        <f t="shared" si="121"/>
        <v>43283.45</v>
      </c>
      <c r="I4789" s="15"/>
    </row>
    <row r="4790" spans="1:9" s="8" customFormat="1" ht="21" customHeight="1" x14ac:dyDescent="0.6">
      <c r="A4790" s="7">
        <v>24.718351599999998</v>
      </c>
      <c r="B4790" s="7">
        <v>34.753068599999999</v>
      </c>
      <c r="C4790" s="7">
        <v>677320.89</v>
      </c>
      <c r="D4790" s="7">
        <v>2734896.4</v>
      </c>
      <c r="E4790" s="7">
        <v>481.29</v>
      </c>
      <c r="F4790" s="7">
        <v>43384.7</v>
      </c>
      <c r="G4790" s="7">
        <v>85954</v>
      </c>
      <c r="H4790" s="7">
        <f t="shared" si="121"/>
        <v>43334.7</v>
      </c>
      <c r="I4790" s="15"/>
    </row>
    <row r="4791" spans="1:9" s="8" customFormat="1" ht="21" customHeight="1" x14ac:dyDescent="0.6">
      <c r="A4791" s="7">
        <v>24.718357099999999</v>
      </c>
      <c r="B4791" s="7">
        <v>34.753056899999997</v>
      </c>
      <c r="C4791" s="7">
        <v>677319.7</v>
      </c>
      <c r="D4791" s="7">
        <v>2734896.99</v>
      </c>
      <c r="E4791" s="7">
        <v>481.36</v>
      </c>
      <c r="F4791" s="7">
        <v>43414.38</v>
      </c>
      <c r="G4791" s="7">
        <v>85956</v>
      </c>
      <c r="H4791" s="7">
        <f t="shared" si="121"/>
        <v>43364.38</v>
      </c>
      <c r="I4791" s="15"/>
    </row>
    <row r="4792" spans="1:9" s="8" customFormat="1" ht="21" customHeight="1" x14ac:dyDescent="0.6">
      <c r="A4792" s="7">
        <v>24.7183639</v>
      </c>
      <c r="B4792" s="7">
        <v>34.753038500000002</v>
      </c>
      <c r="C4792" s="7">
        <v>677317.83</v>
      </c>
      <c r="D4792" s="7">
        <v>2734897.72</v>
      </c>
      <c r="E4792" s="7">
        <v>481.68</v>
      </c>
      <c r="F4792" s="7">
        <v>43560.28</v>
      </c>
      <c r="G4792" s="7">
        <v>85958</v>
      </c>
      <c r="H4792" s="7">
        <f t="shared" si="121"/>
        <v>43510.28</v>
      </c>
      <c r="I4792" s="15"/>
    </row>
    <row r="4793" spans="1:9" s="8" customFormat="1" ht="21" customHeight="1" x14ac:dyDescent="0.6">
      <c r="A4793" s="7">
        <v>24.718364999999999</v>
      </c>
      <c r="B4793" s="7">
        <v>34.753022600000001</v>
      </c>
      <c r="C4793" s="7">
        <v>677316.22</v>
      </c>
      <c r="D4793" s="7">
        <v>2734897.82</v>
      </c>
      <c r="E4793" s="7">
        <v>481.74</v>
      </c>
      <c r="F4793" s="7">
        <v>43609.15</v>
      </c>
      <c r="G4793" s="7">
        <v>90000</v>
      </c>
      <c r="H4793" s="7">
        <f t="shared" si="121"/>
        <v>43559.15</v>
      </c>
      <c r="I4793" s="15"/>
    </row>
    <row r="4794" spans="1:9" s="8" customFormat="1" ht="21" customHeight="1" x14ac:dyDescent="0.6">
      <c r="A4794" s="7">
        <v>24.718368900000002</v>
      </c>
      <c r="B4794" s="7">
        <v>34.752996799999998</v>
      </c>
      <c r="C4794" s="7">
        <v>677313.6</v>
      </c>
      <c r="D4794" s="7">
        <v>2734898.21</v>
      </c>
      <c r="E4794" s="7">
        <v>481.42</v>
      </c>
      <c r="F4794" s="7">
        <v>43636.65</v>
      </c>
      <c r="G4794" s="7">
        <v>90002</v>
      </c>
      <c r="H4794" s="7">
        <f t="shared" si="121"/>
        <v>43586.65</v>
      </c>
      <c r="I4794" s="15"/>
    </row>
    <row r="4795" spans="1:9" s="8" customFormat="1" ht="21" customHeight="1" x14ac:dyDescent="0.6">
      <c r="A4795" s="7">
        <v>24.718364699999999</v>
      </c>
      <c r="B4795" s="7">
        <v>34.752972300000003</v>
      </c>
      <c r="C4795" s="7">
        <v>677311.13</v>
      </c>
      <c r="D4795" s="7">
        <v>2734897.72</v>
      </c>
      <c r="E4795" s="7">
        <v>480.9</v>
      </c>
      <c r="F4795" s="7">
        <v>43697</v>
      </c>
      <c r="G4795" s="7">
        <v>90004</v>
      </c>
      <c r="H4795" s="7">
        <f t="shared" si="121"/>
        <v>43647</v>
      </c>
      <c r="I4795" s="15"/>
    </row>
    <row r="4796" spans="1:9" s="8" customFormat="1" ht="21" customHeight="1" x14ac:dyDescent="0.6">
      <c r="A4796" s="7">
        <v>24.7183475</v>
      </c>
      <c r="B4796" s="7">
        <v>34.752955800000002</v>
      </c>
      <c r="C4796" s="7">
        <v>677309.48</v>
      </c>
      <c r="D4796" s="7">
        <v>2734895.79</v>
      </c>
      <c r="E4796" s="7">
        <v>480.22</v>
      </c>
      <c r="F4796" s="7">
        <v>43636.03</v>
      </c>
      <c r="G4796" s="7">
        <v>90006</v>
      </c>
      <c r="H4796" s="7">
        <f t="shared" si="121"/>
        <v>43586.03</v>
      </c>
      <c r="I4796" s="15"/>
    </row>
    <row r="4797" spans="1:9" s="8" customFormat="1" ht="21" customHeight="1" x14ac:dyDescent="0.6">
      <c r="A4797" s="7">
        <v>24.718329600000001</v>
      </c>
      <c r="B4797" s="7">
        <v>34.752932199999996</v>
      </c>
      <c r="C4797" s="7">
        <v>677307.13</v>
      </c>
      <c r="D4797" s="7">
        <v>2734893.78</v>
      </c>
      <c r="E4797" s="7">
        <v>479.41</v>
      </c>
      <c r="F4797" s="7">
        <v>43559</v>
      </c>
      <c r="G4797" s="7">
        <v>90008</v>
      </c>
      <c r="H4797" s="7">
        <f t="shared" si="121"/>
        <v>43509</v>
      </c>
      <c r="I4797" s="15"/>
    </row>
    <row r="4798" spans="1:9" s="8" customFormat="1" ht="21" customHeight="1" x14ac:dyDescent="0.6">
      <c r="A4798" s="7">
        <v>24.718320599999998</v>
      </c>
      <c r="B4798" s="7">
        <v>34.752903600000003</v>
      </c>
      <c r="C4798" s="7">
        <v>677304.24</v>
      </c>
      <c r="D4798" s="7">
        <v>2734892.75</v>
      </c>
      <c r="E4798" s="7">
        <v>478.9</v>
      </c>
      <c r="F4798" s="7">
        <v>43593.37</v>
      </c>
      <c r="G4798" s="7">
        <v>90010</v>
      </c>
      <c r="H4798" s="7">
        <f t="shared" si="121"/>
        <v>43543.37</v>
      </c>
      <c r="I4798" s="15"/>
    </row>
    <row r="4799" spans="1:9" s="8" customFormat="1" ht="21" customHeight="1" x14ac:dyDescent="0.6">
      <c r="A4799" s="7">
        <v>24.718311100000001</v>
      </c>
      <c r="B4799" s="7">
        <v>34.752868499999998</v>
      </c>
      <c r="C4799" s="7">
        <v>677300.7</v>
      </c>
      <c r="D4799" s="7">
        <v>2734891.65</v>
      </c>
      <c r="E4799" s="7">
        <v>478.73</v>
      </c>
      <c r="F4799" s="7">
        <v>43702.8</v>
      </c>
      <c r="G4799" s="7">
        <v>90012</v>
      </c>
      <c r="H4799" s="7">
        <f t="shared" si="121"/>
        <v>43652.800000000003</v>
      </c>
      <c r="I4799" s="15"/>
    </row>
    <row r="4800" spans="1:9" s="8" customFormat="1" ht="21" customHeight="1" x14ac:dyDescent="0.6">
      <c r="A4800" s="7">
        <v>24.718311</v>
      </c>
      <c r="B4800" s="7">
        <v>34.752839700000003</v>
      </c>
      <c r="C4800" s="7">
        <v>677297.79</v>
      </c>
      <c r="D4800" s="7">
        <v>2734891.6</v>
      </c>
      <c r="E4800" s="7">
        <v>478.59</v>
      </c>
      <c r="F4800" s="7">
        <v>43748.74</v>
      </c>
      <c r="G4800" s="7">
        <v>90014</v>
      </c>
      <c r="H4800" s="7">
        <f t="shared" si="121"/>
        <v>43698.74</v>
      </c>
      <c r="I4800" s="15"/>
    </row>
    <row r="4801" spans="1:9" s="8" customFormat="1" ht="21" customHeight="1" x14ac:dyDescent="0.6">
      <c r="A4801" s="7">
        <v>24.718314400000001</v>
      </c>
      <c r="B4801" s="7">
        <v>34.752811899999998</v>
      </c>
      <c r="C4801" s="7">
        <v>677294.98</v>
      </c>
      <c r="D4801" s="7">
        <v>2734891.95</v>
      </c>
      <c r="E4801" s="7">
        <v>478.6</v>
      </c>
      <c r="F4801" s="7">
        <v>43818.64</v>
      </c>
      <c r="G4801" s="7">
        <v>90016</v>
      </c>
      <c r="H4801" s="7">
        <f t="shared" si="121"/>
        <v>43768.639999999999</v>
      </c>
      <c r="I4801" s="15"/>
    </row>
    <row r="4802" spans="1:9" s="8" customFormat="1" ht="21" customHeight="1" x14ac:dyDescent="0.6">
      <c r="A4802" s="7">
        <v>24.718317800000001</v>
      </c>
      <c r="B4802" s="7">
        <v>34.752783299999997</v>
      </c>
      <c r="C4802" s="7">
        <v>677292.08</v>
      </c>
      <c r="D4802" s="7">
        <v>2734892.28</v>
      </c>
      <c r="E4802" s="7">
        <v>478.42</v>
      </c>
      <c r="F4802" s="7">
        <v>43824.57</v>
      </c>
      <c r="G4802" s="7">
        <v>90018</v>
      </c>
      <c r="H4802" s="7">
        <f t="shared" si="121"/>
        <v>43774.57</v>
      </c>
      <c r="I4802" s="15"/>
    </row>
    <row r="4803" spans="1:9" s="8" customFormat="1" ht="21" customHeight="1" x14ac:dyDescent="0.6">
      <c r="A4803" s="7">
        <v>24.718324200000001</v>
      </c>
      <c r="B4803" s="7">
        <v>34.752755700000002</v>
      </c>
      <c r="C4803" s="7">
        <v>677289.28</v>
      </c>
      <c r="D4803" s="7">
        <v>2734892.95</v>
      </c>
      <c r="E4803" s="7">
        <v>478.23</v>
      </c>
      <c r="F4803" s="7">
        <v>43900.25</v>
      </c>
      <c r="G4803" s="7">
        <v>90020</v>
      </c>
      <c r="H4803" s="7">
        <f t="shared" si="121"/>
        <v>43850.25</v>
      </c>
      <c r="I4803" s="15"/>
    </row>
    <row r="4804" spans="1:9" s="8" customFormat="1" ht="21" customHeight="1" x14ac:dyDescent="0.6">
      <c r="A4804" s="7">
        <v>24.718326000000001</v>
      </c>
      <c r="B4804" s="7">
        <v>34.752727399999998</v>
      </c>
      <c r="C4804" s="7">
        <v>677286.41</v>
      </c>
      <c r="D4804" s="7">
        <v>2734893.12</v>
      </c>
      <c r="E4804" s="7">
        <v>478.03</v>
      </c>
      <c r="F4804" s="7">
        <v>43975.040000000001</v>
      </c>
      <c r="G4804" s="7">
        <v>90022</v>
      </c>
      <c r="H4804" s="7">
        <f t="shared" si="121"/>
        <v>43925.04</v>
      </c>
      <c r="I4804" s="15"/>
    </row>
    <row r="4805" spans="1:9" s="8" customFormat="1" ht="21" customHeight="1" x14ac:dyDescent="0.6">
      <c r="A4805" s="7">
        <v>24.7183238</v>
      </c>
      <c r="B4805" s="7">
        <v>34.752697099999999</v>
      </c>
      <c r="C4805" s="7">
        <v>677283.35</v>
      </c>
      <c r="D4805" s="7">
        <v>2734892.84</v>
      </c>
      <c r="E4805" s="7">
        <v>477.93</v>
      </c>
      <c r="F4805" s="7">
        <v>43946.97</v>
      </c>
      <c r="G4805" s="7">
        <v>90024</v>
      </c>
      <c r="H4805" s="7">
        <f t="shared" si="121"/>
        <v>43896.97</v>
      </c>
      <c r="I4805" s="15"/>
    </row>
    <row r="4806" spans="1:9" s="8" customFormat="1" ht="21" customHeight="1" x14ac:dyDescent="0.6">
      <c r="A4806" s="7">
        <v>24.718325</v>
      </c>
      <c r="B4806" s="7">
        <v>34.752668499999999</v>
      </c>
      <c r="C4806" s="7">
        <v>677280.45</v>
      </c>
      <c r="D4806" s="7">
        <v>2734892.93</v>
      </c>
      <c r="E4806" s="7">
        <v>477.93</v>
      </c>
      <c r="F4806" s="7">
        <v>43963.97</v>
      </c>
      <c r="G4806" s="7">
        <v>90026</v>
      </c>
      <c r="H4806" s="7">
        <f t="shared" si="121"/>
        <v>43913.97</v>
      </c>
      <c r="I4806" s="15"/>
    </row>
    <row r="4807" spans="1:9" s="8" customFormat="1" ht="21" customHeight="1" x14ac:dyDescent="0.6">
      <c r="A4807" s="7">
        <v>24.718330900000002</v>
      </c>
      <c r="B4807" s="7">
        <v>34.752640999999997</v>
      </c>
      <c r="C4807" s="7">
        <v>677277.66</v>
      </c>
      <c r="D4807" s="7">
        <v>2734893.55</v>
      </c>
      <c r="E4807" s="7">
        <v>477.93</v>
      </c>
      <c r="F4807" s="7">
        <v>43987.19</v>
      </c>
      <c r="G4807" s="7">
        <v>90028</v>
      </c>
      <c r="H4807" s="7">
        <f t="shared" si="121"/>
        <v>43937.19</v>
      </c>
      <c r="I4807" s="15"/>
    </row>
    <row r="4808" spans="1:9" s="8" customFormat="1" ht="21" customHeight="1" x14ac:dyDescent="0.6">
      <c r="A4808" s="7">
        <v>24.7183323</v>
      </c>
      <c r="B4808" s="7">
        <v>34.752613400000001</v>
      </c>
      <c r="C4808" s="7">
        <v>677274.87</v>
      </c>
      <c r="D4808" s="7">
        <v>2734893.67</v>
      </c>
      <c r="E4808" s="7">
        <v>477.84</v>
      </c>
      <c r="F4808" s="7">
        <v>43985.88</v>
      </c>
      <c r="G4808" s="7">
        <v>90030</v>
      </c>
      <c r="H4808" s="7">
        <f t="shared" si="121"/>
        <v>43935.88</v>
      </c>
      <c r="I4808" s="15"/>
    </row>
    <row r="4809" spans="1:9" s="8" customFormat="1" ht="21" customHeight="1" x14ac:dyDescent="0.6">
      <c r="A4809" s="7">
        <v>24.718334899999999</v>
      </c>
      <c r="B4809" s="7">
        <v>34.752586100000002</v>
      </c>
      <c r="C4809" s="7">
        <v>677272.1</v>
      </c>
      <c r="D4809" s="7">
        <v>2734893.92</v>
      </c>
      <c r="E4809" s="7">
        <v>477.61</v>
      </c>
      <c r="F4809" s="7">
        <v>43953.57</v>
      </c>
      <c r="G4809" s="7">
        <v>90032</v>
      </c>
      <c r="H4809" s="7">
        <f t="shared" si="121"/>
        <v>43903.57</v>
      </c>
      <c r="I4809" s="15"/>
    </row>
    <row r="4810" spans="1:9" s="8" customFormat="1" ht="21" customHeight="1" x14ac:dyDescent="0.6">
      <c r="A4810" s="7">
        <v>24.7183353</v>
      </c>
      <c r="B4810" s="7">
        <v>34.752557000000003</v>
      </c>
      <c r="C4810" s="7">
        <v>677269.15</v>
      </c>
      <c r="D4810" s="7">
        <v>2734893.93</v>
      </c>
      <c r="E4810" s="7">
        <v>477.38</v>
      </c>
      <c r="F4810" s="7">
        <v>43927.8</v>
      </c>
      <c r="G4810" s="7">
        <v>90034</v>
      </c>
      <c r="H4810" s="7">
        <f t="shared" si="121"/>
        <v>43877.8</v>
      </c>
      <c r="I4810" s="15"/>
    </row>
    <row r="4811" spans="1:9" s="8" customFormat="1" ht="21" customHeight="1" x14ac:dyDescent="0.6">
      <c r="A4811" s="7">
        <v>24.718334800000001</v>
      </c>
      <c r="B4811" s="7">
        <v>34.752530499999999</v>
      </c>
      <c r="C4811" s="7">
        <v>677266.48</v>
      </c>
      <c r="D4811" s="7">
        <v>2734893.84</v>
      </c>
      <c r="E4811" s="7">
        <v>477.36</v>
      </c>
      <c r="F4811" s="7">
        <v>43903.19</v>
      </c>
      <c r="G4811" s="7">
        <v>90036</v>
      </c>
      <c r="H4811" s="7">
        <f t="shared" si="121"/>
        <v>43853.19</v>
      </c>
      <c r="I4811" s="15"/>
    </row>
    <row r="4812" spans="1:9" s="8" customFormat="1" ht="21" customHeight="1" x14ac:dyDescent="0.6">
      <c r="A4812" s="7">
        <v>24.718333900000001</v>
      </c>
      <c r="B4812" s="7">
        <v>34.7525032</v>
      </c>
      <c r="C4812" s="7">
        <v>677263.72</v>
      </c>
      <c r="D4812" s="7">
        <v>2734893.71</v>
      </c>
      <c r="E4812" s="7">
        <v>477.24</v>
      </c>
      <c r="F4812" s="7">
        <v>43846.79</v>
      </c>
      <c r="G4812" s="7">
        <v>90038</v>
      </c>
      <c r="H4812" s="7">
        <f t="shared" si="121"/>
        <v>43796.79</v>
      </c>
      <c r="I4812" s="15"/>
    </row>
    <row r="4813" spans="1:9" s="8" customFormat="1" ht="21" customHeight="1" x14ac:dyDescent="0.6">
      <c r="A4813" s="7">
        <v>24.718338899999999</v>
      </c>
      <c r="B4813" s="7">
        <v>34.752475500000003</v>
      </c>
      <c r="C4813" s="7">
        <v>677260.9</v>
      </c>
      <c r="D4813" s="7">
        <v>2734894.23</v>
      </c>
      <c r="E4813" s="7">
        <v>477.22</v>
      </c>
      <c r="F4813" s="7">
        <v>43834.47</v>
      </c>
      <c r="G4813" s="7">
        <v>90040</v>
      </c>
      <c r="H4813" s="7">
        <f t="shared" si="121"/>
        <v>43784.47</v>
      </c>
      <c r="I4813" s="15"/>
    </row>
    <row r="4814" spans="1:9" s="8" customFormat="1" ht="21" customHeight="1" x14ac:dyDescent="0.6">
      <c r="A4814" s="7">
        <v>24.718348200000001</v>
      </c>
      <c r="B4814" s="7">
        <v>34.752451700000002</v>
      </c>
      <c r="C4814" s="7">
        <v>677258.49</v>
      </c>
      <c r="D4814" s="7">
        <v>2734895.22</v>
      </c>
      <c r="E4814" s="7">
        <v>477.27</v>
      </c>
      <c r="F4814" s="7">
        <v>43827.55</v>
      </c>
      <c r="G4814" s="7">
        <v>90042</v>
      </c>
      <c r="H4814" s="7">
        <f t="shared" si="121"/>
        <v>43777.55</v>
      </c>
      <c r="I4814" s="15"/>
    </row>
    <row r="4815" spans="1:9" s="8" customFormat="1" ht="21" customHeight="1" x14ac:dyDescent="0.6">
      <c r="A4815" s="7">
        <v>24.718359299999999</v>
      </c>
      <c r="B4815" s="7">
        <v>34.752426</v>
      </c>
      <c r="C4815" s="7">
        <v>677255.87</v>
      </c>
      <c r="D4815" s="7">
        <v>2734896.42</v>
      </c>
      <c r="E4815" s="7">
        <v>477.13</v>
      </c>
      <c r="F4815" s="7">
        <v>43839.51</v>
      </c>
      <c r="G4815" s="7">
        <v>90044</v>
      </c>
      <c r="H4815" s="7">
        <f t="shared" si="121"/>
        <v>43789.51</v>
      </c>
      <c r="I4815" s="15"/>
    </row>
    <row r="4816" spans="1:9" s="8" customFormat="1" ht="21" customHeight="1" x14ac:dyDescent="0.6">
      <c r="A4816" s="7">
        <v>24.718366100000001</v>
      </c>
      <c r="B4816" s="7">
        <v>34.752400700000003</v>
      </c>
      <c r="C4816" s="7">
        <v>677253.3</v>
      </c>
      <c r="D4816" s="7">
        <v>2734897.14</v>
      </c>
      <c r="E4816" s="7">
        <v>476.98</v>
      </c>
      <c r="F4816" s="7">
        <v>43851.1</v>
      </c>
      <c r="G4816" s="7">
        <v>90046</v>
      </c>
      <c r="H4816" s="7">
        <f t="shared" si="121"/>
        <v>43801.1</v>
      </c>
      <c r="I4816" s="15"/>
    </row>
    <row r="4817" spans="1:9" s="8" customFormat="1" ht="21" customHeight="1" x14ac:dyDescent="0.6">
      <c r="A4817" s="7">
        <v>24.718370700000001</v>
      </c>
      <c r="B4817" s="7">
        <v>34.752373200000001</v>
      </c>
      <c r="C4817" s="7">
        <v>677250.51</v>
      </c>
      <c r="D4817" s="7">
        <v>2734897.61</v>
      </c>
      <c r="E4817" s="7">
        <v>476.74</v>
      </c>
      <c r="F4817" s="7">
        <v>43832.35</v>
      </c>
      <c r="G4817" s="7">
        <v>90048</v>
      </c>
      <c r="H4817" s="7">
        <f t="shared" si="121"/>
        <v>43782.35</v>
      </c>
      <c r="I4817" s="15"/>
    </row>
    <row r="4818" spans="1:9" s="8" customFormat="1" ht="21" customHeight="1" x14ac:dyDescent="0.6">
      <c r="A4818" s="7">
        <v>24.7183718</v>
      </c>
      <c r="B4818" s="7">
        <v>34.752346299999999</v>
      </c>
      <c r="C4818" s="7">
        <v>677247.79</v>
      </c>
      <c r="D4818" s="7">
        <v>2734897.7</v>
      </c>
      <c r="E4818" s="7">
        <v>476.61</v>
      </c>
      <c r="F4818" s="7">
        <v>43786.44</v>
      </c>
      <c r="G4818" s="7">
        <v>90050</v>
      </c>
      <c r="H4818" s="7">
        <f t="shared" si="121"/>
        <v>43736.44</v>
      </c>
      <c r="I4818" s="15"/>
    </row>
    <row r="4819" spans="1:9" s="8" customFormat="1" ht="21" customHeight="1" x14ac:dyDescent="0.6">
      <c r="A4819" s="7">
        <v>24.718380499999999</v>
      </c>
      <c r="B4819" s="7">
        <v>34.752319399999998</v>
      </c>
      <c r="C4819" s="7">
        <v>677245.05</v>
      </c>
      <c r="D4819" s="7">
        <v>2734898.63</v>
      </c>
      <c r="E4819" s="7">
        <v>476.43</v>
      </c>
      <c r="F4819" s="7">
        <v>43830.15</v>
      </c>
      <c r="G4819" s="7">
        <v>90052</v>
      </c>
      <c r="H4819" s="7">
        <f t="shared" si="121"/>
        <v>43780.15</v>
      </c>
      <c r="I4819" s="15"/>
    </row>
    <row r="4820" spans="1:9" s="8" customFormat="1" ht="21" customHeight="1" x14ac:dyDescent="0.6">
      <c r="A4820" s="7">
        <v>24.718383500000002</v>
      </c>
      <c r="B4820" s="7">
        <v>34.7522916</v>
      </c>
      <c r="C4820" s="7">
        <v>677242.24</v>
      </c>
      <c r="D4820" s="7">
        <v>2734898.93</v>
      </c>
      <c r="E4820" s="7">
        <v>476.33</v>
      </c>
      <c r="F4820" s="7">
        <v>43816.959999999999</v>
      </c>
      <c r="G4820" s="7">
        <v>90054</v>
      </c>
      <c r="H4820" s="7">
        <f t="shared" ref="H4820:H4883" si="122">SUM(F4820-50)</f>
        <v>43766.96</v>
      </c>
      <c r="I4820" s="15"/>
    </row>
    <row r="4821" spans="1:9" s="8" customFormat="1" ht="21" customHeight="1" x14ac:dyDescent="0.6">
      <c r="A4821" s="7">
        <v>24.718382099999999</v>
      </c>
      <c r="B4821" s="7">
        <v>34.7522631</v>
      </c>
      <c r="C4821" s="7">
        <v>677239.36</v>
      </c>
      <c r="D4821" s="7">
        <v>2734898.73</v>
      </c>
      <c r="E4821" s="7">
        <v>476.2</v>
      </c>
      <c r="F4821" s="7">
        <v>43754.21</v>
      </c>
      <c r="G4821" s="7">
        <v>90056</v>
      </c>
      <c r="H4821" s="7">
        <f t="shared" si="122"/>
        <v>43704.21</v>
      </c>
      <c r="I4821" s="15"/>
    </row>
    <row r="4822" spans="1:9" s="8" customFormat="1" ht="21" customHeight="1" x14ac:dyDescent="0.6">
      <c r="A4822" s="7">
        <v>24.718379500000001</v>
      </c>
      <c r="B4822" s="7">
        <v>34.752233599999997</v>
      </c>
      <c r="C4822" s="7">
        <v>677236.37</v>
      </c>
      <c r="D4822" s="7">
        <v>2734898.41</v>
      </c>
      <c r="E4822" s="7">
        <v>476.05</v>
      </c>
      <c r="F4822" s="7">
        <v>43765.86</v>
      </c>
      <c r="G4822" s="7">
        <v>90058</v>
      </c>
      <c r="H4822" s="7">
        <f t="shared" si="122"/>
        <v>43715.86</v>
      </c>
      <c r="I4822" s="15"/>
    </row>
    <row r="4823" spans="1:9" s="8" customFormat="1" ht="21" customHeight="1" x14ac:dyDescent="0.6">
      <c r="A4823" s="7">
        <v>24.718380799999998</v>
      </c>
      <c r="B4823" s="7">
        <v>34.7522053</v>
      </c>
      <c r="C4823" s="7">
        <v>677233.52</v>
      </c>
      <c r="D4823" s="7">
        <v>2734898.51</v>
      </c>
      <c r="E4823" s="7">
        <v>475.95</v>
      </c>
      <c r="F4823" s="7">
        <v>43778.29</v>
      </c>
      <c r="G4823" s="7">
        <v>90100</v>
      </c>
      <c r="H4823" s="7">
        <f t="shared" si="122"/>
        <v>43728.29</v>
      </c>
      <c r="I4823" s="15"/>
    </row>
    <row r="4824" spans="1:9" s="8" customFormat="1" ht="21" customHeight="1" x14ac:dyDescent="0.6">
      <c r="A4824" s="7">
        <v>24.718378099999999</v>
      </c>
      <c r="B4824" s="7">
        <v>34.752178299999997</v>
      </c>
      <c r="C4824" s="7">
        <v>677230.78</v>
      </c>
      <c r="D4824" s="7">
        <v>2734898.18</v>
      </c>
      <c r="E4824" s="7">
        <v>475.98</v>
      </c>
      <c r="F4824" s="7">
        <v>43737.3</v>
      </c>
      <c r="G4824" s="7">
        <v>90102</v>
      </c>
      <c r="H4824" s="7">
        <f t="shared" si="122"/>
        <v>43687.3</v>
      </c>
      <c r="I4824" s="15"/>
    </row>
    <row r="4825" spans="1:9" s="8" customFormat="1" ht="21" customHeight="1" x14ac:dyDescent="0.6">
      <c r="A4825" s="7">
        <v>24.718384700000001</v>
      </c>
      <c r="B4825" s="7">
        <v>34.752153100000001</v>
      </c>
      <c r="C4825" s="7">
        <v>677228.22</v>
      </c>
      <c r="D4825" s="7">
        <v>2734898.88</v>
      </c>
      <c r="E4825" s="7">
        <v>476.08</v>
      </c>
      <c r="F4825" s="7">
        <v>43698.13</v>
      </c>
      <c r="G4825" s="7">
        <v>90104</v>
      </c>
      <c r="H4825" s="7">
        <f t="shared" si="122"/>
        <v>43648.13</v>
      </c>
      <c r="I4825" s="15"/>
    </row>
    <row r="4826" spans="1:9" s="8" customFormat="1" ht="21" customHeight="1" x14ac:dyDescent="0.6">
      <c r="A4826" s="7">
        <v>24.7184016</v>
      </c>
      <c r="B4826" s="7">
        <v>34.752132799999998</v>
      </c>
      <c r="C4826" s="7">
        <v>677226.15</v>
      </c>
      <c r="D4826" s="7">
        <v>2734900.72</v>
      </c>
      <c r="E4826" s="7">
        <v>476.19</v>
      </c>
      <c r="F4826" s="7">
        <v>43615.97</v>
      </c>
      <c r="G4826" s="7">
        <v>90106</v>
      </c>
      <c r="H4826" s="7">
        <f t="shared" si="122"/>
        <v>43565.97</v>
      </c>
      <c r="I4826" s="15"/>
    </row>
    <row r="4827" spans="1:9" s="8" customFormat="1" ht="21" customHeight="1" x14ac:dyDescent="0.6">
      <c r="A4827" s="7">
        <v>24.718416000000001</v>
      </c>
      <c r="B4827" s="7">
        <v>34.752115000000003</v>
      </c>
      <c r="C4827" s="7">
        <v>677224.32</v>
      </c>
      <c r="D4827" s="7">
        <v>2734902.3</v>
      </c>
      <c r="E4827" s="7">
        <v>476.09</v>
      </c>
      <c r="F4827" s="7">
        <v>43528.82</v>
      </c>
      <c r="G4827" s="7">
        <v>90108</v>
      </c>
      <c r="H4827" s="7">
        <f t="shared" si="122"/>
        <v>43478.82</v>
      </c>
      <c r="I4827" s="15"/>
    </row>
    <row r="4828" spans="1:9" s="8" customFormat="1" ht="21" customHeight="1" x14ac:dyDescent="0.6">
      <c r="A4828" s="7">
        <v>24.7184287</v>
      </c>
      <c r="B4828" s="7">
        <v>34.7520922</v>
      </c>
      <c r="C4828" s="7">
        <v>677222.01</v>
      </c>
      <c r="D4828" s="7">
        <v>2734903.67</v>
      </c>
      <c r="E4828" s="7">
        <v>476.07</v>
      </c>
      <c r="F4828" s="7">
        <v>43468.73</v>
      </c>
      <c r="G4828" s="7">
        <v>90110</v>
      </c>
      <c r="H4828" s="7">
        <f t="shared" si="122"/>
        <v>43418.73</v>
      </c>
      <c r="I4828" s="15"/>
    </row>
    <row r="4829" spans="1:9" s="8" customFormat="1" ht="21" customHeight="1" x14ac:dyDescent="0.6">
      <c r="A4829" s="7">
        <v>24.718439199999999</v>
      </c>
      <c r="B4829" s="7">
        <v>34.7520655</v>
      </c>
      <c r="C4829" s="7">
        <v>677219.29</v>
      </c>
      <c r="D4829" s="7">
        <v>2734904.8</v>
      </c>
      <c r="E4829" s="7">
        <v>475.67</v>
      </c>
      <c r="F4829" s="7">
        <v>43407.89</v>
      </c>
      <c r="G4829" s="7">
        <v>90112</v>
      </c>
      <c r="H4829" s="7">
        <f t="shared" si="122"/>
        <v>43357.89</v>
      </c>
      <c r="I4829" s="15"/>
    </row>
    <row r="4830" spans="1:9" s="8" customFormat="1" ht="21" customHeight="1" x14ac:dyDescent="0.6">
      <c r="A4830" s="7">
        <v>24.718450099999998</v>
      </c>
      <c r="B4830" s="7">
        <v>34.752039600000003</v>
      </c>
      <c r="C4830" s="7">
        <v>677216.65</v>
      </c>
      <c r="D4830" s="7">
        <v>2734905.97</v>
      </c>
      <c r="E4830" s="7">
        <v>475.64</v>
      </c>
      <c r="F4830" s="7">
        <v>43403.26</v>
      </c>
      <c r="G4830" s="7">
        <v>90114</v>
      </c>
      <c r="H4830" s="7">
        <f t="shared" si="122"/>
        <v>43353.26</v>
      </c>
      <c r="I4830" s="15"/>
    </row>
    <row r="4831" spans="1:9" s="8" customFormat="1" ht="21" customHeight="1" x14ac:dyDescent="0.6">
      <c r="A4831" s="7">
        <v>24.7184575</v>
      </c>
      <c r="B4831" s="7">
        <v>34.7520138</v>
      </c>
      <c r="C4831" s="7">
        <v>677214.03</v>
      </c>
      <c r="D4831" s="7">
        <v>2734906.76</v>
      </c>
      <c r="E4831" s="7">
        <v>475.49</v>
      </c>
      <c r="F4831" s="7">
        <v>43426.23</v>
      </c>
      <c r="G4831" s="7">
        <v>90116</v>
      </c>
      <c r="H4831" s="7">
        <f t="shared" si="122"/>
        <v>43376.23</v>
      </c>
      <c r="I4831" s="15"/>
    </row>
    <row r="4832" spans="1:9" s="8" customFormat="1" ht="21" customHeight="1" x14ac:dyDescent="0.6">
      <c r="A4832" s="7">
        <v>24.7184633</v>
      </c>
      <c r="B4832" s="7">
        <v>34.751985599999998</v>
      </c>
      <c r="C4832" s="7">
        <v>677211.16</v>
      </c>
      <c r="D4832" s="7">
        <v>2734907.37</v>
      </c>
      <c r="E4832" s="7">
        <v>475.59</v>
      </c>
      <c r="F4832" s="7">
        <v>43465</v>
      </c>
      <c r="G4832" s="7">
        <v>90118</v>
      </c>
      <c r="H4832" s="7">
        <f t="shared" si="122"/>
        <v>43415</v>
      </c>
      <c r="I4832" s="15"/>
    </row>
    <row r="4833" spans="1:9" s="8" customFormat="1" ht="21" customHeight="1" x14ac:dyDescent="0.6">
      <c r="A4833" s="7">
        <v>24.718465200000001</v>
      </c>
      <c r="B4833" s="7">
        <v>34.751962599999999</v>
      </c>
      <c r="C4833" s="7">
        <v>677208.84</v>
      </c>
      <c r="D4833" s="7">
        <v>2734907.54</v>
      </c>
      <c r="E4833" s="7">
        <v>475.66</v>
      </c>
      <c r="F4833" s="7">
        <v>43392.92</v>
      </c>
      <c r="G4833" s="7">
        <v>90120</v>
      </c>
      <c r="H4833" s="7">
        <f t="shared" si="122"/>
        <v>43342.92</v>
      </c>
      <c r="I4833" s="15"/>
    </row>
    <row r="4834" spans="1:9" s="8" customFormat="1" ht="21" customHeight="1" x14ac:dyDescent="0.6">
      <c r="A4834" s="7">
        <v>24.718466400000001</v>
      </c>
      <c r="B4834" s="7">
        <v>34.7519353</v>
      </c>
      <c r="C4834" s="7">
        <v>677206.07</v>
      </c>
      <c r="D4834" s="7">
        <v>2734907.64</v>
      </c>
      <c r="E4834" s="7">
        <v>475.82</v>
      </c>
      <c r="F4834" s="7">
        <v>43338.01</v>
      </c>
      <c r="G4834" s="7">
        <v>90122</v>
      </c>
      <c r="H4834" s="7">
        <f t="shared" si="122"/>
        <v>43288.01</v>
      </c>
      <c r="I4834" s="15"/>
    </row>
    <row r="4835" spans="1:9" s="8" customFormat="1" ht="21" customHeight="1" x14ac:dyDescent="0.6">
      <c r="A4835" s="7">
        <v>24.718469500000001</v>
      </c>
      <c r="B4835" s="7">
        <v>34.7519092</v>
      </c>
      <c r="C4835" s="7">
        <v>677203.43</v>
      </c>
      <c r="D4835" s="7">
        <v>2734907.95</v>
      </c>
      <c r="E4835" s="7">
        <v>475.47</v>
      </c>
      <c r="F4835" s="7">
        <v>43282.22</v>
      </c>
      <c r="G4835" s="7">
        <v>90124</v>
      </c>
      <c r="H4835" s="7">
        <f t="shared" si="122"/>
        <v>43232.22</v>
      </c>
      <c r="I4835" s="15"/>
    </row>
    <row r="4836" spans="1:9" s="8" customFormat="1" ht="21" customHeight="1" x14ac:dyDescent="0.6">
      <c r="A4836" s="7">
        <v>24.718471099999999</v>
      </c>
      <c r="B4836" s="7">
        <v>34.751883399999997</v>
      </c>
      <c r="C4836" s="7">
        <v>677200.81</v>
      </c>
      <c r="D4836" s="7">
        <v>2734908.09</v>
      </c>
      <c r="E4836" s="7">
        <v>475.2</v>
      </c>
      <c r="F4836" s="7">
        <v>43239.08</v>
      </c>
      <c r="G4836" s="7">
        <v>90126</v>
      </c>
      <c r="H4836" s="7">
        <f t="shared" si="122"/>
        <v>43189.08</v>
      </c>
      <c r="I4836" s="15"/>
    </row>
    <row r="4837" spans="1:9" s="8" customFormat="1" ht="21" customHeight="1" x14ac:dyDescent="0.6">
      <c r="A4837" s="7">
        <v>24.718480599999999</v>
      </c>
      <c r="B4837" s="7">
        <v>34.751858900000002</v>
      </c>
      <c r="C4837" s="7">
        <v>677198.32</v>
      </c>
      <c r="D4837" s="7">
        <v>2734909.12</v>
      </c>
      <c r="E4837" s="7">
        <v>475.12</v>
      </c>
      <c r="F4837" s="7">
        <v>43299.48</v>
      </c>
      <c r="G4837" s="7">
        <v>90128</v>
      </c>
      <c r="H4837" s="7">
        <f t="shared" si="122"/>
        <v>43249.48</v>
      </c>
      <c r="I4837" s="15"/>
    </row>
    <row r="4838" spans="1:9" s="8" customFormat="1" ht="21" customHeight="1" x14ac:dyDescent="0.6">
      <c r="A4838" s="7">
        <v>24.718488399999998</v>
      </c>
      <c r="B4838" s="7">
        <v>34.751834500000001</v>
      </c>
      <c r="C4838" s="7">
        <v>677195.85</v>
      </c>
      <c r="D4838" s="7">
        <v>2734909.95</v>
      </c>
      <c r="E4838" s="7">
        <v>474.93</v>
      </c>
      <c r="F4838" s="7">
        <v>43274.83</v>
      </c>
      <c r="G4838" s="7">
        <v>90130</v>
      </c>
      <c r="H4838" s="7">
        <f t="shared" si="122"/>
        <v>43224.83</v>
      </c>
      <c r="I4838" s="15"/>
    </row>
    <row r="4839" spans="1:9" s="8" customFormat="1" ht="21" customHeight="1" x14ac:dyDescent="0.6">
      <c r="A4839" s="7">
        <v>24.718498</v>
      </c>
      <c r="B4839" s="7">
        <v>34.751807999999997</v>
      </c>
      <c r="C4839" s="7">
        <v>677193.15</v>
      </c>
      <c r="D4839" s="7">
        <v>2734910.98</v>
      </c>
      <c r="E4839" s="7">
        <v>474.71</v>
      </c>
      <c r="F4839" s="7">
        <v>43245.62</v>
      </c>
      <c r="G4839" s="7">
        <v>90132</v>
      </c>
      <c r="H4839" s="7">
        <f t="shared" si="122"/>
        <v>43195.62</v>
      </c>
      <c r="I4839" s="15"/>
    </row>
    <row r="4840" spans="1:9" s="8" customFormat="1" ht="21" customHeight="1" x14ac:dyDescent="0.6">
      <c r="A4840" s="7">
        <v>24.718504599999999</v>
      </c>
      <c r="B4840" s="7">
        <v>34.7517809</v>
      </c>
      <c r="C4840" s="7">
        <v>677190.4</v>
      </c>
      <c r="D4840" s="7">
        <v>2734911.67</v>
      </c>
      <c r="E4840" s="7">
        <v>474.39</v>
      </c>
      <c r="F4840" s="7">
        <v>43252.23</v>
      </c>
      <c r="G4840" s="7">
        <v>90134</v>
      </c>
      <c r="H4840" s="7">
        <f t="shared" si="122"/>
        <v>43202.23</v>
      </c>
      <c r="I4840" s="15"/>
    </row>
    <row r="4841" spans="1:9" s="8" customFormat="1" ht="21" customHeight="1" x14ac:dyDescent="0.6">
      <c r="A4841" s="7">
        <v>24.7185083</v>
      </c>
      <c r="B4841" s="7">
        <v>34.7517529</v>
      </c>
      <c r="C4841" s="7">
        <v>677187.56</v>
      </c>
      <c r="D4841" s="7">
        <v>2734912.05</v>
      </c>
      <c r="E4841" s="7">
        <v>474.04</v>
      </c>
      <c r="F4841" s="7">
        <v>43280.3</v>
      </c>
      <c r="G4841" s="7">
        <v>90136</v>
      </c>
      <c r="H4841" s="7">
        <f t="shared" si="122"/>
        <v>43230.3</v>
      </c>
      <c r="I4841" s="15"/>
    </row>
    <row r="4842" spans="1:9" s="8" customFormat="1" ht="21" customHeight="1" x14ac:dyDescent="0.6">
      <c r="A4842" s="7">
        <v>24.718510999999999</v>
      </c>
      <c r="B4842" s="7">
        <v>34.751726099999999</v>
      </c>
      <c r="C4842" s="7">
        <v>677184.85</v>
      </c>
      <c r="D4842" s="7">
        <v>2734912.32</v>
      </c>
      <c r="E4842" s="7">
        <v>473.73</v>
      </c>
      <c r="F4842" s="7">
        <v>43360.69</v>
      </c>
      <c r="G4842" s="7">
        <v>90138</v>
      </c>
      <c r="H4842" s="7">
        <f t="shared" si="122"/>
        <v>43310.69</v>
      </c>
      <c r="I4842" s="15"/>
    </row>
    <row r="4843" spans="1:9" s="8" customFormat="1" ht="21" customHeight="1" x14ac:dyDescent="0.6">
      <c r="A4843" s="7">
        <v>24.7185232</v>
      </c>
      <c r="B4843" s="7">
        <v>34.751700800000002</v>
      </c>
      <c r="C4843" s="7">
        <v>677182.27</v>
      </c>
      <c r="D4843" s="7">
        <v>2734913.64</v>
      </c>
      <c r="E4843" s="7">
        <v>473.63</v>
      </c>
      <c r="F4843" s="7">
        <v>43394.75</v>
      </c>
      <c r="G4843" s="7">
        <v>90140</v>
      </c>
      <c r="H4843" s="7">
        <f t="shared" si="122"/>
        <v>43344.75</v>
      </c>
      <c r="I4843" s="15"/>
    </row>
    <row r="4844" spans="1:9" s="8" customFormat="1" ht="21" customHeight="1" x14ac:dyDescent="0.6">
      <c r="A4844" s="7">
        <v>24.718540999999998</v>
      </c>
      <c r="B4844" s="7">
        <v>34.751684099999999</v>
      </c>
      <c r="C4844" s="7">
        <v>677180.55</v>
      </c>
      <c r="D4844" s="7">
        <v>2734915.58</v>
      </c>
      <c r="E4844" s="7">
        <v>473.99</v>
      </c>
      <c r="F4844" s="7">
        <v>43321.14</v>
      </c>
      <c r="G4844" s="7">
        <v>90142</v>
      </c>
      <c r="H4844" s="7">
        <f t="shared" si="122"/>
        <v>43271.14</v>
      </c>
      <c r="I4844" s="15"/>
    </row>
    <row r="4845" spans="1:9" s="8" customFormat="1" ht="21" customHeight="1" x14ac:dyDescent="0.6">
      <c r="A4845" s="7">
        <v>24.7185542</v>
      </c>
      <c r="B4845" s="7">
        <v>34.751659600000004</v>
      </c>
      <c r="C4845" s="7">
        <v>677178.06</v>
      </c>
      <c r="D4845" s="7">
        <v>2734917.01</v>
      </c>
      <c r="E4845" s="7">
        <v>473.99</v>
      </c>
      <c r="F4845" s="7">
        <v>43322.98</v>
      </c>
      <c r="G4845" s="7">
        <v>90144</v>
      </c>
      <c r="H4845" s="7">
        <f t="shared" si="122"/>
        <v>43272.98</v>
      </c>
      <c r="I4845" s="15"/>
    </row>
    <row r="4846" spans="1:9" s="8" customFormat="1" ht="21" customHeight="1" x14ac:dyDescent="0.6">
      <c r="A4846" s="7">
        <v>24.718567400000001</v>
      </c>
      <c r="B4846" s="7">
        <v>34.751634500000002</v>
      </c>
      <c r="C4846" s="7">
        <v>677175.5</v>
      </c>
      <c r="D4846" s="7">
        <v>2734918.44</v>
      </c>
      <c r="E4846" s="7">
        <v>474.28</v>
      </c>
      <c r="F4846" s="7">
        <v>43543.77</v>
      </c>
      <c r="G4846" s="7">
        <v>90146</v>
      </c>
      <c r="H4846" s="7">
        <f t="shared" si="122"/>
        <v>43493.77</v>
      </c>
      <c r="I4846" s="15"/>
    </row>
    <row r="4847" spans="1:9" s="8" customFormat="1" ht="21" customHeight="1" x14ac:dyDescent="0.6">
      <c r="A4847" s="7">
        <v>24.718575699999999</v>
      </c>
      <c r="B4847" s="7">
        <v>34.751609999999999</v>
      </c>
      <c r="C4847" s="7">
        <v>677173.01</v>
      </c>
      <c r="D4847" s="7">
        <v>2734919.33</v>
      </c>
      <c r="E4847" s="7">
        <v>474.29</v>
      </c>
      <c r="F4847" s="7">
        <v>43640.86</v>
      </c>
      <c r="G4847" s="7">
        <v>90148</v>
      </c>
      <c r="H4847" s="7">
        <f t="shared" si="122"/>
        <v>43590.86</v>
      </c>
      <c r="I4847" s="15"/>
    </row>
    <row r="4848" spans="1:9" s="8" customFormat="1" ht="21" customHeight="1" x14ac:dyDescent="0.6">
      <c r="A4848" s="7">
        <v>24.718582900000001</v>
      </c>
      <c r="B4848" s="7">
        <v>34.751588400000003</v>
      </c>
      <c r="C4848" s="7">
        <v>677170.81</v>
      </c>
      <c r="D4848" s="7">
        <v>2734920.1</v>
      </c>
      <c r="E4848" s="7">
        <v>474.45</v>
      </c>
      <c r="F4848" s="7">
        <v>43645.7</v>
      </c>
      <c r="G4848" s="7">
        <v>90150</v>
      </c>
      <c r="H4848" s="7">
        <f t="shared" si="122"/>
        <v>43595.7</v>
      </c>
      <c r="I4848" s="15"/>
    </row>
    <row r="4849" spans="1:9" s="8" customFormat="1" ht="21" customHeight="1" x14ac:dyDescent="0.6">
      <c r="A4849" s="7">
        <v>24.718594299999999</v>
      </c>
      <c r="B4849" s="7">
        <v>34.751564600000002</v>
      </c>
      <c r="C4849" s="7">
        <v>677168.39</v>
      </c>
      <c r="D4849" s="7">
        <v>2734921.33</v>
      </c>
      <c r="E4849" s="7">
        <v>474.46</v>
      </c>
      <c r="F4849" s="7">
        <v>43683.79</v>
      </c>
      <c r="G4849" s="7">
        <v>90152</v>
      </c>
      <c r="H4849" s="7">
        <f t="shared" si="122"/>
        <v>43633.79</v>
      </c>
      <c r="I4849" s="15"/>
    </row>
    <row r="4850" spans="1:9" s="8" customFormat="1" ht="21" customHeight="1" x14ac:dyDescent="0.6">
      <c r="A4850" s="7">
        <v>24.7185992</v>
      </c>
      <c r="B4850" s="7">
        <v>34.7515365</v>
      </c>
      <c r="C4850" s="7">
        <v>677165.54</v>
      </c>
      <c r="D4850" s="7">
        <v>2734921.84</v>
      </c>
      <c r="E4850" s="7">
        <v>474.46</v>
      </c>
      <c r="F4850" s="7">
        <v>43737.63</v>
      </c>
      <c r="G4850" s="7">
        <v>90154</v>
      </c>
      <c r="H4850" s="7">
        <f t="shared" si="122"/>
        <v>43687.63</v>
      </c>
      <c r="I4850" s="15"/>
    </row>
    <row r="4851" spans="1:9" s="8" customFormat="1" ht="21" customHeight="1" x14ac:dyDescent="0.6">
      <c r="A4851" s="7">
        <v>24.718609900000001</v>
      </c>
      <c r="B4851" s="7">
        <v>34.751512200000001</v>
      </c>
      <c r="C4851" s="7">
        <v>677163.07</v>
      </c>
      <c r="D4851" s="7">
        <v>2734922.99</v>
      </c>
      <c r="E4851" s="7">
        <v>474.66</v>
      </c>
      <c r="F4851" s="7">
        <v>43771.47</v>
      </c>
      <c r="G4851" s="7">
        <v>90156</v>
      </c>
      <c r="H4851" s="7">
        <f t="shared" si="122"/>
        <v>43721.47</v>
      </c>
      <c r="I4851" s="15"/>
    </row>
    <row r="4852" spans="1:9" s="8" customFormat="1" ht="21" customHeight="1" x14ac:dyDescent="0.6">
      <c r="A4852" s="7">
        <v>24.718619400000001</v>
      </c>
      <c r="B4852" s="7">
        <v>34.751492300000002</v>
      </c>
      <c r="C4852" s="7">
        <v>677161.04</v>
      </c>
      <c r="D4852" s="7">
        <v>2734924.01</v>
      </c>
      <c r="E4852" s="7">
        <v>474.73</v>
      </c>
      <c r="F4852" s="7">
        <v>43778.69</v>
      </c>
      <c r="G4852" s="7">
        <v>90158</v>
      </c>
      <c r="H4852" s="7">
        <f t="shared" si="122"/>
        <v>43728.69</v>
      </c>
      <c r="I4852" s="15"/>
    </row>
    <row r="4853" spans="1:9" s="8" customFormat="1" ht="21" customHeight="1" x14ac:dyDescent="0.6">
      <c r="A4853" s="7">
        <v>24.718624200000001</v>
      </c>
      <c r="B4853" s="7">
        <v>34.751468199999998</v>
      </c>
      <c r="C4853" s="7">
        <v>677158.6</v>
      </c>
      <c r="D4853" s="7">
        <v>2734924.51</v>
      </c>
      <c r="E4853" s="7">
        <v>474.4</v>
      </c>
      <c r="F4853" s="7">
        <v>43683.39</v>
      </c>
      <c r="G4853" s="7">
        <v>90200</v>
      </c>
      <c r="H4853" s="7">
        <f t="shared" si="122"/>
        <v>43633.39</v>
      </c>
      <c r="I4853" s="15"/>
    </row>
    <row r="4854" spans="1:9" s="8" customFormat="1" ht="21" customHeight="1" x14ac:dyDescent="0.6">
      <c r="A4854" s="7">
        <v>24.718623699999998</v>
      </c>
      <c r="B4854" s="7">
        <v>34.751440899999999</v>
      </c>
      <c r="C4854" s="7">
        <v>677155.83</v>
      </c>
      <c r="D4854" s="7">
        <v>2734924.43</v>
      </c>
      <c r="E4854" s="7">
        <v>474.1</v>
      </c>
      <c r="F4854" s="7">
        <v>43637.16</v>
      </c>
      <c r="G4854" s="7">
        <v>90202</v>
      </c>
      <c r="H4854" s="7">
        <f t="shared" si="122"/>
        <v>43587.16</v>
      </c>
      <c r="I4854" s="15"/>
    </row>
    <row r="4855" spans="1:9" s="8" customFormat="1" ht="21" customHeight="1" x14ac:dyDescent="0.6">
      <c r="A4855" s="7">
        <v>24.7186281</v>
      </c>
      <c r="B4855" s="7">
        <v>34.751419300000002</v>
      </c>
      <c r="C4855" s="7">
        <v>677153.64</v>
      </c>
      <c r="D4855" s="7">
        <v>2734924.89</v>
      </c>
      <c r="E4855" s="7">
        <v>474.68</v>
      </c>
      <c r="F4855" s="7">
        <v>43674.239999999998</v>
      </c>
      <c r="G4855" s="7">
        <v>90204</v>
      </c>
      <c r="H4855" s="7">
        <f t="shared" si="122"/>
        <v>43624.24</v>
      </c>
      <c r="I4855" s="15"/>
    </row>
    <row r="4856" spans="1:9" s="8" customFormat="1" ht="21" customHeight="1" x14ac:dyDescent="0.6">
      <c r="A4856" s="7">
        <v>24.7186263</v>
      </c>
      <c r="B4856" s="7">
        <v>34.751395299999999</v>
      </c>
      <c r="C4856" s="7">
        <v>677151.22</v>
      </c>
      <c r="D4856" s="7">
        <v>2734924.66</v>
      </c>
      <c r="E4856" s="7">
        <v>474.38</v>
      </c>
      <c r="F4856" s="7">
        <v>43601.19</v>
      </c>
      <c r="G4856" s="7">
        <v>90206</v>
      </c>
      <c r="H4856" s="7">
        <f t="shared" si="122"/>
        <v>43551.19</v>
      </c>
      <c r="I4856" s="15"/>
    </row>
    <row r="4857" spans="1:9" s="8" customFormat="1" ht="21" customHeight="1" x14ac:dyDescent="0.6">
      <c r="A4857" s="7">
        <v>24.7186196</v>
      </c>
      <c r="B4857" s="7">
        <v>34.751373399999999</v>
      </c>
      <c r="C4857" s="7">
        <v>677149.01</v>
      </c>
      <c r="D4857" s="7">
        <v>2734923.88</v>
      </c>
      <c r="E4857" s="7">
        <v>473.82</v>
      </c>
      <c r="F4857" s="7">
        <v>43608.77</v>
      </c>
      <c r="G4857" s="7">
        <v>90208</v>
      </c>
      <c r="H4857" s="7">
        <f t="shared" si="122"/>
        <v>43558.77</v>
      </c>
      <c r="I4857" s="15"/>
    </row>
    <row r="4858" spans="1:9" s="8" customFormat="1" ht="21" customHeight="1" x14ac:dyDescent="0.6">
      <c r="A4858" s="7">
        <v>24.7186123</v>
      </c>
      <c r="B4858" s="7">
        <v>34.751349599999998</v>
      </c>
      <c r="C4858" s="7">
        <v>677146.61</v>
      </c>
      <c r="D4858" s="7">
        <v>2734923.05</v>
      </c>
      <c r="E4858" s="7">
        <v>473.58</v>
      </c>
      <c r="F4858" s="7">
        <v>43585.3</v>
      </c>
      <c r="G4858" s="7">
        <v>90210</v>
      </c>
      <c r="H4858" s="7">
        <f t="shared" si="122"/>
        <v>43535.3</v>
      </c>
      <c r="I4858" s="15"/>
    </row>
    <row r="4859" spans="1:9" s="8" customFormat="1" ht="21" customHeight="1" x14ac:dyDescent="0.6">
      <c r="A4859" s="7">
        <v>24.718622799999999</v>
      </c>
      <c r="B4859" s="7">
        <v>34.751331800000003</v>
      </c>
      <c r="C4859" s="7">
        <v>677144.8</v>
      </c>
      <c r="D4859" s="7">
        <v>2734924.18</v>
      </c>
      <c r="E4859" s="7">
        <v>473.04</v>
      </c>
      <c r="F4859" s="7">
        <v>43557</v>
      </c>
      <c r="G4859" s="7">
        <v>90212</v>
      </c>
      <c r="H4859" s="7">
        <f t="shared" si="122"/>
        <v>43507</v>
      </c>
      <c r="I4859" s="15"/>
    </row>
    <row r="4860" spans="1:9" s="8" customFormat="1" ht="21" customHeight="1" x14ac:dyDescent="0.6">
      <c r="A4860" s="7">
        <v>24.7186339</v>
      </c>
      <c r="B4860" s="7">
        <v>34.751306300000003</v>
      </c>
      <c r="C4860" s="7">
        <v>677142.2</v>
      </c>
      <c r="D4860" s="7">
        <v>2734925.38</v>
      </c>
      <c r="E4860" s="7">
        <v>472.78</v>
      </c>
      <c r="F4860" s="7">
        <v>43545.96</v>
      </c>
      <c r="G4860" s="7">
        <v>90214</v>
      </c>
      <c r="H4860" s="7">
        <f t="shared" si="122"/>
        <v>43495.96</v>
      </c>
      <c r="I4860" s="15"/>
    </row>
    <row r="4861" spans="1:9" s="8" customFormat="1" ht="21" customHeight="1" x14ac:dyDescent="0.6">
      <c r="A4861" s="7">
        <v>24.718632599999999</v>
      </c>
      <c r="B4861" s="7">
        <v>34.751284400000003</v>
      </c>
      <c r="C4861" s="7">
        <v>677139.99</v>
      </c>
      <c r="D4861" s="7">
        <v>2734925.21</v>
      </c>
      <c r="E4861" s="7">
        <v>472.98</v>
      </c>
      <c r="F4861" s="7">
        <v>43628.23</v>
      </c>
      <c r="G4861" s="7">
        <v>90216</v>
      </c>
      <c r="H4861" s="7">
        <f t="shared" si="122"/>
        <v>43578.23</v>
      </c>
      <c r="I4861" s="15"/>
    </row>
    <row r="4862" spans="1:9" s="8" customFormat="1" ht="21" customHeight="1" x14ac:dyDescent="0.6">
      <c r="A4862" s="7">
        <v>24.718632899999999</v>
      </c>
      <c r="B4862" s="7">
        <v>34.751261800000002</v>
      </c>
      <c r="C4862" s="7">
        <v>677137.7</v>
      </c>
      <c r="D4862" s="7">
        <v>2734925.21</v>
      </c>
      <c r="E4862" s="7">
        <v>472.8</v>
      </c>
      <c r="F4862" s="7">
        <v>43724.02</v>
      </c>
      <c r="G4862" s="7">
        <v>90218</v>
      </c>
      <c r="H4862" s="7">
        <f t="shared" si="122"/>
        <v>43674.02</v>
      </c>
      <c r="I4862" s="15"/>
    </row>
    <row r="4863" spans="1:9" s="8" customFormat="1" ht="21" customHeight="1" x14ac:dyDescent="0.6">
      <c r="A4863" s="7">
        <v>24.7186372</v>
      </c>
      <c r="B4863" s="7">
        <v>34.751238700000002</v>
      </c>
      <c r="C4863" s="7">
        <v>677135.35</v>
      </c>
      <c r="D4863" s="7">
        <v>2734925.66</v>
      </c>
      <c r="E4863" s="7">
        <v>472.96</v>
      </c>
      <c r="F4863" s="7">
        <v>43790.41</v>
      </c>
      <c r="G4863" s="7">
        <v>90220</v>
      </c>
      <c r="H4863" s="7">
        <f t="shared" si="122"/>
        <v>43740.41</v>
      </c>
      <c r="I4863" s="15"/>
    </row>
    <row r="4864" spans="1:9" s="8" customFormat="1" ht="21" customHeight="1" x14ac:dyDescent="0.6">
      <c r="A4864" s="7">
        <v>24.718643700000001</v>
      </c>
      <c r="B4864" s="7">
        <v>34.751214400000002</v>
      </c>
      <c r="C4864" s="7">
        <v>677132.89</v>
      </c>
      <c r="D4864" s="7">
        <v>2734926.34</v>
      </c>
      <c r="E4864" s="7">
        <v>473.15</v>
      </c>
      <c r="F4864" s="7">
        <v>43839.02</v>
      </c>
      <c r="G4864" s="7">
        <v>90222</v>
      </c>
      <c r="H4864" s="7">
        <f t="shared" si="122"/>
        <v>43789.02</v>
      </c>
      <c r="I4864" s="15"/>
    </row>
    <row r="4865" spans="1:9" s="8" customFormat="1" ht="21" customHeight="1" x14ac:dyDescent="0.6">
      <c r="A4865" s="7">
        <v>24.718651699999999</v>
      </c>
      <c r="B4865" s="7">
        <v>34.7511917</v>
      </c>
      <c r="C4865" s="7">
        <v>677130.58</v>
      </c>
      <c r="D4865" s="7">
        <v>2734927.2</v>
      </c>
      <c r="E4865" s="7">
        <v>473.15</v>
      </c>
      <c r="F4865" s="7">
        <v>43747.57</v>
      </c>
      <c r="G4865" s="7">
        <v>90224</v>
      </c>
      <c r="H4865" s="7">
        <f t="shared" si="122"/>
        <v>43697.57</v>
      </c>
      <c r="I4865" s="15"/>
    </row>
    <row r="4866" spans="1:9" s="8" customFormat="1" ht="21" customHeight="1" x14ac:dyDescent="0.6">
      <c r="A4866" s="7">
        <v>24.718659899999999</v>
      </c>
      <c r="B4866" s="7">
        <v>34.7511668</v>
      </c>
      <c r="C4866" s="7">
        <v>677128.05</v>
      </c>
      <c r="D4866" s="7">
        <v>2734928.08</v>
      </c>
      <c r="E4866" s="7">
        <v>472.94</v>
      </c>
      <c r="F4866" s="7">
        <v>43673.41</v>
      </c>
      <c r="G4866" s="7">
        <v>90226</v>
      </c>
      <c r="H4866" s="7">
        <f t="shared" si="122"/>
        <v>43623.41</v>
      </c>
      <c r="I4866" s="15"/>
    </row>
    <row r="4867" spans="1:9" s="8" customFormat="1" ht="21" customHeight="1" x14ac:dyDescent="0.6">
      <c r="A4867" s="7">
        <v>24.718671700000002</v>
      </c>
      <c r="B4867" s="7">
        <v>34.751142700000003</v>
      </c>
      <c r="C4867" s="7">
        <v>677125.6</v>
      </c>
      <c r="D4867" s="7">
        <v>2734929.36</v>
      </c>
      <c r="E4867" s="7">
        <v>472.65</v>
      </c>
      <c r="F4867" s="7">
        <v>43555.03</v>
      </c>
      <c r="G4867" s="7">
        <v>90228</v>
      </c>
      <c r="H4867" s="7">
        <f t="shared" si="122"/>
        <v>43505.03</v>
      </c>
      <c r="I4867" s="15"/>
    </row>
    <row r="4868" spans="1:9" s="8" customFormat="1" ht="21" customHeight="1" x14ac:dyDescent="0.6">
      <c r="A4868" s="7">
        <v>24.7186868</v>
      </c>
      <c r="B4868" s="7">
        <v>34.751118599999998</v>
      </c>
      <c r="C4868" s="7">
        <v>677123.14</v>
      </c>
      <c r="D4868" s="7">
        <v>2734931</v>
      </c>
      <c r="E4868" s="7">
        <v>472.29</v>
      </c>
      <c r="F4868" s="7">
        <v>43479.97</v>
      </c>
      <c r="G4868" s="7">
        <v>90230</v>
      </c>
      <c r="H4868" s="7">
        <f t="shared" si="122"/>
        <v>43429.97</v>
      </c>
      <c r="I4868" s="15"/>
    </row>
    <row r="4869" spans="1:9" s="8" customFormat="1" ht="21" customHeight="1" x14ac:dyDescent="0.6">
      <c r="A4869" s="7">
        <v>24.7187001</v>
      </c>
      <c r="B4869" s="7">
        <v>34.751092700000001</v>
      </c>
      <c r="C4869" s="7">
        <v>677120.5</v>
      </c>
      <c r="D4869" s="7">
        <v>2734932.44</v>
      </c>
      <c r="E4869" s="7">
        <v>472.13</v>
      </c>
      <c r="F4869" s="7">
        <v>43435.95</v>
      </c>
      <c r="G4869" s="7">
        <v>90232</v>
      </c>
      <c r="H4869" s="7">
        <f t="shared" si="122"/>
        <v>43385.95</v>
      </c>
      <c r="I4869" s="15"/>
    </row>
    <row r="4870" spans="1:9" s="8" customFormat="1" ht="21" customHeight="1" x14ac:dyDescent="0.6">
      <c r="A4870" s="7">
        <v>24.718700999999999</v>
      </c>
      <c r="B4870" s="7">
        <v>34.7510659</v>
      </c>
      <c r="C4870" s="7">
        <v>677117.79</v>
      </c>
      <c r="D4870" s="7">
        <v>2734932.51</v>
      </c>
      <c r="E4870" s="7">
        <v>471.77</v>
      </c>
      <c r="F4870" s="7">
        <v>43492.12</v>
      </c>
      <c r="G4870" s="7">
        <v>90234</v>
      </c>
      <c r="H4870" s="7">
        <f t="shared" si="122"/>
        <v>43442.12</v>
      </c>
      <c r="I4870" s="15"/>
    </row>
    <row r="4871" spans="1:9" s="8" customFormat="1" ht="21" customHeight="1" x14ac:dyDescent="0.6">
      <c r="A4871" s="7">
        <v>24.718705799999999</v>
      </c>
      <c r="B4871" s="7">
        <v>34.751038800000003</v>
      </c>
      <c r="C4871" s="7">
        <v>677115.04</v>
      </c>
      <c r="D4871" s="7">
        <v>2734933</v>
      </c>
      <c r="E4871" s="7">
        <v>471.44</v>
      </c>
      <c r="F4871" s="7">
        <v>43470.48</v>
      </c>
      <c r="G4871" s="7">
        <v>90236</v>
      </c>
      <c r="H4871" s="7">
        <f t="shared" si="122"/>
        <v>43420.480000000003</v>
      </c>
      <c r="I4871" s="15"/>
    </row>
    <row r="4872" spans="1:9" s="8" customFormat="1" ht="21" customHeight="1" x14ac:dyDescent="0.6">
      <c r="A4872" s="7">
        <v>24.718715700000001</v>
      </c>
      <c r="B4872" s="7">
        <v>34.751011400000003</v>
      </c>
      <c r="C4872" s="7">
        <v>677112.25</v>
      </c>
      <c r="D4872" s="7">
        <v>2734934.06</v>
      </c>
      <c r="E4872" s="7">
        <v>471.2</v>
      </c>
      <c r="F4872" s="7">
        <v>43469.66</v>
      </c>
      <c r="G4872" s="7">
        <v>90238</v>
      </c>
      <c r="H4872" s="7">
        <f t="shared" si="122"/>
        <v>43419.66</v>
      </c>
      <c r="I4872" s="15"/>
    </row>
    <row r="4873" spans="1:9" s="8" customFormat="1" ht="21" customHeight="1" x14ac:dyDescent="0.6">
      <c r="A4873" s="7">
        <v>24.718725200000002</v>
      </c>
      <c r="B4873" s="7">
        <v>34.750986500000003</v>
      </c>
      <c r="C4873" s="7">
        <v>677109.72</v>
      </c>
      <c r="D4873" s="7">
        <v>2734935.08</v>
      </c>
      <c r="E4873" s="7">
        <v>470.85</v>
      </c>
      <c r="F4873" s="7">
        <v>43484.72</v>
      </c>
      <c r="G4873" s="7">
        <v>90240</v>
      </c>
      <c r="H4873" s="7">
        <f t="shared" si="122"/>
        <v>43434.720000000001</v>
      </c>
      <c r="I4873" s="15"/>
    </row>
    <row r="4874" spans="1:9" s="8" customFormat="1" ht="21" customHeight="1" x14ac:dyDescent="0.6">
      <c r="A4874" s="7">
        <v>24.7187406</v>
      </c>
      <c r="B4874" s="7">
        <v>34.750962999999999</v>
      </c>
      <c r="C4874" s="7">
        <v>677107.32</v>
      </c>
      <c r="D4874" s="7">
        <v>2734936.76</v>
      </c>
      <c r="E4874" s="7">
        <v>470.74</v>
      </c>
      <c r="F4874" s="7">
        <v>43443.65</v>
      </c>
      <c r="G4874" s="7">
        <v>90242</v>
      </c>
      <c r="H4874" s="7">
        <f t="shared" si="122"/>
        <v>43393.65</v>
      </c>
      <c r="I4874" s="15"/>
    </row>
    <row r="4875" spans="1:9" s="8" customFormat="1" ht="21" customHeight="1" x14ac:dyDescent="0.6">
      <c r="A4875" s="7">
        <v>24.718761000000001</v>
      </c>
      <c r="B4875" s="7">
        <v>34.750943399999997</v>
      </c>
      <c r="C4875" s="7">
        <v>677105.31</v>
      </c>
      <c r="D4875" s="7">
        <v>2734938.99</v>
      </c>
      <c r="E4875" s="7">
        <v>470.62</v>
      </c>
      <c r="F4875" s="7">
        <v>43511.72</v>
      </c>
      <c r="G4875" s="7">
        <v>90244</v>
      </c>
      <c r="H4875" s="7">
        <f t="shared" si="122"/>
        <v>43461.72</v>
      </c>
      <c r="I4875" s="15"/>
    </row>
    <row r="4876" spans="1:9" s="8" customFormat="1" ht="21" customHeight="1" x14ac:dyDescent="0.6">
      <c r="A4876" s="7">
        <v>24.718776600000002</v>
      </c>
      <c r="B4876" s="7">
        <v>34.750921099999999</v>
      </c>
      <c r="C4876" s="7">
        <v>677103.03</v>
      </c>
      <c r="D4876" s="7">
        <v>2734940.69</v>
      </c>
      <c r="E4876" s="7">
        <v>470.44</v>
      </c>
      <c r="F4876" s="7">
        <v>43541.37</v>
      </c>
      <c r="G4876" s="7">
        <v>90246</v>
      </c>
      <c r="H4876" s="7">
        <f t="shared" si="122"/>
        <v>43491.37</v>
      </c>
      <c r="I4876" s="15"/>
    </row>
    <row r="4877" spans="1:9" s="8" customFormat="1" ht="21" customHeight="1" x14ac:dyDescent="0.6">
      <c r="A4877" s="7">
        <v>24.718789300000001</v>
      </c>
      <c r="B4877" s="7">
        <v>34.750895900000003</v>
      </c>
      <c r="C4877" s="7">
        <v>677100.46</v>
      </c>
      <c r="D4877" s="7">
        <v>2734942.07</v>
      </c>
      <c r="E4877" s="7">
        <v>470.21</v>
      </c>
      <c r="F4877" s="7">
        <v>43581.97</v>
      </c>
      <c r="G4877" s="7">
        <v>90248</v>
      </c>
      <c r="H4877" s="7">
        <f t="shared" si="122"/>
        <v>43531.97</v>
      </c>
      <c r="I4877" s="15"/>
    </row>
    <row r="4878" spans="1:9" s="8" customFormat="1" ht="21" customHeight="1" x14ac:dyDescent="0.6">
      <c r="A4878" s="7">
        <v>24.718804899999999</v>
      </c>
      <c r="B4878" s="7">
        <v>34.750870499999998</v>
      </c>
      <c r="C4878" s="7">
        <v>677097.87</v>
      </c>
      <c r="D4878" s="7">
        <v>2734943.76</v>
      </c>
      <c r="E4878" s="7">
        <v>470.01</v>
      </c>
      <c r="F4878" s="7">
        <v>43618.68</v>
      </c>
      <c r="G4878" s="7">
        <v>90250</v>
      </c>
      <c r="H4878" s="7">
        <f t="shared" si="122"/>
        <v>43568.68</v>
      </c>
      <c r="I4878" s="15"/>
    </row>
    <row r="4879" spans="1:9" s="8" customFormat="1" ht="21" customHeight="1" x14ac:dyDescent="0.6">
      <c r="A4879" s="7">
        <v>24.7188187</v>
      </c>
      <c r="B4879" s="7">
        <v>34.750843799999998</v>
      </c>
      <c r="C4879" s="7">
        <v>677095.15</v>
      </c>
      <c r="D4879" s="7">
        <v>2734945.25</v>
      </c>
      <c r="E4879" s="7">
        <v>469.9</v>
      </c>
      <c r="F4879" s="7">
        <v>43571.48</v>
      </c>
      <c r="G4879" s="7">
        <v>90252</v>
      </c>
      <c r="H4879" s="7">
        <f t="shared" si="122"/>
        <v>43521.48</v>
      </c>
      <c r="I4879" s="15"/>
    </row>
    <row r="4880" spans="1:9" s="8" customFormat="1" ht="21" customHeight="1" x14ac:dyDescent="0.6">
      <c r="A4880" s="7">
        <v>24.718836100000001</v>
      </c>
      <c r="B4880" s="7">
        <v>34.750819499999999</v>
      </c>
      <c r="C4880" s="7">
        <v>677092.66</v>
      </c>
      <c r="D4880" s="7">
        <v>2734947.15</v>
      </c>
      <c r="E4880" s="7">
        <v>469.81</v>
      </c>
      <c r="F4880" s="7">
        <v>43643.27</v>
      </c>
      <c r="G4880" s="7">
        <v>90254</v>
      </c>
      <c r="H4880" s="7">
        <f t="shared" si="122"/>
        <v>43593.27</v>
      </c>
      <c r="I4880" s="15"/>
    </row>
    <row r="4881" spans="1:9" s="8" customFormat="1" ht="21" customHeight="1" x14ac:dyDescent="0.6">
      <c r="A4881" s="7">
        <v>24.718853500000002</v>
      </c>
      <c r="B4881" s="7">
        <v>34.750796100000002</v>
      </c>
      <c r="C4881" s="7">
        <v>677090.27</v>
      </c>
      <c r="D4881" s="7">
        <v>2734949.04</v>
      </c>
      <c r="E4881" s="7">
        <v>469.66</v>
      </c>
      <c r="F4881" s="7">
        <v>43686.94</v>
      </c>
      <c r="G4881" s="7">
        <v>90256</v>
      </c>
      <c r="H4881" s="7">
        <f t="shared" si="122"/>
        <v>43636.94</v>
      </c>
      <c r="I4881" s="15"/>
    </row>
    <row r="4882" spans="1:9" s="8" customFormat="1" ht="21" customHeight="1" x14ac:dyDescent="0.6">
      <c r="A4882" s="7">
        <v>24.718873899999998</v>
      </c>
      <c r="B4882" s="7">
        <v>34.750774200000002</v>
      </c>
      <c r="C4882" s="7">
        <v>677088.03</v>
      </c>
      <c r="D4882" s="7">
        <v>2734951.28</v>
      </c>
      <c r="E4882" s="7">
        <v>469.56</v>
      </c>
      <c r="F4882" s="7">
        <v>43732.31</v>
      </c>
      <c r="G4882" s="7">
        <v>90258</v>
      </c>
      <c r="H4882" s="7">
        <f t="shared" si="122"/>
        <v>43682.31</v>
      </c>
      <c r="I4882" s="15"/>
    </row>
    <row r="4883" spans="1:9" s="8" customFormat="1" ht="21" customHeight="1" x14ac:dyDescent="0.6">
      <c r="A4883" s="7">
        <v>24.718890500000001</v>
      </c>
      <c r="B4883" s="7">
        <v>34.7507491</v>
      </c>
      <c r="C4883" s="7">
        <v>677085.47</v>
      </c>
      <c r="D4883" s="7">
        <v>2734953.08</v>
      </c>
      <c r="E4883" s="7">
        <v>469.43</v>
      </c>
      <c r="F4883" s="7">
        <v>43795.76</v>
      </c>
      <c r="G4883" s="7">
        <v>90300</v>
      </c>
      <c r="H4883" s="7">
        <f t="shared" si="122"/>
        <v>43745.760000000002</v>
      </c>
      <c r="I4883" s="15"/>
    </row>
    <row r="4884" spans="1:9" s="8" customFormat="1" ht="21" customHeight="1" x14ac:dyDescent="0.6">
      <c r="A4884" s="7">
        <v>24.718905100000001</v>
      </c>
      <c r="B4884" s="7">
        <v>34.7507223</v>
      </c>
      <c r="C4884" s="7">
        <v>677082.74</v>
      </c>
      <c r="D4884" s="7">
        <v>2734954.66</v>
      </c>
      <c r="E4884" s="7">
        <v>469.4</v>
      </c>
      <c r="F4884" s="7">
        <v>43885.22</v>
      </c>
      <c r="G4884" s="7">
        <v>90302</v>
      </c>
      <c r="H4884" s="7">
        <f t="shared" ref="H4884:H4947" si="123">SUM(F4884-50)</f>
        <v>43835.22</v>
      </c>
      <c r="I4884" s="15"/>
    </row>
    <row r="4885" spans="1:9" s="8" customFormat="1" ht="21" customHeight="1" x14ac:dyDescent="0.6">
      <c r="A4885" s="7">
        <v>24.718914699999999</v>
      </c>
      <c r="B4885" s="7">
        <v>34.7506913</v>
      </c>
      <c r="C4885" s="7">
        <v>677079.59</v>
      </c>
      <c r="D4885" s="7">
        <v>2734955.69</v>
      </c>
      <c r="E4885" s="7">
        <v>469.25</v>
      </c>
      <c r="F4885" s="7">
        <v>43930.45</v>
      </c>
      <c r="G4885" s="7">
        <v>90304</v>
      </c>
      <c r="H4885" s="7">
        <f t="shared" si="123"/>
        <v>43880.45</v>
      </c>
      <c r="I4885" s="15"/>
    </row>
    <row r="4886" spans="1:9" s="8" customFormat="1" ht="21" customHeight="1" x14ac:dyDescent="0.6">
      <c r="A4886" s="7">
        <v>24.718919199999998</v>
      </c>
      <c r="B4886" s="7">
        <v>34.750661000000001</v>
      </c>
      <c r="C4886" s="7">
        <v>677076.51</v>
      </c>
      <c r="D4886" s="7">
        <v>2734956.15</v>
      </c>
      <c r="E4886" s="7">
        <v>469.22</v>
      </c>
      <c r="F4886" s="7">
        <v>43833.31</v>
      </c>
      <c r="G4886" s="7">
        <v>90306</v>
      </c>
      <c r="H4886" s="7">
        <f t="shared" si="123"/>
        <v>43783.31</v>
      </c>
      <c r="I4886" s="15"/>
    </row>
    <row r="4887" spans="1:9" s="8" customFormat="1" ht="21" customHeight="1" x14ac:dyDescent="0.6">
      <c r="A4887" s="7">
        <v>24.718925599999999</v>
      </c>
      <c r="B4887" s="7">
        <v>34.750631200000001</v>
      </c>
      <c r="C4887" s="7">
        <v>677073.49</v>
      </c>
      <c r="D4887" s="7">
        <v>2734956.82</v>
      </c>
      <c r="E4887" s="7">
        <v>469.15</v>
      </c>
      <c r="F4887" s="7">
        <v>43867.15</v>
      </c>
      <c r="G4887" s="7">
        <v>90308</v>
      </c>
      <c r="H4887" s="7">
        <f t="shared" si="123"/>
        <v>43817.15</v>
      </c>
      <c r="I4887" s="15"/>
    </row>
    <row r="4888" spans="1:9" s="8" customFormat="1" ht="21" customHeight="1" x14ac:dyDescent="0.6">
      <c r="A4888" s="7">
        <v>24.718935599999998</v>
      </c>
      <c r="B4888" s="7">
        <v>34.750605100000001</v>
      </c>
      <c r="C4888" s="7">
        <v>677070.84</v>
      </c>
      <c r="D4888" s="7">
        <v>2734957.9</v>
      </c>
      <c r="E4888" s="7">
        <v>469.06</v>
      </c>
      <c r="F4888" s="7">
        <v>43910.13</v>
      </c>
      <c r="G4888" s="7">
        <v>90310</v>
      </c>
      <c r="H4888" s="7">
        <f t="shared" si="123"/>
        <v>43860.13</v>
      </c>
      <c r="I4888" s="15"/>
    </row>
    <row r="4889" spans="1:9" s="8" customFormat="1" ht="21" customHeight="1" x14ac:dyDescent="0.6">
      <c r="A4889" s="7">
        <v>24.718952600000001</v>
      </c>
      <c r="B4889" s="7">
        <v>34.750581199999999</v>
      </c>
      <c r="C4889" s="7">
        <v>677068.39</v>
      </c>
      <c r="D4889" s="7">
        <v>2734959.74</v>
      </c>
      <c r="E4889" s="7">
        <v>469.09</v>
      </c>
      <c r="F4889" s="7">
        <v>43815.17</v>
      </c>
      <c r="G4889" s="7">
        <v>90312</v>
      </c>
      <c r="H4889" s="7">
        <f t="shared" si="123"/>
        <v>43765.17</v>
      </c>
      <c r="I4889" s="15"/>
    </row>
    <row r="4890" spans="1:9" s="8" customFormat="1" ht="21" customHeight="1" x14ac:dyDescent="0.6">
      <c r="A4890" s="7">
        <v>24.718968400000001</v>
      </c>
      <c r="B4890" s="7">
        <v>34.750556799999998</v>
      </c>
      <c r="C4890" s="7">
        <v>677065.91</v>
      </c>
      <c r="D4890" s="7">
        <v>2734961.47</v>
      </c>
      <c r="E4890" s="7">
        <v>469.35</v>
      </c>
      <c r="F4890" s="7">
        <v>43617.93</v>
      </c>
      <c r="G4890" s="7">
        <v>90314</v>
      </c>
      <c r="H4890" s="7">
        <f t="shared" si="123"/>
        <v>43567.93</v>
      </c>
      <c r="I4890" s="15"/>
    </row>
    <row r="4891" spans="1:9" s="8" customFormat="1" ht="21" customHeight="1" x14ac:dyDescent="0.6">
      <c r="A4891" s="7">
        <v>24.7189865</v>
      </c>
      <c r="B4891" s="7">
        <v>34.750535399999997</v>
      </c>
      <c r="C4891" s="7">
        <v>677063.71</v>
      </c>
      <c r="D4891" s="7">
        <v>2734963.44</v>
      </c>
      <c r="E4891" s="7">
        <v>469.18</v>
      </c>
      <c r="F4891" s="7">
        <v>43560.18</v>
      </c>
      <c r="G4891" s="7">
        <v>90316</v>
      </c>
      <c r="H4891" s="7">
        <f t="shared" si="123"/>
        <v>43510.18</v>
      </c>
      <c r="I4891" s="15"/>
    </row>
    <row r="4892" spans="1:9" s="8" customFormat="1" ht="21" customHeight="1" x14ac:dyDescent="0.6">
      <c r="A4892" s="7">
        <v>24.7190087</v>
      </c>
      <c r="B4892" s="7">
        <v>34.750520000000002</v>
      </c>
      <c r="C4892" s="7">
        <v>677062.12</v>
      </c>
      <c r="D4892" s="7">
        <v>2734965.88</v>
      </c>
      <c r="E4892" s="7">
        <v>469.26</v>
      </c>
      <c r="F4892" s="7">
        <v>43608.67</v>
      </c>
      <c r="G4892" s="7">
        <v>90318</v>
      </c>
      <c r="H4892" s="7">
        <f t="shared" si="123"/>
        <v>43558.67</v>
      </c>
      <c r="I4892" s="15"/>
    </row>
    <row r="4893" spans="1:9" s="8" customFormat="1" ht="21" customHeight="1" x14ac:dyDescent="0.6">
      <c r="A4893" s="7">
        <v>24.7190239</v>
      </c>
      <c r="B4893" s="7">
        <v>34.750502699999998</v>
      </c>
      <c r="C4893" s="7">
        <v>677060.35</v>
      </c>
      <c r="D4893" s="7">
        <v>2734967.54</v>
      </c>
      <c r="E4893" s="7">
        <v>469.06</v>
      </c>
      <c r="F4893" s="7">
        <v>43745.08</v>
      </c>
      <c r="G4893" s="7">
        <v>90320</v>
      </c>
      <c r="H4893" s="7">
        <f t="shared" si="123"/>
        <v>43695.08</v>
      </c>
      <c r="I4893" s="15"/>
    </row>
    <row r="4894" spans="1:9" s="8" customFormat="1" ht="21" customHeight="1" x14ac:dyDescent="0.6">
      <c r="A4894" s="7">
        <v>24.719040199999998</v>
      </c>
      <c r="B4894" s="7">
        <v>34.750480699999997</v>
      </c>
      <c r="C4894" s="7">
        <v>677058.1</v>
      </c>
      <c r="D4894" s="7">
        <v>2734969.31</v>
      </c>
      <c r="E4894" s="7">
        <v>468.86</v>
      </c>
      <c r="F4894" s="7">
        <v>43749.71</v>
      </c>
      <c r="G4894" s="7">
        <v>90322</v>
      </c>
      <c r="H4894" s="7">
        <f t="shared" si="123"/>
        <v>43699.71</v>
      </c>
      <c r="I4894" s="15"/>
    </row>
    <row r="4895" spans="1:9" s="8" customFormat="1" ht="21" customHeight="1" x14ac:dyDescent="0.6">
      <c r="A4895" s="7">
        <v>24.719056500000001</v>
      </c>
      <c r="B4895" s="7">
        <v>34.750457699999998</v>
      </c>
      <c r="C4895" s="7">
        <v>677055.76</v>
      </c>
      <c r="D4895" s="7">
        <v>2734971.09</v>
      </c>
      <c r="E4895" s="7">
        <v>468.69</v>
      </c>
      <c r="F4895" s="7">
        <v>43754.99</v>
      </c>
      <c r="G4895" s="7">
        <v>90324</v>
      </c>
      <c r="H4895" s="7">
        <f t="shared" si="123"/>
        <v>43704.99</v>
      </c>
      <c r="I4895" s="15"/>
    </row>
    <row r="4896" spans="1:9" s="8" customFormat="1" ht="21" customHeight="1" x14ac:dyDescent="0.6">
      <c r="A4896" s="7">
        <v>24.719073999999999</v>
      </c>
      <c r="B4896" s="7">
        <v>34.750435600000003</v>
      </c>
      <c r="C4896" s="7">
        <v>677053.49</v>
      </c>
      <c r="D4896" s="7">
        <v>2734973</v>
      </c>
      <c r="E4896" s="7">
        <v>468.56</v>
      </c>
      <c r="F4896" s="7">
        <v>43627.49</v>
      </c>
      <c r="G4896" s="7">
        <v>90326</v>
      </c>
      <c r="H4896" s="7">
        <f t="shared" si="123"/>
        <v>43577.49</v>
      </c>
      <c r="I4896" s="15"/>
    </row>
    <row r="4897" spans="1:9" s="8" customFormat="1" ht="21" customHeight="1" x14ac:dyDescent="0.6">
      <c r="A4897" s="7">
        <v>24.719097000000001</v>
      </c>
      <c r="B4897" s="7">
        <v>34.750416800000004</v>
      </c>
      <c r="C4897" s="7">
        <v>677051.56</v>
      </c>
      <c r="D4897" s="7">
        <v>2734975.53</v>
      </c>
      <c r="E4897" s="7">
        <v>468.43</v>
      </c>
      <c r="F4897" s="7">
        <v>43485.7</v>
      </c>
      <c r="G4897" s="7">
        <v>90328</v>
      </c>
      <c r="H4897" s="7">
        <f t="shared" si="123"/>
        <v>43435.7</v>
      </c>
      <c r="I4897" s="15"/>
    </row>
    <row r="4898" spans="1:9" s="8" customFormat="1" ht="21" customHeight="1" x14ac:dyDescent="0.6">
      <c r="A4898" s="7">
        <v>24.719121999999999</v>
      </c>
      <c r="B4898" s="7">
        <v>34.7504031</v>
      </c>
      <c r="C4898" s="7">
        <v>677050.14</v>
      </c>
      <c r="D4898" s="7">
        <v>2734978.28</v>
      </c>
      <c r="E4898" s="7">
        <v>468.46</v>
      </c>
      <c r="F4898" s="7">
        <v>43673.21</v>
      </c>
      <c r="G4898" s="7">
        <v>90330</v>
      </c>
      <c r="H4898" s="7">
        <f t="shared" si="123"/>
        <v>43623.21</v>
      </c>
      <c r="I4898" s="15"/>
    </row>
    <row r="4899" spans="1:9" s="8" customFormat="1" ht="21" customHeight="1" x14ac:dyDescent="0.6">
      <c r="A4899" s="7">
        <v>24.7191431</v>
      </c>
      <c r="B4899" s="7">
        <v>34.750386900000002</v>
      </c>
      <c r="C4899" s="7">
        <v>677048.46</v>
      </c>
      <c r="D4899" s="7">
        <v>2734980.59</v>
      </c>
      <c r="E4899" s="7">
        <v>468.43</v>
      </c>
      <c r="F4899" s="7">
        <v>43637.05</v>
      </c>
      <c r="G4899" s="7">
        <v>90332</v>
      </c>
      <c r="H4899" s="7">
        <f t="shared" si="123"/>
        <v>43587.05</v>
      </c>
      <c r="I4899" s="15"/>
    </row>
    <row r="4900" spans="1:9" s="8" customFormat="1" ht="21" customHeight="1" x14ac:dyDescent="0.6">
      <c r="A4900" s="7">
        <v>24.7191619</v>
      </c>
      <c r="B4900" s="7">
        <v>34.750366100000001</v>
      </c>
      <c r="C4900" s="7">
        <v>677046.33</v>
      </c>
      <c r="D4900" s="7">
        <v>2734982.65</v>
      </c>
      <c r="E4900" s="7">
        <v>468.43</v>
      </c>
      <c r="F4900" s="7">
        <v>43540.04</v>
      </c>
      <c r="G4900" s="7">
        <v>90334</v>
      </c>
      <c r="H4900" s="7">
        <f t="shared" si="123"/>
        <v>43490.04</v>
      </c>
      <c r="I4900" s="15"/>
    </row>
    <row r="4901" spans="1:9" s="8" customFormat="1" ht="21" customHeight="1" x14ac:dyDescent="0.6">
      <c r="A4901" s="7">
        <v>24.719181800000001</v>
      </c>
      <c r="B4901" s="7">
        <v>34.750343200000003</v>
      </c>
      <c r="C4901" s="7">
        <v>677043.99</v>
      </c>
      <c r="D4901" s="7">
        <v>2734984.82</v>
      </c>
      <c r="E4901" s="7">
        <v>468.37</v>
      </c>
      <c r="F4901" s="7">
        <v>43508.1</v>
      </c>
      <c r="G4901" s="7">
        <v>90336</v>
      </c>
      <c r="H4901" s="7">
        <f t="shared" si="123"/>
        <v>43458.1</v>
      </c>
      <c r="I4901" s="15"/>
    </row>
    <row r="4902" spans="1:9" s="8" customFormat="1" ht="21" customHeight="1" x14ac:dyDescent="0.6">
      <c r="A4902" s="7">
        <v>24.719199799999998</v>
      </c>
      <c r="B4902" s="7">
        <v>34.750324300000003</v>
      </c>
      <c r="C4902" s="7">
        <v>677042.05</v>
      </c>
      <c r="D4902" s="7">
        <v>2734986.79</v>
      </c>
      <c r="E4902" s="7">
        <v>468.42</v>
      </c>
      <c r="F4902" s="7">
        <v>43504.34</v>
      </c>
      <c r="G4902" s="7">
        <v>90338</v>
      </c>
      <c r="H4902" s="7">
        <f t="shared" si="123"/>
        <v>43454.34</v>
      </c>
      <c r="I4902" s="15"/>
    </row>
    <row r="4903" spans="1:9" s="8" customFormat="1" ht="21" customHeight="1" x14ac:dyDescent="0.6">
      <c r="A4903" s="7">
        <v>24.719220100000001</v>
      </c>
      <c r="B4903" s="7">
        <v>34.750304300000003</v>
      </c>
      <c r="C4903" s="7">
        <v>677040</v>
      </c>
      <c r="D4903" s="7">
        <v>2734989.02</v>
      </c>
      <c r="E4903" s="7">
        <v>468.28</v>
      </c>
      <c r="F4903" s="7">
        <v>43510.28</v>
      </c>
      <c r="G4903" s="7">
        <v>90340</v>
      </c>
      <c r="H4903" s="7">
        <f t="shared" si="123"/>
        <v>43460.28</v>
      </c>
      <c r="I4903" s="15"/>
    </row>
    <row r="4904" spans="1:9" s="8" customFormat="1" ht="21" customHeight="1" x14ac:dyDescent="0.6">
      <c r="A4904" s="7">
        <v>24.719239399999999</v>
      </c>
      <c r="B4904" s="7">
        <v>34.750283799999998</v>
      </c>
      <c r="C4904" s="7">
        <v>677037.9</v>
      </c>
      <c r="D4904" s="7">
        <v>2734991.13</v>
      </c>
      <c r="E4904" s="7">
        <v>468.18</v>
      </c>
      <c r="F4904" s="7">
        <v>43528.27</v>
      </c>
      <c r="G4904" s="7">
        <v>90342</v>
      </c>
      <c r="H4904" s="7">
        <f t="shared" si="123"/>
        <v>43478.27</v>
      </c>
      <c r="I4904" s="15"/>
    </row>
    <row r="4905" spans="1:9" s="8" customFormat="1" ht="21" customHeight="1" x14ac:dyDescent="0.6">
      <c r="A4905" s="7">
        <v>24.719257200000001</v>
      </c>
      <c r="B4905" s="7">
        <v>34.750261600000002</v>
      </c>
      <c r="C4905" s="7">
        <v>677035.63</v>
      </c>
      <c r="D4905" s="7">
        <v>2734993.06</v>
      </c>
      <c r="E4905" s="7">
        <v>468.08</v>
      </c>
      <c r="F4905" s="7">
        <v>43529.7</v>
      </c>
      <c r="G4905" s="7">
        <v>90344</v>
      </c>
      <c r="H4905" s="7">
        <f t="shared" si="123"/>
        <v>43479.7</v>
      </c>
      <c r="I4905" s="15"/>
    </row>
    <row r="4906" spans="1:9" s="8" customFormat="1" ht="21" customHeight="1" x14ac:dyDescent="0.6">
      <c r="A4906" s="7">
        <v>24.719277900000002</v>
      </c>
      <c r="B4906" s="7">
        <v>34.7502432</v>
      </c>
      <c r="C4906" s="7">
        <v>677033.73</v>
      </c>
      <c r="D4906" s="7">
        <v>2734995.34</v>
      </c>
      <c r="E4906" s="7">
        <v>467.99</v>
      </c>
      <c r="F4906" s="7">
        <v>43536.06</v>
      </c>
      <c r="G4906" s="7">
        <v>90346</v>
      </c>
      <c r="H4906" s="7">
        <f t="shared" si="123"/>
        <v>43486.06</v>
      </c>
      <c r="I4906" s="15"/>
    </row>
    <row r="4907" spans="1:9" s="8" customFormat="1" ht="21" customHeight="1" x14ac:dyDescent="0.6">
      <c r="A4907" s="7">
        <v>24.719298200000001</v>
      </c>
      <c r="B4907" s="7">
        <v>34.750224000000003</v>
      </c>
      <c r="C4907" s="7">
        <v>677031.77</v>
      </c>
      <c r="D4907" s="7">
        <v>2734997.56</v>
      </c>
      <c r="E4907" s="7">
        <v>467.99</v>
      </c>
      <c r="F4907" s="7">
        <v>43538.97</v>
      </c>
      <c r="G4907" s="7">
        <v>90348</v>
      </c>
      <c r="H4907" s="7">
        <f t="shared" si="123"/>
        <v>43488.97</v>
      </c>
      <c r="I4907" s="15"/>
    </row>
    <row r="4908" spans="1:9" s="8" customFormat="1" ht="21" customHeight="1" x14ac:dyDescent="0.6">
      <c r="A4908" s="7">
        <v>24.719316500000001</v>
      </c>
      <c r="B4908" s="7">
        <v>34.750202799999997</v>
      </c>
      <c r="C4908" s="7">
        <v>677029.59</v>
      </c>
      <c r="D4908" s="7">
        <v>2734999.56</v>
      </c>
      <c r="E4908" s="7">
        <v>467.95</v>
      </c>
      <c r="F4908" s="7">
        <v>43507.85</v>
      </c>
      <c r="G4908" s="7">
        <v>90350</v>
      </c>
      <c r="H4908" s="7">
        <f t="shared" si="123"/>
        <v>43457.85</v>
      </c>
      <c r="I4908" s="15"/>
    </row>
    <row r="4909" spans="1:9" s="8" customFormat="1" ht="21" customHeight="1" x14ac:dyDescent="0.6">
      <c r="A4909" s="7">
        <v>24.719334499999999</v>
      </c>
      <c r="B4909" s="7">
        <v>34.750182100000004</v>
      </c>
      <c r="C4909" s="7">
        <v>677027.48</v>
      </c>
      <c r="D4909" s="7">
        <v>2735001.53</v>
      </c>
      <c r="E4909" s="7">
        <v>467.73</v>
      </c>
      <c r="F4909" s="7">
        <v>43594.01</v>
      </c>
      <c r="G4909" s="7">
        <v>90352</v>
      </c>
      <c r="H4909" s="7">
        <f t="shared" si="123"/>
        <v>43544.01</v>
      </c>
      <c r="I4909" s="15"/>
    </row>
    <row r="4910" spans="1:9" s="8" customFormat="1" ht="21" customHeight="1" x14ac:dyDescent="0.6">
      <c r="A4910" s="7">
        <v>24.719350500000001</v>
      </c>
      <c r="B4910" s="7">
        <v>34.7501599</v>
      </c>
      <c r="C4910" s="7">
        <v>677025.2</v>
      </c>
      <c r="D4910" s="7">
        <v>2735003.26</v>
      </c>
      <c r="E4910" s="7">
        <v>467.65</v>
      </c>
      <c r="F4910" s="7">
        <v>43664.36</v>
      </c>
      <c r="G4910" s="7">
        <v>90354</v>
      </c>
      <c r="H4910" s="7">
        <f t="shared" si="123"/>
        <v>43614.36</v>
      </c>
      <c r="I4910" s="15"/>
    </row>
    <row r="4911" spans="1:9" s="8" customFormat="1" ht="21" customHeight="1" x14ac:dyDescent="0.6">
      <c r="A4911" s="7">
        <v>24.7193635</v>
      </c>
      <c r="B4911" s="7">
        <v>34.750134799999998</v>
      </c>
      <c r="C4911" s="7">
        <v>677022.65</v>
      </c>
      <c r="D4911" s="7">
        <v>2735004.67</v>
      </c>
      <c r="E4911" s="7">
        <v>467.54</v>
      </c>
      <c r="F4911" s="7">
        <v>43585.08</v>
      </c>
      <c r="G4911" s="7">
        <v>90356</v>
      </c>
      <c r="H4911" s="7">
        <f t="shared" si="123"/>
        <v>43535.08</v>
      </c>
      <c r="I4911" s="15"/>
    </row>
    <row r="4912" spans="1:9" s="8" customFormat="1" ht="21" customHeight="1" x14ac:dyDescent="0.6">
      <c r="A4912" s="7">
        <v>24.719376499999999</v>
      </c>
      <c r="B4912" s="7">
        <v>34.750110200000002</v>
      </c>
      <c r="C4912" s="7">
        <v>677020.15</v>
      </c>
      <c r="D4912" s="7">
        <v>2735006.09</v>
      </c>
      <c r="E4912" s="7">
        <v>467.43</v>
      </c>
      <c r="F4912" s="7">
        <v>43566.97</v>
      </c>
      <c r="G4912" s="7">
        <v>90358</v>
      </c>
      <c r="H4912" s="7">
        <f t="shared" si="123"/>
        <v>43516.97</v>
      </c>
      <c r="I4912" s="15"/>
    </row>
    <row r="4913" spans="1:9" s="8" customFormat="1" ht="21" customHeight="1" x14ac:dyDescent="0.6">
      <c r="A4913" s="7">
        <v>24.719392599999999</v>
      </c>
      <c r="B4913" s="7">
        <v>34.750087200000003</v>
      </c>
      <c r="C4913" s="7">
        <v>677017.79</v>
      </c>
      <c r="D4913" s="7">
        <v>2735007.84</v>
      </c>
      <c r="E4913" s="7">
        <v>467.38</v>
      </c>
      <c r="F4913" s="7">
        <v>43534.41</v>
      </c>
      <c r="G4913" s="7">
        <v>90400</v>
      </c>
      <c r="H4913" s="7">
        <f t="shared" si="123"/>
        <v>43484.41</v>
      </c>
      <c r="I4913" s="15"/>
    </row>
    <row r="4914" spans="1:9" s="8" customFormat="1" ht="21" customHeight="1" x14ac:dyDescent="0.6">
      <c r="A4914" s="7">
        <v>24.719411699999998</v>
      </c>
      <c r="B4914" s="7">
        <v>34.750067600000001</v>
      </c>
      <c r="C4914" s="7">
        <v>677015.78</v>
      </c>
      <c r="D4914" s="7">
        <v>2735009.93</v>
      </c>
      <c r="E4914" s="7">
        <v>467.37</v>
      </c>
      <c r="F4914" s="7">
        <v>43504.69</v>
      </c>
      <c r="G4914" s="7">
        <v>90402</v>
      </c>
      <c r="H4914" s="7">
        <f t="shared" si="123"/>
        <v>43454.69</v>
      </c>
      <c r="I4914" s="15"/>
    </row>
    <row r="4915" spans="1:9" s="8" customFormat="1" ht="21" customHeight="1" x14ac:dyDescent="0.6">
      <c r="A4915" s="7">
        <v>24.719434700000001</v>
      </c>
      <c r="B4915" s="7">
        <v>34.7500517</v>
      </c>
      <c r="C4915" s="7">
        <v>677014.14</v>
      </c>
      <c r="D4915" s="7">
        <v>2735012.46</v>
      </c>
      <c r="E4915" s="7">
        <v>467.43</v>
      </c>
      <c r="F4915" s="7">
        <v>43530.25</v>
      </c>
      <c r="G4915" s="7">
        <v>90404</v>
      </c>
      <c r="H4915" s="7">
        <f t="shared" si="123"/>
        <v>43480.25</v>
      </c>
      <c r="I4915" s="15"/>
    </row>
    <row r="4916" spans="1:9" s="8" customFormat="1" ht="21" customHeight="1" x14ac:dyDescent="0.6">
      <c r="A4916" s="7">
        <v>24.719458299999999</v>
      </c>
      <c r="B4916" s="7">
        <v>34.750036000000001</v>
      </c>
      <c r="C4916" s="7">
        <v>677012.52</v>
      </c>
      <c r="D4916" s="7">
        <v>2735015.04</v>
      </c>
      <c r="E4916" s="7">
        <v>467.22</v>
      </c>
      <c r="F4916" s="7">
        <v>43553.760000000002</v>
      </c>
      <c r="G4916" s="7">
        <v>90406</v>
      </c>
      <c r="H4916" s="7">
        <f t="shared" si="123"/>
        <v>43503.76</v>
      </c>
      <c r="I4916" s="15"/>
    </row>
    <row r="4917" spans="1:9" s="8" customFormat="1" ht="21" customHeight="1" x14ac:dyDescent="0.6">
      <c r="A4917" s="7">
        <v>24.719473000000001</v>
      </c>
      <c r="B4917" s="7">
        <v>34.750011700000002</v>
      </c>
      <c r="C4917" s="7">
        <v>677010.05</v>
      </c>
      <c r="D4917" s="7">
        <v>2735016.65</v>
      </c>
      <c r="E4917" s="7">
        <v>467.18</v>
      </c>
      <c r="F4917" s="7">
        <v>43638.33</v>
      </c>
      <c r="G4917" s="7">
        <v>90408</v>
      </c>
      <c r="H4917" s="7">
        <f t="shared" si="123"/>
        <v>43588.33</v>
      </c>
      <c r="I4917" s="15"/>
    </row>
    <row r="4918" spans="1:9" s="8" customFormat="1" ht="21" customHeight="1" x14ac:dyDescent="0.6">
      <c r="A4918" s="7">
        <v>24.719490700000001</v>
      </c>
      <c r="B4918" s="7">
        <v>34.749988500000001</v>
      </c>
      <c r="C4918" s="7">
        <v>677007.67</v>
      </c>
      <c r="D4918" s="7">
        <v>2735018.58</v>
      </c>
      <c r="E4918" s="7">
        <v>467.08</v>
      </c>
      <c r="F4918" s="7">
        <v>43716.75</v>
      </c>
      <c r="G4918" s="7">
        <v>90410</v>
      </c>
      <c r="H4918" s="7">
        <f t="shared" si="123"/>
        <v>43666.75</v>
      </c>
      <c r="I4918" s="15"/>
    </row>
    <row r="4919" spans="1:9" s="8" customFormat="1" ht="21" customHeight="1" x14ac:dyDescent="0.6">
      <c r="A4919" s="7">
        <v>24.719505399999999</v>
      </c>
      <c r="B4919" s="7">
        <v>34.749963600000001</v>
      </c>
      <c r="C4919" s="7">
        <v>677005.13</v>
      </c>
      <c r="D4919" s="7">
        <v>2735020.18</v>
      </c>
      <c r="E4919" s="7">
        <v>466.96</v>
      </c>
      <c r="F4919" s="7">
        <v>43770.7</v>
      </c>
      <c r="G4919" s="7">
        <v>90412</v>
      </c>
      <c r="H4919" s="7">
        <f t="shared" si="123"/>
        <v>43720.7</v>
      </c>
      <c r="I4919" s="15"/>
    </row>
    <row r="4920" spans="1:9" s="8" customFormat="1" ht="21" customHeight="1" x14ac:dyDescent="0.6">
      <c r="A4920" s="7">
        <v>24.719519699999999</v>
      </c>
      <c r="B4920" s="7">
        <v>34.749937600000003</v>
      </c>
      <c r="C4920" s="7">
        <v>677002.48</v>
      </c>
      <c r="D4920" s="7">
        <v>2735021.73</v>
      </c>
      <c r="E4920" s="7">
        <v>466.85</v>
      </c>
      <c r="F4920" s="7">
        <v>43850.47</v>
      </c>
      <c r="G4920" s="7">
        <v>90414</v>
      </c>
      <c r="H4920" s="7">
        <f t="shared" si="123"/>
        <v>43800.47</v>
      </c>
      <c r="I4920" s="15"/>
    </row>
    <row r="4921" spans="1:9" s="8" customFormat="1" ht="21" customHeight="1" x14ac:dyDescent="0.6">
      <c r="A4921" s="7">
        <v>24.7195319</v>
      </c>
      <c r="B4921" s="7">
        <v>34.749911599999997</v>
      </c>
      <c r="C4921" s="7">
        <v>676999.83</v>
      </c>
      <c r="D4921" s="7">
        <v>2735023.04</v>
      </c>
      <c r="E4921" s="7">
        <v>466.74</v>
      </c>
      <c r="F4921" s="7">
        <v>43898.05</v>
      </c>
      <c r="G4921" s="7">
        <v>90416</v>
      </c>
      <c r="H4921" s="7">
        <f t="shared" si="123"/>
        <v>43848.05</v>
      </c>
      <c r="I4921" s="15"/>
    </row>
    <row r="4922" spans="1:9" s="8" customFormat="1" ht="21" customHeight="1" x14ac:dyDescent="0.6">
      <c r="A4922" s="7">
        <v>24.719536099999999</v>
      </c>
      <c r="B4922" s="7">
        <v>34.749883500000003</v>
      </c>
      <c r="C4922" s="7">
        <v>676996.99</v>
      </c>
      <c r="D4922" s="7">
        <v>2735023.47</v>
      </c>
      <c r="E4922" s="7">
        <v>466.63</v>
      </c>
      <c r="F4922" s="7">
        <v>43909.47</v>
      </c>
      <c r="G4922" s="7">
        <v>90418</v>
      </c>
      <c r="H4922" s="7">
        <f t="shared" si="123"/>
        <v>43859.47</v>
      </c>
      <c r="I4922" s="15"/>
    </row>
    <row r="4923" spans="1:9" s="8" customFormat="1" ht="21" customHeight="1" x14ac:dyDescent="0.6">
      <c r="A4923" s="7">
        <v>24.7195447</v>
      </c>
      <c r="B4923" s="7">
        <v>34.749854999999997</v>
      </c>
      <c r="C4923" s="7">
        <v>676994.09</v>
      </c>
      <c r="D4923" s="7">
        <v>2735024.39</v>
      </c>
      <c r="E4923" s="7">
        <v>466.49</v>
      </c>
      <c r="F4923" s="7">
        <v>43975.44</v>
      </c>
      <c r="G4923" s="7">
        <v>90420</v>
      </c>
      <c r="H4923" s="7">
        <f t="shared" si="123"/>
        <v>43925.440000000002</v>
      </c>
      <c r="I4923" s="15"/>
    </row>
    <row r="4924" spans="1:9" s="8" customFormat="1" ht="21" customHeight="1" x14ac:dyDescent="0.6">
      <c r="A4924" s="7">
        <v>24.719551599999999</v>
      </c>
      <c r="B4924" s="7">
        <v>34.749824699999998</v>
      </c>
      <c r="C4924" s="7">
        <v>676991.02</v>
      </c>
      <c r="D4924" s="7">
        <v>2735025.11</v>
      </c>
      <c r="E4924" s="7">
        <v>466.34</v>
      </c>
      <c r="F4924" s="7">
        <v>43915.89</v>
      </c>
      <c r="G4924" s="7">
        <v>90422</v>
      </c>
      <c r="H4924" s="7">
        <f t="shared" si="123"/>
        <v>43865.89</v>
      </c>
      <c r="I4924" s="15"/>
    </row>
    <row r="4925" spans="1:9" s="8" customFormat="1" ht="21" customHeight="1" x14ac:dyDescent="0.6">
      <c r="A4925" s="7">
        <v>24.719559499999999</v>
      </c>
      <c r="B4925" s="7">
        <v>34.749791899999998</v>
      </c>
      <c r="C4925" s="7">
        <v>676987.69</v>
      </c>
      <c r="D4925" s="7">
        <v>2735025.95</v>
      </c>
      <c r="E4925" s="7">
        <v>466.34</v>
      </c>
      <c r="F4925" s="7">
        <v>43907.09</v>
      </c>
      <c r="G4925" s="7">
        <v>90424</v>
      </c>
      <c r="H4925" s="7">
        <f t="shared" si="123"/>
        <v>43857.09</v>
      </c>
      <c r="I4925" s="15"/>
    </row>
    <row r="4926" spans="1:9" s="8" customFormat="1" ht="21" customHeight="1" x14ac:dyDescent="0.6">
      <c r="A4926" s="7">
        <v>24.7195681</v>
      </c>
      <c r="B4926" s="7">
        <v>34.7497568</v>
      </c>
      <c r="C4926" s="7">
        <v>676984.12</v>
      </c>
      <c r="D4926" s="7">
        <v>2735026.85</v>
      </c>
      <c r="E4926" s="7">
        <v>466.27</v>
      </c>
      <c r="F4926" s="7">
        <v>43818.96</v>
      </c>
      <c r="G4926" s="7">
        <v>90426</v>
      </c>
      <c r="H4926" s="7">
        <f t="shared" si="123"/>
        <v>43768.959999999999</v>
      </c>
      <c r="I4926" s="15"/>
    </row>
    <row r="4927" spans="1:9" s="8" customFormat="1" ht="21" customHeight="1" x14ac:dyDescent="0.6">
      <c r="A4927" s="7">
        <v>24.719579800000002</v>
      </c>
      <c r="B4927" s="7">
        <v>34.749726000000003</v>
      </c>
      <c r="C4927" s="7">
        <v>676980.99</v>
      </c>
      <c r="D4927" s="7">
        <v>2735028.11</v>
      </c>
      <c r="E4927" s="7">
        <v>466.22</v>
      </c>
      <c r="F4927" s="7">
        <v>43747.25</v>
      </c>
      <c r="G4927" s="7">
        <v>90428</v>
      </c>
      <c r="H4927" s="7">
        <f t="shared" si="123"/>
        <v>43697.25</v>
      </c>
      <c r="I4927" s="15"/>
    </row>
    <row r="4928" spans="1:9" s="8" customFormat="1" ht="21" customHeight="1" x14ac:dyDescent="0.6">
      <c r="A4928" s="7">
        <v>24.719597499999999</v>
      </c>
      <c r="B4928" s="7">
        <v>34.7497033</v>
      </c>
      <c r="C4928" s="7">
        <v>676978.67</v>
      </c>
      <c r="D4928" s="7">
        <v>2735030.04</v>
      </c>
      <c r="E4928" s="7">
        <v>466.15</v>
      </c>
      <c r="F4928" s="7">
        <v>43651.19</v>
      </c>
      <c r="G4928" s="7">
        <v>90430</v>
      </c>
      <c r="H4928" s="7">
        <f t="shared" si="123"/>
        <v>43601.19</v>
      </c>
      <c r="I4928" s="15"/>
    </row>
    <row r="4929" spans="1:9" s="8" customFormat="1" ht="21" customHeight="1" x14ac:dyDescent="0.6">
      <c r="A4929" s="7">
        <v>24.719619399999999</v>
      </c>
      <c r="B4929" s="7">
        <v>34.749677300000002</v>
      </c>
      <c r="C4929" s="7">
        <v>676976</v>
      </c>
      <c r="D4929" s="7">
        <v>2735032.42</v>
      </c>
      <c r="E4929" s="7">
        <v>466.01</v>
      </c>
      <c r="F4929" s="7">
        <v>43601.59</v>
      </c>
      <c r="G4929" s="7">
        <v>90432</v>
      </c>
      <c r="H4929" s="7">
        <f t="shared" si="123"/>
        <v>43551.59</v>
      </c>
      <c r="I4929" s="15"/>
    </row>
    <row r="4930" spans="1:9" s="8" customFormat="1" ht="21" customHeight="1" x14ac:dyDescent="0.6">
      <c r="A4930" s="7">
        <v>24.719639999999998</v>
      </c>
      <c r="B4930" s="7">
        <v>34.749653000000002</v>
      </c>
      <c r="C4930" s="7">
        <v>676973.51</v>
      </c>
      <c r="D4930" s="7">
        <v>2735034.68</v>
      </c>
      <c r="E4930" s="7">
        <v>466</v>
      </c>
      <c r="F4930" s="7">
        <v>43511.12</v>
      </c>
      <c r="G4930" s="7">
        <v>90434</v>
      </c>
      <c r="H4930" s="7">
        <f t="shared" si="123"/>
        <v>43461.120000000003</v>
      </c>
      <c r="I4930" s="15"/>
    </row>
    <row r="4931" spans="1:9" s="8" customFormat="1" ht="21" customHeight="1" x14ac:dyDescent="0.6">
      <c r="A4931" s="7">
        <v>24.719660900000001</v>
      </c>
      <c r="B4931" s="7">
        <v>34.749629800000001</v>
      </c>
      <c r="C4931" s="7">
        <v>676971.14</v>
      </c>
      <c r="D4931" s="7">
        <v>2735036.96</v>
      </c>
      <c r="E4931" s="7">
        <v>466</v>
      </c>
      <c r="F4931" s="7">
        <v>43481.24</v>
      </c>
      <c r="G4931" s="7">
        <v>90436</v>
      </c>
      <c r="H4931" s="7">
        <f t="shared" si="123"/>
        <v>43431.24</v>
      </c>
      <c r="I4931" s="15"/>
    </row>
    <row r="4932" spans="1:9" s="8" customFormat="1" ht="21" customHeight="1" x14ac:dyDescent="0.6">
      <c r="A4932" s="7">
        <v>24.7196818</v>
      </c>
      <c r="B4932" s="7">
        <v>34.749607599999997</v>
      </c>
      <c r="C4932" s="7">
        <v>676968.86</v>
      </c>
      <c r="D4932" s="7">
        <v>2735039.25</v>
      </c>
      <c r="E4932" s="7">
        <v>465.95</v>
      </c>
      <c r="F4932" s="7">
        <v>43445.07</v>
      </c>
      <c r="G4932" s="7">
        <v>90438</v>
      </c>
      <c r="H4932" s="7">
        <f t="shared" si="123"/>
        <v>43395.07</v>
      </c>
      <c r="I4932" s="15"/>
    </row>
    <row r="4933" spans="1:9" s="8" customFormat="1" ht="21" customHeight="1" x14ac:dyDescent="0.6">
      <c r="A4933" s="7">
        <v>24.7196982</v>
      </c>
      <c r="B4933" s="7">
        <v>34.749580700000003</v>
      </c>
      <c r="C4933" s="7">
        <v>676966.12</v>
      </c>
      <c r="D4933" s="7">
        <v>2735041.03</v>
      </c>
      <c r="E4933" s="7">
        <v>465.86</v>
      </c>
      <c r="F4933" s="7">
        <v>43401.36</v>
      </c>
      <c r="G4933" s="7">
        <v>90440</v>
      </c>
      <c r="H4933" s="7">
        <f t="shared" si="123"/>
        <v>43351.360000000001</v>
      </c>
      <c r="I4933" s="15"/>
    </row>
    <row r="4934" spans="1:9" s="8" customFormat="1" ht="21" customHeight="1" x14ac:dyDescent="0.6">
      <c r="A4934" s="7">
        <v>24.719711100000001</v>
      </c>
      <c r="B4934" s="7">
        <v>34.749552399999999</v>
      </c>
      <c r="C4934" s="7">
        <v>676963.23</v>
      </c>
      <c r="D4934" s="7">
        <v>2735042.42</v>
      </c>
      <c r="E4934" s="7">
        <v>465.82</v>
      </c>
      <c r="F4934" s="7">
        <v>43352.04</v>
      </c>
      <c r="G4934" s="7">
        <v>90442</v>
      </c>
      <c r="H4934" s="7">
        <f t="shared" si="123"/>
        <v>43302.04</v>
      </c>
      <c r="I4934" s="15"/>
    </row>
    <row r="4935" spans="1:9" s="8" customFormat="1" ht="21" customHeight="1" x14ac:dyDescent="0.6">
      <c r="A4935" s="7">
        <v>24.7197213</v>
      </c>
      <c r="B4935" s="7">
        <v>34.7495227</v>
      </c>
      <c r="C4935" s="7">
        <v>676960.22</v>
      </c>
      <c r="D4935" s="7">
        <v>2735043.52</v>
      </c>
      <c r="E4935" s="7">
        <v>465.68</v>
      </c>
      <c r="F4935" s="7">
        <v>43343.56</v>
      </c>
      <c r="G4935" s="7">
        <v>90444</v>
      </c>
      <c r="H4935" s="7">
        <f t="shared" si="123"/>
        <v>43293.56</v>
      </c>
      <c r="I4935" s="15"/>
    </row>
    <row r="4936" spans="1:9" s="8" customFormat="1" ht="21" customHeight="1" x14ac:dyDescent="0.6">
      <c r="A4936" s="7">
        <v>24.719733900000001</v>
      </c>
      <c r="B4936" s="7">
        <v>34.7494935</v>
      </c>
      <c r="C4936" s="7">
        <v>676957.25</v>
      </c>
      <c r="D4936" s="7">
        <v>2735044.88</v>
      </c>
      <c r="E4936" s="7">
        <v>465.45</v>
      </c>
      <c r="F4936" s="7">
        <v>43362.15</v>
      </c>
      <c r="G4936" s="7">
        <v>90446</v>
      </c>
      <c r="H4936" s="7">
        <f t="shared" si="123"/>
        <v>43312.15</v>
      </c>
      <c r="I4936" s="15"/>
    </row>
    <row r="4937" spans="1:9" s="8" customFormat="1" ht="21" customHeight="1" x14ac:dyDescent="0.6">
      <c r="A4937" s="7">
        <v>24.719745700000001</v>
      </c>
      <c r="B4937" s="7">
        <v>34.749462800000003</v>
      </c>
      <c r="C4937" s="7">
        <v>676954.12</v>
      </c>
      <c r="D4937" s="7">
        <v>2735046.14</v>
      </c>
      <c r="E4937" s="7">
        <v>465.31</v>
      </c>
      <c r="F4937" s="7">
        <v>43350.12</v>
      </c>
      <c r="G4937" s="7">
        <v>90448</v>
      </c>
      <c r="H4937" s="7">
        <f t="shared" si="123"/>
        <v>43300.12</v>
      </c>
      <c r="I4937" s="15"/>
    </row>
    <row r="4938" spans="1:9" s="8" customFormat="1" ht="21" customHeight="1" x14ac:dyDescent="0.6">
      <c r="A4938" s="7">
        <v>24.719762500000002</v>
      </c>
      <c r="B4938" s="7">
        <v>34.749438900000001</v>
      </c>
      <c r="C4938" s="7">
        <v>676951.68</v>
      </c>
      <c r="D4938" s="7">
        <v>2735047.97</v>
      </c>
      <c r="E4938" s="7">
        <v>465.28</v>
      </c>
      <c r="F4938" s="7">
        <v>43375</v>
      </c>
      <c r="G4938" s="7">
        <v>90450</v>
      </c>
      <c r="H4938" s="7">
        <f t="shared" si="123"/>
        <v>43325</v>
      </c>
      <c r="I4938" s="15"/>
    </row>
    <row r="4939" spans="1:9" s="8" customFormat="1" ht="21" customHeight="1" x14ac:dyDescent="0.6">
      <c r="A4939" s="7">
        <v>24.719777700000002</v>
      </c>
      <c r="B4939" s="7">
        <v>34.749414399999999</v>
      </c>
      <c r="C4939" s="7">
        <v>676949.19</v>
      </c>
      <c r="D4939" s="7">
        <v>2735049.63</v>
      </c>
      <c r="E4939" s="7">
        <v>465.15</v>
      </c>
      <c r="F4939" s="7">
        <v>43457.58</v>
      </c>
      <c r="G4939" s="7">
        <v>90452</v>
      </c>
      <c r="H4939" s="7">
        <f t="shared" si="123"/>
        <v>43407.58</v>
      </c>
      <c r="I4939" s="15"/>
    </row>
    <row r="4940" spans="1:9" s="8" customFormat="1" ht="21" customHeight="1" x14ac:dyDescent="0.6">
      <c r="A4940" s="7">
        <v>24.7197943</v>
      </c>
      <c r="B4940" s="7">
        <v>34.749390099999999</v>
      </c>
      <c r="C4940" s="7">
        <v>676946.7</v>
      </c>
      <c r="D4940" s="7">
        <v>2735051.43</v>
      </c>
      <c r="E4940" s="7">
        <v>464.96</v>
      </c>
      <c r="F4940" s="7">
        <v>43472.95</v>
      </c>
      <c r="G4940" s="7">
        <v>90454</v>
      </c>
      <c r="H4940" s="7">
        <f t="shared" si="123"/>
        <v>43422.95</v>
      </c>
      <c r="I4940" s="15"/>
    </row>
    <row r="4941" spans="1:9" s="8" customFormat="1" ht="21" customHeight="1" x14ac:dyDescent="0.6">
      <c r="A4941" s="7">
        <v>24.7198113</v>
      </c>
      <c r="B4941" s="7">
        <v>34.749368599999997</v>
      </c>
      <c r="C4941" s="7">
        <v>676944.5</v>
      </c>
      <c r="D4941" s="7">
        <v>2735053.29</v>
      </c>
      <c r="E4941" s="7">
        <v>464.75</v>
      </c>
      <c r="F4941" s="7">
        <v>43491.65</v>
      </c>
      <c r="G4941" s="7">
        <v>90456</v>
      </c>
      <c r="H4941" s="7">
        <f t="shared" si="123"/>
        <v>43441.65</v>
      </c>
      <c r="I4941" s="15"/>
    </row>
    <row r="4942" spans="1:9" s="8" customFormat="1" ht="21" customHeight="1" x14ac:dyDescent="0.6">
      <c r="A4942" s="7">
        <v>24.719823000000002</v>
      </c>
      <c r="B4942" s="7">
        <v>34.749338600000002</v>
      </c>
      <c r="C4942" s="7">
        <v>676941.45</v>
      </c>
      <c r="D4942" s="7">
        <v>2735054.54</v>
      </c>
      <c r="E4942" s="7">
        <v>464.64</v>
      </c>
      <c r="F4942" s="7">
        <v>43386.13</v>
      </c>
      <c r="G4942" s="7">
        <v>90458</v>
      </c>
      <c r="H4942" s="7">
        <f t="shared" si="123"/>
        <v>43336.13</v>
      </c>
      <c r="I4942" s="15"/>
    </row>
    <row r="4943" spans="1:9" s="8" customFormat="1" ht="21" customHeight="1" x14ac:dyDescent="0.6">
      <c r="A4943" s="7">
        <v>24.719833600000001</v>
      </c>
      <c r="B4943" s="7">
        <v>34.749310700000002</v>
      </c>
      <c r="C4943" s="7">
        <v>676938.61</v>
      </c>
      <c r="D4943" s="7">
        <v>2735055.68</v>
      </c>
      <c r="E4943" s="7">
        <v>464.54</v>
      </c>
      <c r="F4943" s="7">
        <v>43380.87</v>
      </c>
      <c r="G4943" s="7">
        <v>90500</v>
      </c>
      <c r="H4943" s="7">
        <f t="shared" si="123"/>
        <v>43330.87</v>
      </c>
      <c r="I4943" s="15"/>
    </row>
    <row r="4944" spans="1:9" s="8" customFormat="1" ht="21" customHeight="1" x14ac:dyDescent="0.6">
      <c r="A4944" s="7">
        <v>24.719844699999999</v>
      </c>
      <c r="B4944" s="7">
        <v>34.749281600000003</v>
      </c>
      <c r="C4944" s="7">
        <v>676935.65</v>
      </c>
      <c r="D4944" s="7">
        <v>2735056.87</v>
      </c>
      <c r="E4944" s="7">
        <v>464.5</v>
      </c>
      <c r="F4944" s="7">
        <v>43348.43</v>
      </c>
      <c r="G4944" s="7">
        <v>90502</v>
      </c>
      <c r="H4944" s="7">
        <f t="shared" si="123"/>
        <v>43298.43</v>
      </c>
      <c r="I4944" s="15"/>
    </row>
    <row r="4945" spans="1:9" s="8" customFormat="1" ht="21" customHeight="1" x14ac:dyDescent="0.6">
      <c r="A4945" s="7">
        <v>24.719855200000001</v>
      </c>
      <c r="B4945" s="7">
        <v>34.749253600000003</v>
      </c>
      <c r="C4945" s="7">
        <v>676932.8</v>
      </c>
      <c r="D4945" s="7">
        <v>2735058</v>
      </c>
      <c r="E4945" s="7">
        <v>464.48</v>
      </c>
      <c r="F4945" s="7">
        <v>43367.09</v>
      </c>
      <c r="G4945" s="7">
        <v>90504</v>
      </c>
      <c r="H4945" s="7">
        <f t="shared" si="123"/>
        <v>43317.09</v>
      </c>
      <c r="I4945" s="15"/>
    </row>
    <row r="4946" spans="1:9" s="8" customFormat="1" ht="21" customHeight="1" x14ac:dyDescent="0.6">
      <c r="A4946" s="7">
        <v>24.7198639</v>
      </c>
      <c r="B4946" s="7">
        <v>34.749224300000002</v>
      </c>
      <c r="C4946" s="7">
        <v>676929.82</v>
      </c>
      <c r="D4946" s="7">
        <v>2735058.92</v>
      </c>
      <c r="E4946" s="7">
        <v>464.42</v>
      </c>
      <c r="F4946" s="7">
        <v>43367.38</v>
      </c>
      <c r="G4946" s="7">
        <v>90506</v>
      </c>
      <c r="H4946" s="7">
        <f t="shared" si="123"/>
        <v>43317.38</v>
      </c>
      <c r="I4946" s="15"/>
    </row>
    <row r="4947" spans="1:9" s="8" customFormat="1" ht="21" customHeight="1" x14ac:dyDescent="0.6">
      <c r="A4947" s="7">
        <v>24.719872899999999</v>
      </c>
      <c r="B4947" s="7">
        <v>34.749196400000002</v>
      </c>
      <c r="C4947" s="7">
        <v>676926.99</v>
      </c>
      <c r="D4947" s="7">
        <v>2735059.89</v>
      </c>
      <c r="E4947" s="7">
        <v>464.42</v>
      </c>
      <c r="F4947" s="7">
        <v>43355.14</v>
      </c>
      <c r="G4947" s="7">
        <v>90508</v>
      </c>
      <c r="H4947" s="7">
        <f t="shared" si="123"/>
        <v>43305.14</v>
      </c>
      <c r="I4947" s="15"/>
    </row>
    <row r="4948" spans="1:9" s="8" customFormat="1" ht="21" customHeight="1" x14ac:dyDescent="0.6">
      <c r="A4948" s="7">
        <v>24.719891499999999</v>
      </c>
      <c r="B4948" s="7">
        <v>34.749169199999997</v>
      </c>
      <c r="C4948" s="7">
        <v>676924.22</v>
      </c>
      <c r="D4948" s="7">
        <v>2735061.91</v>
      </c>
      <c r="E4948" s="7">
        <v>464.66</v>
      </c>
      <c r="F4948" s="7">
        <v>43330.51</v>
      </c>
      <c r="G4948" s="7">
        <v>90510</v>
      </c>
      <c r="H4948" s="7">
        <f t="shared" ref="H4948:H5011" si="124">SUM(F4948-50)</f>
        <v>43280.51</v>
      </c>
      <c r="I4948" s="15"/>
    </row>
    <row r="4949" spans="1:9" s="8" customFormat="1" ht="21" customHeight="1" x14ac:dyDescent="0.6">
      <c r="A4949" s="7">
        <v>24.719898799999999</v>
      </c>
      <c r="B4949" s="7">
        <v>34.749141600000002</v>
      </c>
      <c r="C4949" s="7">
        <v>676921.41</v>
      </c>
      <c r="D4949" s="7">
        <v>2735062.68</v>
      </c>
      <c r="E4949" s="7">
        <v>464.54</v>
      </c>
      <c r="F4949" s="7">
        <v>43263.59</v>
      </c>
      <c r="G4949" s="7">
        <v>90512</v>
      </c>
      <c r="H4949" s="7">
        <f t="shared" si="124"/>
        <v>43213.59</v>
      </c>
      <c r="I4949" s="15"/>
    </row>
    <row r="4950" spans="1:9" s="8" customFormat="1" ht="21" customHeight="1" x14ac:dyDescent="0.6">
      <c r="A4950" s="7">
        <v>24.719911199999999</v>
      </c>
      <c r="B4950" s="7">
        <v>34.749114599999999</v>
      </c>
      <c r="C4950" s="7">
        <v>676918.66</v>
      </c>
      <c r="D4950" s="7">
        <v>2735064.02</v>
      </c>
      <c r="E4950" s="7">
        <v>464.44</v>
      </c>
      <c r="F4950" s="7">
        <v>43268.27</v>
      </c>
      <c r="G4950" s="7">
        <v>90514</v>
      </c>
      <c r="H4950" s="7">
        <f t="shared" si="124"/>
        <v>43218.27</v>
      </c>
      <c r="I4950" s="15"/>
    </row>
    <row r="4951" spans="1:9" s="8" customFormat="1" ht="21" customHeight="1" x14ac:dyDescent="0.6">
      <c r="A4951" s="7">
        <v>24.7199241</v>
      </c>
      <c r="B4951" s="7">
        <v>34.749087799999998</v>
      </c>
      <c r="C4951" s="7">
        <v>676915.93</v>
      </c>
      <c r="D4951" s="7">
        <v>2735065.42</v>
      </c>
      <c r="E4951" s="7">
        <v>464.34</v>
      </c>
      <c r="F4951" s="7">
        <v>43247.85</v>
      </c>
      <c r="G4951" s="7">
        <v>90516</v>
      </c>
      <c r="H4951" s="7">
        <f t="shared" si="124"/>
        <v>43197.85</v>
      </c>
      <c r="I4951" s="15"/>
    </row>
    <row r="4952" spans="1:9" s="8" customFormat="1" ht="21" customHeight="1" x14ac:dyDescent="0.6">
      <c r="A4952" s="7">
        <v>24.7199372</v>
      </c>
      <c r="B4952" s="7">
        <v>34.749060900000003</v>
      </c>
      <c r="C4952" s="7">
        <v>676913.19</v>
      </c>
      <c r="D4952" s="7">
        <v>2735066.83</v>
      </c>
      <c r="E4952" s="7">
        <v>464.22</v>
      </c>
      <c r="F4952" s="7">
        <v>43276.29</v>
      </c>
      <c r="G4952" s="7">
        <v>90518</v>
      </c>
      <c r="H4952" s="7">
        <f t="shared" si="124"/>
        <v>43226.29</v>
      </c>
      <c r="I4952" s="15"/>
    </row>
    <row r="4953" spans="1:9" s="8" customFormat="1" ht="21" customHeight="1" x14ac:dyDescent="0.6">
      <c r="A4953" s="7">
        <v>24.719952200000002</v>
      </c>
      <c r="B4953" s="7">
        <v>34.749034399999999</v>
      </c>
      <c r="C4953" s="7">
        <v>676910.49</v>
      </c>
      <c r="D4953" s="7">
        <v>2735068.46</v>
      </c>
      <c r="E4953" s="7">
        <v>464.13</v>
      </c>
      <c r="F4953" s="7">
        <v>43285.06</v>
      </c>
      <c r="G4953" s="7">
        <v>90520</v>
      </c>
      <c r="H4953" s="7">
        <f t="shared" si="124"/>
        <v>43235.06</v>
      </c>
      <c r="I4953" s="15"/>
    </row>
    <row r="4954" spans="1:9" s="8" customFormat="1" ht="21" customHeight="1" x14ac:dyDescent="0.6">
      <c r="A4954" s="7">
        <v>24.719968300000001</v>
      </c>
      <c r="B4954" s="7">
        <v>34.7490095</v>
      </c>
      <c r="C4954" s="7">
        <v>676907.95</v>
      </c>
      <c r="D4954" s="7">
        <v>2735070.21</v>
      </c>
      <c r="E4954" s="7">
        <v>464.02</v>
      </c>
      <c r="F4954" s="7">
        <v>43284.02</v>
      </c>
      <c r="G4954" s="7">
        <v>90522</v>
      </c>
      <c r="H4954" s="7">
        <f t="shared" si="124"/>
        <v>43234.02</v>
      </c>
      <c r="I4954" s="15"/>
    </row>
    <row r="4955" spans="1:9" s="8" customFormat="1" ht="21" customHeight="1" x14ac:dyDescent="0.6">
      <c r="A4955" s="7">
        <v>24.719985999999999</v>
      </c>
      <c r="B4955" s="7">
        <v>34.748986600000002</v>
      </c>
      <c r="C4955" s="7">
        <v>676905.61</v>
      </c>
      <c r="D4955" s="7">
        <v>2735072.14</v>
      </c>
      <c r="E4955" s="7">
        <v>463.79</v>
      </c>
      <c r="F4955" s="7">
        <v>43314.22</v>
      </c>
      <c r="G4955" s="7">
        <v>90524</v>
      </c>
      <c r="H4955" s="7">
        <f t="shared" si="124"/>
        <v>43264.22</v>
      </c>
      <c r="I4955" s="15"/>
    </row>
    <row r="4956" spans="1:9" s="8" customFormat="1" ht="21" customHeight="1" x14ac:dyDescent="0.6">
      <c r="A4956" s="7">
        <v>24.720001400000001</v>
      </c>
      <c r="B4956" s="7">
        <v>34.7489609</v>
      </c>
      <c r="C4956" s="7">
        <v>676902.98</v>
      </c>
      <c r="D4956" s="7">
        <v>2735073.81</v>
      </c>
      <c r="E4956" s="7">
        <v>463.63</v>
      </c>
      <c r="F4956" s="7">
        <v>43343.360000000001</v>
      </c>
      <c r="G4956" s="7">
        <v>90526</v>
      </c>
      <c r="H4956" s="7">
        <f t="shared" si="124"/>
        <v>43293.36</v>
      </c>
      <c r="I4956" s="15"/>
    </row>
    <row r="4957" spans="1:9" s="8" customFormat="1" ht="21" customHeight="1" x14ac:dyDescent="0.6">
      <c r="A4957" s="7">
        <v>24.720012199999999</v>
      </c>
      <c r="B4957" s="7">
        <v>34.7489329</v>
      </c>
      <c r="C4957" s="7">
        <v>676900.14</v>
      </c>
      <c r="D4957" s="7">
        <v>2735074.97</v>
      </c>
      <c r="E4957" s="7">
        <v>463.61</v>
      </c>
      <c r="F4957" s="7">
        <v>43365.31</v>
      </c>
      <c r="G4957" s="7">
        <v>90528</v>
      </c>
      <c r="H4957" s="7">
        <f t="shared" si="124"/>
        <v>43315.31</v>
      </c>
      <c r="I4957" s="15"/>
    </row>
    <row r="4958" spans="1:9" s="8" customFormat="1" ht="21" customHeight="1" x14ac:dyDescent="0.6">
      <c r="A4958" s="7">
        <v>24.720026499999999</v>
      </c>
      <c r="B4958" s="7">
        <v>34.7489074</v>
      </c>
      <c r="C4958" s="7">
        <v>676897.54</v>
      </c>
      <c r="D4958" s="7">
        <v>2735076.53</v>
      </c>
      <c r="E4958" s="7">
        <v>463.5</v>
      </c>
      <c r="F4958" s="7">
        <v>43366.89</v>
      </c>
      <c r="G4958" s="7">
        <v>90530</v>
      </c>
      <c r="H4958" s="7">
        <f t="shared" si="124"/>
        <v>43316.89</v>
      </c>
      <c r="I4958" s="15"/>
    </row>
    <row r="4959" spans="1:9" s="8" customFormat="1" ht="21" customHeight="1" x14ac:dyDescent="0.6">
      <c r="A4959" s="7">
        <v>24.720042800000002</v>
      </c>
      <c r="B4959" s="7">
        <v>34.748883200000002</v>
      </c>
      <c r="C4959" s="7">
        <v>676895.06</v>
      </c>
      <c r="D4959" s="7">
        <v>2735078.3</v>
      </c>
      <c r="E4959" s="7">
        <v>463.41</v>
      </c>
      <c r="F4959" s="7">
        <v>43354.87</v>
      </c>
      <c r="G4959" s="7">
        <v>90532</v>
      </c>
      <c r="H4959" s="7">
        <f t="shared" si="124"/>
        <v>43304.87</v>
      </c>
      <c r="I4959" s="15"/>
    </row>
    <row r="4960" spans="1:9" s="8" customFormat="1" ht="21" customHeight="1" x14ac:dyDescent="0.6">
      <c r="A4960" s="7">
        <v>24.720058099999999</v>
      </c>
      <c r="B4960" s="7">
        <v>34.748859699999997</v>
      </c>
      <c r="C4960" s="7">
        <v>676892.67</v>
      </c>
      <c r="D4960" s="7">
        <v>2735079.96</v>
      </c>
      <c r="E4960" s="7">
        <v>463.34</v>
      </c>
      <c r="F4960" s="7">
        <v>43300.15</v>
      </c>
      <c r="G4960" s="7">
        <v>90534</v>
      </c>
      <c r="H4960" s="7">
        <f t="shared" si="124"/>
        <v>43250.15</v>
      </c>
      <c r="I4960" s="15"/>
    </row>
    <row r="4961" spans="1:9" s="8" customFormat="1" ht="21" customHeight="1" x14ac:dyDescent="0.6">
      <c r="A4961" s="7">
        <v>24.720067700000001</v>
      </c>
      <c r="B4961" s="7">
        <v>34.748832200000003</v>
      </c>
      <c r="C4961" s="7">
        <v>676889.87</v>
      </c>
      <c r="D4961" s="7">
        <v>2735080.99</v>
      </c>
      <c r="E4961" s="7">
        <v>463.32</v>
      </c>
      <c r="F4961" s="7">
        <v>43279.44</v>
      </c>
      <c r="G4961" s="7">
        <v>90536</v>
      </c>
      <c r="H4961" s="7">
        <f t="shared" si="124"/>
        <v>43229.440000000002</v>
      </c>
      <c r="I4961" s="15"/>
    </row>
    <row r="4962" spans="1:9" s="8" customFormat="1" ht="21" customHeight="1" x14ac:dyDescent="0.6">
      <c r="A4962" s="7">
        <v>24.7200782</v>
      </c>
      <c r="B4962" s="7">
        <v>34.748804800000002</v>
      </c>
      <c r="C4962" s="7">
        <v>676887.09</v>
      </c>
      <c r="D4962" s="7">
        <v>2735082.11</v>
      </c>
      <c r="E4962" s="7">
        <v>463.36</v>
      </c>
      <c r="F4962" s="7">
        <v>43264.65</v>
      </c>
      <c r="G4962" s="7">
        <v>90538</v>
      </c>
      <c r="H4962" s="7">
        <f t="shared" si="124"/>
        <v>43214.65</v>
      </c>
      <c r="I4962" s="15"/>
    </row>
    <row r="4963" spans="1:9" s="8" customFormat="1" ht="21" customHeight="1" x14ac:dyDescent="0.6">
      <c r="A4963" s="7">
        <v>24.720091100000001</v>
      </c>
      <c r="B4963" s="7">
        <v>34.748779200000001</v>
      </c>
      <c r="C4963" s="7">
        <v>676884.47999999998</v>
      </c>
      <c r="D4963" s="7">
        <v>2735083.51</v>
      </c>
      <c r="E4963" s="7">
        <v>463.29</v>
      </c>
      <c r="F4963" s="7">
        <v>43253.09</v>
      </c>
      <c r="G4963" s="7">
        <v>90540</v>
      </c>
      <c r="H4963" s="7">
        <f t="shared" si="124"/>
        <v>43203.09</v>
      </c>
      <c r="I4963" s="15"/>
    </row>
    <row r="4964" spans="1:9" s="8" customFormat="1" ht="21" customHeight="1" x14ac:dyDescent="0.6">
      <c r="A4964" s="7">
        <v>24.7201092</v>
      </c>
      <c r="B4964" s="7">
        <v>34.748756700000001</v>
      </c>
      <c r="C4964" s="7">
        <v>676882.18</v>
      </c>
      <c r="D4964" s="7">
        <v>2735085.49</v>
      </c>
      <c r="E4964" s="7">
        <v>463.35</v>
      </c>
      <c r="F4964" s="7">
        <v>43235.93</v>
      </c>
      <c r="G4964" s="7">
        <v>90542</v>
      </c>
      <c r="H4964" s="7">
        <f t="shared" si="124"/>
        <v>43185.93</v>
      </c>
      <c r="I4964" s="15"/>
    </row>
    <row r="4965" spans="1:9" s="8" customFormat="1" ht="21" customHeight="1" x14ac:dyDescent="0.6">
      <c r="A4965" s="7">
        <v>24.7201235</v>
      </c>
      <c r="B4965" s="7">
        <v>34.748732599999997</v>
      </c>
      <c r="C4965" s="7">
        <v>676879.72</v>
      </c>
      <c r="D4965" s="7">
        <v>2735087.05</v>
      </c>
      <c r="E4965" s="7">
        <v>463.37</v>
      </c>
      <c r="F4965" s="7">
        <v>43232.07</v>
      </c>
      <c r="G4965" s="7">
        <v>90544</v>
      </c>
      <c r="H4965" s="7">
        <f t="shared" si="124"/>
        <v>43182.07</v>
      </c>
      <c r="I4965" s="15"/>
    </row>
    <row r="4966" spans="1:9" s="8" customFormat="1" ht="21" customHeight="1" x14ac:dyDescent="0.6">
      <c r="A4966" s="7">
        <v>24.7201339</v>
      </c>
      <c r="B4966" s="7">
        <v>34.748705100000002</v>
      </c>
      <c r="C4966" s="7">
        <v>676876.92</v>
      </c>
      <c r="D4966" s="7">
        <v>2735088.16</v>
      </c>
      <c r="E4966" s="7">
        <v>463.31</v>
      </c>
      <c r="F4966" s="7">
        <v>43230.89</v>
      </c>
      <c r="G4966" s="7">
        <v>90546</v>
      </c>
      <c r="H4966" s="7">
        <f t="shared" si="124"/>
        <v>43180.89</v>
      </c>
      <c r="I4966" s="15"/>
    </row>
    <row r="4967" spans="1:9" s="8" customFormat="1" ht="21" customHeight="1" x14ac:dyDescent="0.6">
      <c r="A4967" s="7">
        <v>24.720143799999999</v>
      </c>
      <c r="B4967" s="7">
        <v>34.748677399999998</v>
      </c>
      <c r="C4967" s="7">
        <v>676874.1</v>
      </c>
      <c r="D4967" s="7">
        <v>2735089.21</v>
      </c>
      <c r="E4967" s="7">
        <v>463.21</v>
      </c>
      <c r="F4967" s="7">
        <v>43229.95</v>
      </c>
      <c r="G4967" s="7">
        <v>90548</v>
      </c>
      <c r="H4967" s="7">
        <f t="shared" si="124"/>
        <v>43179.95</v>
      </c>
      <c r="I4967" s="15"/>
    </row>
    <row r="4968" spans="1:9" s="8" customFormat="1" ht="21" customHeight="1" x14ac:dyDescent="0.6">
      <c r="A4968" s="7">
        <v>24.720157199999999</v>
      </c>
      <c r="B4968" s="7">
        <v>34.748652300000003</v>
      </c>
      <c r="C4968" s="7">
        <v>676871.54</v>
      </c>
      <c r="D4968" s="7">
        <v>2735090.67</v>
      </c>
      <c r="E4968" s="7">
        <v>463.12</v>
      </c>
      <c r="F4968" s="7">
        <v>43226.04</v>
      </c>
      <c r="G4968" s="7">
        <v>90550</v>
      </c>
      <c r="H4968" s="7">
        <f t="shared" si="124"/>
        <v>43176.04</v>
      </c>
      <c r="I4968" s="15"/>
    </row>
    <row r="4969" spans="1:9" s="8" customFormat="1" ht="21" customHeight="1" x14ac:dyDescent="0.6">
      <c r="A4969" s="7">
        <v>24.7201694</v>
      </c>
      <c r="B4969" s="7">
        <v>34.748626199999997</v>
      </c>
      <c r="C4969" s="7">
        <v>676868.88</v>
      </c>
      <c r="D4969" s="7">
        <v>2735091.98</v>
      </c>
      <c r="E4969" s="7">
        <v>463.04</v>
      </c>
      <c r="F4969" s="7">
        <v>43217.25</v>
      </c>
      <c r="G4969" s="7">
        <v>90552</v>
      </c>
      <c r="H4969" s="7">
        <f t="shared" si="124"/>
        <v>43167.25</v>
      </c>
      <c r="I4969" s="15"/>
    </row>
    <row r="4970" spans="1:9" s="8" customFormat="1" ht="21" customHeight="1" x14ac:dyDescent="0.6">
      <c r="A4970" s="7">
        <v>24.720181</v>
      </c>
      <c r="B4970" s="7">
        <v>34.748600199999998</v>
      </c>
      <c r="C4970" s="7">
        <v>676866.24</v>
      </c>
      <c r="D4970" s="7">
        <v>2735093.24</v>
      </c>
      <c r="E4970" s="7">
        <v>462.92</v>
      </c>
      <c r="F4970" s="7">
        <v>43245.79</v>
      </c>
      <c r="G4970" s="7">
        <v>90554</v>
      </c>
      <c r="H4970" s="7">
        <f t="shared" si="124"/>
        <v>43195.79</v>
      </c>
      <c r="I4970" s="15"/>
    </row>
    <row r="4971" spans="1:9" s="8" customFormat="1" ht="21" customHeight="1" x14ac:dyDescent="0.6">
      <c r="A4971" s="7">
        <v>24.720195100000002</v>
      </c>
      <c r="B4971" s="7">
        <v>34.748574599999998</v>
      </c>
      <c r="C4971" s="7">
        <v>676863.63</v>
      </c>
      <c r="D4971" s="7">
        <v>2735094.77</v>
      </c>
      <c r="E4971" s="7">
        <v>462.8</v>
      </c>
      <c r="F4971" s="7">
        <v>43272.03</v>
      </c>
      <c r="G4971" s="7">
        <v>90556</v>
      </c>
      <c r="H4971" s="7">
        <f t="shared" si="124"/>
        <v>43222.03</v>
      </c>
      <c r="I4971" s="15"/>
    </row>
    <row r="4972" spans="1:9" s="8" customFormat="1" ht="21" customHeight="1" x14ac:dyDescent="0.6">
      <c r="A4972" s="7">
        <v>24.720213099999999</v>
      </c>
      <c r="B4972" s="7">
        <v>34.748551999999997</v>
      </c>
      <c r="C4972" s="7">
        <v>676861.32</v>
      </c>
      <c r="D4972" s="7">
        <v>2735096.73</v>
      </c>
      <c r="E4972" s="7">
        <v>462.85</v>
      </c>
      <c r="F4972" s="7">
        <v>43389.85</v>
      </c>
      <c r="G4972" s="7">
        <v>90558</v>
      </c>
      <c r="H4972" s="7">
        <f t="shared" si="124"/>
        <v>43339.85</v>
      </c>
      <c r="I4972" s="15"/>
    </row>
    <row r="4973" spans="1:9" s="8" customFormat="1" ht="21" customHeight="1" x14ac:dyDescent="0.6">
      <c r="A4973" s="7">
        <v>24.720230600000001</v>
      </c>
      <c r="B4973" s="7">
        <v>34.748531300000003</v>
      </c>
      <c r="C4973" s="7">
        <v>676859.2</v>
      </c>
      <c r="D4973" s="7">
        <v>2735098.65</v>
      </c>
      <c r="E4973" s="7">
        <v>463.24</v>
      </c>
      <c r="F4973" s="7">
        <v>43248.85</v>
      </c>
      <c r="G4973" s="7">
        <v>90600</v>
      </c>
      <c r="H4973" s="7">
        <f t="shared" si="124"/>
        <v>43198.85</v>
      </c>
      <c r="I4973" s="15"/>
    </row>
    <row r="4974" spans="1:9" s="8" customFormat="1" ht="21" customHeight="1" x14ac:dyDescent="0.6">
      <c r="A4974" s="7">
        <v>24.720237300000001</v>
      </c>
      <c r="B4974" s="7">
        <v>34.748505299999998</v>
      </c>
      <c r="C4974" s="7">
        <v>676856.56</v>
      </c>
      <c r="D4974" s="7">
        <v>2735099.36</v>
      </c>
      <c r="E4974" s="7">
        <v>463.41</v>
      </c>
      <c r="F4974" s="7">
        <v>43277.29</v>
      </c>
      <c r="G4974" s="7">
        <v>90602</v>
      </c>
      <c r="H4974" s="7">
        <f t="shared" si="124"/>
        <v>43227.29</v>
      </c>
      <c r="I4974" s="15"/>
    </row>
    <row r="4975" spans="1:9" s="8" customFormat="1" ht="21" customHeight="1" x14ac:dyDescent="0.6">
      <c r="A4975" s="7">
        <v>24.720236400000001</v>
      </c>
      <c r="B4975" s="7">
        <v>34.748479699999997</v>
      </c>
      <c r="C4975" s="7">
        <v>676853.97</v>
      </c>
      <c r="D4975" s="7">
        <v>2735099.22</v>
      </c>
      <c r="E4975" s="7">
        <v>463.95</v>
      </c>
      <c r="F4975" s="7">
        <v>43352.77</v>
      </c>
      <c r="G4975" s="7">
        <v>90604</v>
      </c>
      <c r="H4975" s="7">
        <f t="shared" si="124"/>
        <v>43302.77</v>
      </c>
      <c r="I4975" s="15"/>
    </row>
    <row r="4976" spans="1:9" s="8" customFormat="1" ht="21" customHeight="1" x14ac:dyDescent="0.6">
      <c r="A4976" s="7">
        <v>24.720240499999999</v>
      </c>
      <c r="B4976" s="7">
        <v>34.748457000000002</v>
      </c>
      <c r="C4976" s="7">
        <v>676851.67</v>
      </c>
      <c r="D4976" s="7">
        <v>2735099.64</v>
      </c>
      <c r="E4976" s="7">
        <v>464.43</v>
      </c>
      <c r="F4976" s="7">
        <v>43326.45</v>
      </c>
      <c r="G4976" s="7">
        <v>90606</v>
      </c>
      <c r="H4976" s="7">
        <f t="shared" si="124"/>
        <v>43276.45</v>
      </c>
      <c r="I4976" s="15"/>
    </row>
    <row r="4977" spans="1:9" s="8" customFormat="1" ht="21" customHeight="1" x14ac:dyDescent="0.6">
      <c r="A4977" s="7">
        <v>24.720252200000001</v>
      </c>
      <c r="B4977" s="7">
        <v>34.748436400000003</v>
      </c>
      <c r="C4977" s="7">
        <v>676849.57</v>
      </c>
      <c r="D4977" s="7">
        <v>2735100.92</v>
      </c>
      <c r="E4977" s="7">
        <v>464.62</v>
      </c>
      <c r="F4977" s="7">
        <v>43250</v>
      </c>
      <c r="G4977" s="7">
        <v>90608</v>
      </c>
      <c r="H4977" s="7">
        <f t="shared" si="124"/>
        <v>43200</v>
      </c>
      <c r="I4977" s="15"/>
    </row>
    <row r="4978" spans="1:9" s="8" customFormat="1" ht="21" customHeight="1" x14ac:dyDescent="0.6">
      <c r="A4978" s="7">
        <v>24.720269999999999</v>
      </c>
      <c r="B4978" s="7">
        <v>34.7484155</v>
      </c>
      <c r="C4978" s="7">
        <v>676847.43</v>
      </c>
      <c r="D4978" s="7">
        <v>2735102.85</v>
      </c>
      <c r="E4978" s="7">
        <v>464.68</v>
      </c>
      <c r="F4978" s="7">
        <v>43208.65</v>
      </c>
      <c r="G4978" s="7">
        <v>90610</v>
      </c>
      <c r="H4978" s="7">
        <f t="shared" si="124"/>
        <v>43158.65</v>
      </c>
      <c r="I4978" s="15"/>
    </row>
    <row r="4979" spans="1:9" s="8" customFormat="1" ht="21" customHeight="1" x14ac:dyDescent="0.6">
      <c r="A4979" s="7">
        <v>24.720285400000002</v>
      </c>
      <c r="B4979" s="7">
        <v>34.748395500000001</v>
      </c>
      <c r="C4979" s="7">
        <v>676845.38</v>
      </c>
      <c r="D4979" s="7">
        <v>2735104.54</v>
      </c>
      <c r="E4979" s="7">
        <v>464.67</v>
      </c>
      <c r="F4979" s="7">
        <v>43178.05</v>
      </c>
      <c r="G4979" s="7">
        <v>90612</v>
      </c>
      <c r="H4979" s="7">
        <f t="shared" si="124"/>
        <v>43128.05</v>
      </c>
      <c r="I4979" s="15"/>
    </row>
    <row r="4980" spans="1:9" s="8" customFormat="1" ht="21" customHeight="1" x14ac:dyDescent="0.6">
      <c r="A4980" s="7">
        <v>24.7203035</v>
      </c>
      <c r="B4980" s="7">
        <v>34.748373100000002</v>
      </c>
      <c r="C4980" s="7">
        <v>676843.09</v>
      </c>
      <c r="D4980" s="7">
        <v>2735106.51</v>
      </c>
      <c r="E4980" s="7">
        <v>464.68</v>
      </c>
      <c r="F4980" s="7">
        <v>43169.61</v>
      </c>
      <c r="G4980" s="7">
        <v>90614</v>
      </c>
      <c r="H4980" s="7">
        <f t="shared" si="124"/>
        <v>43119.61</v>
      </c>
      <c r="I4980" s="15"/>
    </row>
    <row r="4981" spans="1:9" s="8" customFormat="1" ht="21" customHeight="1" x14ac:dyDescent="0.6">
      <c r="A4981" s="7">
        <v>24.7203214</v>
      </c>
      <c r="B4981" s="7">
        <v>34.748351399999997</v>
      </c>
      <c r="C4981" s="7">
        <v>676840.88</v>
      </c>
      <c r="D4981" s="7">
        <v>2735108.47</v>
      </c>
      <c r="E4981" s="7">
        <v>464.84</v>
      </c>
      <c r="F4981" s="7">
        <v>43241.71</v>
      </c>
      <c r="G4981" s="7">
        <v>90616</v>
      </c>
      <c r="H4981" s="7">
        <f t="shared" si="124"/>
        <v>43191.71</v>
      </c>
      <c r="I4981" s="15"/>
    </row>
    <row r="4982" spans="1:9" s="8" customFormat="1" ht="21" customHeight="1" x14ac:dyDescent="0.6">
      <c r="A4982" s="7">
        <v>24.7203382</v>
      </c>
      <c r="B4982" s="7">
        <v>34.748331899999997</v>
      </c>
      <c r="C4982" s="7">
        <v>676838.87</v>
      </c>
      <c r="D4982" s="7">
        <v>2735110.3</v>
      </c>
      <c r="E4982" s="7">
        <v>465.04</v>
      </c>
      <c r="F4982" s="7">
        <v>43281.43</v>
      </c>
      <c r="G4982" s="7">
        <v>90618</v>
      </c>
      <c r="H4982" s="7">
        <f t="shared" si="124"/>
        <v>43231.43</v>
      </c>
      <c r="I4982" s="15"/>
    </row>
    <row r="4983" spans="1:9" s="8" customFormat="1" ht="21" customHeight="1" x14ac:dyDescent="0.6">
      <c r="A4983" s="7">
        <v>24.720356500000001</v>
      </c>
      <c r="B4983" s="7">
        <v>34.748312599999998</v>
      </c>
      <c r="C4983" s="7">
        <v>676836.9</v>
      </c>
      <c r="D4983" s="7">
        <v>2735112.31</v>
      </c>
      <c r="E4983" s="7">
        <v>464.94</v>
      </c>
      <c r="F4983" s="7">
        <v>43290.36</v>
      </c>
      <c r="G4983" s="7">
        <v>90620</v>
      </c>
      <c r="H4983" s="7">
        <f t="shared" si="124"/>
        <v>43240.36</v>
      </c>
      <c r="I4983" s="15"/>
    </row>
    <row r="4984" spans="1:9" s="8" customFormat="1" ht="21" customHeight="1" x14ac:dyDescent="0.6">
      <c r="A4984" s="7">
        <v>24.7203783</v>
      </c>
      <c r="B4984" s="7">
        <v>34.748300399999998</v>
      </c>
      <c r="C4984" s="7">
        <v>676835.63</v>
      </c>
      <c r="D4984" s="7">
        <v>2735114.7</v>
      </c>
      <c r="E4984" s="7">
        <v>465.08</v>
      </c>
      <c r="F4984" s="7">
        <v>43269.54</v>
      </c>
      <c r="G4984" s="7">
        <v>90622</v>
      </c>
      <c r="H4984" s="7">
        <f t="shared" si="124"/>
        <v>43219.54</v>
      </c>
      <c r="I4984" s="15"/>
    </row>
    <row r="4985" spans="1:9" s="8" customFormat="1" ht="21" customHeight="1" x14ac:dyDescent="0.6">
      <c r="A4985" s="7">
        <v>24.7204014</v>
      </c>
      <c r="B4985" s="7">
        <v>34.748289800000002</v>
      </c>
      <c r="C4985" s="7">
        <v>676834.52</v>
      </c>
      <c r="D4985" s="7">
        <v>2735117.25</v>
      </c>
      <c r="E4985" s="7">
        <v>465.34</v>
      </c>
      <c r="F4985" s="7">
        <v>43241.17</v>
      </c>
      <c r="G4985" s="7">
        <v>90624</v>
      </c>
      <c r="H4985" s="7">
        <f t="shared" si="124"/>
        <v>43191.17</v>
      </c>
      <c r="I4985" s="15"/>
    </row>
    <row r="4986" spans="1:9" s="8" customFormat="1" ht="21" customHeight="1" x14ac:dyDescent="0.6">
      <c r="A4986" s="7">
        <v>24.7204245</v>
      </c>
      <c r="B4986" s="7">
        <v>34.748277999999999</v>
      </c>
      <c r="C4986" s="7">
        <v>676833.3</v>
      </c>
      <c r="D4986" s="7">
        <v>2735119.79</v>
      </c>
      <c r="E4986" s="7">
        <v>465.54</v>
      </c>
      <c r="F4986" s="7">
        <v>43301.55</v>
      </c>
      <c r="G4986" s="7">
        <v>90626</v>
      </c>
      <c r="H4986" s="7">
        <f t="shared" si="124"/>
        <v>43251.55</v>
      </c>
      <c r="I4986" s="15"/>
    </row>
    <row r="4987" spans="1:9" s="8" customFormat="1" ht="21" customHeight="1" x14ac:dyDescent="0.6">
      <c r="A4987" s="7">
        <v>24.720445600000001</v>
      </c>
      <c r="B4987" s="7">
        <v>34.748263399999999</v>
      </c>
      <c r="C4987" s="7">
        <v>676831.79</v>
      </c>
      <c r="D4987" s="7">
        <v>2735122.12</v>
      </c>
      <c r="E4987" s="7">
        <v>465.68</v>
      </c>
      <c r="F4987" s="7">
        <v>43299.99</v>
      </c>
      <c r="G4987" s="7">
        <v>90628</v>
      </c>
      <c r="H4987" s="7">
        <f t="shared" si="124"/>
        <v>43249.99</v>
      </c>
      <c r="I4987" s="15"/>
    </row>
    <row r="4988" spans="1:9" s="8" customFormat="1" ht="21" customHeight="1" x14ac:dyDescent="0.6">
      <c r="A4988" s="7">
        <v>24.7204628</v>
      </c>
      <c r="B4988" s="7">
        <v>34.748245799999999</v>
      </c>
      <c r="C4988" s="7">
        <v>676829.99</v>
      </c>
      <c r="D4988" s="7">
        <v>2735123.99</v>
      </c>
      <c r="E4988" s="7">
        <v>465.58</v>
      </c>
      <c r="F4988" s="7">
        <v>43231.42</v>
      </c>
      <c r="G4988" s="7">
        <v>90630</v>
      </c>
      <c r="H4988" s="7">
        <f t="shared" si="124"/>
        <v>43181.42</v>
      </c>
      <c r="I4988" s="15"/>
    </row>
    <row r="4989" spans="1:9" s="8" customFormat="1" ht="21" customHeight="1" x14ac:dyDescent="0.6">
      <c r="A4989" s="7">
        <v>24.720475700000001</v>
      </c>
      <c r="B4989" s="7">
        <v>34.748221800000003</v>
      </c>
      <c r="C4989" s="7">
        <v>676827.54</v>
      </c>
      <c r="D4989" s="7">
        <v>2735125.39</v>
      </c>
      <c r="E4989" s="7">
        <v>465.38</v>
      </c>
      <c r="F4989" s="7">
        <v>43203.98</v>
      </c>
      <c r="G4989" s="7">
        <v>90632</v>
      </c>
      <c r="H4989" s="7">
        <f t="shared" si="124"/>
        <v>43153.98</v>
      </c>
      <c r="I4989" s="15"/>
    </row>
    <row r="4990" spans="1:9" s="8" customFormat="1" ht="21" customHeight="1" x14ac:dyDescent="0.6">
      <c r="A4990" s="7">
        <v>24.720488700000001</v>
      </c>
      <c r="B4990" s="7">
        <v>34.748194699999999</v>
      </c>
      <c r="C4990" s="7">
        <v>676824.78</v>
      </c>
      <c r="D4990" s="7">
        <v>2735126.8</v>
      </c>
      <c r="E4990" s="7">
        <v>465.28</v>
      </c>
      <c r="F4990" s="7">
        <v>43224.88</v>
      </c>
      <c r="G4990" s="7">
        <v>90634</v>
      </c>
      <c r="H4990" s="7">
        <f t="shared" si="124"/>
        <v>43174.879999999997</v>
      </c>
      <c r="I4990" s="15"/>
    </row>
    <row r="4991" spans="1:9" s="8" customFormat="1" ht="21" customHeight="1" x14ac:dyDescent="0.6">
      <c r="A4991" s="7">
        <v>24.7205005</v>
      </c>
      <c r="B4991" s="7">
        <v>34.748171300000003</v>
      </c>
      <c r="C4991" s="7">
        <v>676822.4</v>
      </c>
      <c r="D4991" s="7">
        <v>2735128.08</v>
      </c>
      <c r="E4991" s="7">
        <v>465.39</v>
      </c>
      <c r="F4991" s="7">
        <v>43226.49</v>
      </c>
      <c r="G4991" s="7">
        <v>90636</v>
      </c>
      <c r="H4991" s="7">
        <f t="shared" si="124"/>
        <v>43176.49</v>
      </c>
      <c r="I4991" s="15"/>
    </row>
    <row r="4992" spans="1:9" s="8" customFormat="1" ht="21" customHeight="1" x14ac:dyDescent="0.6">
      <c r="A4992" s="7">
        <v>24.720515299999999</v>
      </c>
      <c r="B4992" s="7">
        <v>34.748148</v>
      </c>
      <c r="C4992" s="7">
        <v>676820.02</v>
      </c>
      <c r="D4992" s="7">
        <v>2735129.68</v>
      </c>
      <c r="E4992" s="7">
        <v>465.35</v>
      </c>
      <c r="F4992" s="7">
        <v>43175.48</v>
      </c>
      <c r="G4992" s="7">
        <v>90638</v>
      </c>
      <c r="H4992" s="7">
        <f t="shared" si="124"/>
        <v>43125.48</v>
      </c>
      <c r="I4992" s="15"/>
    </row>
    <row r="4993" spans="1:9" s="8" customFormat="1" ht="21" customHeight="1" x14ac:dyDescent="0.6">
      <c r="A4993" s="7">
        <v>24.720537400000001</v>
      </c>
      <c r="B4993" s="7">
        <v>34.7481413</v>
      </c>
      <c r="C4993" s="7">
        <v>676819.31</v>
      </c>
      <c r="D4993" s="7">
        <v>2735132.12</v>
      </c>
      <c r="E4993" s="7">
        <v>465.62</v>
      </c>
      <c r="F4993" s="7">
        <v>43171.29</v>
      </c>
      <c r="G4993" s="7">
        <v>90640</v>
      </c>
      <c r="H4993" s="7">
        <f t="shared" si="124"/>
        <v>43121.29</v>
      </c>
      <c r="I4993" s="15"/>
    </row>
    <row r="4994" spans="1:9" s="8" customFormat="1" ht="21" customHeight="1" x14ac:dyDescent="0.6">
      <c r="A4994" s="7">
        <v>24.7205598</v>
      </c>
      <c r="B4994" s="7">
        <v>34.748134999999998</v>
      </c>
      <c r="C4994" s="7">
        <v>676818.64</v>
      </c>
      <c r="D4994" s="7">
        <v>2735134.59</v>
      </c>
      <c r="E4994" s="7">
        <v>465.81</v>
      </c>
      <c r="F4994" s="7">
        <v>43118.65</v>
      </c>
      <c r="G4994" s="7">
        <v>90642</v>
      </c>
      <c r="H4994" s="7">
        <f t="shared" si="124"/>
        <v>43068.65</v>
      </c>
      <c r="I4994" s="15"/>
    </row>
    <row r="4995" spans="1:9" s="8" customFormat="1" ht="21" customHeight="1" x14ac:dyDescent="0.6">
      <c r="A4995" s="7">
        <v>24.7205814</v>
      </c>
      <c r="B4995" s="7">
        <v>34.7481315</v>
      </c>
      <c r="C4995" s="7">
        <v>676818.26</v>
      </c>
      <c r="D4995" s="7">
        <v>2735136.99</v>
      </c>
      <c r="E4995" s="7">
        <v>465.9</v>
      </c>
      <c r="F4995" s="7">
        <v>43051.25</v>
      </c>
      <c r="G4995" s="7">
        <v>90644</v>
      </c>
      <c r="H4995" s="7">
        <f t="shared" si="124"/>
        <v>43001.25</v>
      </c>
      <c r="I4995" s="15"/>
    </row>
    <row r="4996" spans="1:9" s="8" customFormat="1" ht="21" customHeight="1" x14ac:dyDescent="0.6">
      <c r="A4996" s="7">
        <v>24.720599799999999</v>
      </c>
      <c r="B4996" s="7">
        <v>34.748120200000002</v>
      </c>
      <c r="C4996" s="7">
        <v>676817.09</v>
      </c>
      <c r="D4996" s="7">
        <v>2735139</v>
      </c>
      <c r="E4996" s="7">
        <v>465.77</v>
      </c>
      <c r="F4996" s="7">
        <v>42961.65</v>
      </c>
      <c r="G4996" s="7">
        <v>90646</v>
      </c>
      <c r="H4996" s="7">
        <f t="shared" si="124"/>
        <v>42911.65</v>
      </c>
      <c r="I4996" s="15"/>
    </row>
    <row r="4997" spans="1:9" s="8" customFormat="1" ht="21" customHeight="1" x14ac:dyDescent="0.6">
      <c r="A4997" s="7">
        <v>24.720618900000002</v>
      </c>
      <c r="B4997" s="7">
        <v>34.748105199999998</v>
      </c>
      <c r="C4997" s="7">
        <v>676815.54</v>
      </c>
      <c r="D4997" s="7">
        <v>2735141.1</v>
      </c>
      <c r="E4997" s="7">
        <v>465.73</v>
      </c>
      <c r="F4997" s="7">
        <v>42858.7</v>
      </c>
      <c r="G4997" s="7">
        <v>90648</v>
      </c>
      <c r="H4997" s="7">
        <f t="shared" si="124"/>
        <v>42808.7</v>
      </c>
      <c r="I4997" s="15"/>
    </row>
    <row r="4998" spans="1:9" s="8" customFormat="1" ht="21" customHeight="1" x14ac:dyDescent="0.6">
      <c r="A4998" s="7">
        <v>24.720633400000001</v>
      </c>
      <c r="B4998" s="7">
        <v>34.748102799999998</v>
      </c>
      <c r="C4998" s="7">
        <v>676815.28</v>
      </c>
      <c r="D4998" s="7">
        <v>2735142.71</v>
      </c>
      <c r="E4998" s="7">
        <v>465.25</v>
      </c>
      <c r="F4998" s="7">
        <v>42747.95</v>
      </c>
      <c r="G4998" s="7">
        <v>90650</v>
      </c>
      <c r="H4998" s="7">
        <f t="shared" si="124"/>
        <v>42697.95</v>
      </c>
      <c r="I4998" s="15"/>
    </row>
    <row r="4999" spans="1:9" s="8" customFormat="1" ht="21" customHeight="1" x14ac:dyDescent="0.6">
      <c r="A4999" s="7">
        <v>24.720643599999999</v>
      </c>
      <c r="B4999" s="7">
        <v>34.748093699999998</v>
      </c>
      <c r="C4999" s="7">
        <v>676814.34</v>
      </c>
      <c r="D4999" s="7">
        <v>2735143.83</v>
      </c>
      <c r="E4999" s="7">
        <v>464.62</v>
      </c>
      <c r="F4999" s="7">
        <v>42687.4</v>
      </c>
      <c r="G4999" s="7">
        <v>90652</v>
      </c>
      <c r="H4999" s="7">
        <f t="shared" si="124"/>
        <v>42637.4</v>
      </c>
      <c r="I4999" s="15"/>
    </row>
    <row r="5000" spans="1:9" s="8" customFormat="1" ht="21" customHeight="1" x14ac:dyDescent="0.6">
      <c r="A5000" s="7">
        <v>24.720654799999998</v>
      </c>
      <c r="B5000" s="7">
        <v>34.748087400000003</v>
      </c>
      <c r="C5000" s="7">
        <v>676813.7</v>
      </c>
      <c r="D5000" s="7">
        <v>2735145.06</v>
      </c>
      <c r="E5000" s="7">
        <v>463.89</v>
      </c>
      <c r="F5000" s="7">
        <v>42611.72</v>
      </c>
      <c r="G5000" s="7">
        <v>90654</v>
      </c>
      <c r="H5000" s="7">
        <f t="shared" si="124"/>
        <v>42561.72</v>
      </c>
      <c r="I5000" s="15"/>
    </row>
    <row r="5001" spans="1:9" s="8" customFormat="1" ht="21" customHeight="1" x14ac:dyDescent="0.6">
      <c r="A5001" s="7">
        <v>24.720680399999999</v>
      </c>
      <c r="B5001" s="7">
        <v>34.7480726</v>
      </c>
      <c r="C5001" s="7">
        <v>676812.16</v>
      </c>
      <c r="D5001" s="7">
        <v>2735147.87</v>
      </c>
      <c r="E5001" s="7">
        <v>463.26</v>
      </c>
      <c r="F5001" s="7">
        <v>42680.84</v>
      </c>
      <c r="G5001" s="7">
        <v>90656</v>
      </c>
      <c r="H5001" s="7">
        <f t="shared" si="124"/>
        <v>42630.84</v>
      </c>
      <c r="I5001" s="15"/>
    </row>
    <row r="5002" spans="1:9" s="8" customFormat="1" ht="21" customHeight="1" x14ac:dyDescent="0.6">
      <c r="A5002" s="7">
        <v>24.720705200000001</v>
      </c>
      <c r="B5002" s="7">
        <v>34.7480683</v>
      </c>
      <c r="C5002" s="7">
        <v>676811.69</v>
      </c>
      <c r="D5002" s="7">
        <v>2735150.62</v>
      </c>
      <c r="E5002" s="7">
        <v>463.43</v>
      </c>
      <c r="F5002" s="7">
        <v>42754.09</v>
      </c>
      <c r="G5002" s="7">
        <v>90658</v>
      </c>
      <c r="H5002" s="7">
        <f t="shared" si="124"/>
        <v>42704.09</v>
      </c>
      <c r="I5002" s="15"/>
    </row>
    <row r="5003" spans="1:9" s="8" customFormat="1" ht="21" customHeight="1" x14ac:dyDescent="0.6">
      <c r="A5003" s="7">
        <v>24.720726299999999</v>
      </c>
      <c r="B5003" s="7">
        <v>34.748068600000003</v>
      </c>
      <c r="C5003" s="7">
        <v>676811.69</v>
      </c>
      <c r="D5003" s="7">
        <v>2735152.95</v>
      </c>
      <c r="E5003" s="7">
        <v>463.57</v>
      </c>
      <c r="F5003" s="7">
        <v>42736.01</v>
      </c>
      <c r="G5003" s="7">
        <v>90700</v>
      </c>
      <c r="H5003" s="7">
        <f t="shared" si="124"/>
        <v>42686.01</v>
      </c>
      <c r="I5003" s="15"/>
    </row>
    <row r="5004" spans="1:9" s="8" customFormat="1" ht="21" customHeight="1" x14ac:dyDescent="0.6">
      <c r="A5004" s="7">
        <v>24.7207431</v>
      </c>
      <c r="B5004" s="7">
        <v>34.748088699999997</v>
      </c>
      <c r="C5004" s="7">
        <v>676813.7</v>
      </c>
      <c r="D5004" s="7">
        <v>2735154.84</v>
      </c>
      <c r="E5004" s="7">
        <v>463.57</v>
      </c>
      <c r="F5004" s="7">
        <v>42737.99</v>
      </c>
      <c r="G5004" s="7">
        <v>90702</v>
      </c>
      <c r="H5004" s="7">
        <f t="shared" si="124"/>
        <v>42687.99</v>
      </c>
      <c r="I5004" s="15"/>
    </row>
    <row r="5005" spans="1:9" s="8" customFormat="1" ht="21" customHeight="1" x14ac:dyDescent="0.6">
      <c r="A5005" s="7">
        <v>24.720761499999998</v>
      </c>
      <c r="B5005" s="7">
        <v>34.748107300000001</v>
      </c>
      <c r="C5005" s="7">
        <v>676815.56</v>
      </c>
      <c r="D5005" s="7">
        <v>2735156.9</v>
      </c>
      <c r="E5005" s="7">
        <v>463.75</v>
      </c>
      <c r="F5005" s="7">
        <v>42718.720000000001</v>
      </c>
      <c r="G5005" s="7">
        <v>90704</v>
      </c>
      <c r="H5005" s="7">
        <f t="shared" si="124"/>
        <v>42668.72</v>
      </c>
      <c r="I5005" s="15"/>
    </row>
    <row r="5006" spans="1:9" s="8" customFormat="1" ht="21" customHeight="1" x14ac:dyDescent="0.6">
      <c r="A5006" s="7">
        <v>24.720783999999998</v>
      </c>
      <c r="B5006" s="7">
        <v>34.748122199999997</v>
      </c>
      <c r="C5006" s="7">
        <v>676817.03</v>
      </c>
      <c r="D5006" s="7">
        <v>2735159.41</v>
      </c>
      <c r="E5006" s="7">
        <v>463.97</v>
      </c>
      <c r="F5006" s="7">
        <v>42751.21</v>
      </c>
      <c r="G5006" s="7">
        <v>90706</v>
      </c>
      <c r="H5006" s="7">
        <f t="shared" si="124"/>
        <v>42701.21</v>
      </c>
      <c r="I5006" s="15"/>
    </row>
    <row r="5007" spans="1:9" s="8" customFormat="1" ht="21" customHeight="1" x14ac:dyDescent="0.6">
      <c r="A5007" s="7">
        <v>24.720801600000001</v>
      </c>
      <c r="B5007" s="7">
        <v>34.748141099999998</v>
      </c>
      <c r="C5007" s="7">
        <v>676818.92</v>
      </c>
      <c r="D5007" s="7">
        <v>2735161.38</v>
      </c>
      <c r="E5007" s="7">
        <v>464.1</v>
      </c>
      <c r="F5007" s="7">
        <v>42729.56</v>
      </c>
      <c r="G5007" s="7">
        <v>90708</v>
      </c>
      <c r="H5007" s="7">
        <f t="shared" si="124"/>
        <v>42679.56</v>
      </c>
      <c r="I5007" s="15"/>
    </row>
    <row r="5008" spans="1:9" s="8" customFormat="1" ht="21" customHeight="1" x14ac:dyDescent="0.6">
      <c r="A5008" s="7">
        <v>24.720819299999999</v>
      </c>
      <c r="B5008" s="7">
        <v>34.748148899999997</v>
      </c>
      <c r="C5008" s="7">
        <v>676819.68</v>
      </c>
      <c r="D5008" s="7">
        <v>2735163.35</v>
      </c>
      <c r="E5008" s="7">
        <v>463.65</v>
      </c>
      <c r="F5008" s="7">
        <v>42721.55</v>
      </c>
      <c r="G5008" s="7">
        <v>90710</v>
      </c>
      <c r="H5008" s="7">
        <f t="shared" si="124"/>
        <v>42671.55</v>
      </c>
      <c r="I5008" s="15"/>
    </row>
    <row r="5009" spans="1:9" s="8" customFormat="1" ht="21" customHeight="1" x14ac:dyDescent="0.6">
      <c r="A5009" s="7">
        <v>24.720849099999999</v>
      </c>
      <c r="B5009" s="7">
        <v>34.748152900000001</v>
      </c>
      <c r="C5009" s="7">
        <v>676820.04</v>
      </c>
      <c r="D5009" s="7">
        <v>2735166.65</v>
      </c>
      <c r="E5009" s="7">
        <v>463.62</v>
      </c>
      <c r="F5009" s="7">
        <v>43121.36</v>
      </c>
      <c r="G5009" s="7">
        <v>90712</v>
      </c>
      <c r="H5009" s="7">
        <f t="shared" si="124"/>
        <v>43071.360000000001</v>
      </c>
      <c r="I5009" s="15"/>
    </row>
    <row r="5010" spans="1:9" s="8" customFormat="1" ht="21" customHeight="1" x14ac:dyDescent="0.6">
      <c r="A5010" s="7">
        <v>24.720862700000001</v>
      </c>
      <c r="B5010" s="7">
        <v>34.748145700000002</v>
      </c>
      <c r="C5010" s="7">
        <v>676819.3</v>
      </c>
      <c r="D5010" s="7">
        <v>2735168.16</v>
      </c>
      <c r="E5010" s="7">
        <v>464.26</v>
      </c>
      <c r="F5010" s="7">
        <v>43136.17</v>
      </c>
      <c r="G5010" s="7">
        <v>90714</v>
      </c>
      <c r="H5010" s="7">
        <f t="shared" si="124"/>
        <v>43086.17</v>
      </c>
      <c r="I5010" s="15"/>
    </row>
    <row r="5011" spans="1:9" s="8" customFormat="1" ht="21" customHeight="1" x14ac:dyDescent="0.6">
      <c r="A5011" s="7">
        <v>24.7208744</v>
      </c>
      <c r="B5011" s="7">
        <v>34.748125399999999</v>
      </c>
      <c r="C5011" s="7">
        <v>676817.23</v>
      </c>
      <c r="D5011" s="7">
        <v>2735169.42</v>
      </c>
      <c r="E5011" s="7">
        <v>464.77</v>
      </c>
      <c r="F5011" s="7">
        <v>43182.29</v>
      </c>
      <c r="G5011" s="7">
        <v>90716</v>
      </c>
      <c r="H5011" s="7">
        <f t="shared" si="124"/>
        <v>43132.29</v>
      </c>
      <c r="I5011" s="15"/>
    </row>
    <row r="5012" spans="1:9" s="8" customFormat="1" ht="21" customHeight="1" x14ac:dyDescent="0.6">
      <c r="A5012" s="7">
        <v>24.7208772</v>
      </c>
      <c r="B5012" s="7">
        <v>34.748106100000001</v>
      </c>
      <c r="C5012" s="7">
        <v>676815.27</v>
      </c>
      <c r="D5012" s="7">
        <v>2735169.71</v>
      </c>
      <c r="E5012" s="7">
        <v>465.21</v>
      </c>
      <c r="F5012" s="7">
        <v>43196.41</v>
      </c>
      <c r="G5012" s="7">
        <v>90718</v>
      </c>
      <c r="H5012" s="7">
        <f t="shared" ref="H5012:H5075" si="125">SUM(F5012-50)</f>
        <v>43146.41</v>
      </c>
      <c r="I5012" s="15"/>
    </row>
    <row r="5013" spans="1:9" s="8" customFormat="1" ht="21" customHeight="1" x14ac:dyDescent="0.6">
      <c r="A5013" s="7">
        <v>24.720873600000001</v>
      </c>
      <c r="B5013" s="7">
        <v>34.748080700000003</v>
      </c>
      <c r="C5013" s="7">
        <v>676812.71</v>
      </c>
      <c r="D5013" s="7">
        <v>2735169.27</v>
      </c>
      <c r="E5013" s="7">
        <v>464.56</v>
      </c>
      <c r="F5013" s="7">
        <v>43165.34</v>
      </c>
      <c r="G5013" s="7">
        <v>90720</v>
      </c>
      <c r="H5013" s="7">
        <f t="shared" si="125"/>
        <v>43115.34</v>
      </c>
      <c r="I5013" s="15"/>
    </row>
    <row r="5014" spans="1:9" s="8" customFormat="1" ht="21" customHeight="1" x14ac:dyDescent="0.6">
      <c r="A5014" s="7">
        <v>24.720864200000001</v>
      </c>
      <c r="B5014" s="7">
        <v>34.748053599999999</v>
      </c>
      <c r="C5014" s="7">
        <v>676809.97</v>
      </c>
      <c r="D5014" s="7">
        <v>2735168.21</v>
      </c>
      <c r="E5014" s="7">
        <v>464.31</v>
      </c>
      <c r="F5014" s="7">
        <v>43082.36</v>
      </c>
      <c r="G5014" s="7">
        <v>90722</v>
      </c>
      <c r="H5014" s="7">
        <f t="shared" si="125"/>
        <v>43032.36</v>
      </c>
      <c r="I5014" s="15"/>
    </row>
    <row r="5015" spans="1:9" s="8" customFormat="1" ht="21" customHeight="1" x14ac:dyDescent="0.6">
      <c r="A5015" s="7">
        <v>24.7208647</v>
      </c>
      <c r="B5015" s="7">
        <v>34.748024100000002</v>
      </c>
      <c r="C5015" s="7">
        <v>676806.99</v>
      </c>
      <c r="D5015" s="7">
        <v>2735168.22</v>
      </c>
      <c r="E5015" s="7">
        <v>464.02</v>
      </c>
      <c r="F5015" s="7">
        <v>43005.41</v>
      </c>
      <c r="G5015" s="7">
        <v>90724</v>
      </c>
      <c r="H5015" s="7">
        <f t="shared" si="125"/>
        <v>42955.41</v>
      </c>
      <c r="I5015" s="15"/>
    </row>
    <row r="5016" spans="1:9" s="8" customFormat="1" ht="21" customHeight="1" x14ac:dyDescent="0.6">
      <c r="A5016" s="7">
        <v>24.720874500000001</v>
      </c>
      <c r="B5016" s="7">
        <v>34.747995400000001</v>
      </c>
      <c r="C5016" s="7">
        <v>676804.08</v>
      </c>
      <c r="D5016" s="7">
        <v>2735169.27</v>
      </c>
      <c r="E5016" s="7">
        <v>463.86</v>
      </c>
      <c r="F5016" s="7">
        <v>42977.87</v>
      </c>
      <c r="G5016" s="7">
        <v>90726</v>
      </c>
      <c r="H5016" s="7">
        <f t="shared" si="125"/>
        <v>42927.87</v>
      </c>
      <c r="I5016" s="15"/>
    </row>
    <row r="5017" spans="1:9" s="8" customFormat="1" ht="21" customHeight="1" x14ac:dyDescent="0.6">
      <c r="A5017" s="7">
        <v>24.720881800000001</v>
      </c>
      <c r="B5017" s="7">
        <v>34.747970199999997</v>
      </c>
      <c r="C5017" s="7">
        <v>676801.51</v>
      </c>
      <c r="D5017" s="7">
        <v>2735170.04</v>
      </c>
      <c r="E5017" s="7">
        <v>463.52</v>
      </c>
      <c r="F5017" s="7">
        <v>42958.96</v>
      </c>
      <c r="G5017" s="7">
        <v>90728</v>
      </c>
      <c r="H5017" s="7">
        <f t="shared" si="125"/>
        <v>42908.959999999999</v>
      </c>
      <c r="I5017" s="15"/>
    </row>
    <row r="5018" spans="1:9" s="8" customFormat="1" ht="21" customHeight="1" x14ac:dyDescent="0.6">
      <c r="A5018" s="7">
        <v>24.720885800000001</v>
      </c>
      <c r="B5018" s="7">
        <v>34.747939799999997</v>
      </c>
      <c r="C5018" s="7">
        <v>676798.43</v>
      </c>
      <c r="D5018" s="7">
        <v>2735170.45</v>
      </c>
      <c r="E5018" s="7">
        <v>463.31</v>
      </c>
      <c r="F5018" s="7">
        <v>42947.24</v>
      </c>
      <c r="G5018" s="7">
        <v>90730</v>
      </c>
      <c r="H5018" s="7">
        <f t="shared" si="125"/>
        <v>42897.24</v>
      </c>
      <c r="I5018" s="15"/>
    </row>
    <row r="5019" spans="1:9" s="8" customFormat="1" ht="21" customHeight="1" x14ac:dyDescent="0.6">
      <c r="A5019" s="7">
        <v>24.720888800000001</v>
      </c>
      <c r="B5019" s="7">
        <v>34.747911899999998</v>
      </c>
      <c r="C5019" s="7">
        <v>676795.61</v>
      </c>
      <c r="D5019" s="7">
        <v>2735170.74</v>
      </c>
      <c r="E5019" s="7">
        <v>463.28</v>
      </c>
      <c r="F5019" s="7">
        <v>42912.23</v>
      </c>
      <c r="G5019" s="7">
        <v>90732</v>
      </c>
      <c r="H5019" s="7">
        <f t="shared" si="125"/>
        <v>42862.23</v>
      </c>
      <c r="I5019" s="15"/>
    </row>
    <row r="5020" spans="1:9" s="8" customFormat="1" ht="21" customHeight="1" x14ac:dyDescent="0.6">
      <c r="A5020" s="7">
        <v>24.720891300000002</v>
      </c>
      <c r="B5020" s="7">
        <v>34.747882799999999</v>
      </c>
      <c r="C5020" s="7">
        <v>676792.66</v>
      </c>
      <c r="D5020" s="7">
        <v>2735170.98</v>
      </c>
      <c r="E5020" s="7">
        <v>463.01</v>
      </c>
      <c r="F5020" s="7">
        <v>42880.54</v>
      </c>
      <c r="G5020" s="7">
        <v>90734</v>
      </c>
      <c r="H5020" s="7">
        <f t="shared" si="125"/>
        <v>42830.54</v>
      </c>
      <c r="I5020" s="15"/>
    </row>
    <row r="5021" spans="1:9" s="8" customFormat="1" ht="21" customHeight="1" x14ac:dyDescent="0.6">
      <c r="A5021" s="7">
        <v>24.7209003</v>
      </c>
      <c r="B5021" s="7">
        <v>34.747854400000001</v>
      </c>
      <c r="C5021" s="7">
        <v>676789.78</v>
      </c>
      <c r="D5021" s="7">
        <v>2735171.95</v>
      </c>
      <c r="E5021" s="7">
        <v>462.9</v>
      </c>
      <c r="F5021" s="7">
        <v>42852.92</v>
      </c>
      <c r="G5021" s="7">
        <v>90736</v>
      </c>
      <c r="H5021" s="7">
        <f t="shared" si="125"/>
        <v>42802.92</v>
      </c>
      <c r="I5021" s="15"/>
    </row>
    <row r="5022" spans="1:9" s="8" customFormat="1" ht="21" customHeight="1" x14ac:dyDescent="0.6">
      <c r="A5022" s="7">
        <v>24.720909599999999</v>
      </c>
      <c r="B5022" s="7">
        <v>34.747824600000001</v>
      </c>
      <c r="C5022" s="7">
        <v>676786.74</v>
      </c>
      <c r="D5022" s="7">
        <v>2735172.94</v>
      </c>
      <c r="E5022" s="7">
        <v>462.79</v>
      </c>
      <c r="F5022" s="7">
        <v>42650.35</v>
      </c>
      <c r="G5022" s="7">
        <v>90738</v>
      </c>
      <c r="H5022" s="7">
        <f t="shared" si="125"/>
        <v>42600.35</v>
      </c>
      <c r="I5022" s="15"/>
    </row>
    <row r="5023" spans="1:9" s="8" customFormat="1" ht="21" customHeight="1" x14ac:dyDescent="0.6">
      <c r="A5023" s="7">
        <v>24.7209176</v>
      </c>
      <c r="B5023" s="7">
        <v>34.747799700000002</v>
      </c>
      <c r="C5023" s="7">
        <v>676784.21</v>
      </c>
      <c r="D5023" s="7">
        <v>2735173.79</v>
      </c>
      <c r="E5023" s="7">
        <v>462.81</v>
      </c>
      <c r="F5023" s="7">
        <v>43045.54</v>
      </c>
      <c r="G5023" s="7">
        <v>90740</v>
      </c>
      <c r="H5023" s="7">
        <f t="shared" si="125"/>
        <v>42995.54</v>
      </c>
      <c r="I5023" s="15"/>
    </row>
    <row r="5024" spans="1:9" s="8" customFormat="1" ht="21" customHeight="1" x14ac:dyDescent="0.6">
      <c r="A5024" s="7">
        <v>24.720929600000002</v>
      </c>
      <c r="B5024" s="7">
        <v>34.747776100000003</v>
      </c>
      <c r="C5024" s="7">
        <v>676781.81</v>
      </c>
      <c r="D5024" s="7">
        <v>2735175.09</v>
      </c>
      <c r="E5024" s="7">
        <v>462.48</v>
      </c>
      <c r="F5024" s="7">
        <v>43458.1</v>
      </c>
      <c r="G5024" s="7">
        <v>90742</v>
      </c>
      <c r="H5024" s="7">
        <f t="shared" si="125"/>
        <v>43408.1</v>
      </c>
      <c r="I5024" s="15"/>
    </row>
    <row r="5025" spans="1:9" s="8" customFormat="1" ht="21" customHeight="1" x14ac:dyDescent="0.6">
      <c r="A5025" s="7">
        <v>24.720941799999999</v>
      </c>
      <c r="B5025" s="7">
        <v>34.747751700000002</v>
      </c>
      <c r="C5025" s="7">
        <v>676779.33</v>
      </c>
      <c r="D5025" s="7">
        <v>2735176.41</v>
      </c>
      <c r="E5025" s="7">
        <v>462.21</v>
      </c>
      <c r="F5025" s="7">
        <v>43174.54</v>
      </c>
      <c r="G5025" s="7">
        <v>90744</v>
      </c>
      <c r="H5025" s="7">
        <f t="shared" si="125"/>
        <v>43124.54</v>
      </c>
      <c r="I5025" s="15"/>
    </row>
    <row r="5026" spans="1:9" s="8" customFormat="1" ht="21" customHeight="1" x14ac:dyDescent="0.6">
      <c r="A5026" s="7">
        <v>24.720952100000002</v>
      </c>
      <c r="B5026" s="7">
        <v>34.747724400000003</v>
      </c>
      <c r="C5026" s="7">
        <v>676776.55</v>
      </c>
      <c r="D5026" s="7">
        <v>2735177.51</v>
      </c>
      <c r="E5026" s="7">
        <v>462.07</v>
      </c>
      <c r="F5026" s="7">
        <v>42912.15</v>
      </c>
      <c r="G5026" s="7">
        <v>90746</v>
      </c>
      <c r="H5026" s="7">
        <f t="shared" si="125"/>
        <v>42862.15</v>
      </c>
      <c r="I5026" s="15"/>
    </row>
    <row r="5027" spans="1:9" s="8" customFormat="1" ht="21" customHeight="1" x14ac:dyDescent="0.6">
      <c r="A5027" s="7">
        <v>24.720966000000001</v>
      </c>
      <c r="B5027" s="7">
        <v>34.747700199999997</v>
      </c>
      <c r="C5027" s="7">
        <v>676774.08</v>
      </c>
      <c r="D5027" s="7">
        <v>2735179.02</v>
      </c>
      <c r="E5027" s="7">
        <v>461.91</v>
      </c>
      <c r="F5027" s="7">
        <v>42790.83</v>
      </c>
      <c r="G5027" s="7">
        <v>90748</v>
      </c>
      <c r="H5027" s="7">
        <f t="shared" si="125"/>
        <v>42740.83</v>
      </c>
      <c r="I5027" s="15"/>
    </row>
    <row r="5028" spans="1:9" s="8" customFormat="1" ht="21" customHeight="1" x14ac:dyDescent="0.6">
      <c r="A5028" s="7">
        <v>24.720984099999999</v>
      </c>
      <c r="B5028" s="7">
        <v>34.747677500000002</v>
      </c>
      <c r="C5028" s="7">
        <v>676771.76</v>
      </c>
      <c r="D5028" s="7">
        <v>2735181</v>
      </c>
      <c r="E5028" s="7">
        <v>461.86</v>
      </c>
      <c r="F5028" s="7">
        <v>42710.43</v>
      </c>
      <c r="G5028" s="7">
        <v>90750</v>
      </c>
      <c r="H5028" s="7">
        <f t="shared" si="125"/>
        <v>42660.43</v>
      </c>
      <c r="I5028" s="15"/>
    </row>
    <row r="5029" spans="1:9" s="8" customFormat="1" ht="21" customHeight="1" x14ac:dyDescent="0.6">
      <c r="A5029" s="7">
        <v>24.720996899999999</v>
      </c>
      <c r="B5029" s="7">
        <v>34.747649299999999</v>
      </c>
      <c r="C5029" s="7">
        <v>676768.89</v>
      </c>
      <c r="D5029" s="7">
        <v>2735182.38</v>
      </c>
      <c r="E5029" s="7">
        <v>461.41</v>
      </c>
      <c r="F5029" s="7">
        <v>42675.81</v>
      </c>
      <c r="G5029" s="7">
        <v>90752</v>
      </c>
      <c r="H5029" s="7">
        <f t="shared" si="125"/>
        <v>42625.81</v>
      </c>
      <c r="I5029" s="15"/>
    </row>
    <row r="5030" spans="1:9" s="8" customFormat="1" ht="21" customHeight="1" x14ac:dyDescent="0.6">
      <c r="A5030" s="7">
        <v>24.721011799999999</v>
      </c>
      <c r="B5030" s="7">
        <v>34.747622700000001</v>
      </c>
      <c r="C5030" s="7">
        <v>676766.17</v>
      </c>
      <c r="D5030" s="7">
        <v>2735183.99</v>
      </c>
      <c r="E5030" s="7">
        <v>460.93</v>
      </c>
      <c r="F5030" s="7">
        <v>42725.87</v>
      </c>
      <c r="G5030" s="7">
        <v>90754</v>
      </c>
      <c r="H5030" s="7">
        <f t="shared" si="125"/>
        <v>42675.87</v>
      </c>
      <c r="I5030" s="15"/>
    </row>
    <row r="5031" spans="1:9" s="8" customFormat="1" ht="21" customHeight="1" x14ac:dyDescent="0.6">
      <c r="A5031" s="7">
        <v>24.721034299999999</v>
      </c>
      <c r="B5031" s="7">
        <v>34.747604000000003</v>
      </c>
      <c r="C5031" s="7">
        <v>676764.25</v>
      </c>
      <c r="D5031" s="7">
        <v>2735186.46</v>
      </c>
      <c r="E5031" s="7">
        <v>461.1</v>
      </c>
      <c r="F5031" s="7">
        <v>42749.67</v>
      </c>
      <c r="G5031" s="7">
        <v>90756</v>
      </c>
      <c r="H5031" s="7">
        <f t="shared" si="125"/>
        <v>42699.67</v>
      </c>
      <c r="I5031" s="15"/>
    </row>
    <row r="5032" spans="1:9" s="8" customFormat="1" ht="21" customHeight="1" x14ac:dyDescent="0.6">
      <c r="A5032" s="7">
        <v>24.721054899999999</v>
      </c>
      <c r="B5032" s="7">
        <v>34.747585700000002</v>
      </c>
      <c r="C5032" s="7">
        <v>676762.37</v>
      </c>
      <c r="D5032" s="7">
        <v>2735188.73</v>
      </c>
      <c r="E5032" s="7">
        <v>461.03</v>
      </c>
      <c r="F5032" s="7">
        <v>42723.02</v>
      </c>
      <c r="G5032" s="7">
        <v>90758</v>
      </c>
      <c r="H5032" s="7">
        <f t="shared" si="125"/>
        <v>42673.02</v>
      </c>
      <c r="I5032" s="15"/>
    </row>
    <row r="5033" spans="1:9" s="8" customFormat="1" ht="21" customHeight="1" x14ac:dyDescent="0.6">
      <c r="A5033" s="7">
        <v>24.721071599999998</v>
      </c>
      <c r="B5033" s="7">
        <v>34.747567099999998</v>
      </c>
      <c r="C5033" s="7">
        <v>676760.46</v>
      </c>
      <c r="D5033" s="7">
        <v>2735190.54</v>
      </c>
      <c r="E5033" s="7">
        <v>461.11</v>
      </c>
      <c r="F5033" s="7">
        <v>42741.4</v>
      </c>
      <c r="G5033" s="7">
        <v>90800</v>
      </c>
      <c r="H5033" s="7">
        <f t="shared" si="125"/>
        <v>42691.4</v>
      </c>
      <c r="I5033" s="15"/>
    </row>
    <row r="5034" spans="1:9" s="8" customFormat="1" ht="21" customHeight="1" x14ac:dyDescent="0.6">
      <c r="A5034" s="7">
        <v>24.721081900000001</v>
      </c>
      <c r="B5034" s="7">
        <v>34.747539699999997</v>
      </c>
      <c r="C5034" s="7">
        <v>676757.68</v>
      </c>
      <c r="D5034" s="7">
        <v>2735191.65</v>
      </c>
      <c r="E5034" s="7">
        <v>460.57</v>
      </c>
      <c r="F5034" s="7">
        <v>42691.24</v>
      </c>
      <c r="G5034" s="7">
        <v>90802</v>
      </c>
      <c r="H5034" s="7">
        <f t="shared" si="125"/>
        <v>42641.24</v>
      </c>
      <c r="I5034" s="15"/>
    </row>
    <row r="5035" spans="1:9" s="8" customFormat="1" ht="21" customHeight="1" x14ac:dyDescent="0.6">
      <c r="A5035" s="7">
        <v>24.721094300000001</v>
      </c>
      <c r="B5035" s="7">
        <v>34.7475101</v>
      </c>
      <c r="C5035" s="7">
        <v>676754.67</v>
      </c>
      <c r="D5035" s="7">
        <v>2735192.98</v>
      </c>
      <c r="E5035" s="7">
        <v>460.12</v>
      </c>
      <c r="F5035" s="7">
        <v>42666</v>
      </c>
      <c r="G5035" s="7">
        <v>90804</v>
      </c>
      <c r="H5035" s="7">
        <f t="shared" si="125"/>
        <v>42616</v>
      </c>
      <c r="I5035" s="15"/>
    </row>
    <row r="5036" spans="1:9" s="8" customFormat="1" ht="21" customHeight="1" x14ac:dyDescent="0.6">
      <c r="A5036" s="7">
        <v>24.721107400000001</v>
      </c>
      <c r="B5036" s="7">
        <v>34.747484300000004</v>
      </c>
      <c r="C5036" s="7">
        <v>676752.04</v>
      </c>
      <c r="D5036" s="7">
        <v>2735194.41</v>
      </c>
      <c r="E5036" s="7">
        <v>460.09</v>
      </c>
      <c r="F5036" s="7">
        <v>42682.98</v>
      </c>
      <c r="G5036" s="7">
        <v>90806</v>
      </c>
      <c r="H5036" s="7">
        <f t="shared" si="125"/>
        <v>42632.98</v>
      </c>
      <c r="I5036" s="15"/>
    </row>
    <row r="5037" spans="1:9" s="8" customFormat="1" ht="21" customHeight="1" x14ac:dyDescent="0.6">
      <c r="A5037" s="7">
        <v>24.721117199999998</v>
      </c>
      <c r="B5037" s="7">
        <v>34.747457599999997</v>
      </c>
      <c r="C5037" s="7">
        <v>676749.32</v>
      </c>
      <c r="D5037" s="7">
        <v>2735195.46</v>
      </c>
      <c r="E5037" s="7">
        <v>459.78</v>
      </c>
      <c r="F5037" s="7">
        <v>42612.35</v>
      </c>
      <c r="G5037" s="7">
        <v>90808</v>
      </c>
      <c r="H5037" s="7">
        <f t="shared" si="125"/>
        <v>42562.35</v>
      </c>
      <c r="I5037" s="15"/>
    </row>
    <row r="5038" spans="1:9" s="8" customFormat="1" ht="21" customHeight="1" x14ac:dyDescent="0.6">
      <c r="A5038" s="7">
        <v>24.7211286</v>
      </c>
      <c r="B5038" s="7">
        <v>34.747427199999997</v>
      </c>
      <c r="C5038" s="7">
        <v>676746.23999999999</v>
      </c>
      <c r="D5038" s="7">
        <v>2735196.68</v>
      </c>
      <c r="E5038" s="7">
        <v>459.29</v>
      </c>
      <c r="F5038" s="7">
        <v>42638.14</v>
      </c>
      <c r="G5038" s="7">
        <v>90810</v>
      </c>
      <c r="H5038" s="7">
        <f t="shared" si="125"/>
        <v>42588.14</v>
      </c>
      <c r="I5038" s="15"/>
    </row>
    <row r="5039" spans="1:9" s="8" customFormat="1" ht="21" customHeight="1" x14ac:dyDescent="0.6">
      <c r="A5039" s="7">
        <v>24.721138400000001</v>
      </c>
      <c r="B5039" s="7">
        <v>34.747398400000002</v>
      </c>
      <c r="C5039" s="7">
        <v>676743.3</v>
      </c>
      <c r="D5039" s="7">
        <v>2735197.72</v>
      </c>
      <c r="E5039" s="7">
        <v>459.12</v>
      </c>
      <c r="F5039" s="7">
        <v>42615.1</v>
      </c>
      <c r="G5039" s="7">
        <v>90812</v>
      </c>
      <c r="H5039" s="7">
        <f t="shared" si="125"/>
        <v>42565.1</v>
      </c>
      <c r="I5039" s="15"/>
    </row>
    <row r="5040" spans="1:9" s="8" customFormat="1" ht="21" customHeight="1" x14ac:dyDescent="0.6">
      <c r="A5040" s="7">
        <v>24.7211465</v>
      </c>
      <c r="B5040" s="7">
        <v>34.747370600000004</v>
      </c>
      <c r="C5040" s="7">
        <v>676740.48</v>
      </c>
      <c r="D5040" s="7">
        <v>2735198.59</v>
      </c>
      <c r="E5040" s="7">
        <v>458.88</v>
      </c>
      <c r="F5040" s="7">
        <v>42597.47</v>
      </c>
      <c r="G5040" s="7">
        <v>90814</v>
      </c>
      <c r="H5040" s="7">
        <f t="shared" si="125"/>
        <v>42547.47</v>
      </c>
      <c r="I5040" s="15"/>
    </row>
    <row r="5041" spans="1:9" s="8" customFormat="1" ht="21" customHeight="1" x14ac:dyDescent="0.6">
      <c r="A5041" s="7">
        <v>24.721160699999999</v>
      </c>
      <c r="B5041" s="7">
        <v>34.747343299999997</v>
      </c>
      <c r="C5041" s="7">
        <v>676737.7</v>
      </c>
      <c r="D5041" s="7">
        <v>2735200.12</v>
      </c>
      <c r="E5041" s="7">
        <v>458.51</v>
      </c>
      <c r="F5041" s="7">
        <v>42561.85</v>
      </c>
      <c r="G5041" s="7">
        <v>90816</v>
      </c>
      <c r="H5041" s="7">
        <f t="shared" si="125"/>
        <v>42511.85</v>
      </c>
      <c r="I5041" s="15"/>
    </row>
    <row r="5042" spans="1:9" s="8" customFormat="1" ht="21" customHeight="1" x14ac:dyDescent="0.6">
      <c r="A5042" s="7">
        <v>24.721178500000001</v>
      </c>
      <c r="B5042" s="7">
        <v>34.7473077</v>
      </c>
      <c r="C5042" s="7">
        <v>676734.08</v>
      </c>
      <c r="D5042" s="7">
        <v>2735202.05</v>
      </c>
      <c r="E5042" s="7">
        <v>458.8</v>
      </c>
      <c r="F5042" s="7">
        <v>42657.39</v>
      </c>
      <c r="G5042" s="7">
        <v>90818</v>
      </c>
      <c r="H5042" s="7">
        <f t="shared" si="125"/>
        <v>42607.39</v>
      </c>
      <c r="I5042" s="15"/>
    </row>
    <row r="5043" spans="1:9" s="8" customFormat="1" ht="21" customHeight="1" x14ac:dyDescent="0.6">
      <c r="A5043" s="7">
        <v>24.72119</v>
      </c>
      <c r="B5043" s="7">
        <v>34.7472919</v>
      </c>
      <c r="C5043" s="7">
        <v>676732.45</v>
      </c>
      <c r="D5043" s="7">
        <v>2735203.31</v>
      </c>
      <c r="E5043" s="7">
        <v>459.32</v>
      </c>
      <c r="F5043" s="7">
        <v>42736.68</v>
      </c>
      <c r="G5043" s="7">
        <v>90820</v>
      </c>
      <c r="H5043" s="7">
        <f t="shared" si="125"/>
        <v>42686.68</v>
      </c>
      <c r="I5043" s="15"/>
    </row>
    <row r="5044" spans="1:9" s="8" customFormat="1" ht="21" customHeight="1" x14ac:dyDescent="0.6">
      <c r="A5044" s="7">
        <v>24.721202000000002</v>
      </c>
      <c r="B5044" s="7">
        <v>34.747269000000003</v>
      </c>
      <c r="C5044" s="7">
        <v>676730.12</v>
      </c>
      <c r="D5044" s="7">
        <v>2735204.61</v>
      </c>
      <c r="E5044" s="7">
        <v>459.52</v>
      </c>
      <c r="F5044" s="7">
        <v>42714.58</v>
      </c>
      <c r="G5044" s="7">
        <v>90822</v>
      </c>
      <c r="H5044" s="7">
        <f t="shared" si="125"/>
        <v>42664.58</v>
      </c>
      <c r="I5044" s="15"/>
    </row>
    <row r="5045" spans="1:9" s="8" customFormat="1" ht="21" customHeight="1" x14ac:dyDescent="0.6">
      <c r="A5045" s="7">
        <v>24.7212146</v>
      </c>
      <c r="B5045" s="7">
        <v>34.747244500000001</v>
      </c>
      <c r="C5045" s="7">
        <v>676727.62</v>
      </c>
      <c r="D5045" s="7">
        <v>2735205.97</v>
      </c>
      <c r="E5045" s="7">
        <v>459.64</v>
      </c>
      <c r="F5045" s="7">
        <v>42696.65</v>
      </c>
      <c r="G5045" s="7">
        <v>90824</v>
      </c>
      <c r="H5045" s="7">
        <f t="shared" si="125"/>
        <v>42646.65</v>
      </c>
      <c r="I5045" s="15"/>
    </row>
    <row r="5046" spans="1:9" s="8" customFormat="1" ht="21" customHeight="1" x14ac:dyDescent="0.6">
      <c r="A5046" s="7">
        <v>24.721228700000001</v>
      </c>
      <c r="B5046" s="7">
        <v>34.7472213</v>
      </c>
      <c r="C5046" s="7">
        <v>676725.26</v>
      </c>
      <c r="D5046" s="7">
        <v>2735207.5</v>
      </c>
      <c r="E5046" s="7">
        <v>459.84</v>
      </c>
      <c r="F5046" s="7">
        <v>42644.63</v>
      </c>
      <c r="G5046" s="7">
        <v>90826</v>
      </c>
      <c r="H5046" s="7">
        <f t="shared" si="125"/>
        <v>42594.63</v>
      </c>
      <c r="I5046" s="15"/>
    </row>
    <row r="5047" spans="1:9" s="8" customFormat="1" ht="21" customHeight="1" x14ac:dyDescent="0.6">
      <c r="A5047" s="7">
        <v>24.721242400000001</v>
      </c>
      <c r="B5047" s="7">
        <v>34.7472013</v>
      </c>
      <c r="C5047" s="7">
        <v>676723.21</v>
      </c>
      <c r="D5047" s="7">
        <v>2735208.99</v>
      </c>
      <c r="E5047" s="7">
        <v>460.17</v>
      </c>
      <c r="F5047" s="7">
        <v>42685.64</v>
      </c>
      <c r="G5047" s="7">
        <v>90828</v>
      </c>
      <c r="H5047" s="7">
        <f t="shared" si="125"/>
        <v>42635.64</v>
      </c>
      <c r="I5047" s="15"/>
    </row>
    <row r="5048" spans="1:9" s="8" customFormat="1" ht="21" customHeight="1" x14ac:dyDescent="0.6">
      <c r="A5048" s="7">
        <v>24.721254399999999</v>
      </c>
      <c r="B5048" s="7">
        <v>34.747176899999999</v>
      </c>
      <c r="C5048" s="7">
        <v>676720.74</v>
      </c>
      <c r="D5048" s="7">
        <v>2735210.29</v>
      </c>
      <c r="E5048" s="7">
        <v>460.5</v>
      </c>
      <c r="F5048" s="7">
        <v>42708.92</v>
      </c>
      <c r="G5048" s="7">
        <v>90830</v>
      </c>
      <c r="H5048" s="7">
        <f t="shared" si="125"/>
        <v>42658.92</v>
      </c>
      <c r="I5048" s="15"/>
    </row>
    <row r="5049" spans="1:9" s="8" customFormat="1" ht="21" customHeight="1" x14ac:dyDescent="0.6">
      <c r="A5049" s="7">
        <v>24.7212706</v>
      </c>
      <c r="B5049" s="7">
        <v>34.747155999999997</v>
      </c>
      <c r="C5049" s="7">
        <v>676718.6</v>
      </c>
      <c r="D5049" s="7">
        <v>2735212.06</v>
      </c>
      <c r="E5049" s="7">
        <v>460.81</v>
      </c>
      <c r="F5049" s="7">
        <v>42678.55</v>
      </c>
      <c r="G5049" s="7">
        <v>90832</v>
      </c>
      <c r="H5049" s="7">
        <f t="shared" si="125"/>
        <v>42628.55</v>
      </c>
      <c r="I5049" s="15"/>
    </row>
    <row r="5050" spans="1:9" s="8" customFormat="1" ht="21" customHeight="1" x14ac:dyDescent="0.6">
      <c r="A5050" s="7">
        <v>24.721284399999998</v>
      </c>
      <c r="B5050" s="7">
        <v>34.747135</v>
      </c>
      <c r="C5050" s="7">
        <v>676716.45</v>
      </c>
      <c r="D5050" s="7">
        <v>2735213.56</v>
      </c>
      <c r="E5050" s="7">
        <v>460.9</v>
      </c>
      <c r="F5050" s="7">
        <v>42591.62</v>
      </c>
      <c r="G5050" s="7">
        <v>90834</v>
      </c>
      <c r="H5050" s="7">
        <f t="shared" si="125"/>
        <v>42541.62</v>
      </c>
      <c r="I5050" s="15"/>
    </row>
    <row r="5051" spans="1:9" s="8" customFormat="1" ht="21" customHeight="1" x14ac:dyDescent="0.6">
      <c r="A5051" s="7">
        <v>24.721300200000002</v>
      </c>
      <c r="B5051" s="7">
        <v>34.747112299999998</v>
      </c>
      <c r="C5051" s="7">
        <v>676714.13</v>
      </c>
      <c r="D5051" s="7">
        <v>2735215.28</v>
      </c>
      <c r="E5051" s="7">
        <v>460.85</v>
      </c>
      <c r="F5051" s="7">
        <v>42538.86</v>
      </c>
      <c r="G5051" s="7">
        <v>90836</v>
      </c>
      <c r="H5051" s="7">
        <f t="shared" si="125"/>
        <v>42488.86</v>
      </c>
      <c r="I5051" s="15"/>
    </row>
    <row r="5052" spans="1:9" s="8" customFormat="1" ht="21" customHeight="1" x14ac:dyDescent="0.6">
      <c r="A5052" s="7">
        <v>24.721318799999999</v>
      </c>
      <c r="B5052" s="7">
        <v>34.747092700000003</v>
      </c>
      <c r="C5052" s="7">
        <v>676712.12</v>
      </c>
      <c r="D5052" s="7">
        <v>2735217.32</v>
      </c>
      <c r="E5052" s="7">
        <v>460.79</v>
      </c>
      <c r="F5052" s="7">
        <v>42553.21</v>
      </c>
      <c r="G5052" s="7">
        <v>90838</v>
      </c>
      <c r="H5052" s="7">
        <f t="shared" si="125"/>
        <v>42503.21</v>
      </c>
      <c r="I5052" s="15"/>
    </row>
    <row r="5053" spans="1:9" s="8" customFormat="1" ht="21" customHeight="1" x14ac:dyDescent="0.6">
      <c r="A5053" s="7">
        <v>24.721340699999999</v>
      </c>
      <c r="B5053" s="7">
        <v>34.747071099999999</v>
      </c>
      <c r="C5053" s="7">
        <v>676709.91</v>
      </c>
      <c r="D5053" s="7">
        <v>2735219.71</v>
      </c>
      <c r="E5053" s="7">
        <v>460.86</v>
      </c>
      <c r="F5053" s="7">
        <v>42489.919999999998</v>
      </c>
      <c r="G5053" s="7">
        <v>90840</v>
      </c>
      <c r="H5053" s="7">
        <f t="shared" si="125"/>
        <v>42439.92</v>
      </c>
      <c r="I5053" s="15"/>
    </row>
    <row r="5054" spans="1:9" s="8" customFormat="1" ht="21" customHeight="1" x14ac:dyDescent="0.6">
      <c r="A5054" s="7">
        <v>24.721360399999998</v>
      </c>
      <c r="B5054" s="7">
        <v>34.747053999999999</v>
      </c>
      <c r="C5054" s="7">
        <v>676708.15</v>
      </c>
      <c r="D5054" s="7">
        <v>2735221.88</v>
      </c>
      <c r="E5054" s="7">
        <v>461.11</v>
      </c>
      <c r="F5054" s="7">
        <v>42520.67</v>
      </c>
      <c r="G5054" s="7">
        <v>90842</v>
      </c>
      <c r="H5054" s="7">
        <f t="shared" si="125"/>
        <v>42470.67</v>
      </c>
      <c r="I5054" s="15"/>
    </row>
    <row r="5055" spans="1:9" s="8" customFormat="1" ht="21" customHeight="1" x14ac:dyDescent="0.6">
      <c r="A5055" s="7">
        <v>24.721380799999999</v>
      </c>
      <c r="B5055" s="7">
        <v>34.747038500000002</v>
      </c>
      <c r="C5055" s="7">
        <v>676706.55</v>
      </c>
      <c r="D5055" s="7">
        <v>2735224.11</v>
      </c>
      <c r="E5055" s="7">
        <v>461.39</v>
      </c>
      <c r="F5055" s="7">
        <v>42420.12</v>
      </c>
      <c r="G5055" s="7">
        <v>90844</v>
      </c>
      <c r="H5055" s="7">
        <f t="shared" si="125"/>
        <v>42370.12</v>
      </c>
      <c r="I5055" s="15"/>
    </row>
    <row r="5056" spans="1:9" s="8" customFormat="1" ht="21" customHeight="1" x14ac:dyDescent="0.6">
      <c r="A5056" s="7">
        <v>24.721398199999999</v>
      </c>
      <c r="B5056" s="7">
        <v>34.747016100000003</v>
      </c>
      <c r="C5056" s="7">
        <v>676704.26</v>
      </c>
      <c r="D5056" s="7">
        <v>2735226.01</v>
      </c>
      <c r="E5056" s="7">
        <v>461.31</v>
      </c>
      <c r="F5056" s="7">
        <v>42448.639999999999</v>
      </c>
      <c r="G5056" s="7">
        <v>90846</v>
      </c>
      <c r="H5056" s="7">
        <f t="shared" si="125"/>
        <v>42398.64</v>
      </c>
      <c r="I5056" s="15"/>
    </row>
    <row r="5057" spans="1:9" s="8" customFormat="1" ht="21" customHeight="1" x14ac:dyDescent="0.6">
      <c r="A5057" s="7">
        <v>24.721416099999999</v>
      </c>
      <c r="B5057" s="7">
        <v>34.746993000000003</v>
      </c>
      <c r="C5057" s="7">
        <v>676701.9</v>
      </c>
      <c r="D5057" s="7">
        <v>2735227.96</v>
      </c>
      <c r="E5057" s="7">
        <v>461.24</v>
      </c>
      <c r="F5057" s="7">
        <v>42736.160000000003</v>
      </c>
      <c r="G5057" s="7">
        <v>90848</v>
      </c>
      <c r="H5057" s="7">
        <f t="shared" si="125"/>
        <v>42686.16</v>
      </c>
      <c r="I5057" s="15"/>
    </row>
    <row r="5058" spans="1:9" s="8" customFormat="1" ht="21" customHeight="1" x14ac:dyDescent="0.6">
      <c r="A5058" s="7">
        <v>24.721433399999999</v>
      </c>
      <c r="B5058" s="7">
        <v>34.7469708</v>
      </c>
      <c r="C5058" s="7">
        <v>676699.63</v>
      </c>
      <c r="D5058" s="7">
        <v>2735229.85</v>
      </c>
      <c r="E5058" s="7">
        <v>461.2</v>
      </c>
      <c r="F5058" s="7">
        <v>42984.08</v>
      </c>
      <c r="G5058" s="7">
        <v>90850</v>
      </c>
      <c r="H5058" s="7">
        <f t="shared" si="125"/>
        <v>42934.080000000002</v>
      </c>
      <c r="I5058" s="15"/>
    </row>
    <row r="5059" spans="1:9" s="8" customFormat="1" ht="21" customHeight="1" x14ac:dyDescent="0.6">
      <c r="A5059" s="7">
        <v>24.721450600000001</v>
      </c>
      <c r="B5059" s="7">
        <v>34.746949600000001</v>
      </c>
      <c r="C5059" s="7">
        <v>676697.45</v>
      </c>
      <c r="D5059" s="7">
        <v>2735231.73</v>
      </c>
      <c r="E5059" s="7">
        <v>461.33</v>
      </c>
      <c r="F5059" s="7">
        <v>42843.99</v>
      </c>
      <c r="G5059" s="7">
        <v>90852</v>
      </c>
      <c r="H5059" s="7">
        <f t="shared" si="125"/>
        <v>42793.99</v>
      </c>
      <c r="I5059" s="15"/>
    </row>
    <row r="5060" spans="1:9" s="8" customFormat="1" ht="21" customHeight="1" x14ac:dyDescent="0.6">
      <c r="A5060" s="7">
        <v>24.7214676</v>
      </c>
      <c r="B5060" s="7">
        <v>34.746928699999998</v>
      </c>
      <c r="C5060" s="7">
        <v>676695.32</v>
      </c>
      <c r="D5060" s="7">
        <v>2735233.58</v>
      </c>
      <c r="E5060" s="7">
        <v>461.39</v>
      </c>
      <c r="F5060" s="7">
        <v>42568.49</v>
      </c>
      <c r="G5060" s="7">
        <v>90854</v>
      </c>
      <c r="H5060" s="7">
        <f t="shared" si="125"/>
        <v>42518.49</v>
      </c>
      <c r="I5060" s="15"/>
    </row>
    <row r="5061" spans="1:9" s="8" customFormat="1" ht="21" customHeight="1" x14ac:dyDescent="0.6">
      <c r="A5061" s="7">
        <v>24.721486899999999</v>
      </c>
      <c r="B5061" s="7">
        <v>34.746916800000001</v>
      </c>
      <c r="C5061" s="7">
        <v>676694.09</v>
      </c>
      <c r="D5061" s="7">
        <v>2735235.7</v>
      </c>
      <c r="E5061" s="7">
        <v>461.35</v>
      </c>
      <c r="F5061" s="7">
        <v>42693.57</v>
      </c>
      <c r="G5061" s="7">
        <v>90856</v>
      </c>
      <c r="H5061" s="7">
        <f t="shared" si="125"/>
        <v>42643.57</v>
      </c>
      <c r="I5061" s="15"/>
    </row>
    <row r="5062" spans="1:9" s="8" customFormat="1" ht="21" customHeight="1" x14ac:dyDescent="0.6">
      <c r="A5062" s="7">
        <v>24.7215083</v>
      </c>
      <c r="B5062" s="7">
        <v>34.746896100000001</v>
      </c>
      <c r="C5062" s="7">
        <v>676691.97</v>
      </c>
      <c r="D5062" s="7">
        <v>2735238.05</v>
      </c>
      <c r="E5062" s="7">
        <v>461.15</v>
      </c>
      <c r="F5062" s="7">
        <v>42753.68</v>
      </c>
      <c r="G5062" s="7">
        <v>90858</v>
      </c>
      <c r="H5062" s="7">
        <f t="shared" si="125"/>
        <v>42703.68</v>
      </c>
      <c r="I5062" s="15"/>
    </row>
    <row r="5063" spans="1:9" s="8" customFormat="1" ht="21" customHeight="1" x14ac:dyDescent="0.6">
      <c r="A5063" s="7">
        <v>24.721530300000001</v>
      </c>
      <c r="B5063" s="7">
        <v>34.746876</v>
      </c>
      <c r="C5063" s="7">
        <v>676689.9</v>
      </c>
      <c r="D5063" s="7">
        <v>2735240.46</v>
      </c>
      <c r="E5063" s="7">
        <v>461.24</v>
      </c>
      <c r="F5063" s="7">
        <v>42922.31</v>
      </c>
      <c r="G5063" s="7">
        <v>90900</v>
      </c>
      <c r="H5063" s="7">
        <f t="shared" si="125"/>
        <v>42872.31</v>
      </c>
      <c r="I5063" s="15"/>
    </row>
    <row r="5064" spans="1:9" s="8" customFormat="1" ht="21" customHeight="1" x14ac:dyDescent="0.6">
      <c r="A5064" s="7">
        <v>24.7215475</v>
      </c>
      <c r="B5064" s="7">
        <v>34.746858400000001</v>
      </c>
      <c r="C5064" s="7">
        <v>676688.1</v>
      </c>
      <c r="D5064" s="7">
        <v>2735242.34</v>
      </c>
      <c r="E5064" s="7">
        <v>461.59</v>
      </c>
      <c r="F5064" s="7">
        <v>42888.19</v>
      </c>
      <c r="G5064" s="7">
        <v>90902</v>
      </c>
      <c r="H5064" s="7">
        <f t="shared" si="125"/>
        <v>42838.19</v>
      </c>
      <c r="I5064" s="15"/>
    </row>
    <row r="5065" spans="1:9" s="8" customFormat="1" ht="21" customHeight="1" x14ac:dyDescent="0.6">
      <c r="A5065" s="7">
        <v>24.721567700000001</v>
      </c>
      <c r="B5065" s="7">
        <v>34.746841000000003</v>
      </c>
      <c r="C5065" s="7">
        <v>676686.31</v>
      </c>
      <c r="D5065" s="7">
        <v>2735244.56</v>
      </c>
      <c r="E5065" s="7">
        <v>461.68</v>
      </c>
      <c r="F5065" s="7">
        <v>42867.3</v>
      </c>
      <c r="G5065" s="7">
        <v>90904</v>
      </c>
      <c r="H5065" s="7">
        <f t="shared" si="125"/>
        <v>42817.3</v>
      </c>
      <c r="I5065" s="15"/>
    </row>
    <row r="5066" spans="1:9" s="8" customFormat="1" ht="21" customHeight="1" x14ac:dyDescent="0.6">
      <c r="A5066" s="7">
        <v>24.721590299999999</v>
      </c>
      <c r="B5066" s="7">
        <v>34.746824699999998</v>
      </c>
      <c r="C5066" s="7">
        <v>676684.62</v>
      </c>
      <c r="D5066" s="7">
        <v>2735247.03</v>
      </c>
      <c r="E5066" s="7">
        <v>461.7</v>
      </c>
      <c r="F5066" s="7">
        <v>42800.22</v>
      </c>
      <c r="G5066" s="7">
        <v>90906</v>
      </c>
      <c r="H5066" s="7">
        <f t="shared" si="125"/>
        <v>42750.22</v>
      </c>
      <c r="I5066" s="15"/>
    </row>
    <row r="5067" spans="1:9" s="8" customFormat="1" ht="21" customHeight="1" x14ac:dyDescent="0.6">
      <c r="A5067" s="7">
        <v>24.721610600000002</v>
      </c>
      <c r="B5067" s="7">
        <v>34.7468103</v>
      </c>
      <c r="C5067" s="7">
        <v>676683.14</v>
      </c>
      <c r="D5067" s="7">
        <v>2735249.27</v>
      </c>
      <c r="E5067" s="7">
        <v>461.74</v>
      </c>
      <c r="F5067" s="7">
        <v>42717.7</v>
      </c>
      <c r="G5067" s="7">
        <v>90908</v>
      </c>
      <c r="H5067" s="7">
        <f t="shared" si="125"/>
        <v>42667.7</v>
      </c>
      <c r="I5067" s="15"/>
    </row>
    <row r="5068" spans="1:9" s="8" customFormat="1" ht="21" customHeight="1" x14ac:dyDescent="0.6">
      <c r="A5068" s="7">
        <v>24.721632199999998</v>
      </c>
      <c r="B5068" s="7">
        <v>34.746792300000003</v>
      </c>
      <c r="C5068" s="7">
        <v>676681.29</v>
      </c>
      <c r="D5068" s="7">
        <v>2735251.64</v>
      </c>
      <c r="E5068" s="7">
        <v>461.73</v>
      </c>
      <c r="F5068" s="7">
        <v>42666.49</v>
      </c>
      <c r="G5068" s="7">
        <v>90910</v>
      </c>
      <c r="H5068" s="7">
        <f t="shared" si="125"/>
        <v>42616.49</v>
      </c>
      <c r="I5068" s="15"/>
    </row>
    <row r="5069" spans="1:9" s="8" customFormat="1" ht="21" customHeight="1" x14ac:dyDescent="0.6">
      <c r="A5069" s="7">
        <v>24.721650400000001</v>
      </c>
      <c r="B5069" s="7">
        <v>34.7467732</v>
      </c>
      <c r="C5069" s="7">
        <v>676679.33</v>
      </c>
      <c r="D5069" s="7">
        <v>2735253.63</v>
      </c>
      <c r="E5069" s="7">
        <v>461.71</v>
      </c>
      <c r="F5069" s="7">
        <v>42523.83</v>
      </c>
      <c r="G5069" s="7">
        <v>90912</v>
      </c>
      <c r="H5069" s="7">
        <f t="shared" si="125"/>
        <v>42473.83</v>
      </c>
      <c r="I5069" s="15"/>
    </row>
    <row r="5070" spans="1:9" s="8" customFormat="1" ht="21" customHeight="1" x14ac:dyDescent="0.6">
      <c r="A5070" s="7">
        <v>24.7216725</v>
      </c>
      <c r="B5070" s="7">
        <v>34.7467592</v>
      </c>
      <c r="C5070" s="7">
        <v>676677.88</v>
      </c>
      <c r="D5070" s="7">
        <v>2735256.06</v>
      </c>
      <c r="E5070" s="7">
        <v>461.75</v>
      </c>
      <c r="F5070" s="7">
        <v>42403.49</v>
      </c>
      <c r="G5070" s="7">
        <v>90914</v>
      </c>
      <c r="H5070" s="7">
        <f t="shared" si="125"/>
        <v>42353.49</v>
      </c>
      <c r="I5070" s="15"/>
    </row>
    <row r="5071" spans="1:9" s="8" customFormat="1" ht="21" customHeight="1" x14ac:dyDescent="0.6">
      <c r="A5071" s="7">
        <v>24.721695700000001</v>
      </c>
      <c r="B5071" s="7">
        <v>34.746747999999997</v>
      </c>
      <c r="C5071" s="7">
        <v>676676.72</v>
      </c>
      <c r="D5071" s="7">
        <v>2735258.61</v>
      </c>
      <c r="E5071" s="7">
        <v>461.61</v>
      </c>
      <c r="F5071" s="7">
        <v>42602.85</v>
      </c>
      <c r="G5071" s="7">
        <v>90916</v>
      </c>
      <c r="H5071" s="7">
        <f t="shared" si="125"/>
        <v>42552.85</v>
      </c>
      <c r="I5071" s="15"/>
    </row>
    <row r="5072" spans="1:9" s="8" customFormat="1" ht="21" customHeight="1" x14ac:dyDescent="0.6">
      <c r="A5072" s="7">
        <v>24.721718299999999</v>
      </c>
      <c r="B5072" s="7">
        <v>34.746739499999997</v>
      </c>
      <c r="C5072" s="7">
        <v>676675.82</v>
      </c>
      <c r="D5072" s="7">
        <v>2735261.11</v>
      </c>
      <c r="E5072" s="7">
        <v>461.73</v>
      </c>
      <c r="F5072" s="7">
        <v>42760.68</v>
      </c>
      <c r="G5072" s="7">
        <v>90918</v>
      </c>
      <c r="H5072" s="7">
        <f t="shared" si="125"/>
        <v>42710.68</v>
      </c>
      <c r="I5072" s="15"/>
    </row>
    <row r="5073" spans="1:9" s="8" customFormat="1" ht="21" customHeight="1" x14ac:dyDescent="0.6">
      <c r="A5073" s="7">
        <v>24.721741600000001</v>
      </c>
      <c r="B5073" s="7">
        <v>34.7467392</v>
      </c>
      <c r="C5073" s="7">
        <v>676675.76</v>
      </c>
      <c r="D5073" s="7">
        <v>2735263.69</v>
      </c>
      <c r="E5073" s="7">
        <v>461.98</v>
      </c>
      <c r="F5073" s="7">
        <v>42766.38</v>
      </c>
      <c r="G5073" s="7">
        <v>90920</v>
      </c>
      <c r="H5073" s="7">
        <f t="shared" si="125"/>
        <v>42716.38</v>
      </c>
      <c r="I5073" s="15"/>
    </row>
    <row r="5074" spans="1:9" s="8" customFormat="1" ht="21" customHeight="1" x14ac:dyDescent="0.6">
      <c r="A5074" s="7">
        <v>24.721763500000002</v>
      </c>
      <c r="B5074" s="7">
        <v>34.746741999999998</v>
      </c>
      <c r="C5074" s="7">
        <v>676676.02</v>
      </c>
      <c r="D5074" s="7">
        <v>2735266.12</v>
      </c>
      <c r="E5074" s="7">
        <v>462.2</v>
      </c>
      <c r="F5074" s="7">
        <v>42593.67</v>
      </c>
      <c r="G5074" s="7">
        <v>90922</v>
      </c>
      <c r="H5074" s="7">
        <f t="shared" si="125"/>
        <v>42543.67</v>
      </c>
      <c r="I5074" s="15"/>
    </row>
    <row r="5075" spans="1:9" s="8" customFormat="1" ht="21" customHeight="1" x14ac:dyDescent="0.6">
      <c r="A5075" s="7">
        <v>24.721777899999999</v>
      </c>
      <c r="B5075" s="7">
        <v>34.746734199999999</v>
      </c>
      <c r="C5075" s="7">
        <v>676675.21</v>
      </c>
      <c r="D5075" s="7">
        <v>2735267.7</v>
      </c>
      <c r="E5075" s="7">
        <v>461.5</v>
      </c>
      <c r="F5075" s="7">
        <v>42396.42</v>
      </c>
      <c r="G5075" s="7">
        <v>90924</v>
      </c>
      <c r="H5075" s="7">
        <f t="shared" si="125"/>
        <v>42346.42</v>
      </c>
      <c r="I5075" s="15"/>
    </row>
    <row r="5076" spans="1:9" s="8" customFormat="1" ht="21" customHeight="1" x14ac:dyDescent="0.6">
      <c r="A5076" s="7">
        <v>24.721786099999999</v>
      </c>
      <c r="B5076" s="7">
        <v>34.746717099999998</v>
      </c>
      <c r="C5076" s="7">
        <v>676673.46</v>
      </c>
      <c r="D5076" s="7">
        <v>2735268.58</v>
      </c>
      <c r="E5076" s="7">
        <v>460.69</v>
      </c>
      <c r="F5076" s="7">
        <v>42144.46</v>
      </c>
      <c r="G5076" s="7">
        <v>90926</v>
      </c>
      <c r="H5076" s="7">
        <f t="shared" ref="H5076:H5139" si="126">SUM(F5076-50)</f>
        <v>42094.46</v>
      </c>
      <c r="I5076" s="15"/>
    </row>
    <row r="5077" spans="1:9" s="8" customFormat="1" ht="21" customHeight="1" x14ac:dyDescent="0.6">
      <c r="A5077" s="7">
        <v>24.721805100000001</v>
      </c>
      <c r="B5077" s="7">
        <v>34.746713499999998</v>
      </c>
      <c r="C5077" s="7">
        <v>676673.08</v>
      </c>
      <c r="D5077" s="7">
        <v>2735270.69</v>
      </c>
      <c r="E5077" s="7">
        <v>459.91</v>
      </c>
      <c r="F5077" s="7">
        <v>42220.31</v>
      </c>
      <c r="G5077" s="7">
        <v>90928</v>
      </c>
      <c r="H5077" s="7">
        <f t="shared" si="126"/>
        <v>42170.31</v>
      </c>
      <c r="I5077" s="15"/>
    </row>
    <row r="5078" spans="1:9" s="8" customFormat="1" ht="21" customHeight="1" x14ac:dyDescent="0.6">
      <c r="A5078" s="7">
        <v>24.721820000000001</v>
      </c>
      <c r="B5078" s="7">
        <v>34.746695199999998</v>
      </c>
      <c r="C5078" s="7">
        <v>676671.2</v>
      </c>
      <c r="D5078" s="7">
        <v>2735272.31</v>
      </c>
      <c r="E5078" s="7">
        <v>458.75</v>
      </c>
      <c r="F5078" s="7">
        <v>42354.43</v>
      </c>
      <c r="G5078" s="7">
        <v>90930</v>
      </c>
      <c r="H5078" s="7">
        <f t="shared" si="126"/>
        <v>42304.43</v>
      </c>
      <c r="I5078" s="15"/>
    </row>
    <row r="5079" spans="1:9" s="8" customFormat="1" ht="21" customHeight="1" x14ac:dyDescent="0.6">
      <c r="A5079" s="7">
        <v>24.721830700000002</v>
      </c>
      <c r="B5079" s="7">
        <v>34.7466644</v>
      </c>
      <c r="C5079" s="7">
        <v>676668.07</v>
      </c>
      <c r="D5079" s="7">
        <v>2735273.45</v>
      </c>
      <c r="E5079" s="7">
        <v>458.52</v>
      </c>
      <c r="F5079" s="7">
        <v>42477.120000000003</v>
      </c>
      <c r="G5079" s="7">
        <v>90932</v>
      </c>
      <c r="H5079" s="7">
        <f t="shared" si="126"/>
        <v>42427.12</v>
      </c>
      <c r="I5079" s="15"/>
    </row>
    <row r="5080" spans="1:9" s="8" customFormat="1" ht="21" customHeight="1" x14ac:dyDescent="0.6">
      <c r="A5080" s="7">
        <v>24.721832899999999</v>
      </c>
      <c r="B5080" s="7">
        <v>34.746640200000002</v>
      </c>
      <c r="C5080" s="7">
        <v>676665.61</v>
      </c>
      <c r="D5080" s="7">
        <v>2735273.67</v>
      </c>
      <c r="E5080" s="7">
        <v>458.72</v>
      </c>
      <c r="F5080" s="7">
        <v>42563.05</v>
      </c>
      <c r="G5080" s="7">
        <v>90934</v>
      </c>
      <c r="H5080" s="7">
        <f t="shared" si="126"/>
        <v>42513.05</v>
      </c>
      <c r="I5080" s="15"/>
    </row>
    <row r="5081" spans="1:9" s="8" customFormat="1" ht="21" customHeight="1" x14ac:dyDescent="0.6">
      <c r="A5081" s="7">
        <v>24.721834099999999</v>
      </c>
      <c r="B5081" s="7">
        <v>34.746616299999999</v>
      </c>
      <c r="C5081" s="7">
        <v>676663.2</v>
      </c>
      <c r="D5081" s="7">
        <v>2735273.77</v>
      </c>
      <c r="E5081" s="7">
        <v>458.52</v>
      </c>
      <c r="F5081" s="7">
        <v>42570.73</v>
      </c>
      <c r="G5081" s="7">
        <v>90936</v>
      </c>
      <c r="H5081" s="7">
        <f t="shared" si="126"/>
        <v>42520.73</v>
      </c>
      <c r="I5081" s="15"/>
    </row>
    <row r="5082" spans="1:9" s="8" customFormat="1" ht="21" customHeight="1" x14ac:dyDescent="0.6">
      <c r="A5082" s="7">
        <v>24.721848600000001</v>
      </c>
      <c r="B5082" s="7">
        <v>34.746595499999998</v>
      </c>
      <c r="C5082" s="7">
        <v>676661.08</v>
      </c>
      <c r="D5082" s="7">
        <v>2735275.35</v>
      </c>
      <c r="E5082" s="7">
        <v>458.42</v>
      </c>
      <c r="F5082" s="7">
        <v>42486.82</v>
      </c>
      <c r="G5082" s="7">
        <v>90938</v>
      </c>
      <c r="H5082" s="7">
        <f t="shared" si="126"/>
        <v>42436.82</v>
      </c>
      <c r="I5082" s="15"/>
    </row>
    <row r="5083" spans="1:9" s="8" customFormat="1" ht="21" customHeight="1" x14ac:dyDescent="0.6">
      <c r="A5083" s="7">
        <v>24.721868499999999</v>
      </c>
      <c r="B5083" s="7">
        <v>34.746586299999997</v>
      </c>
      <c r="C5083" s="7">
        <v>676660.11</v>
      </c>
      <c r="D5083" s="7">
        <v>2735277.54</v>
      </c>
      <c r="E5083" s="7">
        <v>458.4</v>
      </c>
      <c r="F5083" s="7">
        <v>42418.39</v>
      </c>
      <c r="G5083" s="7">
        <v>90940</v>
      </c>
      <c r="H5083" s="7">
        <f t="shared" si="126"/>
        <v>42368.39</v>
      </c>
      <c r="I5083" s="15"/>
    </row>
    <row r="5084" spans="1:9" s="8" customFormat="1" ht="21" customHeight="1" x14ac:dyDescent="0.6">
      <c r="A5084" s="7">
        <v>24.721889999999998</v>
      </c>
      <c r="B5084" s="7">
        <v>34.746575100000001</v>
      </c>
      <c r="C5084" s="7">
        <v>676658.96</v>
      </c>
      <c r="D5084" s="7">
        <v>2735279.91</v>
      </c>
      <c r="E5084" s="7">
        <v>458.05</v>
      </c>
      <c r="F5084" s="7">
        <v>42288.1</v>
      </c>
      <c r="G5084" s="7">
        <v>90942</v>
      </c>
      <c r="H5084" s="7">
        <f t="shared" si="126"/>
        <v>42238.1</v>
      </c>
      <c r="I5084" s="15"/>
    </row>
    <row r="5085" spans="1:9" s="8" customFormat="1" ht="21" customHeight="1" x14ac:dyDescent="0.6">
      <c r="A5085" s="7">
        <v>24.721912799999998</v>
      </c>
      <c r="B5085" s="7">
        <v>34.746562599999997</v>
      </c>
      <c r="C5085" s="7">
        <v>676657.65</v>
      </c>
      <c r="D5085" s="7">
        <v>2735282.42</v>
      </c>
      <c r="E5085" s="7">
        <v>457.86</v>
      </c>
      <c r="F5085" s="7">
        <v>42296.29</v>
      </c>
      <c r="G5085" s="7">
        <v>90944</v>
      </c>
      <c r="H5085" s="7">
        <f t="shared" si="126"/>
        <v>42246.29</v>
      </c>
      <c r="I5085" s="15"/>
    </row>
    <row r="5086" spans="1:9" s="8" customFormat="1" ht="21" customHeight="1" x14ac:dyDescent="0.6">
      <c r="A5086" s="7">
        <v>24.721935299999998</v>
      </c>
      <c r="B5086" s="7">
        <v>34.746535100000003</v>
      </c>
      <c r="C5086" s="7">
        <v>676654.84</v>
      </c>
      <c r="D5086" s="7">
        <v>2735284.88</v>
      </c>
      <c r="E5086" s="7">
        <v>458.25</v>
      </c>
      <c r="F5086" s="7">
        <v>42481.06</v>
      </c>
      <c r="G5086" s="7">
        <v>90946</v>
      </c>
      <c r="H5086" s="7">
        <f t="shared" si="126"/>
        <v>42431.06</v>
      </c>
      <c r="I5086" s="15"/>
    </row>
    <row r="5087" spans="1:9" s="8" customFormat="1" ht="21" customHeight="1" x14ac:dyDescent="0.6">
      <c r="A5087" s="7">
        <v>24.721948099999999</v>
      </c>
      <c r="B5087" s="7">
        <v>34.7465288</v>
      </c>
      <c r="C5087" s="7">
        <v>676654.19</v>
      </c>
      <c r="D5087" s="7">
        <v>2735286.29</v>
      </c>
      <c r="E5087" s="7">
        <v>458.62</v>
      </c>
      <c r="F5087" s="7">
        <v>42520.52</v>
      </c>
      <c r="G5087" s="7">
        <v>90948</v>
      </c>
      <c r="H5087" s="7">
        <f t="shared" si="126"/>
        <v>42470.52</v>
      </c>
      <c r="I5087" s="15"/>
    </row>
    <row r="5088" spans="1:9" s="8" customFormat="1" ht="21" customHeight="1" x14ac:dyDescent="0.6">
      <c r="A5088" s="7">
        <v>24.7219652</v>
      </c>
      <c r="B5088" s="7">
        <v>34.746520799999999</v>
      </c>
      <c r="C5088" s="7">
        <v>676653.35</v>
      </c>
      <c r="D5088" s="7">
        <v>2735288.16</v>
      </c>
      <c r="E5088" s="7">
        <v>459.12</v>
      </c>
      <c r="F5088" s="7">
        <v>42553.440000000002</v>
      </c>
      <c r="G5088" s="7">
        <v>90950</v>
      </c>
      <c r="H5088" s="7">
        <f t="shared" si="126"/>
        <v>42503.44</v>
      </c>
      <c r="I5088" s="15"/>
    </row>
    <row r="5089" spans="1:9" s="8" customFormat="1" ht="21" customHeight="1" x14ac:dyDescent="0.6">
      <c r="A5089" s="7">
        <v>24.721988799999998</v>
      </c>
      <c r="B5089" s="7">
        <v>34.746508900000002</v>
      </c>
      <c r="C5089" s="7">
        <v>676652.11</v>
      </c>
      <c r="D5089" s="7">
        <v>2735290.77</v>
      </c>
      <c r="E5089" s="7">
        <v>459.42</v>
      </c>
      <c r="F5089" s="7">
        <v>42485.68</v>
      </c>
      <c r="G5089" s="7">
        <v>90952</v>
      </c>
      <c r="H5089" s="7">
        <f t="shared" si="126"/>
        <v>42435.68</v>
      </c>
      <c r="I5089" s="15"/>
    </row>
    <row r="5090" spans="1:9" s="8" customFormat="1" ht="21" customHeight="1" x14ac:dyDescent="0.6">
      <c r="A5090" s="7">
        <v>24.722002400000001</v>
      </c>
      <c r="B5090" s="7">
        <v>34.746493399999999</v>
      </c>
      <c r="C5090" s="7">
        <v>676650.53</v>
      </c>
      <c r="D5090" s="7">
        <v>2735292.25</v>
      </c>
      <c r="E5090" s="7">
        <v>460.1</v>
      </c>
      <c r="F5090" s="7">
        <v>42334.04</v>
      </c>
      <c r="G5090" s="7">
        <v>90954</v>
      </c>
      <c r="H5090" s="7">
        <f t="shared" si="126"/>
        <v>42284.04</v>
      </c>
      <c r="I5090" s="15"/>
    </row>
    <row r="5091" spans="1:9" s="8" customFormat="1" ht="21" customHeight="1" x14ac:dyDescent="0.6">
      <c r="A5091" s="7">
        <v>24.722012500000002</v>
      </c>
      <c r="B5091" s="7">
        <v>34.7464735</v>
      </c>
      <c r="C5091" s="7">
        <v>676648.5</v>
      </c>
      <c r="D5091" s="7">
        <v>2735293.35</v>
      </c>
      <c r="E5091" s="7">
        <v>459.83</v>
      </c>
      <c r="F5091" s="7">
        <v>42225.83</v>
      </c>
      <c r="G5091" s="7">
        <v>90956</v>
      </c>
      <c r="H5091" s="7">
        <f t="shared" si="126"/>
        <v>42175.83</v>
      </c>
      <c r="I5091" s="15"/>
    </row>
    <row r="5092" spans="1:9" s="8" customFormat="1" ht="21" customHeight="1" x14ac:dyDescent="0.6">
      <c r="A5092" s="7">
        <v>24.722023700000001</v>
      </c>
      <c r="B5092" s="7">
        <v>34.746449900000002</v>
      </c>
      <c r="C5092" s="7">
        <v>676646.1</v>
      </c>
      <c r="D5092" s="7">
        <v>2735294.55</v>
      </c>
      <c r="E5092" s="7">
        <v>459.5</v>
      </c>
      <c r="F5092" s="7">
        <v>42119.01</v>
      </c>
      <c r="G5092" s="7">
        <v>90958</v>
      </c>
      <c r="H5092" s="7">
        <f t="shared" si="126"/>
        <v>42069.01</v>
      </c>
      <c r="I5092" s="15"/>
    </row>
    <row r="5093" spans="1:9" s="8" customFormat="1" ht="21" customHeight="1" x14ac:dyDescent="0.6">
      <c r="A5093" s="7">
        <v>24.722030700000001</v>
      </c>
      <c r="B5093" s="7">
        <v>34.746423399999998</v>
      </c>
      <c r="C5093" s="7">
        <v>676643.41</v>
      </c>
      <c r="D5093" s="7">
        <v>2735295.29</v>
      </c>
      <c r="E5093" s="7">
        <v>459.23</v>
      </c>
      <c r="F5093" s="7">
        <v>42115.76</v>
      </c>
      <c r="G5093" s="7">
        <v>91000</v>
      </c>
      <c r="H5093" s="7">
        <f t="shared" si="126"/>
        <v>42065.760000000002</v>
      </c>
      <c r="I5093" s="15"/>
    </row>
    <row r="5094" spans="1:9" s="8" customFormat="1" ht="21" customHeight="1" x14ac:dyDescent="0.6">
      <c r="A5094" s="7">
        <v>24.7220409</v>
      </c>
      <c r="B5094" s="7">
        <v>34.746400100000002</v>
      </c>
      <c r="C5094" s="7">
        <v>676641.03</v>
      </c>
      <c r="D5094" s="7">
        <v>2735296.4</v>
      </c>
      <c r="E5094" s="7">
        <v>459.01</v>
      </c>
      <c r="F5094" s="7">
        <v>42111.76</v>
      </c>
      <c r="G5094" s="7">
        <v>91002</v>
      </c>
      <c r="H5094" s="7">
        <f t="shared" si="126"/>
        <v>42061.760000000002</v>
      </c>
      <c r="I5094" s="15"/>
    </row>
    <row r="5095" spans="1:9" s="8" customFormat="1" ht="21" customHeight="1" x14ac:dyDescent="0.6">
      <c r="A5095" s="7">
        <v>24.7220558</v>
      </c>
      <c r="B5095" s="7">
        <v>34.746382199999999</v>
      </c>
      <c r="C5095" s="7">
        <v>676639.2</v>
      </c>
      <c r="D5095" s="7">
        <v>2735298.02</v>
      </c>
      <c r="E5095" s="7">
        <v>458.74</v>
      </c>
      <c r="F5095" s="7">
        <v>42109.7</v>
      </c>
      <c r="G5095" s="7">
        <v>91004</v>
      </c>
      <c r="H5095" s="7">
        <f t="shared" si="126"/>
        <v>42059.7</v>
      </c>
      <c r="I5095" s="15"/>
    </row>
    <row r="5096" spans="1:9" s="8" customFormat="1" ht="21" customHeight="1" x14ac:dyDescent="0.6">
      <c r="A5096" s="7">
        <v>24.722073399999999</v>
      </c>
      <c r="B5096" s="7">
        <v>34.746361399999998</v>
      </c>
      <c r="C5096" s="7">
        <v>676637.07</v>
      </c>
      <c r="D5096" s="7">
        <v>2735299.94</v>
      </c>
      <c r="E5096" s="7">
        <v>458.53</v>
      </c>
      <c r="F5096" s="7">
        <v>42165.59</v>
      </c>
      <c r="G5096" s="7">
        <v>91006</v>
      </c>
      <c r="H5096" s="7">
        <f t="shared" si="126"/>
        <v>42115.59</v>
      </c>
      <c r="I5096" s="15"/>
    </row>
    <row r="5097" spans="1:9" s="8" customFormat="1" ht="21" customHeight="1" x14ac:dyDescent="0.6">
      <c r="A5097" s="7">
        <v>24.722091500000001</v>
      </c>
      <c r="B5097" s="7">
        <v>34.746342800000001</v>
      </c>
      <c r="C5097" s="7">
        <v>676635.16</v>
      </c>
      <c r="D5097" s="7">
        <v>2735301.92</v>
      </c>
      <c r="E5097" s="7">
        <v>458.72</v>
      </c>
      <c r="F5097" s="7">
        <v>42201.93</v>
      </c>
      <c r="G5097" s="7">
        <v>91008</v>
      </c>
      <c r="H5097" s="7">
        <f t="shared" si="126"/>
        <v>42151.93</v>
      </c>
      <c r="I5097" s="15"/>
    </row>
    <row r="5098" spans="1:9" s="8" customFormat="1" ht="21" customHeight="1" x14ac:dyDescent="0.6">
      <c r="A5098" s="7">
        <v>24.722103600000001</v>
      </c>
      <c r="B5098" s="7">
        <v>34.746319900000003</v>
      </c>
      <c r="C5098" s="7">
        <v>676632.83</v>
      </c>
      <c r="D5098" s="7">
        <v>2735303.24</v>
      </c>
      <c r="E5098" s="7">
        <v>458.54</v>
      </c>
      <c r="F5098" s="7">
        <v>42230.68</v>
      </c>
      <c r="G5098" s="7">
        <v>91010</v>
      </c>
      <c r="H5098" s="7">
        <f t="shared" si="126"/>
        <v>42180.68</v>
      </c>
      <c r="I5098" s="15"/>
    </row>
    <row r="5099" spans="1:9" s="8" customFormat="1" ht="21" customHeight="1" x14ac:dyDescent="0.6">
      <c r="A5099" s="7">
        <v>24.722113700000001</v>
      </c>
      <c r="B5099" s="7">
        <v>34.746293700000003</v>
      </c>
      <c r="C5099" s="7">
        <v>676630.17</v>
      </c>
      <c r="D5099" s="7">
        <v>2735304.32</v>
      </c>
      <c r="E5099" s="7">
        <v>458.55</v>
      </c>
      <c r="F5099" s="7">
        <v>42232.56</v>
      </c>
      <c r="G5099" s="7">
        <v>91012</v>
      </c>
      <c r="H5099" s="7">
        <f t="shared" si="126"/>
        <v>42182.559999999998</v>
      </c>
      <c r="I5099" s="15"/>
    </row>
    <row r="5100" spans="1:9" s="8" customFormat="1" ht="21" customHeight="1" x14ac:dyDescent="0.6">
      <c r="A5100" s="7">
        <v>24.7221175</v>
      </c>
      <c r="B5100" s="7">
        <v>34.746267000000003</v>
      </c>
      <c r="C5100" s="7">
        <v>676627.46</v>
      </c>
      <c r="D5100" s="7">
        <v>2735304.72</v>
      </c>
      <c r="E5100" s="7">
        <v>458.26</v>
      </c>
      <c r="F5100" s="7">
        <v>42216.92</v>
      </c>
      <c r="G5100" s="7">
        <v>91014</v>
      </c>
      <c r="H5100" s="7">
        <f t="shared" si="126"/>
        <v>42166.92</v>
      </c>
      <c r="I5100" s="15"/>
    </row>
    <row r="5101" spans="1:9" s="8" customFormat="1" ht="21" customHeight="1" x14ac:dyDescent="0.6">
      <c r="A5101" s="7">
        <v>24.722126500000002</v>
      </c>
      <c r="B5101" s="7">
        <v>34.746243499999999</v>
      </c>
      <c r="C5101" s="7">
        <v>676625.07</v>
      </c>
      <c r="D5101" s="7">
        <v>2735305.68</v>
      </c>
      <c r="E5101" s="7">
        <v>458.25</v>
      </c>
      <c r="F5101" s="7">
        <v>42209.64</v>
      </c>
      <c r="G5101" s="7">
        <v>91016</v>
      </c>
      <c r="H5101" s="7">
        <f t="shared" si="126"/>
        <v>42159.64</v>
      </c>
      <c r="I5101" s="15"/>
    </row>
    <row r="5102" spans="1:9" s="8" customFormat="1" ht="21" customHeight="1" x14ac:dyDescent="0.6">
      <c r="A5102" s="7">
        <v>24.7221458</v>
      </c>
      <c r="B5102" s="7">
        <v>34.746232999999997</v>
      </c>
      <c r="C5102" s="7">
        <v>676623.98</v>
      </c>
      <c r="D5102" s="7">
        <v>2735307.8</v>
      </c>
      <c r="E5102" s="7">
        <v>458.66</v>
      </c>
      <c r="F5102" s="7">
        <v>42121.22</v>
      </c>
      <c r="G5102" s="7">
        <v>91018</v>
      </c>
      <c r="H5102" s="7">
        <f t="shared" si="126"/>
        <v>42071.22</v>
      </c>
      <c r="I5102" s="15"/>
    </row>
    <row r="5103" spans="1:9" s="8" customFormat="1" ht="21" customHeight="1" x14ac:dyDescent="0.6">
      <c r="A5103" s="7">
        <v>24.7221677</v>
      </c>
      <c r="B5103" s="7">
        <v>34.746228600000002</v>
      </c>
      <c r="C5103" s="7">
        <v>676623.51</v>
      </c>
      <c r="D5103" s="7">
        <v>2735310.22</v>
      </c>
      <c r="E5103" s="7">
        <v>458.77</v>
      </c>
      <c r="F5103" s="7">
        <v>42040.59</v>
      </c>
      <c r="G5103" s="7">
        <v>91020</v>
      </c>
      <c r="H5103" s="7">
        <f t="shared" si="126"/>
        <v>41990.59</v>
      </c>
      <c r="I5103" s="15"/>
    </row>
    <row r="5104" spans="1:9" s="8" customFormat="1" ht="21" customHeight="1" x14ac:dyDescent="0.6">
      <c r="A5104" s="7">
        <v>24.722192</v>
      </c>
      <c r="B5104" s="7">
        <v>34.746218200000001</v>
      </c>
      <c r="C5104" s="7">
        <v>676622.42</v>
      </c>
      <c r="D5104" s="7">
        <v>2735312.9</v>
      </c>
      <c r="E5104" s="7">
        <v>458.56</v>
      </c>
      <c r="F5104" s="7">
        <v>41949.32</v>
      </c>
      <c r="G5104" s="7">
        <v>91022</v>
      </c>
      <c r="H5104" s="7">
        <f t="shared" si="126"/>
        <v>41899.32</v>
      </c>
      <c r="I5104" s="15"/>
    </row>
    <row r="5105" spans="1:9" s="8" customFormat="1" ht="21" customHeight="1" x14ac:dyDescent="0.6">
      <c r="A5105" s="7">
        <v>24.722217400000002</v>
      </c>
      <c r="B5105" s="7">
        <v>34.746210900000001</v>
      </c>
      <c r="C5105" s="7">
        <v>676621.64</v>
      </c>
      <c r="D5105" s="7">
        <v>2735315.7</v>
      </c>
      <c r="E5105" s="7">
        <v>458.47</v>
      </c>
      <c r="F5105" s="7">
        <v>41919.620000000003</v>
      </c>
      <c r="G5105" s="7">
        <v>91024</v>
      </c>
      <c r="H5105" s="7">
        <f t="shared" si="126"/>
        <v>41869.620000000003</v>
      </c>
      <c r="I5105" s="15"/>
    </row>
    <row r="5106" spans="1:9" s="8" customFormat="1" ht="21" customHeight="1" x14ac:dyDescent="0.6">
      <c r="A5106" s="7">
        <v>24.722239800000001</v>
      </c>
      <c r="B5106" s="7">
        <v>34.746217199999997</v>
      </c>
      <c r="C5106" s="7">
        <v>676622.25</v>
      </c>
      <c r="D5106" s="7">
        <v>2735318.19</v>
      </c>
      <c r="E5106" s="7">
        <v>458.26</v>
      </c>
      <c r="F5106" s="7">
        <v>41903.85</v>
      </c>
      <c r="G5106" s="7">
        <v>91026</v>
      </c>
      <c r="H5106" s="7">
        <f t="shared" si="126"/>
        <v>41853.85</v>
      </c>
      <c r="I5106" s="15"/>
    </row>
    <row r="5107" spans="1:9" s="8" customFormat="1" ht="21" customHeight="1" x14ac:dyDescent="0.6">
      <c r="A5107" s="7">
        <v>24.722263999999999</v>
      </c>
      <c r="B5107" s="7">
        <v>34.7462144</v>
      </c>
      <c r="C5107" s="7">
        <v>676621.94</v>
      </c>
      <c r="D5107" s="7">
        <v>2735320.87</v>
      </c>
      <c r="E5107" s="7">
        <v>458.49</v>
      </c>
      <c r="F5107" s="7">
        <v>42008.6</v>
      </c>
      <c r="G5107" s="7">
        <v>91028</v>
      </c>
      <c r="H5107" s="7">
        <f t="shared" si="126"/>
        <v>41958.6</v>
      </c>
      <c r="I5107" s="15"/>
    </row>
    <row r="5108" spans="1:9" s="8" customFormat="1" ht="21" customHeight="1" x14ac:dyDescent="0.6">
      <c r="A5108" s="7">
        <v>24.722288500000001</v>
      </c>
      <c r="B5108" s="7">
        <v>34.746207499999997</v>
      </c>
      <c r="C5108" s="7">
        <v>676621.2</v>
      </c>
      <c r="D5108" s="7">
        <v>2735323.57</v>
      </c>
      <c r="E5108" s="7">
        <v>458.52</v>
      </c>
      <c r="F5108" s="7">
        <v>41987.51</v>
      </c>
      <c r="G5108" s="7">
        <v>91030</v>
      </c>
      <c r="H5108" s="7">
        <f t="shared" si="126"/>
        <v>41937.51</v>
      </c>
      <c r="I5108" s="15"/>
    </row>
    <row r="5109" spans="1:9" s="8" customFormat="1" ht="21" customHeight="1" x14ac:dyDescent="0.6">
      <c r="A5109" s="7">
        <v>24.722309899999999</v>
      </c>
      <c r="B5109" s="7">
        <v>34.746191500000002</v>
      </c>
      <c r="C5109" s="7">
        <v>676619.55</v>
      </c>
      <c r="D5109" s="7">
        <v>2735325.93</v>
      </c>
      <c r="E5109" s="7">
        <v>458.43</v>
      </c>
      <c r="F5109" s="7">
        <v>41929.81</v>
      </c>
      <c r="G5109" s="7">
        <v>91032</v>
      </c>
      <c r="H5109" s="7">
        <f t="shared" si="126"/>
        <v>41879.81</v>
      </c>
      <c r="I5109" s="15"/>
    </row>
    <row r="5110" spans="1:9" s="8" customFormat="1" ht="21" customHeight="1" x14ac:dyDescent="0.6">
      <c r="A5110" s="7">
        <v>24.7223282</v>
      </c>
      <c r="B5110" s="7">
        <v>34.7461725</v>
      </c>
      <c r="C5110" s="7">
        <v>676617.6</v>
      </c>
      <c r="D5110" s="7">
        <v>2735327.92</v>
      </c>
      <c r="E5110" s="7">
        <v>458.27</v>
      </c>
      <c r="F5110" s="7">
        <v>41920.449999999997</v>
      </c>
      <c r="G5110" s="7">
        <v>91034</v>
      </c>
      <c r="H5110" s="7">
        <f t="shared" si="126"/>
        <v>41870.449999999997</v>
      </c>
      <c r="I5110" s="15"/>
    </row>
    <row r="5111" spans="1:9" s="8" customFormat="1" ht="21" customHeight="1" x14ac:dyDescent="0.6">
      <c r="A5111" s="7">
        <v>24.722345300000001</v>
      </c>
      <c r="B5111" s="7">
        <v>34.746148599999998</v>
      </c>
      <c r="C5111" s="7">
        <v>676615.16</v>
      </c>
      <c r="D5111" s="7">
        <v>2735329.79</v>
      </c>
      <c r="E5111" s="7">
        <v>458.15</v>
      </c>
      <c r="F5111" s="7">
        <v>41959.39</v>
      </c>
      <c r="G5111" s="7">
        <v>91036</v>
      </c>
      <c r="H5111" s="7">
        <f t="shared" si="126"/>
        <v>41909.39</v>
      </c>
      <c r="I5111" s="15"/>
    </row>
    <row r="5112" spans="1:9" s="8" customFormat="1" ht="21" customHeight="1" x14ac:dyDescent="0.6">
      <c r="A5112" s="7">
        <v>24.722361599999999</v>
      </c>
      <c r="B5112" s="7">
        <v>34.746125800000002</v>
      </c>
      <c r="C5112" s="7">
        <v>676612.83</v>
      </c>
      <c r="D5112" s="7">
        <v>2735331.57</v>
      </c>
      <c r="E5112" s="7">
        <v>458.09</v>
      </c>
      <c r="F5112" s="7">
        <v>41959.01</v>
      </c>
      <c r="G5112" s="7">
        <v>91038</v>
      </c>
      <c r="H5112" s="7">
        <f t="shared" si="126"/>
        <v>41909.01</v>
      </c>
      <c r="I5112" s="15"/>
    </row>
    <row r="5113" spans="1:9" s="8" customFormat="1" ht="21" customHeight="1" x14ac:dyDescent="0.6">
      <c r="A5113" s="7">
        <v>24.722380999999999</v>
      </c>
      <c r="B5113" s="7">
        <v>34.7461062</v>
      </c>
      <c r="C5113" s="7">
        <v>676610.82</v>
      </c>
      <c r="D5113" s="7">
        <v>2735333.69</v>
      </c>
      <c r="E5113" s="7">
        <v>458.09</v>
      </c>
      <c r="F5113" s="7">
        <v>41902.21</v>
      </c>
      <c r="G5113" s="7">
        <v>91040</v>
      </c>
      <c r="H5113" s="7">
        <f t="shared" si="126"/>
        <v>41852.21</v>
      </c>
      <c r="I5113" s="15"/>
    </row>
    <row r="5114" spans="1:9" s="8" customFormat="1" ht="21" customHeight="1" x14ac:dyDescent="0.6">
      <c r="A5114" s="7">
        <v>24.722402299999999</v>
      </c>
      <c r="B5114" s="7">
        <v>34.746087000000003</v>
      </c>
      <c r="C5114" s="7">
        <v>676608.85</v>
      </c>
      <c r="D5114" s="7">
        <v>2735336.02</v>
      </c>
      <c r="E5114" s="7">
        <v>457.87</v>
      </c>
      <c r="F5114" s="7">
        <v>41913.129999999997</v>
      </c>
      <c r="G5114" s="7">
        <v>91042</v>
      </c>
      <c r="H5114" s="7">
        <f t="shared" si="126"/>
        <v>41863.129999999997</v>
      </c>
      <c r="I5114" s="15"/>
    </row>
    <row r="5115" spans="1:9" s="8" customFormat="1" ht="21" customHeight="1" x14ac:dyDescent="0.6">
      <c r="A5115" s="7">
        <v>24.7224222</v>
      </c>
      <c r="B5115" s="7">
        <v>34.746066200000001</v>
      </c>
      <c r="C5115" s="7">
        <v>676606.72</v>
      </c>
      <c r="D5115" s="7">
        <v>2735338.2</v>
      </c>
      <c r="E5115" s="7">
        <v>457.6</v>
      </c>
      <c r="F5115" s="7">
        <v>41898.959999999999</v>
      </c>
      <c r="G5115" s="7">
        <v>91044</v>
      </c>
      <c r="H5115" s="7">
        <f t="shared" si="126"/>
        <v>41848.959999999999</v>
      </c>
      <c r="I5115" s="15"/>
    </row>
    <row r="5116" spans="1:9" s="8" customFormat="1" ht="21" customHeight="1" x14ac:dyDescent="0.6">
      <c r="A5116" s="7">
        <v>24.722441700000001</v>
      </c>
      <c r="B5116" s="7">
        <v>34.746051299999998</v>
      </c>
      <c r="C5116" s="7">
        <v>676605.18</v>
      </c>
      <c r="D5116" s="7">
        <v>2735340.34</v>
      </c>
      <c r="E5116" s="7">
        <v>457.37</v>
      </c>
      <c r="F5116" s="7">
        <v>41910.25</v>
      </c>
      <c r="G5116" s="7">
        <v>91046</v>
      </c>
      <c r="H5116" s="7">
        <f t="shared" si="126"/>
        <v>41860.25</v>
      </c>
      <c r="I5116" s="15"/>
    </row>
    <row r="5117" spans="1:9" s="8" customFormat="1" ht="21" customHeight="1" x14ac:dyDescent="0.6">
      <c r="A5117" s="7">
        <v>24.722463000000001</v>
      </c>
      <c r="B5117" s="7">
        <v>34.7460351</v>
      </c>
      <c r="C5117" s="7">
        <v>676603.51</v>
      </c>
      <c r="D5117" s="7">
        <v>2735342.68</v>
      </c>
      <c r="E5117" s="7">
        <v>457.07</v>
      </c>
      <c r="F5117" s="7">
        <v>41901.9</v>
      </c>
      <c r="G5117" s="7">
        <v>91048</v>
      </c>
      <c r="H5117" s="7">
        <f t="shared" si="126"/>
        <v>41851.9</v>
      </c>
      <c r="I5117" s="15"/>
    </row>
    <row r="5118" spans="1:9" s="8" customFormat="1" ht="21" customHeight="1" x14ac:dyDescent="0.6">
      <c r="A5118" s="7">
        <v>24.7224827</v>
      </c>
      <c r="B5118" s="7">
        <v>34.746015900000003</v>
      </c>
      <c r="C5118" s="7">
        <v>676601.55</v>
      </c>
      <c r="D5118" s="7">
        <v>2735344.84</v>
      </c>
      <c r="E5118" s="7">
        <v>456.89</v>
      </c>
      <c r="F5118" s="7">
        <v>41938.949999999997</v>
      </c>
      <c r="G5118" s="7">
        <v>91050</v>
      </c>
      <c r="H5118" s="7">
        <f t="shared" si="126"/>
        <v>41888.949999999997</v>
      </c>
      <c r="I5118" s="15"/>
    </row>
    <row r="5119" spans="1:9" s="8" customFormat="1" ht="21" customHeight="1" x14ac:dyDescent="0.6">
      <c r="A5119" s="7">
        <v>24.722503400000001</v>
      </c>
      <c r="B5119" s="7">
        <v>34.745995200000003</v>
      </c>
      <c r="C5119" s="7">
        <v>676599.42</v>
      </c>
      <c r="D5119" s="7">
        <v>2735347.11</v>
      </c>
      <c r="E5119" s="7">
        <v>456.82</v>
      </c>
      <c r="F5119" s="7">
        <v>42001.09</v>
      </c>
      <c r="G5119" s="7">
        <v>91052</v>
      </c>
      <c r="H5119" s="7">
        <f t="shared" si="126"/>
        <v>41951.09</v>
      </c>
      <c r="I5119" s="15"/>
    </row>
    <row r="5120" spans="1:9" s="8" customFormat="1" ht="21" customHeight="1" x14ac:dyDescent="0.6">
      <c r="A5120" s="7">
        <v>24.722521100000002</v>
      </c>
      <c r="B5120" s="7">
        <v>34.745975299999998</v>
      </c>
      <c r="C5120" s="7">
        <v>676597.38</v>
      </c>
      <c r="D5120" s="7">
        <v>2735349.03</v>
      </c>
      <c r="E5120" s="7">
        <v>456.96</v>
      </c>
      <c r="F5120" s="7">
        <v>42084.3</v>
      </c>
      <c r="G5120" s="7">
        <v>91054</v>
      </c>
      <c r="H5120" s="7">
        <f t="shared" si="126"/>
        <v>42034.3</v>
      </c>
      <c r="I5120" s="15"/>
    </row>
    <row r="5121" spans="1:9" s="8" customFormat="1" ht="21" customHeight="1" x14ac:dyDescent="0.6">
      <c r="A5121" s="7">
        <v>24.722539699999999</v>
      </c>
      <c r="B5121" s="7">
        <v>34.745957099999998</v>
      </c>
      <c r="C5121" s="7">
        <v>676595.52</v>
      </c>
      <c r="D5121" s="7">
        <v>2735351.08</v>
      </c>
      <c r="E5121" s="7">
        <v>457.1</v>
      </c>
      <c r="F5121" s="7">
        <v>42134.239999999998</v>
      </c>
      <c r="G5121" s="7">
        <v>91056</v>
      </c>
      <c r="H5121" s="7">
        <f t="shared" si="126"/>
        <v>42084.24</v>
      </c>
      <c r="I5121" s="15"/>
    </row>
    <row r="5122" spans="1:9" s="8" customFormat="1" ht="21" customHeight="1" x14ac:dyDescent="0.6">
      <c r="A5122" s="7">
        <v>24.722556300000001</v>
      </c>
      <c r="B5122" s="7">
        <v>34.7459372</v>
      </c>
      <c r="C5122" s="7">
        <v>676593.48</v>
      </c>
      <c r="D5122" s="7">
        <v>2735352.88</v>
      </c>
      <c r="E5122" s="7">
        <v>457.52</v>
      </c>
      <c r="F5122" s="7">
        <v>42218.71</v>
      </c>
      <c r="G5122" s="7">
        <v>91058</v>
      </c>
      <c r="H5122" s="7">
        <f t="shared" si="126"/>
        <v>42168.71</v>
      </c>
      <c r="I5122" s="15"/>
    </row>
    <row r="5123" spans="1:9" s="8" customFormat="1" ht="21" customHeight="1" x14ac:dyDescent="0.6">
      <c r="A5123" s="7">
        <v>24.722574699999999</v>
      </c>
      <c r="B5123" s="7">
        <v>34.745921099999997</v>
      </c>
      <c r="C5123" s="7">
        <v>676591.83</v>
      </c>
      <c r="D5123" s="7">
        <v>2735354.9</v>
      </c>
      <c r="E5123" s="7">
        <v>457.95</v>
      </c>
      <c r="F5123" s="7">
        <v>42271.39</v>
      </c>
      <c r="G5123" s="7">
        <v>91100</v>
      </c>
      <c r="H5123" s="7">
        <f t="shared" si="126"/>
        <v>42221.39</v>
      </c>
      <c r="I5123" s="15"/>
    </row>
    <row r="5124" spans="1:9" s="8" customFormat="1" ht="21" customHeight="1" x14ac:dyDescent="0.6">
      <c r="A5124" s="7">
        <v>24.722594000000001</v>
      </c>
      <c r="B5124" s="7">
        <v>34.7459074</v>
      </c>
      <c r="C5124" s="7">
        <v>676590.4</v>
      </c>
      <c r="D5124" s="7">
        <v>2735357.02</v>
      </c>
      <c r="E5124" s="7">
        <v>458.26</v>
      </c>
      <c r="F5124" s="7">
        <v>42274.1</v>
      </c>
      <c r="G5124" s="7">
        <v>91102</v>
      </c>
      <c r="H5124" s="7">
        <f t="shared" si="126"/>
        <v>42224.1</v>
      </c>
      <c r="I5124" s="15"/>
    </row>
    <row r="5125" spans="1:9" s="8" customFormat="1" ht="21" customHeight="1" x14ac:dyDescent="0.6">
      <c r="A5125" s="7">
        <v>24.722611100000002</v>
      </c>
      <c r="B5125" s="7">
        <v>34.7458885</v>
      </c>
      <c r="C5125" s="7">
        <v>676588.47</v>
      </c>
      <c r="D5125" s="7">
        <v>2735358.89</v>
      </c>
      <c r="E5125" s="7">
        <v>458.68</v>
      </c>
      <c r="F5125" s="7">
        <v>42313.18</v>
      </c>
      <c r="G5125" s="7">
        <v>91104</v>
      </c>
      <c r="H5125" s="7">
        <f t="shared" si="126"/>
        <v>42263.18</v>
      </c>
      <c r="I5125" s="15"/>
    </row>
    <row r="5126" spans="1:9" s="8" customFormat="1" ht="21" customHeight="1" x14ac:dyDescent="0.6">
      <c r="A5126" s="7">
        <v>24.722626200000001</v>
      </c>
      <c r="B5126" s="7">
        <v>34.745868700000003</v>
      </c>
      <c r="C5126" s="7">
        <v>676586.44</v>
      </c>
      <c r="D5126" s="7">
        <v>2735360.54</v>
      </c>
      <c r="E5126" s="7">
        <v>458.78</v>
      </c>
      <c r="F5126" s="7">
        <v>42260.74</v>
      </c>
      <c r="G5126" s="7">
        <v>91106</v>
      </c>
      <c r="H5126" s="7">
        <f t="shared" si="126"/>
        <v>42210.74</v>
      </c>
      <c r="I5126" s="15"/>
    </row>
    <row r="5127" spans="1:9" s="8" customFormat="1" ht="21" customHeight="1" x14ac:dyDescent="0.6">
      <c r="A5127" s="7">
        <v>24.722633999999999</v>
      </c>
      <c r="B5127" s="7">
        <v>34.745851399999999</v>
      </c>
      <c r="C5127" s="7">
        <v>676584.69</v>
      </c>
      <c r="D5127" s="7">
        <v>2735361.38</v>
      </c>
      <c r="E5127" s="7">
        <v>458.62</v>
      </c>
      <c r="F5127" s="7">
        <v>42227.72</v>
      </c>
      <c r="G5127" s="7">
        <v>91108</v>
      </c>
      <c r="H5127" s="7">
        <f t="shared" si="126"/>
        <v>42177.72</v>
      </c>
      <c r="I5127" s="15"/>
    </row>
    <row r="5128" spans="1:9" s="8" customFormat="1" ht="21" customHeight="1" x14ac:dyDescent="0.6">
      <c r="A5128" s="7">
        <v>24.7226465</v>
      </c>
      <c r="B5128" s="7">
        <v>34.745843100000002</v>
      </c>
      <c r="C5128" s="7">
        <v>676583.83</v>
      </c>
      <c r="D5128" s="7">
        <v>2735362.75</v>
      </c>
      <c r="E5128" s="7">
        <v>458.84</v>
      </c>
      <c r="F5128" s="7">
        <v>42222.31</v>
      </c>
      <c r="G5128" s="7">
        <v>91110</v>
      </c>
      <c r="H5128" s="7">
        <f t="shared" si="126"/>
        <v>42172.31</v>
      </c>
      <c r="I5128" s="15"/>
    </row>
    <row r="5129" spans="1:9" s="8" customFormat="1" ht="21" customHeight="1" x14ac:dyDescent="0.6">
      <c r="A5129" s="7">
        <v>24.722663499999999</v>
      </c>
      <c r="B5129" s="7">
        <v>34.745824900000002</v>
      </c>
      <c r="C5129" s="7">
        <v>676581.97</v>
      </c>
      <c r="D5129" s="7">
        <v>2735364.62</v>
      </c>
      <c r="E5129" s="7">
        <v>459.12</v>
      </c>
      <c r="F5129" s="7">
        <v>42202.17</v>
      </c>
      <c r="G5129" s="7">
        <v>91112</v>
      </c>
      <c r="H5129" s="7">
        <f t="shared" si="126"/>
        <v>42152.17</v>
      </c>
      <c r="I5129" s="15"/>
    </row>
    <row r="5130" spans="1:9" s="8" customFormat="1" ht="21" customHeight="1" x14ac:dyDescent="0.6">
      <c r="A5130" s="7">
        <v>24.722681000000001</v>
      </c>
      <c r="B5130" s="7">
        <v>34.745806100000003</v>
      </c>
      <c r="C5130" s="7">
        <v>676580.04</v>
      </c>
      <c r="D5130" s="7">
        <v>2735366.53</v>
      </c>
      <c r="E5130" s="7">
        <v>459.18</v>
      </c>
      <c r="F5130" s="7">
        <v>42196.74</v>
      </c>
      <c r="G5130" s="7">
        <v>91114</v>
      </c>
      <c r="H5130" s="7">
        <f t="shared" si="126"/>
        <v>42146.74</v>
      </c>
      <c r="I5130" s="15"/>
    </row>
    <row r="5131" spans="1:9" s="8" customFormat="1" ht="21" customHeight="1" x14ac:dyDescent="0.6">
      <c r="A5131" s="7">
        <v>24.722697400000001</v>
      </c>
      <c r="B5131" s="7">
        <v>34.745786199999998</v>
      </c>
      <c r="C5131" s="7">
        <v>676578</v>
      </c>
      <c r="D5131" s="7">
        <v>2735368.32</v>
      </c>
      <c r="E5131" s="7">
        <v>459.09</v>
      </c>
      <c r="F5131" s="7">
        <v>42180.29</v>
      </c>
      <c r="G5131" s="7">
        <v>91116</v>
      </c>
      <c r="H5131" s="7">
        <f t="shared" si="126"/>
        <v>42130.29</v>
      </c>
      <c r="I5131" s="15"/>
    </row>
    <row r="5132" spans="1:9" s="8" customFormat="1" ht="21" customHeight="1" x14ac:dyDescent="0.6">
      <c r="A5132" s="7">
        <v>24.7227104</v>
      </c>
      <c r="B5132" s="7">
        <v>34.745766000000003</v>
      </c>
      <c r="C5132" s="7">
        <v>676575.94</v>
      </c>
      <c r="D5132" s="7">
        <v>2735369.73</v>
      </c>
      <c r="E5132" s="7">
        <v>458.98</v>
      </c>
      <c r="F5132" s="7">
        <v>42092.23</v>
      </c>
      <c r="G5132" s="7">
        <v>91118</v>
      </c>
      <c r="H5132" s="7">
        <f t="shared" si="126"/>
        <v>42042.23</v>
      </c>
      <c r="I5132" s="15"/>
    </row>
    <row r="5133" spans="1:9" s="8" customFormat="1" ht="21" customHeight="1" x14ac:dyDescent="0.6">
      <c r="A5133" s="7">
        <v>24.7227207</v>
      </c>
      <c r="B5133" s="7">
        <v>34.745746599999997</v>
      </c>
      <c r="C5133" s="7">
        <v>676573.96</v>
      </c>
      <c r="D5133" s="7">
        <v>2735370.85</v>
      </c>
      <c r="E5133" s="7">
        <v>458.73</v>
      </c>
      <c r="F5133" s="7">
        <v>41962.879999999997</v>
      </c>
      <c r="G5133" s="7">
        <v>91120</v>
      </c>
      <c r="H5133" s="7">
        <f t="shared" si="126"/>
        <v>41912.879999999997</v>
      </c>
      <c r="I5133" s="15"/>
    </row>
    <row r="5134" spans="1:9" s="8" customFormat="1" ht="21" customHeight="1" x14ac:dyDescent="0.6">
      <c r="A5134" s="7">
        <v>24.722727599999999</v>
      </c>
      <c r="B5134" s="7">
        <v>34.7457232</v>
      </c>
      <c r="C5134" s="7">
        <v>676571.58</v>
      </c>
      <c r="D5134" s="7">
        <v>2735371.58</v>
      </c>
      <c r="E5134" s="7">
        <v>458.13</v>
      </c>
      <c r="F5134" s="7">
        <v>41790.49</v>
      </c>
      <c r="G5134" s="7">
        <v>91122</v>
      </c>
      <c r="H5134" s="7">
        <f t="shared" si="126"/>
        <v>41740.49</v>
      </c>
      <c r="I5134" s="15"/>
    </row>
    <row r="5135" spans="1:9" s="8" customFormat="1" ht="21" customHeight="1" x14ac:dyDescent="0.6">
      <c r="A5135" s="7">
        <v>24.722730299999998</v>
      </c>
      <c r="B5135" s="7">
        <v>34.745697999999997</v>
      </c>
      <c r="C5135" s="7">
        <v>676569.03</v>
      </c>
      <c r="D5135" s="7">
        <v>2735371.85</v>
      </c>
      <c r="E5135" s="7">
        <v>457.28</v>
      </c>
      <c r="F5135" s="7">
        <v>41708.300000000003</v>
      </c>
      <c r="G5135" s="7">
        <v>91124</v>
      </c>
      <c r="H5135" s="7">
        <f t="shared" si="126"/>
        <v>41658.300000000003</v>
      </c>
      <c r="I5135" s="15"/>
    </row>
    <row r="5136" spans="1:9" s="8" customFormat="1" ht="21" customHeight="1" x14ac:dyDescent="0.6">
      <c r="A5136" s="7">
        <v>24.722726999999999</v>
      </c>
      <c r="B5136" s="7">
        <v>34.745669999999997</v>
      </c>
      <c r="C5136" s="7">
        <v>676566.21</v>
      </c>
      <c r="D5136" s="7">
        <v>2735371.45</v>
      </c>
      <c r="E5136" s="7">
        <v>456.61</v>
      </c>
      <c r="F5136" s="7">
        <v>41708.839999999997</v>
      </c>
      <c r="G5136" s="7">
        <v>91126</v>
      </c>
      <c r="H5136" s="7">
        <f t="shared" si="126"/>
        <v>41658.839999999997</v>
      </c>
      <c r="I5136" s="15"/>
    </row>
    <row r="5137" spans="1:9" s="8" customFormat="1" ht="21" customHeight="1" x14ac:dyDescent="0.6">
      <c r="A5137" s="7">
        <v>24.722727599999999</v>
      </c>
      <c r="B5137" s="7">
        <v>34.745644800000001</v>
      </c>
      <c r="C5137" s="7">
        <v>676563.66</v>
      </c>
      <c r="D5137" s="7">
        <v>2735371.49</v>
      </c>
      <c r="E5137" s="7">
        <v>455.87</v>
      </c>
      <c r="F5137" s="7">
        <v>41727.83</v>
      </c>
      <c r="G5137" s="7">
        <v>91128</v>
      </c>
      <c r="H5137" s="7">
        <f t="shared" si="126"/>
        <v>41677.83</v>
      </c>
      <c r="I5137" s="15"/>
    </row>
    <row r="5138" spans="1:9" s="8" customFormat="1" ht="21" customHeight="1" x14ac:dyDescent="0.6">
      <c r="A5138" s="7">
        <v>24.722725700000002</v>
      </c>
      <c r="B5138" s="7">
        <v>34.745618999999998</v>
      </c>
      <c r="C5138" s="7">
        <v>676561.05</v>
      </c>
      <c r="D5138" s="7">
        <v>2735371.24</v>
      </c>
      <c r="E5138" s="7">
        <v>455.21</v>
      </c>
      <c r="F5138" s="7">
        <v>41747.440000000002</v>
      </c>
      <c r="G5138" s="7">
        <v>91130</v>
      </c>
      <c r="H5138" s="7">
        <f t="shared" si="126"/>
        <v>41697.440000000002</v>
      </c>
      <c r="I5138" s="15"/>
    </row>
    <row r="5139" spans="1:9" s="8" customFormat="1" ht="21" customHeight="1" x14ac:dyDescent="0.6">
      <c r="A5139" s="7">
        <v>24.722725400000002</v>
      </c>
      <c r="B5139" s="7">
        <v>34.745590900000003</v>
      </c>
      <c r="C5139" s="7">
        <v>676558.21</v>
      </c>
      <c r="D5139" s="7">
        <v>2735371.16</v>
      </c>
      <c r="E5139" s="7">
        <v>454.41</v>
      </c>
      <c r="F5139" s="7">
        <v>41774.910000000003</v>
      </c>
      <c r="G5139" s="7">
        <v>91132</v>
      </c>
      <c r="H5139" s="7">
        <f t="shared" si="126"/>
        <v>41724.910000000003</v>
      </c>
      <c r="I5139" s="15"/>
    </row>
    <row r="5140" spans="1:9" s="8" customFormat="1" ht="21" customHeight="1" x14ac:dyDescent="0.6">
      <c r="A5140" s="7">
        <v>24.722729000000001</v>
      </c>
      <c r="B5140" s="7">
        <v>34.745565900000003</v>
      </c>
      <c r="C5140" s="7">
        <v>676555.67</v>
      </c>
      <c r="D5140" s="7">
        <v>2735371.53</v>
      </c>
      <c r="E5140" s="7">
        <v>454.07</v>
      </c>
      <c r="F5140" s="7">
        <v>41785.24</v>
      </c>
      <c r="G5140" s="7">
        <v>91134</v>
      </c>
      <c r="H5140" s="7">
        <f t="shared" ref="H5140:H5203" si="127">SUM(F5140-50)</f>
        <v>41735.24</v>
      </c>
      <c r="I5140" s="15"/>
    </row>
    <row r="5141" spans="1:9" s="8" customFormat="1" ht="21" customHeight="1" x14ac:dyDescent="0.6">
      <c r="A5141" s="7">
        <v>24.722732700000002</v>
      </c>
      <c r="B5141" s="7">
        <v>34.7455377</v>
      </c>
      <c r="C5141" s="7">
        <v>676552.81</v>
      </c>
      <c r="D5141" s="7">
        <v>2735371.91</v>
      </c>
      <c r="E5141" s="7">
        <v>453.68</v>
      </c>
      <c r="F5141" s="7">
        <v>41777.160000000003</v>
      </c>
      <c r="G5141" s="7">
        <v>91136</v>
      </c>
      <c r="H5141" s="7">
        <f t="shared" si="127"/>
        <v>41727.160000000003</v>
      </c>
      <c r="I5141" s="15"/>
    </row>
    <row r="5142" spans="1:9" s="8" customFormat="1" ht="21" customHeight="1" x14ac:dyDescent="0.6">
      <c r="A5142" s="7">
        <v>24.722728499999999</v>
      </c>
      <c r="B5142" s="7">
        <v>34.745510400000001</v>
      </c>
      <c r="C5142" s="7">
        <v>676550.05</v>
      </c>
      <c r="D5142" s="7">
        <v>2735371.4</v>
      </c>
      <c r="E5142" s="7">
        <v>453.4</v>
      </c>
      <c r="F5142" s="7">
        <v>41771.89</v>
      </c>
      <c r="G5142" s="7">
        <v>91138</v>
      </c>
      <c r="H5142" s="7">
        <f t="shared" si="127"/>
        <v>41721.89</v>
      </c>
      <c r="I5142" s="15"/>
    </row>
    <row r="5143" spans="1:9" s="8" customFormat="1" ht="21" customHeight="1" x14ac:dyDescent="0.6">
      <c r="A5143" s="7">
        <v>24.722724700000001</v>
      </c>
      <c r="B5143" s="7">
        <v>34.745483900000004</v>
      </c>
      <c r="C5143" s="7">
        <v>676547.38</v>
      </c>
      <c r="D5143" s="7">
        <v>2735370.95</v>
      </c>
      <c r="E5143" s="7">
        <v>453.16</v>
      </c>
      <c r="F5143" s="7">
        <v>41761.18</v>
      </c>
      <c r="G5143" s="7">
        <v>91140</v>
      </c>
      <c r="H5143" s="7">
        <f t="shared" si="127"/>
        <v>41711.18</v>
      </c>
      <c r="I5143" s="15"/>
    </row>
    <row r="5144" spans="1:9" s="8" customFormat="1" ht="21" customHeight="1" x14ac:dyDescent="0.6">
      <c r="A5144" s="7">
        <v>24.7227234</v>
      </c>
      <c r="B5144" s="7">
        <v>34.745456400000002</v>
      </c>
      <c r="C5144" s="7">
        <v>676544.6</v>
      </c>
      <c r="D5144" s="7">
        <v>2735370.77</v>
      </c>
      <c r="E5144" s="7">
        <v>452.91</v>
      </c>
      <c r="F5144" s="7">
        <v>41731.22</v>
      </c>
      <c r="G5144" s="7">
        <v>91142</v>
      </c>
      <c r="H5144" s="7">
        <f t="shared" si="127"/>
        <v>41681.22</v>
      </c>
      <c r="I5144" s="15"/>
    </row>
    <row r="5145" spans="1:9" s="8" customFormat="1" ht="21" customHeight="1" x14ac:dyDescent="0.6">
      <c r="A5145" s="7">
        <v>24.7227219</v>
      </c>
      <c r="B5145" s="7">
        <v>34.745428500000003</v>
      </c>
      <c r="C5145" s="7">
        <v>676541.78</v>
      </c>
      <c r="D5145" s="7">
        <v>2735370.58</v>
      </c>
      <c r="E5145" s="7">
        <v>452.66</v>
      </c>
      <c r="F5145" s="7">
        <v>41707.57</v>
      </c>
      <c r="G5145" s="7">
        <v>91144</v>
      </c>
      <c r="H5145" s="7">
        <f t="shared" si="127"/>
        <v>41657.57</v>
      </c>
      <c r="I5145" s="15"/>
    </row>
    <row r="5146" spans="1:9" s="8" customFormat="1" ht="21" customHeight="1" x14ac:dyDescent="0.6">
      <c r="A5146" s="7">
        <v>24.7227189</v>
      </c>
      <c r="B5146" s="7">
        <v>34.745400099999998</v>
      </c>
      <c r="C5146" s="7">
        <v>676538.91</v>
      </c>
      <c r="D5146" s="7">
        <v>2735370.2</v>
      </c>
      <c r="E5146" s="7">
        <v>452.5</v>
      </c>
      <c r="F5146" s="7">
        <v>41747.61</v>
      </c>
      <c r="G5146" s="7">
        <v>91146</v>
      </c>
      <c r="H5146" s="7">
        <f t="shared" si="127"/>
        <v>41697.61</v>
      </c>
      <c r="I5146" s="15"/>
    </row>
    <row r="5147" spans="1:9" s="8" customFormat="1" ht="21" customHeight="1" x14ac:dyDescent="0.6">
      <c r="A5147" s="7">
        <v>24.7227192</v>
      </c>
      <c r="B5147" s="7">
        <v>34.745372099999997</v>
      </c>
      <c r="C5147" s="7">
        <v>676536.08</v>
      </c>
      <c r="D5147" s="7">
        <v>2735370.2</v>
      </c>
      <c r="E5147" s="7">
        <v>452.12</v>
      </c>
      <c r="F5147" s="7">
        <v>41801.53</v>
      </c>
      <c r="G5147" s="7">
        <v>91148</v>
      </c>
      <c r="H5147" s="7">
        <f t="shared" si="127"/>
        <v>41751.53</v>
      </c>
      <c r="I5147" s="15"/>
    </row>
    <row r="5148" spans="1:9" s="8" customFormat="1" ht="21" customHeight="1" x14ac:dyDescent="0.6">
      <c r="A5148" s="7">
        <v>24.722733900000001</v>
      </c>
      <c r="B5148" s="7">
        <v>34.745348399999997</v>
      </c>
      <c r="C5148" s="7">
        <v>676533.66</v>
      </c>
      <c r="D5148" s="7">
        <v>2735371.8</v>
      </c>
      <c r="E5148" s="7">
        <v>451.7</v>
      </c>
      <c r="F5148" s="7">
        <v>41776.620000000003</v>
      </c>
      <c r="G5148" s="7">
        <v>91150</v>
      </c>
      <c r="H5148" s="7">
        <f t="shared" si="127"/>
        <v>41726.620000000003</v>
      </c>
      <c r="I5148" s="15"/>
    </row>
    <row r="5149" spans="1:9" s="8" customFormat="1" ht="21" customHeight="1" x14ac:dyDescent="0.6">
      <c r="A5149" s="7">
        <v>24.722748200000002</v>
      </c>
      <c r="B5149" s="7">
        <v>34.745323200000001</v>
      </c>
      <c r="C5149" s="7">
        <v>676531.09</v>
      </c>
      <c r="D5149" s="7">
        <v>2735373.35</v>
      </c>
      <c r="E5149" s="7">
        <v>451.51</v>
      </c>
      <c r="F5149" s="7">
        <v>41738.699999999997</v>
      </c>
      <c r="G5149" s="7">
        <v>91152</v>
      </c>
      <c r="H5149" s="7">
        <f t="shared" si="127"/>
        <v>41688.699999999997</v>
      </c>
      <c r="I5149" s="15"/>
    </row>
    <row r="5150" spans="1:9" s="8" customFormat="1" ht="21" customHeight="1" x14ac:dyDescent="0.6">
      <c r="A5150" s="7">
        <v>24.722761899999998</v>
      </c>
      <c r="B5150" s="7">
        <v>34.745303800000002</v>
      </c>
      <c r="C5150" s="7">
        <v>676529.1</v>
      </c>
      <c r="D5150" s="7">
        <v>2735374.85</v>
      </c>
      <c r="E5150" s="7">
        <v>450.98</v>
      </c>
      <c r="F5150" s="7">
        <v>41696.629999999997</v>
      </c>
      <c r="G5150" s="7">
        <v>91154</v>
      </c>
      <c r="H5150" s="7">
        <f t="shared" si="127"/>
        <v>41646.629999999997</v>
      </c>
      <c r="I5150" s="15"/>
    </row>
    <row r="5151" spans="1:9" s="8" customFormat="1" ht="21" customHeight="1" x14ac:dyDescent="0.6">
      <c r="A5151" s="7">
        <v>24.722778699999999</v>
      </c>
      <c r="B5151" s="7">
        <v>34.745283899999997</v>
      </c>
      <c r="C5151" s="7">
        <v>676527.07</v>
      </c>
      <c r="D5151" s="7">
        <v>2735376.67</v>
      </c>
      <c r="E5151" s="7">
        <v>450.1</v>
      </c>
      <c r="F5151" s="7">
        <v>41702.22</v>
      </c>
      <c r="G5151" s="7">
        <v>91156</v>
      </c>
      <c r="H5151" s="7">
        <f t="shared" si="127"/>
        <v>41652.22</v>
      </c>
      <c r="I5151" s="15"/>
    </row>
    <row r="5152" spans="1:9" s="8" customFormat="1" ht="21" customHeight="1" x14ac:dyDescent="0.6">
      <c r="A5152" s="7">
        <v>24.722795999999999</v>
      </c>
      <c r="B5152" s="7">
        <v>34.745262099999998</v>
      </c>
      <c r="C5152" s="7">
        <v>676524.84</v>
      </c>
      <c r="D5152" s="7">
        <v>2735378.57</v>
      </c>
      <c r="E5152" s="7">
        <v>449.56</v>
      </c>
      <c r="F5152" s="7">
        <v>41837.03</v>
      </c>
      <c r="G5152" s="7">
        <v>91158</v>
      </c>
      <c r="H5152" s="7">
        <f t="shared" si="127"/>
        <v>41787.03</v>
      </c>
      <c r="I5152" s="15"/>
    </row>
    <row r="5153" spans="1:9" s="8" customFormat="1" ht="21" customHeight="1" x14ac:dyDescent="0.6">
      <c r="A5153" s="7">
        <v>24.7228162</v>
      </c>
      <c r="B5153" s="7">
        <v>34.745246600000002</v>
      </c>
      <c r="C5153" s="7">
        <v>676523.25</v>
      </c>
      <c r="D5153" s="7">
        <v>2735380.78</v>
      </c>
      <c r="E5153" s="7">
        <v>448.91</v>
      </c>
      <c r="F5153" s="7">
        <v>41916.54</v>
      </c>
      <c r="G5153" s="7">
        <v>91200</v>
      </c>
      <c r="H5153" s="7">
        <f t="shared" si="127"/>
        <v>41866.54</v>
      </c>
      <c r="I5153" s="15"/>
    </row>
    <row r="5154" spans="1:9" s="8" customFormat="1" ht="21" customHeight="1" x14ac:dyDescent="0.6">
      <c r="A5154" s="7">
        <v>24.7228241</v>
      </c>
      <c r="B5154" s="7">
        <v>34.745221200000003</v>
      </c>
      <c r="C5154" s="7">
        <v>676520.66</v>
      </c>
      <c r="D5154" s="7">
        <v>2735381.62</v>
      </c>
      <c r="E5154" s="7">
        <v>448.42</v>
      </c>
      <c r="F5154" s="7">
        <v>41944.959999999999</v>
      </c>
      <c r="G5154" s="7">
        <v>91202</v>
      </c>
      <c r="H5154" s="7">
        <f t="shared" si="127"/>
        <v>41894.959999999999</v>
      </c>
      <c r="I5154" s="15"/>
    </row>
    <row r="5155" spans="1:9" s="8" customFormat="1" ht="21" customHeight="1" x14ac:dyDescent="0.6">
      <c r="A5155" s="7">
        <v>24.7228466</v>
      </c>
      <c r="B5155" s="7">
        <v>34.745203400000001</v>
      </c>
      <c r="C5155" s="7">
        <v>676518.83</v>
      </c>
      <c r="D5155" s="7">
        <v>2735384.09</v>
      </c>
      <c r="E5155" s="7">
        <v>448.27</v>
      </c>
      <c r="F5155" s="7">
        <v>41909.699999999997</v>
      </c>
      <c r="G5155" s="7">
        <v>91204</v>
      </c>
      <c r="H5155" s="7">
        <f t="shared" si="127"/>
        <v>41859.699999999997</v>
      </c>
      <c r="I5155" s="15"/>
    </row>
    <row r="5156" spans="1:9" s="8" customFormat="1" ht="21" customHeight="1" x14ac:dyDescent="0.6">
      <c r="A5156" s="7">
        <v>24.72287</v>
      </c>
      <c r="B5156" s="7">
        <v>34.745191200000001</v>
      </c>
      <c r="C5156" s="7">
        <v>676517.56</v>
      </c>
      <c r="D5156" s="7">
        <v>2735386.67</v>
      </c>
      <c r="E5156" s="7">
        <v>448.17</v>
      </c>
      <c r="F5156" s="7">
        <v>41897.980000000003</v>
      </c>
      <c r="G5156" s="7">
        <v>91206</v>
      </c>
      <c r="H5156" s="7">
        <f t="shared" si="127"/>
        <v>41847.980000000003</v>
      </c>
      <c r="I5156" s="15"/>
    </row>
    <row r="5157" spans="1:9" s="8" customFormat="1" ht="21" customHeight="1" x14ac:dyDescent="0.6">
      <c r="A5157" s="7">
        <v>24.722894</v>
      </c>
      <c r="B5157" s="7">
        <v>34.7451814</v>
      </c>
      <c r="C5157" s="7">
        <v>676516.54</v>
      </c>
      <c r="D5157" s="7">
        <v>2735389.31</v>
      </c>
      <c r="E5157" s="7">
        <v>448.08</v>
      </c>
      <c r="F5157" s="7">
        <v>41878.720000000001</v>
      </c>
      <c r="G5157" s="7">
        <v>91208</v>
      </c>
      <c r="H5157" s="7">
        <f t="shared" si="127"/>
        <v>41828.720000000001</v>
      </c>
      <c r="I5157" s="15"/>
    </row>
    <row r="5158" spans="1:9" s="8" customFormat="1" ht="21" customHeight="1" x14ac:dyDescent="0.6">
      <c r="A5158" s="7">
        <v>24.722918700000001</v>
      </c>
      <c r="B5158" s="7">
        <v>34.7451711</v>
      </c>
      <c r="C5158" s="7">
        <v>676515.46</v>
      </c>
      <c r="D5158" s="7">
        <v>2735392.03</v>
      </c>
      <c r="E5158" s="7">
        <v>448.07</v>
      </c>
      <c r="F5158" s="7">
        <v>41852.6</v>
      </c>
      <c r="G5158" s="7">
        <v>91210</v>
      </c>
      <c r="H5158" s="7">
        <f t="shared" si="127"/>
        <v>41802.6</v>
      </c>
      <c r="I5158" s="15"/>
    </row>
    <row r="5159" spans="1:9" s="8" customFormat="1" ht="21" customHeight="1" x14ac:dyDescent="0.6">
      <c r="A5159" s="7">
        <v>24.722943000000001</v>
      </c>
      <c r="B5159" s="7">
        <v>34.745163099999999</v>
      </c>
      <c r="C5159" s="7">
        <v>676514.62</v>
      </c>
      <c r="D5159" s="7">
        <v>2735394.72</v>
      </c>
      <c r="E5159" s="7">
        <v>448.02</v>
      </c>
      <c r="F5159" s="7">
        <v>41839.79</v>
      </c>
      <c r="G5159" s="7">
        <v>91212</v>
      </c>
      <c r="H5159" s="7">
        <f t="shared" si="127"/>
        <v>41789.79</v>
      </c>
      <c r="I5159" s="15"/>
    </row>
    <row r="5160" spans="1:9" s="8" customFormat="1" ht="21" customHeight="1" x14ac:dyDescent="0.6">
      <c r="A5160" s="7">
        <v>24.722967100000002</v>
      </c>
      <c r="B5160" s="7">
        <v>34.745155400000002</v>
      </c>
      <c r="C5160" s="7">
        <v>676513.81</v>
      </c>
      <c r="D5160" s="7">
        <v>2735397.38</v>
      </c>
      <c r="E5160" s="7">
        <v>447.95</v>
      </c>
      <c r="F5160" s="7">
        <v>41810.78</v>
      </c>
      <c r="G5160" s="7">
        <v>91214</v>
      </c>
      <c r="H5160" s="7">
        <f t="shared" si="127"/>
        <v>41760.78</v>
      </c>
      <c r="I5160" s="15"/>
    </row>
    <row r="5161" spans="1:9" s="8" customFormat="1" ht="21" customHeight="1" x14ac:dyDescent="0.6">
      <c r="A5161" s="7">
        <v>24.722991700000001</v>
      </c>
      <c r="B5161" s="7">
        <v>34.745145299999997</v>
      </c>
      <c r="C5161" s="7">
        <v>676512.75</v>
      </c>
      <c r="D5161" s="7">
        <v>2735400.09</v>
      </c>
      <c r="E5161" s="7">
        <v>447.74</v>
      </c>
      <c r="F5161" s="7">
        <v>41798.49</v>
      </c>
      <c r="G5161" s="7">
        <v>91216</v>
      </c>
      <c r="H5161" s="7">
        <f t="shared" si="127"/>
        <v>41748.49</v>
      </c>
      <c r="I5161" s="15"/>
    </row>
    <row r="5162" spans="1:9" s="8" customFormat="1" ht="21" customHeight="1" x14ac:dyDescent="0.6">
      <c r="A5162" s="7">
        <v>24.723016999999999</v>
      </c>
      <c r="B5162" s="7">
        <v>34.745137499999998</v>
      </c>
      <c r="C5162" s="7">
        <v>676511.93</v>
      </c>
      <c r="D5162" s="7">
        <v>2735402.88</v>
      </c>
      <c r="E5162" s="7">
        <v>447.65</v>
      </c>
      <c r="F5162" s="7">
        <v>41797.46</v>
      </c>
      <c r="G5162" s="7">
        <v>91218</v>
      </c>
      <c r="H5162" s="7">
        <f t="shared" si="127"/>
        <v>41747.46</v>
      </c>
      <c r="I5162" s="15"/>
    </row>
    <row r="5163" spans="1:9" s="8" customFormat="1" ht="21" customHeight="1" x14ac:dyDescent="0.6">
      <c r="A5163" s="7">
        <v>24.723040300000001</v>
      </c>
      <c r="B5163" s="7">
        <v>34.745128899999997</v>
      </c>
      <c r="C5163" s="7">
        <v>676511.02</v>
      </c>
      <c r="D5163" s="7">
        <v>2735405.45</v>
      </c>
      <c r="E5163" s="7">
        <v>447.56</v>
      </c>
      <c r="F5163" s="7">
        <v>41777.18</v>
      </c>
      <c r="G5163" s="7">
        <v>91220</v>
      </c>
      <c r="H5163" s="7">
        <f t="shared" si="127"/>
        <v>41727.18</v>
      </c>
      <c r="I5163" s="15"/>
    </row>
    <row r="5164" spans="1:9" s="8" customFormat="1" ht="21" customHeight="1" x14ac:dyDescent="0.6">
      <c r="A5164" s="7">
        <v>24.723067799999999</v>
      </c>
      <c r="B5164" s="7">
        <v>34.745120700000001</v>
      </c>
      <c r="C5164" s="7">
        <v>676510.15</v>
      </c>
      <c r="D5164" s="7">
        <v>2735408.49</v>
      </c>
      <c r="E5164" s="7">
        <v>447.44</v>
      </c>
      <c r="F5164" s="7">
        <v>41752.1</v>
      </c>
      <c r="G5164" s="7">
        <v>91222</v>
      </c>
      <c r="H5164" s="7">
        <f t="shared" si="127"/>
        <v>41702.1</v>
      </c>
      <c r="I5164" s="15"/>
    </row>
    <row r="5165" spans="1:9" s="8" customFormat="1" ht="21" customHeight="1" x14ac:dyDescent="0.6">
      <c r="A5165" s="7">
        <v>24.7230901</v>
      </c>
      <c r="B5165" s="7">
        <v>34.745109300000003</v>
      </c>
      <c r="C5165" s="7">
        <v>676508.97</v>
      </c>
      <c r="D5165" s="7">
        <v>2735410.94</v>
      </c>
      <c r="E5165" s="7">
        <v>447.42</v>
      </c>
      <c r="F5165" s="7">
        <v>41746.51</v>
      </c>
      <c r="G5165" s="7">
        <v>91224</v>
      </c>
      <c r="H5165" s="7">
        <f t="shared" si="127"/>
        <v>41696.51</v>
      </c>
      <c r="I5165" s="15"/>
    </row>
    <row r="5166" spans="1:9" s="8" customFormat="1" ht="21" customHeight="1" x14ac:dyDescent="0.6">
      <c r="A5166" s="7">
        <v>24.723115499999999</v>
      </c>
      <c r="B5166" s="7">
        <v>34.7450987</v>
      </c>
      <c r="C5166" s="7">
        <v>676507.86</v>
      </c>
      <c r="D5166" s="7">
        <v>2735413.74</v>
      </c>
      <c r="E5166" s="7">
        <v>447.43</v>
      </c>
      <c r="F5166" s="7">
        <v>41772.85</v>
      </c>
      <c r="G5166" s="7">
        <v>91226</v>
      </c>
      <c r="H5166" s="7">
        <f t="shared" si="127"/>
        <v>41722.85</v>
      </c>
      <c r="I5166" s="15"/>
    </row>
    <row r="5167" spans="1:9" s="8" customFormat="1" ht="21" customHeight="1" x14ac:dyDescent="0.6">
      <c r="A5167" s="7">
        <v>24.723141399999999</v>
      </c>
      <c r="B5167" s="7">
        <v>34.745088199999998</v>
      </c>
      <c r="C5167" s="7">
        <v>676506.76</v>
      </c>
      <c r="D5167" s="7">
        <v>2735416.6</v>
      </c>
      <c r="E5167" s="7">
        <v>447.39</v>
      </c>
      <c r="F5167" s="7">
        <v>41789.050000000003</v>
      </c>
      <c r="G5167" s="7">
        <v>91228</v>
      </c>
      <c r="H5167" s="7">
        <f t="shared" si="127"/>
        <v>41739.050000000003</v>
      </c>
      <c r="I5167" s="15"/>
    </row>
    <row r="5168" spans="1:9" s="8" customFormat="1" ht="21" customHeight="1" x14ac:dyDescent="0.6">
      <c r="A5168" s="7">
        <v>24.723162200000001</v>
      </c>
      <c r="B5168" s="7">
        <v>34.745075700000001</v>
      </c>
      <c r="C5168" s="7">
        <v>676505.47</v>
      </c>
      <c r="D5168" s="7">
        <v>2735418.88</v>
      </c>
      <c r="E5168" s="7">
        <v>447.41</v>
      </c>
      <c r="F5168" s="7">
        <v>41761.230000000003</v>
      </c>
      <c r="G5168" s="7">
        <v>91230</v>
      </c>
      <c r="H5168" s="7">
        <f t="shared" si="127"/>
        <v>41711.230000000003</v>
      </c>
      <c r="I5168" s="15"/>
    </row>
    <row r="5169" spans="1:9" s="8" customFormat="1" ht="21" customHeight="1" x14ac:dyDescent="0.6">
      <c r="A5169" s="7">
        <v>24.723185699999998</v>
      </c>
      <c r="B5169" s="7">
        <v>34.745060199999998</v>
      </c>
      <c r="C5169" s="7">
        <v>676503.87</v>
      </c>
      <c r="D5169" s="7">
        <v>2735421.47</v>
      </c>
      <c r="E5169" s="7">
        <v>447.34</v>
      </c>
      <c r="F5169" s="7">
        <v>41779.21</v>
      </c>
      <c r="G5169" s="7">
        <v>91232</v>
      </c>
      <c r="H5169" s="7">
        <f t="shared" si="127"/>
        <v>41729.21</v>
      </c>
      <c r="I5169" s="15"/>
    </row>
    <row r="5170" spans="1:9" s="8" customFormat="1" ht="21" customHeight="1" x14ac:dyDescent="0.6">
      <c r="A5170" s="7">
        <v>24.7232086</v>
      </c>
      <c r="B5170" s="7">
        <v>34.745049000000002</v>
      </c>
      <c r="C5170" s="7">
        <v>676502.71</v>
      </c>
      <c r="D5170" s="7">
        <v>2735423.99</v>
      </c>
      <c r="E5170" s="7">
        <v>447.27</v>
      </c>
      <c r="F5170" s="7">
        <v>41776.17</v>
      </c>
      <c r="G5170" s="7">
        <v>91234</v>
      </c>
      <c r="H5170" s="7">
        <f t="shared" si="127"/>
        <v>41726.17</v>
      </c>
      <c r="I5170" s="15"/>
    </row>
    <row r="5171" spans="1:9" s="8" customFormat="1" ht="21" customHeight="1" x14ac:dyDescent="0.6">
      <c r="A5171" s="7">
        <v>24.723233499999999</v>
      </c>
      <c r="B5171" s="7">
        <v>34.745041499999999</v>
      </c>
      <c r="C5171" s="7">
        <v>676501.91</v>
      </c>
      <c r="D5171" s="7">
        <v>2735426.74</v>
      </c>
      <c r="E5171" s="7">
        <v>447.11</v>
      </c>
      <c r="F5171" s="7">
        <v>41798.67</v>
      </c>
      <c r="G5171" s="7">
        <v>91236</v>
      </c>
      <c r="H5171" s="7">
        <f t="shared" si="127"/>
        <v>41748.67</v>
      </c>
      <c r="I5171" s="15"/>
    </row>
    <row r="5172" spans="1:9" s="8" customFormat="1" ht="21" customHeight="1" x14ac:dyDescent="0.6">
      <c r="A5172" s="7">
        <v>24.723259299999999</v>
      </c>
      <c r="B5172" s="7">
        <v>34.745029500000001</v>
      </c>
      <c r="C5172" s="7">
        <v>676500.65</v>
      </c>
      <c r="D5172" s="7">
        <v>2735429.58</v>
      </c>
      <c r="E5172" s="7">
        <v>447.03</v>
      </c>
      <c r="F5172" s="7">
        <v>41804.199999999997</v>
      </c>
      <c r="G5172" s="7">
        <v>91238</v>
      </c>
      <c r="H5172" s="7">
        <f t="shared" si="127"/>
        <v>41754.199999999997</v>
      </c>
      <c r="I5172" s="15"/>
    </row>
    <row r="5173" spans="1:9" s="8" customFormat="1" ht="21" customHeight="1" x14ac:dyDescent="0.6">
      <c r="A5173" s="7">
        <v>24.723280800000001</v>
      </c>
      <c r="B5173" s="7">
        <v>34.745017199999999</v>
      </c>
      <c r="C5173" s="7">
        <v>676499.38</v>
      </c>
      <c r="D5173" s="7">
        <v>2735431.94</v>
      </c>
      <c r="E5173" s="7">
        <v>446.95</v>
      </c>
      <c r="F5173" s="7">
        <v>41787.79</v>
      </c>
      <c r="G5173" s="7">
        <v>91240</v>
      </c>
      <c r="H5173" s="7">
        <f t="shared" si="127"/>
        <v>41737.79</v>
      </c>
      <c r="I5173" s="15"/>
    </row>
    <row r="5174" spans="1:9" s="8" customFormat="1" ht="21" customHeight="1" x14ac:dyDescent="0.6">
      <c r="A5174" s="7">
        <v>24.723306699999998</v>
      </c>
      <c r="B5174" s="7">
        <v>34.745010200000003</v>
      </c>
      <c r="C5174" s="7">
        <v>676498.63</v>
      </c>
      <c r="D5174" s="7">
        <v>2735434.81</v>
      </c>
      <c r="E5174" s="7">
        <v>446.84</v>
      </c>
      <c r="F5174" s="7">
        <v>41806.68</v>
      </c>
      <c r="G5174" s="7">
        <v>91242</v>
      </c>
      <c r="H5174" s="7">
        <f t="shared" si="127"/>
        <v>41756.68</v>
      </c>
      <c r="I5174" s="15"/>
    </row>
    <row r="5175" spans="1:9" s="8" customFormat="1" ht="21" customHeight="1" x14ac:dyDescent="0.6">
      <c r="A5175" s="7">
        <v>24.723332500000001</v>
      </c>
      <c r="B5175" s="7">
        <v>34.745004700000003</v>
      </c>
      <c r="C5175" s="7">
        <v>676498.04</v>
      </c>
      <c r="D5175" s="7">
        <v>2735437.65</v>
      </c>
      <c r="E5175" s="7">
        <v>446.73</v>
      </c>
      <c r="F5175" s="7">
        <v>41826.85</v>
      </c>
      <c r="G5175" s="7">
        <v>91244</v>
      </c>
      <c r="H5175" s="7">
        <f t="shared" si="127"/>
        <v>41776.85</v>
      </c>
      <c r="I5175" s="15"/>
    </row>
    <row r="5176" spans="1:9" s="8" customFormat="1" ht="21" customHeight="1" x14ac:dyDescent="0.6">
      <c r="A5176" s="7">
        <v>24.7233558</v>
      </c>
      <c r="B5176" s="7">
        <v>34.744991300000002</v>
      </c>
      <c r="C5176" s="7">
        <v>676496.66</v>
      </c>
      <c r="D5176" s="7">
        <v>2735440.22</v>
      </c>
      <c r="E5176" s="7">
        <v>446.61</v>
      </c>
      <c r="F5176" s="7">
        <v>41807.050000000003</v>
      </c>
      <c r="G5176" s="7">
        <v>91246</v>
      </c>
      <c r="H5176" s="7">
        <f t="shared" si="127"/>
        <v>41757.050000000003</v>
      </c>
      <c r="I5176" s="15"/>
    </row>
    <row r="5177" spans="1:9" s="8" customFormat="1" ht="21" customHeight="1" x14ac:dyDescent="0.6">
      <c r="A5177" s="7">
        <v>24.723377800000002</v>
      </c>
      <c r="B5177" s="7">
        <v>34.744974999999997</v>
      </c>
      <c r="C5177" s="7">
        <v>676494.97</v>
      </c>
      <c r="D5177" s="7">
        <v>2735442.63</v>
      </c>
      <c r="E5177" s="7">
        <v>446.63</v>
      </c>
      <c r="F5177" s="7">
        <v>41809.32</v>
      </c>
      <c r="G5177" s="7">
        <v>91248</v>
      </c>
      <c r="H5177" s="7">
        <f t="shared" si="127"/>
        <v>41759.32</v>
      </c>
      <c r="I5177" s="15"/>
    </row>
    <row r="5178" spans="1:9" s="8" customFormat="1" ht="21" customHeight="1" x14ac:dyDescent="0.6">
      <c r="A5178" s="7">
        <v>24.723401200000001</v>
      </c>
      <c r="B5178" s="7">
        <v>34.744960200000001</v>
      </c>
      <c r="C5178" s="7">
        <v>676493.44</v>
      </c>
      <c r="D5178" s="7">
        <v>2735445.2</v>
      </c>
      <c r="E5178" s="7">
        <v>446.41</v>
      </c>
      <c r="F5178" s="7">
        <v>41762.69</v>
      </c>
      <c r="G5178" s="7">
        <v>91250</v>
      </c>
      <c r="H5178" s="7">
        <f t="shared" si="127"/>
        <v>41712.69</v>
      </c>
      <c r="I5178" s="15"/>
    </row>
    <row r="5179" spans="1:9" s="8" customFormat="1" ht="21" customHeight="1" x14ac:dyDescent="0.6">
      <c r="A5179" s="7">
        <v>24.723423700000001</v>
      </c>
      <c r="B5179" s="7">
        <v>34.744942700000003</v>
      </c>
      <c r="C5179" s="7">
        <v>676491.65</v>
      </c>
      <c r="D5179" s="7">
        <v>2735447.68</v>
      </c>
      <c r="E5179" s="7">
        <v>446.33</v>
      </c>
      <c r="F5179" s="7">
        <v>41773.67</v>
      </c>
      <c r="G5179" s="7">
        <v>91252</v>
      </c>
      <c r="H5179" s="7">
        <f t="shared" si="127"/>
        <v>41723.67</v>
      </c>
      <c r="I5179" s="15"/>
    </row>
    <row r="5180" spans="1:9" s="8" customFormat="1" ht="21" customHeight="1" x14ac:dyDescent="0.6">
      <c r="A5180" s="7">
        <v>24.723444799999999</v>
      </c>
      <c r="B5180" s="7">
        <v>34.744924500000003</v>
      </c>
      <c r="C5180" s="7">
        <v>676489.77</v>
      </c>
      <c r="D5180" s="7">
        <v>2735449.99</v>
      </c>
      <c r="E5180" s="7">
        <v>446.27</v>
      </c>
      <c r="F5180" s="7">
        <v>41803.019999999997</v>
      </c>
      <c r="G5180" s="7">
        <v>91254</v>
      </c>
      <c r="H5180" s="7">
        <f t="shared" si="127"/>
        <v>41753.019999999997</v>
      </c>
      <c r="I5180" s="15"/>
    </row>
    <row r="5181" spans="1:9" s="8" customFormat="1" ht="21" customHeight="1" x14ac:dyDescent="0.6">
      <c r="A5181" s="7">
        <v>24.723467599999999</v>
      </c>
      <c r="B5181" s="7">
        <v>34.744908500000001</v>
      </c>
      <c r="C5181" s="7">
        <v>676488.13</v>
      </c>
      <c r="D5181" s="7">
        <v>2735452.49</v>
      </c>
      <c r="E5181" s="7">
        <v>446.13</v>
      </c>
      <c r="F5181" s="7">
        <v>41814.839999999997</v>
      </c>
      <c r="G5181" s="7">
        <v>91256</v>
      </c>
      <c r="H5181" s="7">
        <f t="shared" si="127"/>
        <v>41764.839999999997</v>
      </c>
      <c r="I5181" s="15"/>
    </row>
    <row r="5182" spans="1:9" s="8" customFormat="1" ht="21" customHeight="1" x14ac:dyDescent="0.6">
      <c r="A5182" s="7">
        <v>24.723494899999999</v>
      </c>
      <c r="B5182" s="7">
        <v>34.744898200000002</v>
      </c>
      <c r="C5182" s="7">
        <v>676487.05</v>
      </c>
      <c r="D5182" s="7">
        <v>2735455.5</v>
      </c>
      <c r="E5182" s="7">
        <v>446.15</v>
      </c>
      <c r="F5182" s="7">
        <v>41809.599999999999</v>
      </c>
      <c r="G5182" s="7">
        <v>91258</v>
      </c>
      <c r="H5182" s="7">
        <f t="shared" si="127"/>
        <v>41759.599999999999</v>
      </c>
      <c r="I5182" s="15"/>
    </row>
    <row r="5183" spans="1:9" s="8" customFormat="1" ht="21" customHeight="1" x14ac:dyDescent="0.6">
      <c r="A5183" s="7">
        <v>24.723519899999999</v>
      </c>
      <c r="B5183" s="7">
        <v>34.744884800000001</v>
      </c>
      <c r="C5183" s="7">
        <v>676485.65</v>
      </c>
      <c r="D5183" s="7">
        <v>2735458.26</v>
      </c>
      <c r="E5183" s="7">
        <v>446.02</v>
      </c>
      <c r="F5183" s="7">
        <v>41767.78</v>
      </c>
      <c r="G5183" s="7">
        <v>91300</v>
      </c>
      <c r="H5183" s="7">
        <f t="shared" si="127"/>
        <v>41717.78</v>
      </c>
      <c r="I5183" s="15"/>
    </row>
    <row r="5184" spans="1:9" s="8" customFormat="1" ht="21" customHeight="1" x14ac:dyDescent="0.6">
      <c r="A5184" s="7">
        <v>24.7235446</v>
      </c>
      <c r="B5184" s="7">
        <v>34.744869799999996</v>
      </c>
      <c r="C5184" s="7">
        <v>676484.09</v>
      </c>
      <c r="D5184" s="7">
        <v>2735460.98</v>
      </c>
      <c r="E5184" s="7">
        <v>446</v>
      </c>
      <c r="F5184" s="7">
        <v>41775.5</v>
      </c>
      <c r="G5184" s="7">
        <v>91302</v>
      </c>
      <c r="H5184" s="7">
        <f t="shared" si="127"/>
        <v>41725.5</v>
      </c>
      <c r="I5184" s="15"/>
    </row>
    <row r="5185" spans="1:9" s="8" customFormat="1" ht="21" customHeight="1" x14ac:dyDescent="0.6">
      <c r="A5185" s="7">
        <v>24.723571</v>
      </c>
      <c r="B5185" s="7">
        <v>34.744857099999997</v>
      </c>
      <c r="C5185" s="7">
        <v>676482.77</v>
      </c>
      <c r="D5185" s="7">
        <v>2735463.88</v>
      </c>
      <c r="E5185" s="7">
        <v>445.96</v>
      </c>
      <c r="F5185" s="7">
        <v>41763.86</v>
      </c>
      <c r="G5185" s="7">
        <v>91304</v>
      </c>
      <c r="H5185" s="7">
        <f t="shared" si="127"/>
        <v>41713.86</v>
      </c>
      <c r="I5185" s="15"/>
    </row>
    <row r="5186" spans="1:9" s="8" customFormat="1" ht="21" customHeight="1" x14ac:dyDescent="0.6">
      <c r="A5186" s="7">
        <v>24.7235972</v>
      </c>
      <c r="B5186" s="7">
        <v>34.744844899999997</v>
      </c>
      <c r="C5186" s="7">
        <v>676481.5</v>
      </c>
      <c r="D5186" s="7">
        <v>2735466.77</v>
      </c>
      <c r="E5186" s="7">
        <v>445.93</v>
      </c>
      <c r="F5186" s="7">
        <v>41764.160000000003</v>
      </c>
      <c r="G5186" s="7">
        <v>91306</v>
      </c>
      <c r="H5186" s="7">
        <f t="shared" si="127"/>
        <v>41714.160000000003</v>
      </c>
      <c r="I5186" s="15"/>
    </row>
    <row r="5187" spans="1:9" s="8" customFormat="1" ht="21" customHeight="1" x14ac:dyDescent="0.6">
      <c r="A5187" s="7">
        <v>24.7236254</v>
      </c>
      <c r="B5187" s="7">
        <v>34.744834300000001</v>
      </c>
      <c r="C5187" s="7">
        <v>676480.4</v>
      </c>
      <c r="D5187" s="7">
        <v>2735469.88</v>
      </c>
      <c r="E5187" s="7">
        <v>445.78</v>
      </c>
      <c r="F5187" s="7">
        <v>41754.68</v>
      </c>
      <c r="G5187" s="7">
        <v>91308</v>
      </c>
      <c r="H5187" s="7">
        <f t="shared" si="127"/>
        <v>41704.68</v>
      </c>
      <c r="I5187" s="15"/>
    </row>
    <row r="5188" spans="1:9" s="8" customFormat="1" ht="21" customHeight="1" x14ac:dyDescent="0.6">
      <c r="A5188" s="7">
        <v>24.723654199999999</v>
      </c>
      <c r="B5188" s="7">
        <v>34.744825800000001</v>
      </c>
      <c r="C5188" s="7">
        <v>676479.49</v>
      </c>
      <c r="D5188" s="7">
        <v>2735473.05</v>
      </c>
      <c r="E5188" s="7">
        <v>445.79</v>
      </c>
      <c r="F5188" s="7">
        <v>41714.639999999999</v>
      </c>
      <c r="G5188" s="7">
        <v>91310</v>
      </c>
      <c r="H5188" s="7">
        <f t="shared" si="127"/>
        <v>41664.639999999999</v>
      </c>
      <c r="I5188" s="15"/>
    </row>
    <row r="5189" spans="1:9" s="8" customFormat="1" ht="21" customHeight="1" x14ac:dyDescent="0.6">
      <c r="A5189" s="7">
        <v>24.723682400000001</v>
      </c>
      <c r="B5189" s="7">
        <v>34.744815099999997</v>
      </c>
      <c r="C5189" s="7">
        <v>676478.37</v>
      </c>
      <c r="D5189" s="7">
        <v>2735476.16</v>
      </c>
      <c r="E5189" s="7">
        <v>445.69</v>
      </c>
      <c r="F5189" s="7">
        <v>41686.120000000003</v>
      </c>
      <c r="G5189" s="7">
        <v>91312</v>
      </c>
      <c r="H5189" s="7">
        <f t="shared" si="127"/>
        <v>41636.120000000003</v>
      </c>
      <c r="I5189" s="15"/>
    </row>
    <row r="5190" spans="1:9" s="8" customFormat="1" ht="21" customHeight="1" x14ac:dyDescent="0.6">
      <c r="A5190" s="7">
        <v>24.723709700000001</v>
      </c>
      <c r="B5190" s="7">
        <v>34.744805700000001</v>
      </c>
      <c r="C5190" s="7">
        <v>676477.38</v>
      </c>
      <c r="D5190" s="7">
        <v>2735479.18</v>
      </c>
      <c r="E5190" s="7">
        <v>445.5</v>
      </c>
      <c r="F5190" s="7">
        <v>41663.620000000003</v>
      </c>
      <c r="G5190" s="7">
        <v>91314</v>
      </c>
      <c r="H5190" s="7">
        <f t="shared" si="127"/>
        <v>41613.620000000003</v>
      </c>
      <c r="I5190" s="15"/>
    </row>
    <row r="5191" spans="1:9" s="8" customFormat="1" ht="21" customHeight="1" x14ac:dyDescent="0.6">
      <c r="A5191" s="7">
        <v>24.723736800000001</v>
      </c>
      <c r="B5191" s="7">
        <v>34.744795400000001</v>
      </c>
      <c r="C5191" s="7">
        <v>676476.3</v>
      </c>
      <c r="D5191" s="7">
        <v>2735482.17</v>
      </c>
      <c r="E5191" s="7">
        <v>445.26</v>
      </c>
      <c r="F5191" s="7">
        <v>41668.699999999997</v>
      </c>
      <c r="G5191" s="7">
        <v>91316</v>
      </c>
      <c r="H5191" s="7">
        <f t="shared" si="127"/>
        <v>41618.699999999997</v>
      </c>
      <c r="I5191" s="15"/>
    </row>
    <row r="5192" spans="1:9" s="8" customFormat="1" ht="21" customHeight="1" x14ac:dyDescent="0.6">
      <c r="A5192" s="7">
        <v>24.7237607</v>
      </c>
      <c r="B5192" s="7">
        <v>34.744778199999999</v>
      </c>
      <c r="C5192" s="7">
        <v>676474.53</v>
      </c>
      <c r="D5192" s="7">
        <v>2735484.79</v>
      </c>
      <c r="E5192" s="7">
        <v>445.23</v>
      </c>
      <c r="F5192" s="7">
        <v>41680.49</v>
      </c>
      <c r="G5192" s="7">
        <v>91318</v>
      </c>
      <c r="H5192" s="7">
        <f t="shared" si="127"/>
        <v>41630.49</v>
      </c>
      <c r="I5192" s="15"/>
    </row>
    <row r="5193" spans="1:9" s="8" customFormat="1" ht="21" customHeight="1" x14ac:dyDescent="0.6">
      <c r="A5193" s="7">
        <v>24.723784800000001</v>
      </c>
      <c r="B5193" s="7">
        <v>34.744759999999999</v>
      </c>
      <c r="C5193" s="7">
        <v>676472.65</v>
      </c>
      <c r="D5193" s="7">
        <v>2735487.43</v>
      </c>
      <c r="E5193" s="7">
        <v>445.17</v>
      </c>
      <c r="F5193" s="7">
        <v>41654.29</v>
      </c>
      <c r="G5193" s="7">
        <v>91320</v>
      </c>
      <c r="H5193" s="7">
        <f t="shared" si="127"/>
        <v>41604.29</v>
      </c>
      <c r="I5193" s="15"/>
    </row>
    <row r="5194" spans="1:9" s="8" customFormat="1" ht="21" customHeight="1" x14ac:dyDescent="0.6">
      <c r="A5194" s="7">
        <v>24.723807799999999</v>
      </c>
      <c r="B5194" s="7">
        <v>34.744743200000002</v>
      </c>
      <c r="C5194" s="7">
        <v>676470.92</v>
      </c>
      <c r="D5194" s="7">
        <v>2735489.96</v>
      </c>
      <c r="E5194" s="7">
        <v>445.09</v>
      </c>
      <c r="F5194" s="7">
        <v>41670</v>
      </c>
      <c r="G5194" s="7">
        <v>91322</v>
      </c>
      <c r="H5194" s="7">
        <f t="shared" si="127"/>
        <v>41620</v>
      </c>
      <c r="I5194" s="15"/>
    </row>
    <row r="5195" spans="1:9" s="8" customFormat="1" ht="21" customHeight="1" x14ac:dyDescent="0.6">
      <c r="A5195" s="7">
        <v>24.723832999999999</v>
      </c>
      <c r="B5195" s="7">
        <v>34.744726999999997</v>
      </c>
      <c r="C5195" s="7">
        <v>676469.25</v>
      </c>
      <c r="D5195" s="7">
        <v>2735492.73</v>
      </c>
      <c r="E5195" s="7">
        <v>445.06</v>
      </c>
      <c r="F5195" s="7">
        <v>41701.24</v>
      </c>
      <c r="G5195" s="7">
        <v>91324</v>
      </c>
      <c r="H5195" s="7">
        <f t="shared" si="127"/>
        <v>41651.24</v>
      </c>
      <c r="I5195" s="15"/>
    </row>
    <row r="5196" spans="1:9" s="8" customFormat="1" ht="21" customHeight="1" x14ac:dyDescent="0.6">
      <c r="A5196" s="7">
        <v>24.723859600000001</v>
      </c>
      <c r="B5196" s="7">
        <v>34.744712</v>
      </c>
      <c r="C5196" s="7">
        <v>676467.69</v>
      </c>
      <c r="D5196" s="7">
        <v>2735495.66</v>
      </c>
      <c r="E5196" s="7">
        <v>444.98</v>
      </c>
      <c r="F5196" s="7">
        <v>41721.730000000003</v>
      </c>
      <c r="G5196" s="7">
        <v>91326</v>
      </c>
      <c r="H5196" s="7">
        <f t="shared" si="127"/>
        <v>41671.730000000003</v>
      </c>
      <c r="I5196" s="15"/>
    </row>
    <row r="5197" spans="1:9" s="8" customFormat="1" ht="21" customHeight="1" x14ac:dyDescent="0.6">
      <c r="A5197" s="7">
        <v>24.723887999999999</v>
      </c>
      <c r="B5197" s="7">
        <v>34.744700600000002</v>
      </c>
      <c r="C5197" s="7">
        <v>676466.5</v>
      </c>
      <c r="D5197" s="7">
        <v>2735498.79</v>
      </c>
      <c r="E5197" s="7">
        <v>444.91</v>
      </c>
      <c r="F5197" s="7">
        <v>41743.949999999997</v>
      </c>
      <c r="G5197" s="7">
        <v>91328</v>
      </c>
      <c r="H5197" s="7">
        <f t="shared" si="127"/>
        <v>41693.949999999997</v>
      </c>
      <c r="I5197" s="15"/>
    </row>
    <row r="5198" spans="1:9" s="8" customFormat="1" ht="21" customHeight="1" x14ac:dyDescent="0.6">
      <c r="A5198" s="7">
        <v>24.723917</v>
      </c>
      <c r="B5198" s="7">
        <v>34.744697899999998</v>
      </c>
      <c r="C5198" s="7">
        <v>676466.18</v>
      </c>
      <c r="D5198" s="7">
        <v>2735502</v>
      </c>
      <c r="E5198" s="7">
        <v>444.82</v>
      </c>
      <c r="F5198" s="7">
        <v>41716.720000000001</v>
      </c>
      <c r="G5198" s="7">
        <v>91330</v>
      </c>
      <c r="H5198" s="7">
        <f t="shared" si="127"/>
        <v>41666.720000000001</v>
      </c>
      <c r="I5198" s="15"/>
    </row>
    <row r="5199" spans="1:9" s="8" customFormat="1" ht="21" customHeight="1" x14ac:dyDescent="0.6">
      <c r="A5199" s="7">
        <v>24.723945199999999</v>
      </c>
      <c r="B5199" s="7">
        <v>34.744692700000002</v>
      </c>
      <c r="C5199" s="7">
        <v>676465.62</v>
      </c>
      <c r="D5199" s="7">
        <v>2735505.11</v>
      </c>
      <c r="E5199" s="7">
        <v>444.58</v>
      </c>
      <c r="F5199" s="7">
        <v>41701.06</v>
      </c>
      <c r="G5199" s="7">
        <v>91332</v>
      </c>
      <c r="H5199" s="7">
        <f t="shared" si="127"/>
        <v>41651.06</v>
      </c>
      <c r="I5199" s="15"/>
    </row>
    <row r="5200" spans="1:9" s="8" customFormat="1" ht="21" customHeight="1" x14ac:dyDescent="0.6">
      <c r="A5200" s="7">
        <v>24.723976</v>
      </c>
      <c r="B5200" s="7">
        <v>34.744684900000003</v>
      </c>
      <c r="C5200" s="7">
        <v>676464.79</v>
      </c>
      <c r="D5200" s="7">
        <v>2735508.51</v>
      </c>
      <c r="E5200" s="7">
        <v>444.35</v>
      </c>
      <c r="F5200" s="7">
        <v>41661.129999999997</v>
      </c>
      <c r="G5200" s="7">
        <v>91334</v>
      </c>
      <c r="H5200" s="7">
        <f t="shared" si="127"/>
        <v>41611.129999999997</v>
      </c>
      <c r="I5200" s="15"/>
    </row>
    <row r="5201" spans="1:9" s="8" customFormat="1" ht="21" customHeight="1" x14ac:dyDescent="0.6">
      <c r="A5201" s="7">
        <v>24.724005399999999</v>
      </c>
      <c r="B5201" s="7">
        <v>34.744677099999997</v>
      </c>
      <c r="C5201" s="7">
        <v>676463.95</v>
      </c>
      <c r="D5201" s="7">
        <v>2735511.76</v>
      </c>
      <c r="E5201" s="7">
        <v>444.27</v>
      </c>
      <c r="F5201" s="7">
        <v>41651.9</v>
      </c>
      <c r="G5201" s="7">
        <v>91336</v>
      </c>
      <c r="H5201" s="7">
        <f t="shared" si="127"/>
        <v>41601.9</v>
      </c>
      <c r="I5201" s="15"/>
    </row>
    <row r="5202" spans="1:9" s="8" customFormat="1" ht="21" customHeight="1" x14ac:dyDescent="0.6">
      <c r="A5202" s="7">
        <v>24.724031700000001</v>
      </c>
      <c r="B5202" s="7">
        <v>34.744666299999999</v>
      </c>
      <c r="C5202" s="7">
        <v>676462.82</v>
      </c>
      <c r="D5202" s="7">
        <v>2735514.66</v>
      </c>
      <c r="E5202" s="7">
        <v>444.19</v>
      </c>
      <c r="F5202" s="7">
        <v>41638.33</v>
      </c>
      <c r="G5202" s="7">
        <v>91338</v>
      </c>
      <c r="H5202" s="7">
        <f t="shared" si="127"/>
        <v>41588.33</v>
      </c>
      <c r="I5202" s="15"/>
    </row>
    <row r="5203" spans="1:9" s="8" customFormat="1" ht="21" customHeight="1" x14ac:dyDescent="0.6">
      <c r="A5203" s="7">
        <v>24.724058500000002</v>
      </c>
      <c r="B5203" s="7">
        <v>34.744659499999997</v>
      </c>
      <c r="C5203" s="7">
        <v>676462.1</v>
      </c>
      <c r="D5203" s="7">
        <v>2735517.62</v>
      </c>
      <c r="E5203" s="7">
        <v>444.18</v>
      </c>
      <c r="F5203" s="7">
        <v>41640.07</v>
      </c>
      <c r="G5203" s="7">
        <v>91340</v>
      </c>
      <c r="H5203" s="7">
        <f t="shared" si="127"/>
        <v>41590.07</v>
      </c>
      <c r="I5203" s="15"/>
    </row>
    <row r="5204" spans="1:9" s="8" customFormat="1" ht="21" customHeight="1" x14ac:dyDescent="0.6">
      <c r="A5204" s="7">
        <v>24.7240863</v>
      </c>
      <c r="B5204" s="7">
        <v>34.744650999999998</v>
      </c>
      <c r="C5204" s="7">
        <v>676461.2</v>
      </c>
      <c r="D5204" s="7">
        <v>2735520.69</v>
      </c>
      <c r="E5204" s="7">
        <v>444.1</v>
      </c>
      <c r="F5204" s="7">
        <v>41627.61</v>
      </c>
      <c r="G5204" s="7">
        <v>91342</v>
      </c>
      <c r="H5204" s="7">
        <f t="shared" ref="H5204:H5265" si="128">SUM(F5204-50)</f>
        <v>41577.61</v>
      </c>
      <c r="I5204" s="15"/>
    </row>
    <row r="5205" spans="1:9" s="8" customFormat="1" ht="21" customHeight="1" x14ac:dyDescent="0.6">
      <c r="A5205" s="7">
        <v>24.724114499999999</v>
      </c>
      <c r="B5205" s="7">
        <v>34.744643000000003</v>
      </c>
      <c r="C5205" s="7">
        <v>676460.35</v>
      </c>
      <c r="D5205" s="7">
        <v>2735523.81</v>
      </c>
      <c r="E5205" s="7">
        <v>444.07</v>
      </c>
      <c r="F5205" s="7">
        <v>41640.199999999997</v>
      </c>
      <c r="G5205" s="7">
        <v>91344</v>
      </c>
      <c r="H5205" s="7">
        <f t="shared" si="128"/>
        <v>41590.199999999997</v>
      </c>
      <c r="I5205" s="15"/>
    </row>
    <row r="5206" spans="1:9" s="8" customFormat="1" ht="21" customHeight="1" x14ac:dyDescent="0.6">
      <c r="A5206" s="7">
        <v>24.724140500000001</v>
      </c>
      <c r="B5206" s="7">
        <v>34.744629799999998</v>
      </c>
      <c r="C5206" s="7">
        <v>676458.98</v>
      </c>
      <c r="D5206" s="7">
        <v>2735526.66</v>
      </c>
      <c r="E5206" s="7">
        <v>444</v>
      </c>
      <c r="F5206" s="7">
        <v>41628.22</v>
      </c>
      <c r="G5206" s="7">
        <v>91346</v>
      </c>
      <c r="H5206" s="7">
        <f t="shared" si="128"/>
        <v>41578.22</v>
      </c>
      <c r="I5206" s="15"/>
    </row>
    <row r="5207" spans="1:9" s="8" customFormat="1" ht="21" customHeight="1" x14ac:dyDescent="0.6">
      <c r="A5207" s="7">
        <v>24.724166</v>
      </c>
      <c r="B5207" s="7">
        <v>34.744612099999998</v>
      </c>
      <c r="C5207" s="7">
        <v>676457.15</v>
      </c>
      <c r="D5207" s="7">
        <v>2735529.46</v>
      </c>
      <c r="E5207" s="7">
        <v>443.82</v>
      </c>
      <c r="F5207" s="7">
        <v>41637.21</v>
      </c>
      <c r="G5207" s="7">
        <v>91348</v>
      </c>
      <c r="H5207" s="7">
        <f t="shared" si="128"/>
        <v>41587.21</v>
      </c>
      <c r="I5207" s="15"/>
    </row>
    <row r="5208" spans="1:9" s="8" customFormat="1" ht="21" customHeight="1" x14ac:dyDescent="0.6">
      <c r="A5208" s="7">
        <v>24.724192800000001</v>
      </c>
      <c r="B5208" s="7">
        <v>34.744597200000001</v>
      </c>
      <c r="C5208" s="7">
        <v>676455.61</v>
      </c>
      <c r="D5208" s="7">
        <v>2735532.41</v>
      </c>
      <c r="E5208" s="7">
        <v>443.63</v>
      </c>
      <c r="F5208" s="7">
        <v>41630.49</v>
      </c>
      <c r="G5208" s="7">
        <v>91350</v>
      </c>
      <c r="H5208" s="7">
        <f t="shared" si="128"/>
        <v>41580.49</v>
      </c>
      <c r="I5208" s="15"/>
    </row>
    <row r="5209" spans="1:9" s="8" customFormat="1" ht="21" customHeight="1" x14ac:dyDescent="0.6">
      <c r="A5209" s="7">
        <v>24.724218199999999</v>
      </c>
      <c r="B5209" s="7">
        <v>34.744579399999999</v>
      </c>
      <c r="C5209" s="7">
        <v>676453.76</v>
      </c>
      <c r="D5209" s="7">
        <v>2735535.21</v>
      </c>
      <c r="E5209" s="7">
        <v>443.5</v>
      </c>
      <c r="F5209" s="7">
        <v>41625.18</v>
      </c>
      <c r="G5209" s="7">
        <v>91352</v>
      </c>
      <c r="H5209" s="7">
        <f t="shared" si="128"/>
        <v>41575.18</v>
      </c>
      <c r="I5209" s="15"/>
    </row>
    <row r="5210" spans="1:9" s="8" customFormat="1" ht="21" customHeight="1" x14ac:dyDescent="0.6">
      <c r="A5210" s="7">
        <v>24.724243399999999</v>
      </c>
      <c r="B5210" s="7">
        <v>34.744560200000002</v>
      </c>
      <c r="C5210" s="7">
        <v>676451.79</v>
      </c>
      <c r="D5210" s="7">
        <v>2735537.97</v>
      </c>
      <c r="E5210" s="7">
        <v>443.44</v>
      </c>
      <c r="F5210" s="7">
        <v>41611.449999999997</v>
      </c>
      <c r="G5210" s="7">
        <v>91354</v>
      </c>
      <c r="H5210" s="7">
        <f t="shared" si="128"/>
        <v>41561.449999999997</v>
      </c>
      <c r="I5210" s="15"/>
    </row>
    <row r="5211" spans="1:9" s="8" customFormat="1" ht="21" customHeight="1" x14ac:dyDescent="0.6">
      <c r="A5211" s="7">
        <v>24.724265500000001</v>
      </c>
      <c r="B5211" s="7">
        <v>34.744539500000002</v>
      </c>
      <c r="C5211" s="7">
        <v>676449.67</v>
      </c>
      <c r="D5211" s="7">
        <v>2735540.39</v>
      </c>
      <c r="E5211" s="7">
        <v>443.35</v>
      </c>
      <c r="F5211" s="7">
        <v>41605.19</v>
      </c>
      <c r="G5211" s="7">
        <v>91356</v>
      </c>
      <c r="H5211" s="7">
        <f t="shared" si="128"/>
        <v>41555.19</v>
      </c>
      <c r="I5211" s="15"/>
    </row>
    <row r="5212" spans="1:9" s="8" customFormat="1" ht="21" customHeight="1" x14ac:dyDescent="0.6">
      <c r="A5212" s="7">
        <v>24.7242867</v>
      </c>
      <c r="B5212" s="7">
        <v>34.744518800000002</v>
      </c>
      <c r="C5212" s="7">
        <v>676447.54</v>
      </c>
      <c r="D5212" s="7">
        <v>2735542.72</v>
      </c>
      <c r="E5212" s="7">
        <v>443.25</v>
      </c>
      <c r="F5212" s="7">
        <v>41614.449999999997</v>
      </c>
      <c r="G5212" s="7">
        <v>91358</v>
      </c>
      <c r="H5212" s="7">
        <f t="shared" si="128"/>
        <v>41564.449999999997</v>
      </c>
      <c r="I5212" s="15"/>
    </row>
    <row r="5213" spans="1:9" s="8" customFormat="1" ht="21" customHeight="1" x14ac:dyDescent="0.6">
      <c r="A5213" s="7">
        <v>24.7243095</v>
      </c>
      <c r="B5213" s="7">
        <v>34.744499400000002</v>
      </c>
      <c r="C5213" s="7">
        <v>676445.54</v>
      </c>
      <c r="D5213" s="7">
        <v>2735545.21</v>
      </c>
      <c r="E5213" s="7">
        <v>443.15</v>
      </c>
      <c r="F5213" s="7">
        <v>41605.14</v>
      </c>
      <c r="G5213" s="7">
        <v>91400</v>
      </c>
      <c r="H5213" s="7">
        <f t="shared" si="128"/>
        <v>41555.14</v>
      </c>
      <c r="I5213" s="15"/>
    </row>
    <row r="5214" spans="1:9" s="8" customFormat="1" ht="21" customHeight="1" x14ac:dyDescent="0.6">
      <c r="A5214" s="7">
        <v>24.7243347</v>
      </c>
      <c r="B5214" s="7">
        <v>34.744485099999999</v>
      </c>
      <c r="C5214" s="7">
        <v>676444.06</v>
      </c>
      <c r="D5214" s="7">
        <v>2735547.98</v>
      </c>
      <c r="E5214" s="7">
        <v>443.05</v>
      </c>
      <c r="F5214" s="7">
        <v>41606.11</v>
      </c>
      <c r="G5214" s="7">
        <v>91402</v>
      </c>
      <c r="H5214" s="7">
        <f t="shared" si="128"/>
        <v>41556.11</v>
      </c>
      <c r="I5214" s="15"/>
    </row>
    <row r="5215" spans="1:9" s="8" customFormat="1" ht="21" customHeight="1" x14ac:dyDescent="0.6">
      <c r="A5215" s="7">
        <v>24.724359499999998</v>
      </c>
      <c r="B5215" s="7">
        <v>34.744470900000003</v>
      </c>
      <c r="C5215" s="7">
        <v>676442.59</v>
      </c>
      <c r="D5215" s="7">
        <v>2735550.72</v>
      </c>
      <c r="E5215" s="7">
        <v>443.05</v>
      </c>
      <c r="F5215" s="7">
        <v>41594.21</v>
      </c>
      <c r="G5215" s="7">
        <v>91404</v>
      </c>
      <c r="H5215" s="7">
        <f t="shared" si="128"/>
        <v>41544.21</v>
      </c>
      <c r="I5215" s="15"/>
    </row>
    <row r="5216" spans="1:9" s="8" customFormat="1" ht="21" customHeight="1" x14ac:dyDescent="0.6">
      <c r="A5216" s="7">
        <v>24.724381699999999</v>
      </c>
      <c r="B5216" s="7">
        <v>34.744453399999998</v>
      </c>
      <c r="C5216" s="7">
        <v>676440.8</v>
      </c>
      <c r="D5216" s="7">
        <v>2735553.15</v>
      </c>
      <c r="E5216" s="7">
        <v>442.98</v>
      </c>
      <c r="F5216" s="7">
        <v>41586.79</v>
      </c>
      <c r="G5216" s="7">
        <v>91406</v>
      </c>
      <c r="H5216" s="7">
        <f t="shared" si="128"/>
        <v>41536.79</v>
      </c>
      <c r="I5216" s="15"/>
    </row>
    <row r="5217" spans="1:9" s="8" customFormat="1" ht="21" customHeight="1" x14ac:dyDescent="0.6">
      <c r="A5217" s="7">
        <v>24.724405999999998</v>
      </c>
      <c r="B5217" s="7">
        <v>34.744442399999997</v>
      </c>
      <c r="C5217" s="7">
        <v>676439.64</v>
      </c>
      <c r="D5217" s="7">
        <v>2735555.82</v>
      </c>
      <c r="E5217" s="7">
        <v>442.94</v>
      </c>
      <c r="F5217" s="7">
        <v>41599.99</v>
      </c>
      <c r="G5217" s="7">
        <v>91408</v>
      </c>
      <c r="H5217" s="7">
        <f t="shared" si="128"/>
        <v>41549.99</v>
      </c>
      <c r="I5217" s="15"/>
    </row>
    <row r="5218" spans="1:9" s="8" customFormat="1" ht="21" customHeight="1" x14ac:dyDescent="0.6">
      <c r="A5218" s="7">
        <v>24.724432199999999</v>
      </c>
      <c r="B5218" s="7">
        <v>34.744438600000002</v>
      </c>
      <c r="C5218" s="7">
        <v>676439.22</v>
      </c>
      <c r="D5218" s="7">
        <v>2735558.73</v>
      </c>
      <c r="E5218" s="7">
        <v>442.81</v>
      </c>
      <c r="F5218" s="7">
        <v>41600.28</v>
      </c>
      <c r="G5218" s="7">
        <v>91410</v>
      </c>
      <c r="H5218" s="7">
        <f t="shared" si="128"/>
        <v>41550.28</v>
      </c>
      <c r="I5218" s="15"/>
    </row>
    <row r="5219" spans="1:9" s="8" customFormat="1" ht="21" customHeight="1" x14ac:dyDescent="0.6">
      <c r="A5219" s="7">
        <v>24.724457399999999</v>
      </c>
      <c r="B5219" s="7">
        <v>34.744428399999997</v>
      </c>
      <c r="C5219" s="7">
        <v>676438.16</v>
      </c>
      <c r="D5219" s="7">
        <v>2735561.51</v>
      </c>
      <c r="E5219" s="7">
        <v>442.65</v>
      </c>
      <c r="F5219" s="7">
        <v>41610.199999999997</v>
      </c>
      <c r="G5219" s="7">
        <v>91412</v>
      </c>
      <c r="H5219" s="7">
        <f t="shared" si="128"/>
        <v>41560.199999999997</v>
      </c>
      <c r="I5219" s="15"/>
    </row>
    <row r="5220" spans="1:9" s="8" customFormat="1" ht="21" customHeight="1" x14ac:dyDescent="0.6">
      <c r="A5220" s="7">
        <v>24.724484799999999</v>
      </c>
      <c r="B5220" s="7">
        <v>34.744420499999997</v>
      </c>
      <c r="C5220" s="7">
        <v>676437.31</v>
      </c>
      <c r="D5220" s="7">
        <v>2735564.53</v>
      </c>
      <c r="E5220" s="7">
        <v>442.44</v>
      </c>
      <c r="F5220" s="7">
        <v>41610.959999999999</v>
      </c>
      <c r="G5220" s="7">
        <v>91414</v>
      </c>
      <c r="H5220" s="7">
        <f t="shared" si="128"/>
        <v>41560.959999999999</v>
      </c>
      <c r="I5220" s="15"/>
    </row>
    <row r="5221" spans="1:9" s="8" customFormat="1" ht="21" customHeight="1" x14ac:dyDescent="0.6">
      <c r="A5221" s="7">
        <v>24.724510200000001</v>
      </c>
      <c r="B5221" s="7">
        <v>34.7444141</v>
      </c>
      <c r="C5221" s="7">
        <v>676436.64</v>
      </c>
      <c r="D5221" s="7">
        <v>2735567.33</v>
      </c>
      <c r="E5221" s="7">
        <v>442.35</v>
      </c>
      <c r="F5221" s="7">
        <v>41629.279999999999</v>
      </c>
      <c r="G5221" s="7">
        <v>91416</v>
      </c>
      <c r="H5221" s="7">
        <f t="shared" si="128"/>
        <v>41579.279999999999</v>
      </c>
      <c r="I5221" s="15"/>
    </row>
    <row r="5222" spans="1:9" s="8" customFormat="1" ht="21" customHeight="1" x14ac:dyDescent="0.6">
      <c r="A5222" s="7">
        <v>24.724534999999999</v>
      </c>
      <c r="B5222" s="7">
        <v>34.744405200000003</v>
      </c>
      <c r="C5222" s="7">
        <v>676435.7</v>
      </c>
      <c r="D5222" s="7">
        <v>2735570.07</v>
      </c>
      <c r="E5222" s="7">
        <v>442.17</v>
      </c>
      <c r="F5222" s="7">
        <v>41623.81</v>
      </c>
      <c r="G5222" s="7">
        <v>91418</v>
      </c>
      <c r="H5222" s="7">
        <f t="shared" si="128"/>
        <v>41573.81</v>
      </c>
      <c r="I5222" s="15"/>
    </row>
    <row r="5223" spans="1:9" s="8" customFormat="1" ht="21" customHeight="1" x14ac:dyDescent="0.6">
      <c r="A5223" s="7">
        <v>24.724558999999999</v>
      </c>
      <c r="B5223" s="7">
        <v>34.744390799999998</v>
      </c>
      <c r="C5223" s="7">
        <v>676434.21</v>
      </c>
      <c r="D5223" s="7">
        <v>2735572.71</v>
      </c>
      <c r="E5223" s="7">
        <v>442.26</v>
      </c>
      <c r="F5223" s="7">
        <v>41639.82</v>
      </c>
      <c r="G5223" s="7">
        <v>91420</v>
      </c>
      <c r="H5223" s="7">
        <f t="shared" si="128"/>
        <v>41589.82</v>
      </c>
      <c r="I5223" s="15"/>
    </row>
    <row r="5224" spans="1:9" s="8" customFormat="1" ht="21" customHeight="1" x14ac:dyDescent="0.6">
      <c r="A5224" s="7">
        <v>24.724581799999999</v>
      </c>
      <c r="B5224" s="7">
        <v>34.744375400000003</v>
      </c>
      <c r="C5224" s="7">
        <v>676432.62</v>
      </c>
      <c r="D5224" s="7">
        <v>2735575.21</v>
      </c>
      <c r="E5224" s="7">
        <v>442.13</v>
      </c>
      <c r="F5224" s="7">
        <v>41671.910000000003</v>
      </c>
      <c r="G5224" s="7">
        <v>91422</v>
      </c>
      <c r="H5224" s="7">
        <f t="shared" si="128"/>
        <v>41621.910000000003</v>
      </c>
      <c r="I5224" s="15"/>
    </row>
    <row r="5225" spans="1:9" s="8" customFormat="1" ht="21" customHeight="1" x14ac:dyDescent="0.6">
      <c r="A5225" s="7">
        <v>24.724604800000002</v>
      </c>
      <c r="B5225" s="7">
        <v>34.744357899999997</v>
      </c>
      <c r="C5225" s="7">
        <v>676430.82</v>
      </c>
      <c r="D5225" s="7">
        <v>2735577.74</v>
      </c>
      <c r="E5225" s="7">
        <v>442.02</v>
      </c>
      <c r="F5225" s="7">
        <v>41664.69</v>
      </c>
      <c r="G5225" s="7">
        <v>91424</v>
      </c>
      <c r="H5225" s="7">
        <f t="shared" si="128"/>
        <v>41614.69</v>
      </c>
      <c r="I5225" s="15"/>
    </row>
    <row r="5226" spans="1:9" s="8" customFormat="1" ht="21" customHeight="1" x14ac:dyDescent="0.6">
      <c r="A5226" s="7">
        <v>24.724627600000002</v>
      </c>
      <c r="B5226" s="7">
        <v>34.744342500000002</v>
      </c>
      <c r="C5226" s="7">
        <v>676429.23</v>
      </c>
      <c r="D5226" s="7">
        <v>2735580.24</v>
      </c>
      <c r="E5226" s="7">
        <v>441.95</v>
      </c>
      <c r="F5226" s="7">
        <v>41687.129999999997</v>
      </c>
      <c r="G5226" s="7">
        <v>91426</v>
      </c>
      <c r="H5226" s="7">
        <f t="shared" si="128"/>
        <v>41637.129999999997</v>
      </c>
      <c r="I5226" s="15"/>
    </row>
    <row r="5227" spans="1:9" s="8" customFormat="1" ht="21" customHeight="1" x14ac:dyDescent="0.6">
      <c r="A5227" s="7">
        <v>24.724653100000001</v>
      </c>
      <c r="B5227" s="7">
        <v>34.744329100000002</v>
      </c>
      <c r="C5227" s="7">
        <v>676427.83</v>
      </c>
      <c r="D5227" s="7">
        <v>2735583.05</v>
      </c>
      <c r="E5227" s="7">
        <v>441.85</v>
      </c>
      <c r="F5227" s="7">
        <v>41691.72</v>
      </c>
      <c r="G5227" s="7">
        <v>91428</v>
      </c>
      <c r="H5227" s="7">
        <f t="shared" si="128"/>
        <v>41641.72</v>
      </c>
      <c r="I5227" s="15"/>
    </row>
    <row r="5228" spans="1:9" s="8" customFormat="1" ht="21" customHeight="1" x14ac:dyDescent="0.6">
      <c r="A5228" s="7">
        <v>24.7246779</v>
      </c>
      <c r="B5228" s="7">
        <v>34.744317899999999</v>
      </c>
      <c r="C5228" s="7">
        <v>676426.67</v>
      </c>
      <c r="D5228" s="7">
        <v>2735585.79</v>
      </c>
      <c r="E5228" s="7">
        <v>441.79</v>
      </c>
      <c r="F5228" s="7">
        <v>41754.82</v>
      </c>
      <c r="G5228" s="7">
        <v>91430</v>
      </c>
      <c r="H5228" s="7">
        <f t="shared" si="128"/>
        <v>41704.82</v>
      </c>
      <c r="I5228" s="15"/>
    </row>
    <row r="5229" spans="1:9" s="8" customFormat="1" ht="21" customHeight="1" x14ac:dyDescent="0.6">
      <c r="A5229" s="7">
        <v>24.724699099999999</v>
      </c>
      <c r="B5229" s="7">
        <v>34.744297400000001</v>
      </c>
      <c r="C5229" s="7">
        <v>676424.56</v>
      </c>
      <c r="D5229" s="7">
        <v>2735588.11</v>
      </c>
      <c r="E5229" s="7">
        <v>441.54</v>
      </c>
      <c r="F5229" s="7">
        <v>41765.61</v>
      </c>
      <c r="G5229" s="7">
        <v>91432</v>
      </c>
      <c r="H5229" s="7">
        <f t="shared" si="128"/>
        <v>41715.61</v>
      </c>
      <c r="I5229" s="15"/>
    </row>
    <row r="5230" spans="1:9" s="8" customFormat="1" ht="21" customHeight="1" x14ac:dyDescent="0.6">
      <c r="A5230" s="7">
        <v>24.7247138</v>
      </c>
      <c r="B5230" s="7">
        <v>34.744274099999998</v>
      </c>
      <c r="C5230" s="7">
        <v>676422.19</v>
      </c>
      <c r="D5230" s="7">
        <v>2735589.7</v>
      </c>
      <c r="E5230" s="7">
        <v>441.52</v>
      </c>
      <c r="F5230" s="7">
        <v>41764.82</v>
      </c>
      <c r="G5230" s="7">
        <v>91434</v>
      </c>
      <c r="H5230" s="7">
        <f t="shared" si="128"/>
        <v>41714.82</v>
      </c>
      <c r="I5230" s="15"/>
    </row>
    <row r="5231" spans="1:9" s="8" customFormat="1" ht="21" customHeight="1" x14ac:dyDescent="0.6">
      <c r="A5231" s="7">
        <v>24.724733799999999</v>
      </c>
      <c r="B5231" s="7">
        <v>34.744256</v>
      </c>
      <c r="C5231" s="7">
        <v>676420.32</v>
      </c>
      <c r="D5231" s="7">
        <v>2735591.89</v>
      </c>
      <c r="E5231" s="7">
        <v>441.46</v>
      </c>
      <c r="F5231" s="7">
        <v>41760.339999999997</v>
      </c>
      <c r="G5231" s="7">
        <v>91436</v>
      </c>
      <c r="H5231" s="7">
        <f t="shared" si="128"/>
        <v>41710.339999999997</v>
      </c>
      <c r="I5231" s="15"/>
    </row>
    <row r="5232" spans="1:9" s="8" customFormat="1" ht="21" customHeight="1" x14ac:dyDescent="0.6">
      <c r="A5232" s="7">
        <v>24.724756800000002</v>
      </c>
      <c r="B5232" s="7">
        <v>34.744243500000003</v>
      </c>
      <c r="C5232" s="7">
        <v>676419.03</v>
      </c>
      <c r="D5232" s="7">
        <v>2735594.43</v>
      </c>
      <c r="E5232" s="7">
        <v>441.37</v>
      </c>
      <c r="F5232" s="7">
        <v>41762.870000000003</v>
      </c>
      <c r="G5232" s="7">
        <v>91438</v>
      </c>
      <c r="H5232" s="7">
        <f t="shared" si="128"/>
        <v>41712.870000000003</v>
      </c>
      <c r="I5232" s="15"/>
    </row>
    <row r="5233" spans="1:9" s="8" customFormat="1" ht="21" customHeight="1" x14ac:dyDescent="0.6">
      <c r="A5233" s="7">
        <v>24.724778700000002</v>
      </c>
      <c r="B5233" s="7">
        <v>34.744226900000001</v>
      </c>
      <c r="C5233" s="7">
        <v>676417.32</v>
      </c>
      <c r="D5233" s="7">
        <v>2735596.83</v>
      </c>
      <c r="E5233" s="7">
        <v>441.25</v>
      </c>
      <c r="F5233" s="7">
        <v>41780.720000000001</v>
      </c>
      <c r="G5233" s="7">
        <v>91440</v>
      </c>
      <c r="H5233" s="7">
        <f t="shared" si="128"/>
        <v>41730.720000000001</v>
      </c>
      <c r="I5233" s="15"/>
    </row>
    <row r="5234" spans="1:9" s="8" customFormat="1" ht="21" customHeight="1" x14ac:dyDescent="0.6">
      <c r="A5234" s="7">
        <v>24.724800399999999</v>
      </c>
      <c r="B5234" s="7">
        <v>34.744213100000003</v>
      </c>
      <c r="C5234" s="7">
        <v>676415.89</v>
      </c>
      <c r="D5234" s="7">
        <v>2735599.21</v>
      </c>
      <c r="E5234" s="7">
        <v>441.19</v>
      </c>
      <c r="F5234" s="7">
        <v>41737.32</v>
      </c>
      <c r="G5234" s="7">
        <v>91442</v>
      </c>
      <c r="H5234" s="7">
        <f t="shared" si="128"/>
        <v>41687.32</v>
      </c>
      <c r="I5234" s="15"/>
    </row>
    <row r="5235" spans="1:9" s="8" customFormat="1" ht="21" customHeight="1" x14ac:dyDescent="0.6">
      <c r="A5235" s="7">
        <v>24.7248196</v>
      </c>
      <c r="B5235" s="7">
        <v>34.744193299999999</v>
      </c>
      <c r="C5235" s="7">
        <v>676413.86</v>
      </c>
      <c r="D5235" s="7">
        <v>2735601.31</v>
      </c>
      <c r="E5235" s="7">
        <v>441.02</v>
      </c>
      <c r="F5235" s="7">
        <v>41717.61</v>
      </c>
      <c r="G5235" s="7">
        <v>91444</v>
      </c>
      <c r="H5235" s="7">
        <f t="shared" si="128"/>
        <v>41667.61</v>
      </c>
      <c r="I5235" s="15"/>
    </row>
    <row r="5236" spans="1:9" s="8" customFormat="1" ht="21" customHeight="1" x14ac:dyDescent="0.6">
      <c r="A5236" s="7">
        <v>24.724833100000001</v>
      </c>
      <c r="B5236" s="7">
        <v>34.744168500000001</v>
      </c>
      <c r="C5236" s="7">
        <v>676411.33</v>
      </c>
      <c r="D5236" s="7">
        <v>2735602.78</v>
      </c>
      <c r="E5236" s="7">
        <v>441.04</v>
      </c>
      <c r="F5236" s="7">
        <v>41688.32</v>
      </c>
      <c r="G5236" s="7">
        <v>91446</v>
      </c>
      <c r="H5236" s="7">
        <f t="shared" si="128"/>
        <v>41638.32</v>
      </c>
      <c r="I5236" s="15"/>
    </row>
    <row r="5237" spans="1:9" s="8" customFormat="1" ht="21" customHeight="1" x14ac:dyDescent="0.6">
      <c r="A5237" s="7">
        <v>24.724849599999999</v>
      </c>
      <c r="B5237" s="7">
        <v>34.744145500000002</v>
      </c>
      <c r="C5237" s="7">
        <v>676408.99</v>
      </c>
      <c r="D5237" s="7">
        <v>2735604.57</v>
      </c>
      <c r="E5237" s="7">
        <v>441.01</v>
      </c>
      <c r="F5237" s="7">
        <v>41667.94</v>
      </c>
      <c r="G5237" s="7">
        <v>91448</v>
      </c>
      <c r="H5237" s="7">
        <f t="shared" si="128"/>
        <v>41617.94</v>
      </c>
      <c r="I5237" s="15"/>
    </row>
    <row r="5238" spans="1:9" s="8" customFormat="1" ht="21" customHeight="1" x14ac:dyDescent="0.6">
      <c r="A5238" s="7">
        <v>24.724868699999998</v>
      </c>
      <c r="B5238" s="7">
        <v>34.744124900000003</v>
      </c>
      <c r="C5238" s="7">
        <v>676406.87</v>
      </c>
      <c r="D5238" s="7">
        <v>2735606.67</v>
      </c>
      <c r="E5238" s="7">
        <v>440.96</v>
      </c>
      <c r="F5238" s="7">
        <v>41646.550000000003</v>
      </c>
      <c r="G5238" s="7">
        <v>91450</v>
      </c>
      <c r="H5238" s="7">
        <f t="shared" si="128"/>
        <v>41596.550000000003</v>
      </c>
      <c r="I5238" s="15"/>
    </row>
    <row r="5239" spans="1:9" s="8" customFormat="1" ht="21" customHeight="1" x14ac:dyDescent="0.6">
      <c r="A5239" s="7">
        <v>24.724891</v>
      </c>
      <c r="B5239" s="7">
        <v>34.7441076</v>
      </c>
      <c r="C5239" s="7">
        <v>676405.09</v>
      </c>
      <c r="D5239" s="7">
        <v>2735609.12</v>
      </c>
      <c r="E5239" s="7">
        <v>440.91</v>
      </c>
      <c r="F5239" s="7">
        <v>41620.300000000003</v>
      </c>
      <c r="G5239" s="7">
        <v>91452</v>
      </c>
      <c r="H5239" s="7">
        <f t="shared" si="128"/>
        <v>41570.300000000003</v>
      </c>
      <c r="I5239" s="15"/>
    </row>
    <row r="5240" spans="1:9" s="8" customFormat="1" ht="21" customHeight="1" x14ac:dyDescent="0.6">
      <c r="A5240" s="7">
        <v>24.724916799999999</v>
      </c>
      <c r="B5240" s="7">
        <v>34.744100799999998</v>
      </c>
      <c r="C5240" s="7">
        <v>676404.36</v>
      </c>
      <c r="D5240" s="7">
        <v>2735611.97</v>
      </c>
      <c r="E5240" s="7">
        <v>440.85</v>
      </c>
      <c r="F5240" s="7">
        <v>41565.96</v>
      </c>
      <c r="G5240" s="7">
        <v>91454</v>
      </c>
      <c r="H5240" s="7">
        <f t="shared" si="128"/>
        <v>41515.96</v>
      </c>
      <c r="I5240" s="15"/>
    </row>
    <row r="5241" spans="1:9" s="8" customFormat="1" ht="21" customHeight="1" x14ac:dyDescent="0.6">
      <c r="A5241" s="7">
        <v>24.724941999999999</v>
      </c>
      <c r="B5241" s="7">
        <v>34.744092500000001</v>
      </c>
      <c r="C5241" s="7">
        <v>676403.49</v>
      </c>
      <c r="D5241" s="7">
        <v>2735614.75</v>
      </c>
      <c r="E5241" s="7">
        <v>440.72</v>
      </c>
      <c r="F5241" s="7">
        <v>41531.06</v>
      </c>
      <c r="G5241" s="7">
        <v>91456</v>
      </c>
      <c r="H5241" s="7">
        <f t="shared" si="128"/>
        <v>41481.06</v>
      </c>
      <c r="I5241" s="15"/>
    </row>
    <row r="5242" spans="1:9" s="8" customFormat="1" ht="21" customHeight="1" x14ac:dyDescent="0.6">
      <c r="A5242" s="7">
        <v>24.7249646</v>
      </c>
      <c r="B5242" s="7">
        <v>34.744077699999998</v>
      </c>
      <c r="C5242" s="7">
        <v>676401.97</v>
      </c>
      <c r="D5242" s="7">
        <v>2735617.23</v>
      </c>
      <c r="E5242" s="7">
        <v>440.67</v>
      </c>
      <c r="F5242" s="7">
        <v>41519.18</v>
      </c>
      <c r="G5242" s="7">
        <v>91458</v>
      </c>
      <c r="H5242" s="7">
        <f t="shared" si="128"/>
        <v>41469.18</v>
      </c>
      <c r="I5242" s="15"/>
    </row>
    <row r="5243" spans="1:9" s="8" customFormat="1" ht="21" customHeight="1" x14ac:dyDescent="0.6">
      <c r="A5243" s="7">
        <v>24.724987599999999</v>
      </c>
      <c r="B5243" s="7">
        <v>34.744064399999999</v>
      </c>
      <c r="C5243" s="7">
        <v>676400.58</v>
      </c>
      <c r="D5243" s="7">
        <v>2735619.76</v>
      </c>
      <c r="E5243" s="7">
        <v>440.71</v>
      </c>
      <c r="F5243" s="7">
        <v>41492.129999999997</v>
      </c>
      <c r="G5243" s="7">
        <v>91500</v>
      </c>
      <c r="H5243" s="7">
        <f t="shared" si="128"/>
        <v>41442.129999999997</v>
      </c>
      <c r="I5243" s="15"/>
    </row>
    <row r="5244" spans="1:9" s="8" customFormat="1" ht="21" customHeight="1" x14ac:dyDescent="0.6">
      <c r="A5244" s="7">
        <v>24.725010000000001</v>
      </c>
      <c r="B5244" s="7">
        <v>34.744050899999998</v>
      </c>
      <c r="C5244" s="7">
        <v>676399.19</v>
      </c>
      <c r="D5244" s="7">
        <v>2735622.22</v>
      </c>
      <c r="E5244" s="7">
        <v>440.69</v>
      </c>
      <c r="F5244" s="7">
        <v>41484.11</v>
      </c>
      <c r="G5244" s="7">
        <v>91502</v>
      </c>
      <c r="H5244" s="7">
        <f t="shared" si="128"/>
        <v>41434.11</v>
      </c>
      <c r="I5244" s="15"/>
    </row>
    <row r="5245" spans="1:9" s="8" customFormat="1" ht="21" customHeight="1" x14ac:dyDescent="0.6">
      <c r="A5245" s="7">
        <v>24.7250309</v>
      </c>
      <c r="B5245" s="7">
        <v>34.744035400000001</v>
      </c>
      <c r="C5245" s="7">
        <v>676397.59</v>
      </c>
      <c r="D5245" s="7">
        <v>2735624.52</v>
      </c>
      <c r="E5245" s="7">
        <v>440.49</v>
      </c>
      <c r="F5245" s="7">
        <v>41457.4</v>
      </c>
      <c r="G5245" s="7">
        <v>91504</v>
      </c>
      <c r="H5245" s="7">
        <f t="shared" si="128"/>
        <v>41407.4</v>
      </c>
      <c r="I5245" s="15"/>
    </row>
    <row r="5246" spans="1:9" s="8" customFormat="1" ht="21" customHeight="1" x14ac:dyDescent="0.6">
      <c r="A5246" s="7">
        <v>24.725051300000001</v>
      </c>
      <c r="B5246" s="7">
        <v>34.744022000000001</v>
      </c>
      <c r="C5246" s="7">
        <v>676396.21</v>
      </c>
      <c r="D5246" s="7">
        <v>2735626.76</v>
      </c>
      <c r="E5246" s="7">
        <v>440.3</v>
      </c>
      <c r="F5246" s="7">
        <v>41419</v>
      </c>
      <c r="G5246" s="7">
        <v>91506</v>
      </c>
      <c r="H5246" s="7">
        <f t="shared" si="128"/>
        <v>41369</v>
      </c>
      <c r="I5246" s="15"/>
    </row>
    <row r="5247" spans="1:9" s="8" customFormat="1" ht="21" customHeight="1" x14ac:dyDescent="0.6">
      <c r="A5247" s="7">
        <v>24.725072600000001</v>
      </c>
      <c r="B5247" s="7">
        <v>34.744005100000003</v>
      </c>
      <c r="C5247" s="7">
        <v>676394.46</v>
      </c>
      <c r="D5247" s="7">
        <v>2735629.1</v>
      </c>
      <c r="E5247" s="7">
        <v>440.23</v>
      </c>
      <c r="F5247" s="7">
        <v>41453.339999999997</v>
      </c>
      <c r="G5247" s="7">
        <v>91508</v>
      </c>
      <c r="H5247" s="7">
        <f t="shared" si="128"/>
        <v>41403.339999999997</v>
      </c>
      <c r="I5247" s="15"/>
    </row>
    <row r="5248" spans="1:9" s="8" customFormat="1" ht="21" customHeight="1" x14ac:dyDescent="0.6">
      <c r="A5248" s="7">
        <v>24.725096099999998</v>
      </c>
      <c r="B5248" s="7">
        <v>34.7439909</v>
      </c>
      <c r="C5248" s="7">
        <v>676393</v>
      </c>
      <c r="D5248" s="7">
        <v>2735631.68</v>
      </c>
      <c r="E5248" s="7">
        <v>440.28</v>
      </c>
      <c r="F5248" s="7">
        <v>41486.99</v>
      </c>
      <c r="G5248" s="7">
        <v>91510</v>
      </c>
      <c r="H5248" s="7">
        <f t="shared" si="128"/>
        <v>41436.99</v>
      </c>
      <c r="I5248" s="15"/>
    </row>
    <row r="5249" spans="1:9" s="8" customFormat="1" ht="21" customHeight="1" x14ac:dyDescent="0.6">
      <c r="A5249" s="7">
        <v>24.7251181</v>
      </c>
      <c r="B5249" s="7">
        <v>34.743977000000001</v>
      </c>
      <c r="C5249" s="7">
        <v>676391.56</v>
      </c>
      <c r="D5249" s="7">
        <v>2735634.1</v>
      </c>
      <c r="E5249" s="7">
        <v>440.25</v>
      </c>
      <c r="F5249" s="7">
        <v>41499.08</v>
      </c>
      <c r="G5249" s="7">
        <v>91512</v>
      </c>
      <c r="H5249" s="7">
        <f t="shared" si="128"/>
        <v>41449.08</v>
      </c>
      <c r="I5249" s="15"/>
    </row>
    <row r="5250" spans="1:9" s="8" customFormat="1" ht="21" customHeight="1" x14ac:dyDescent="0.6">
      <c r="A5250" s="7">
        <v>24.725140199999998</v>
      </c>
      <c r="B5250" s="7">
        <v>34.743960299999998</v>
      </c>
      <c r="C5250" s="7">
        <v>676389.84</v>
      </c>
      <c r="D5250" s="7">
        <v>2735636.53</v>
      </c>
      <c r="E5250" s="7">
        <v>440.19</v>
      </c>
      <c r="F5250" s="7">
        <v>41515.89</v>
      </c>
      <c r="G5250" s="7">
        <v>91514</v>
      </c>
      <c r="H5250" s="7">
        <f t="shared" si="128"/>
        <v>41465.89</v>
      </c>
      <c r="I5250" s="15"/>
    </row>
    <row r="5251" spans="1:9" s="8" customFormat="1" ht="21" customHeight="1" x14ac:dyDescent="0.6">
      <c r="A5251" s="7">
        <v>24.725160899999999</v>
      </c>
      <c r="B5251" s="7">
        <v>34.743942799999999</v>
      </c>
      <c r="C5251" s="7">
        <v>676388.03</v>
      </c>
      <c r="D5251" s="7">
        <v>2735638.8</v>
      </c>
      <c r="E5251" s="7">
        <v>440.18</v>
      </c>
      <c r="F5251" s="7">
        <v>41534.42</v>
      </c>
      <c r="G5251" s="7">
        <v>91516</v>
      </c>
      <c r="H5251" s="7">
        <f t="shared" si="128"/>
        <v>41484.42</v>
      </c>
      <c r="I5251" s="15"/>
    </row>
    <row r="5252" spans="1:9" s="8" customFormat="1" ht="21" customHeight="1" x14ac:dyDescent="0.6">
      <c r="A5252" s="7">
        <v>24.7251808</v>
      </c>
      <c r="B5252" s="7">
        <v>34.743924800000002</v>
      </c>
      <c r="C5252" s="7">
        <v>676386.18</v>
      </c>
      <c r="D5252" s="7">
        <v>2735640.98</v>
      </c>
      <c r="E5252" s="7">
        <v>440.11</v>
      </c>
      <c r="F5252" s="7">
        <v>41542.720000000001</v>
      </c>
      <c r="G5252" s="7">
        <v>91518</v>
      </c>
      <c r="H5252" s="7">
        <f t="shared" si="128"/>
        <v>41492.720000000001</v>
      </c>
      <c r="I5252" s="15"/>
    </row>
    <row r="5253" spans="1:9" s="8" customFormat="1" ht="21" customHeight="1" x14ac:dyDescent="0.6">
      <c r="A5253" s="7">
        <v>24.725204600000001</v>
      </c>
      <c r="B5253" s="7">
        <v>34.743913800000001</v>
      </c>
      <c r="C5253" s="7">
        <v>676385.04</v>
      </c>
      <c r="D5253" s="7">
        <v>2735643.59</v>
      </c>
      <c r="E5253" s="7">
        <v>439.99</v>
      </c>
      <c r="F5253" s="7">
        <v>41564.68</v>
      </c>
      <c r="G5253" s="7">
        <v>91520</v>
      </c>
      <c r="H5253" s="7">
        <f t="shared" si="128"/>
        <v>41514.68</v>
      </c>
      <c r="I5253" s="15"/>
    </row>
    <row r="5254" spans="1:9" s="8" customFormat="1" ht="21" customHeight="1" x14ac:dyDescent="0.6">
      <c r="A5254" s="7">
        <v>24.725228999999999</v>
      </c>
      <c r="B5254" s="7">
        <v>34.743903400000001</v>
      </c>
      <c r="C5254" s="7">
        <v>676383.95</v>
      </c>
      <c r="D5254" s="7">
        <v>2735646.29</v>
      </c>
      <c r="E5254" s="7">
        <v>439.87</v>
      </c>
      <c r="F5254" s="7">
        <v>41587.83</v>
      </c>
      <c r="G5254" s="7">
        <v>91522</v>
      </c>
      <c r="H5254" s="7">
        <f t="shared" si="128"/>
        <v>41537.83</v>
      </c>
      <c r="I5254" s="15"/>
    </row>
    <row r="5255" spans="1:9" s="8" customFormat="1" ht="21" customHeight="1" x14ac:dyDescent="0.6">
      <c r="A5255" s="7">
        <v>24.725254199999998</v>
      </c>
      <c r="B5255" s="7">
        <v>34.743896100000001</v>
      </c>
      <c r="C5255" s="7">
        <v>676383.19</v>
      </c>
      <c r="D5255" s="7">
        <v>2735649.06</v>
      </c>
      <c r="E5255" s="7">
        <v>439.78</v>
      </c>
      <c r="F5255" s="7">
        <v>41597.4</v>
      </c>
      <c r="G5255" s="7">
        <v>91524</v>
      </c>
      <c r="H5255" s="7">
        <f t="shared" si="128"/>
        <v>41547.4</v>
      </c>
      <c r="I5255" s="15"/>
    </row>
    <row r="5256" spans="1:9" s="8" customFormat="1" ht="21" customHeight="1" x14ac:dyDescent="0.6">
      <c r="A5256" s="7">
        <v>24.725279499999999</v>
      </c>
      <c r="B5256" s="7">
        <v>34.743886099999997</v>
      </c>
      <c r="C5256" s="7">
        <v>676382.14</v>
      </c>
      <c r="D5256" s="7">
        <v>2735651.86</v>
      </c>
      <c r="E5256" s="7">
        <v>439.75</v>
      </c>
      <c r="F5256" s="7">
        <v>41613.33</v>
      </c>
      <c r="G5256" s="7">
        <v>91526</v>
      </c>
      <c r="H5256" s="7">
        <f t="shared" si="128"/>
        <v>41563.33</v>
      </c>
      <c r="I5256" s="15"/>
    </row>
    <row r="5257" spans="1:9" s="8" customFormat="1" ht="21" customHeight="1" x14ac:dyDescent="0.6">
      <c r="A5257" s="7">
        <v>24.725305500000001</v>
      </c>
      <c r="B5257" s="7">
        <v>34.7438754</v>
      </c>
      <c r="C5257" s="7">
        <v>676381.01</v>
      </c>
      <c r="D5257" s="7">
        <v>2735654.73</v>
      </c>
      <c r="E5257" s="7">
        <v>439.67</v>
      </c>
      <c r="F5257" s="7">
        <v>41617.29</v>
      </c>
      <c r="G5257" s="7">
        <v>91528</v>
      </c>
      <c r="H5257" s="7">
        <f t="shared" si="128"/>
        <v>41567.29</v>
      </c>
      <c r="I5257" s="15"/>
    </row>
    <row r="5258" spans="1:9" s="8" customFormat="1" ht="21" customHeight="1" x14ac:dyDescent="0.6">
      <c r="A5258" s="7">
        <v>24.7253291</v>
      </c>
      <c r="B5258" s="7">
        <v>34.743862399999998</v>
      </c>
      <c r="C5258" s="7">
        <v>676379.67</v>
      </c>
      <c r="D5258" s="7">
        <v>2735657.32</v>
      </c>
      <c r="E5258" s="7">
        <v>439.59</v>
      </c>
      <c r="F5258" s="7">
        <v>41631.11</v>
      </c>
      <c r="G5258" s="7">
        <v>91530</v>
      </c>
      <c r="H5258" s="7">
        <f t="shared" si="128"/>
        <v>41581.11</v>
      </c>
      <c r="I5258" s="15"/>
    </row>
    <row r="5259" spans="1:9" s="8" customFormat="1" ht="21" customHeight="1" x14ac:dyDescent="0.6">
      <c r="A5259" s="7">
        <v>24.725355</v>
      </c>
      <c r="B5259" s="7">
        <v>34.743858600000003</v>
      </c>
      <c r="C5259" s="7">
        <v>676379.25</v>
      </c>
      <c r="D5259" s="7">
        <v>2735660.18</v>
      </c>
      <c r="E5259" s="7">
        <v>439.58</v>
      </c>
      <c r="F5259" s="7">
        <v>41618.69</v>
      </c>
      <c r="G5259" s="7">
        <v>91532</v>
      </c>
      <c r="H5259" s="7">
        <f t="shared" si="128"/>
        <v>41568.69</v>
      </c>
      <c r="I5259" s="15"/>
    </row>
    <row r="5260" spans="1:9" s="8" customFormat="1" ht="21" customHeight="1" x14ac:dyDescent="0.6">
      <c r="A5260" s="7">
        <v>24.725380000000001</v>
      </c>
      <c r="B5260" s="7">
        <v>34.743851100000001</v>
      </c>
      <c r="C5260" s="7">
        <v>676378.45</v>
      </c>
      <c r="D5260" s="7">
        <v>2735662.94</v>
      </c>
      <c r="E5260" s="7">
        <v>439.36</v>
      </c>
      <c r="F5260" s="7">
        <v>41612.75</v>
      </c>
      <c r="G5260" s="7">
        <v>91534</v>
      </c>
      <c r="H5260" s="7">
        <f t="shared" si="128"/>
        <v>41562.75</v>
      </c>
      <c r="I5260" s="15"/>
    </row>
    <row r="5261" spans="1:9" s="8" customFormat="1" ht="21" customHeight="1" x14ac:dyDescent="0.6">
      <c r="A5261" s="7">
        <v>24.725406499999998</v>
      </c>
      <c r="B5261" s="7">
        <v>34.743843599999998</v>
      </c>
      <c r="C5261" s="7">
        <v>676377.66</v>
      </c>
      <c r="D5261" s="7">
        <v>2735665.87</v>
      </c>
      <c r="E5261" s="7">
        <v>439.3</v>
      </c>
      <c r="F5261" s="7">
        <v>41619.47</v>
      </c>
      <c r="G5261" s="7">
        <v>91536</v>
      </c>
      <c r="H5261" s="7">
        <f t="shared" si="128"/>
        <v>41569.47</v>
      </c>
      <c r="I5261" s="15"/>
    </row>
    <row r="5262" spans="1:9" s="8" customFormat="1" ht="21" customHeight="1" x14ac:dyDescent="0.6">
      <c r="A5262" s="7">
        <v>24.7254319</v>
      </c>
      <c r="B5262" s="7">
        <v>34.7438365</v>
      </c>
      <c r="C5262" s="7">
        <v>676376.9</v>
      </c>
      <c r="D5262" s="7">
        <v>2735668.67</v>
      </c>
      <c r="E5262" s="7">
        <v>439.15</v>
      </c>
      <c r="F5262" s="7">
        <v>41630.21</v>
      </c>
      <c r="G5262" s="7">
        <v>91538</v>
      </c>
      <c r="H5262" s="7">
        <f t="shared" si="128"/>
        <v>41580.21</v>
      </c>
      <c r="I5262" s="15"/>
    </row>
    <row r="5263" spans="1:9" s="8" customFormat="1" ht="21" customHeight="1" x14ac:dyDescent="0.6">
      <c r="A5263" s="7">
        <v>24.725456600000001</v>
      </c>
      <c r="B5263" s="7">
        <v>34.743831900000004</v>
      </c>
      <c r="C5263" s="7">
        <v>676376.4</v>
      </c>
      <c r="D5263" s="7">
        <v>2735671.4</v>
      </c>
      <c r="E5263" s="7">
        <v>439.14</v>
      </c>
      <c r="F5263" s="7">
        <v>41627.61</v>
      </c>
      <c r="G5263" s="7">
        <v>91540</v>
      </c>
      <c r="H5263" s="7">
        <f t="shared" si="128"/>
        <v>41577.61</v>
      </c>
      <c r="I5263" s="15"/>
    </row>
    <row r="5264" spans="1:9" s="8" customFormat="1" ht="21" customHeight="1" x14ac:dyDescent="0.6">
      <c r="A5264" s="7">
        <v>24.725481899999998</v>
      </c>
      <c r="B5264" s="7">
        <v>34.743827000000003</v>
      </c>
      <c r="C5264" s="7">
        <v>676375.87</v>
      </c>
      <c r="D5264" s="7">
        <v>2735674.2</v>
      </c>
      <c r="E5264" s="7">
        <v>439.05</v>
      </c>
      <c r="F5264" s="7">
        <v>41636.94</v>
      </c>
      <c r="G5264" s="7">
        <v>91542</v>
      </c>
      <c r="H5264" s="7">
        <f t="shared" si="128"/>
        <v>41586.94</v>
      </c>
      <c r="I5264" s="15"/>
    </row>
    <row r="5265" spans="1:9" s="8" customFormat="1" ht="21" customHeight="1" x14ac:dyDescent="0.6">
      <c r="A5265" s="7">
        <v>24.725501399999999</v>
      </c>
      <c r="B5265" s="7">
        <v>34.743822899999998</v>
      </c>
      <c r="C5265" s="7">
        <v>676375.43</v>
      </c>
      <c r="D5265" s="7">
        <v>2735676.36</v>
      </c>
      <c r="E5265" s="7">
        <v>439.05</v>
      </c>
      <c r="F5265" s="7">
        <v>41671.71</v>
      </c>
      <c r="G5265" s="7">
        <v>91544</v>
      </c>
      <c r="H5265" s="7">
        <f t="shared" si="128"/>
        <v>41621.71</v>
      </c>
      <c r="I5265" s="15"/>
    </row>
    <row r="5266" spans="1:9" s="8" customFormat="1" ht="21" customHeight="1" x14ac:dyDescent="0.6">
      <c r="A5266" s="7">
        <v>24.730635899999999</v>
      </c>
      <c r="B5266" s="7">
        <v>34.744586900000002</v>
      </c>
      <c r="C5266" s="7">
        <v>676445.47</v>
      </c>
      <c r="D5266" s="7">
        <v>2736246.03</v>
      </c>
      <c r="E5266" s="7">
        <v>429.56</v>
      </c>
      <c r="F5266" s="7">
        <v>41371.53</v>
      </c>
      <c r="G5266" s="7">
        <v>92520</v>
      </c>
      <c r="H5266" s="7">
        <f>SUM(F5266-57)</f>
        <v>41314.53</v>
      </c>
      <c r="I5266" s="15"/>
    </row>
    <row r="5267" spans="1:9" s="8" customFormat="1" ht="21" customHeight="1" x14ac:dyDescent="0.6">
      <c r="A5267" s="7">
        <v>24.730612000000001</v>
      </c>
      <c r="B5267" s="7">
        <v>34.744605399999998</v>
      </c>
      <c r="C5267" s="7">
        <v>676447.38</v>
      </c>
      <c r="D5267" s="7">
        <v>2736243.41</v>
      </c>
      <c r="E5267" s="7">
        <v>429.66</v>
      </c>
      <c r="F5267" s="7">
        <v>41368.160000000003</v>
      </c>
      <c r="G5267" s="7">
        <v>92522</v>
      </c>
      <c r="H5267" s="7">
        <f t="shared" ref="H5267:H5330" si="129">SUM(F5267-57)</f>
        <v>41311.160000000003</v>
      </c>
      <c r="I5267" s="15"/>
    </row>
    <row r="5268" spans="1:9" s="8" customFormat="1" ht="21" customHeight="1" x14ac:dyDescent="0.6">
      <c r="A5268" s="7">
        <v>24.7305958</v>
      </c>
      <c r="B5268" s="7">
        <v>34.744622800000002</v>
      </c>
      <c r="C5268" s="7">
        <v>676449.16</v>
      </c>
      <c r="D5268" s="7">
        <v>2736241.63</v>
      </c>
      <c r="E5268" s="7">
        <v>430.14</v>
      </c>
      <c r="F5268" s="7">
        <v>41452.46</v>
      </c>
      <c r="G5268" s="7">
        <v>92524</v>
      </c>
      <c r="H5268" s="7">
        <f t="shared" si="129"/>
        <v>41395.46</v>
      </c>
      <c r="I5268" s="15"/>
    </row>
    <row r="5269" spans="1:9" s="8" customFormat="1" ht="21" customHeight="1" x14ac:dyDescent="0.6">
      <c r="A5269" s="7">
        <v>24.730578300000001</v>
      </c>
      <c r="B5269" s="7">
        <v>34.744639800000002</v>
      </c>
      <c r="C5269" s="7">
        <v>676450.91</v>
      </c>
      <c r="D5269" s="7">
        <v>2736239.71</v>
      </c>
      <c r="E5269" s="7">
        <v>430.07</v>
      </c>
      <c r="F5269" s="7">
        <v>41453.08</v>
      </c>
      <c r="G5269" s="7">
        <v>92526</v>
      </c>
      <c r="H5269" s="7">
        <f t="shared" si="129"/>
        <v>41396.080000000002</v>
      </c>
      <c r="I5269" s="15"/>
    </row>
    <row r="5270" spans="1:9" s="8" customFormat="1" ht="21" customHeight="1" x14ac:dyDescent="0.6">
      <c r="A5270" s="7">
        <v>24.7305606</v>
      </c>
      <c r="B5270" s="7">
        <v>34.744661999999998</v>
      </c>
      <c r="C5270" s="7">
        <v>676453.18</v>
      </c>
      <c r="D5270" s="7">
        <v>2736237.78</v>
      </c>
      <c r="E5270" s="7">
        <v>430.29</v>
      </c>
      <c r="F5270" s="7">
        <v>41426.03</v>
      </c>
      <c r="G5270" s="7">
        <v>92528</v>
      </c>
      <c r="H5270" s="7">
        <f t="shared" si="129"/>
        <v>41369.03</v>
      </c>
      <c r="I5270" s="15"/>
    </row>
    <row r="5271" spans="1:9" s="8" customFormat="1" ht="21" customHeight="1" x14ac:dyDescent="0.6">
      <c r="A5271" s="7">
        <v>24.730544699999999</v>
      </c>
      <c r="B5271" s="7">
        <v>34.744683500000001</v>
      </c>
      <c r="C5271" s="7">
        <v>676455.37</v>
      </c>
      <c r="D5271" s="7">
        <v>2736236.05</v>
      </c>
      <c r="E5271" s="7">
        <v>430.38</v>
      </c>
      <c r="F5271" s="7">
        <v>41416.97</v>
      </c>
      <c r="G5271" s="7">
        <v>92530</v>
      </c>
      <c r="H5271" s="7">
        <f t="shared" si="129"/>
        <v>41359.97</v>
      </c>
      <c r="I5271" s="15"/>
    </row>
    <row r="5272" spans="1:9" s="8" customFormat="1" ht="21" customHeight="1" x14ac:dyDescent="0.6">
      <c r="A5272" s="7">
        <v>24.730533300000001</v>
      </c>
      <c r="B5272" s="7">
        <v>34.744709499999999</v>
      </c>
      <c r="C5272" s="7">
        <v>676458.02</v>
      </c>
      <c r="D5272" s="7">
        <v>2736234.83</v>
      </c>
      <c r="E5272" s="7">
        <v>430.55</v>
      </c>
      <c r="F5272" s="7">
        <v>41455.1</v>
      </c>
      <c r="G5272" s="7">
        <v>92532</v>
      </c>
      <c r="H5272" s="7">
        <f t="shared" si="129"/>
        <v>41398.1</v>
      </c>
      <c r="I5272" s="15"/>
    </row>
    <row r="5273" spans="1:9" s="8" customFormat="1" ht="21" customHeight="1" x14ac:dyDescent="0.6">
      <c r="A5273" s="7">
        <v>24.730524500000001</v>
      </c>
      <c r="B5273" s="7">
        <v>34.744734800000003</v>
      </c>
      <c r="C5273" s="7">
        <v>676460.59</v>
      </c>
      <c r="D5273" s="7">
        <v>2736233.88</v>
      </c>
      <c r="E5273" s="7">
        <v>430.91</v>
      </c>
      <c r="F5273" s="7">
        <v>41440.379999999997</v>
      </c>
      <c r="G5273" s="7">
        <v>92534</v>
      </c>
      <c r="H5273" s="7">
        <f t="shared" si="129"/>
        <v>41383.379999999997</v>
      </c>
      <c r="I5273" s="15"/>
    </row>
    <row r="5274" spans="1:9" s="8" customFormat="1" ht="21" customHeight="1" x14ac:dyDescent="0.6">
      <c r="A5274" s="7">
        <v>24.730518400000001</v>
      </c>
      <c r="B5274" s="7">
        <v>34.744761500000003</v>
      </c>
      <c r="C5274" s="7">
        <v>676463.3</v>
      </c>
      <c r="D5274" s="7">
        <v>2736233.23</v>
      </c>
      <c r="E5274" s="7">
        <v>431.07</v>
      </c>
      <c r="F5274" s="7">
        <v>41457.129999999997</v>
      </c>
      <c r="G5274" s="7">
        <v>92536</v>
      </c>
      <c r="H5274" s="7">
        <f t="shared" si="129"/>
        <v>41400.129999999997</v>
      </c>
      <c r="I5274" s="15"/>
    </row>
    <row r="5275" spans="1:9" s="8" customFormat="1" ht="21" customHeight="1" x14ac:dyDescent="0.6">
      <c r="A5275" s="7">
        <v>24.7305037</v>
      </c>
      <c r="B5275" s="7">
        <v>34.744782399999998</v>
      </c>
      <c r="C5275" s="7">
        <v>676465.44</v>
      </c>
      <c r="D5275" s="7">
        <v>2736231.64</v>
      </c>
      <c r="E5275" s="7">
        <v>431.28</v>
      </c>
      <c r="F5275" s="7">
        <v>41464.01</v>
      </c>
      <c r="G5275" s="7">
        <v>92538</v>
      </c>
      <c r="H5275" s="7">
        <f t="shared" si="129"/>
        <v>41407.01</v>
      </c>
      <c r="I5275" s="15"/>
    </row>
    <row r="5276" spans="1:9" s="8" customFormat="1" ht="21" customHeight="1" x14ac:dyDescent="0.6">
      <c r="A5276" s="7">
        <v>24.730489800000001</v>
      </c>
      <c r="B5276" s="7">
        <v>34.744805700000001</v>
      </c>
      <c r="C5276" s="7">
        <v>676467.81</v>
      </c>
      <c r="D5276" s="7">
        <v>2736230.13</v>
      </c>
      <c r="E5276" s="7">
        <v>431.36</v>
      </c>
      <c r="F5276" s="7">
        <v>41491.339999999997</v>
      </c>
      <c r="G5276" s="7">
        <v>92540</v>
      </c>
      <c r="H5276" s="7">
        <f t="shared" si="129"/>
        <v>41434.339999999997</v>
      </c>
      <c r="I5276" s="15"/>
    </row>
    <row r="5277" spans="1:9" s="8" customFormat="1" ht="21" customHeight="1" x14ac:dyDescent="0.6">
      <c r="A5277" s="7">
        <v>24.7304742</v>
      </c>
      <c r="B5277" s="7">
        <v>34.744828499999997</v>
      </c>
      <c r="C5277" s="7">
        <v>676470.14</v>
      </c>
      <c r="D5277" s="7">
        <v>2736228.43</v>
      </c>
      <c r="E5277" s="7">
        <v>431.5</v>
      </c>
      <c r="F5277" s="7">
        <v>41554.97</v>
      </c>
      <c r="G5277" s="7">
        <v>92542</v>
      </c>
      <c r="H5277" s="7">
        <f t="shared" si="129"/>
        <v>41497.97</v>
      </c>
      <c r="I5277" s="15"/>
    </row>
    <row r="5278" spans="1:9" s="8" customFormat="1" ht="21" customHeight="1" x14ac:dyDescent="0.6">
      <c r="A5278" s="7">
        <v>24.730453199999999</v>
      </c>
      <c r="B5278" s="7">
        <v>34.744847100000001</v>
      </c>
      <c r="C5278" s="7">
        <v>676472.05</v>
      </c>
      <c r="D5278" s="7">
        <v>2736226.13</v>
      </c>
      <c r="E5278" s="7">
        <v>431.62</v>
      </c>
      <c r="F5278" s="7">
        <v>41542.85</v>
      </c>
      <c r="G5278" s="7">
        <v>92544</v>
      </c>
      <c r="H5278" s="7">
        <f t="shared" si="129"/>
        <v>41485.85</v>
      </c>
      <c r="I5278" s="15"/>
    </row>
    <row r="5279" spans="1:9" s="8" customFormat="1" ht="21" customHeight="1" x14ac:dyDescent="0.6">
      <c r="A5279" s="7">
        <v>24.730434899999999</v>
      </c>
      <c r="B5279" s="7">
        <v>34.744865400000002</v>
      </c>
      <c r="C5279" s="7">
        <v>676473.93</v>
      </c>
      <c r="D5279" s="7">
        <v>2736224.13</v>
      </c>
      <c r="E5279" s="7">
        <v>431.73</v>
      </c>
      <c r="F5279" s="7">
        <v>41575.839999999997</v>
      </c>
      <c r="G5279" s="7">
        <v>92546</v>
      </c>
      <c r="H5279" s="7">
        <f t="shared" si="129"/>
        <v>41518.839999999997</v>
      </c>
      <c r="I5279" s="15"/>
    </row>
    <row r="5280" spans="1:9" s="8" customFormat="1" ht="21" customHeight="1" x14ac:dyDescent="0.6">
      <c r="A5280" s="7">
        <v>24.7304171</v>
      </c>
      <c r="B5280" s="7">
        <v>34.7448853</v>
      </c>
      <c r="C5280" s="7">
        <v>676475.97</v>
      </c>
      <c r="D5280" s="7">
        <v>2736222.18</v>
      </c>
      <c r="E5280" s="7">
        <v>431.86</v>
      </c>
      <c r="F5280" s="7">
        <v>41569.61</v>
      </c>
      <c r="G5280" s="7">
        <v>92548</v>
      </c>
      <c r="H5280" s="7">
        <f t="shared" si="129"/>
        <v>41512.61</v>
      </c>
      <c r="I5280" s="15"/>
    </row>
    <row r="5281" spans="1:9" s="8" customFormat="1" ht="21" customHeight="1" x14ac:dyDescent="0.6">
      <c r="A5281" s="7">
        <v>24.730401700000002</v>
      </c>
      <c r="B5281" s="7">
        <v>34.744908199999998</v>
      </c>
      <c r="C5281" s="7">
        <v>676478.3</v>
      </c>
      <c r="D5281" s="7">
        <v>2736220.5</v>
      </c>
      <c r="E5281" s="7">
        <v>432.25</v>
      </c>
      <c r="F5281" s="7">
        <v>41575.71</v>
      </c>
      <c r="G5281" s="7">
        <v>92550</v>
      </c>
      <c r="H5281" s="7">
        <f t="shared" si="129"/>
        <v>41518.71</v>
      </c>
      <c r="I5281" s="15"/>
    </row>
    <row r="5282" spans="1:9" s="8" customFormat="1" ht="21" customHeight="1" x14ac:dyDescent="0.6">
      <c r="A5282" s="7">
        <v>24.730385399999999</v>
      </c>
      <c r="B5282" s="7">
        <v>34.744934200000003</v>
      </c>
      <c r="C5282" s="7">
        <v>676480.96</v>
      </c>
      <c r="D5282" s="7">
        <v>2736218.73</v>
      </c>
      <c r="E5282" s="7">
        <v>432.5</v>
      </c>
      <c r="F5282" s="7">
        <v>41578.89</v>
      </c>
      <c r="G5282" s="7">
        <v>92552</v>
      </c>
      <c r="H5282" s="7">
        <f t="shared" si="129"/>
        <v>41521.89</v>
      </c>
      <c r="I5282" s="15"/>
    </row>
    <row r="5283" spans="1:9" s="8" customFormat="1" ht="21" customHeight="1" x14ac:dyDescent="0.6">
      <c r="A5283" s="7">
        <v>24.730373799999999</v>
      </c>
      <c r="B5283" s="7">
        <v>34.744959999999999</v>
      </c>
      <c r="C5283" s="7">
        <v>676483.59</v>
      </c>
      <c r="D5283" s="7">
        <v>2736217.48</v>
      </c>
      <c r="E5283" s="7">
        <v>432.7</v>
      </c>
      <c r="F5283" s="7">
        <v>41563.71</v>
      </c>
      <c r="G5283" s="7">
        <v>92554</v>
      </c>
      <c r="H5283" s="7">
        <f t="shared" si="129"/>
        <v>41506.71</v>
      </c>
      <c r="I5283" s="15"/>
    </row>
    <row r="5284" spans="1:9" s="8" customFormat="1" ht="21" customHeight="1" x14ac:dyDescent="0.6">
      <c r="A5284" s="7">
        <v>24.730374600000001</v>
      </c>
      <c r="B5284" s="7">
        <v>34.744992699999997</v>
      </c>
      <c r="C5284" s="7">
        <v>676486.89</v>
      </c>
      <c r="D5284" s="7">
        <v>2736217.6</v>
      </c>
      <c r="E5284" s="7">
        <v>432.96</v>
      </c>
      <c r="F5284" s="7">
        <v>41610.910000000003</v>
      </c>
      <c r="G5284" s="7">
        <v>92556</v>
      </c>
      <c r="H5284" s="7">
        <f t="shared" si="129"/>
        <v>41553.910000000003</v>
      </c>
      <c r="I5284" s="15"/>
    </row>
    <row r="5285" spans="1:9" s="8" customFormat="1" ht="21" customHeight="1" x14ac:dyDescent="0.6">
      <c r="A5285" s="7">
        <v>24.7303666</v>
      </c>
      <c r="B5285" s="7">
        <v>34.745016200000002</v>
      </c>
      <c r="C5285" s="7">
        <v>676489.28</v>
      </c>
      <c r="D5285" s="7">
        <v>2736216.76</v>
      </c>
      <c r="E5285" s="7">
        <v>433.09</v>
      </c>
      <c r="F5285" s="7">
        <v>41568.92</v>
      </c>
      <c r="G5285" s="7">
        <v>92558</v>
      </c>
      <c r="H5285" s="7">
        <f t="shared" si="129"/>
        <v>41511.919999999998</v>
      </c>
      <c r="I5285" s="15"/>
    </row>
    <row r="5286" spans="1:9" s="8" customFormat="1" ht="21" customHeight="1" x14ac:dyDescent="0.6">
      <c r="A5286" s="7">
        <v>24.7303575</v>
      </c>
      <c r="B5286" s="7">
        <v>34.745043199999998</v>
      </c>
      <c r="C5286" s="7">
        <v>676492.02</v>
      </c>
      <c r="D5286" s="7">
        <v>2736215.77</v>
      </c>
      <c r="E5286" s="7">
        <v>433.26</v>
      </c>
      <c r="F5286" s="7">
        <v>41537.57</v>
      </c>
      <c r="G5286" s="7">
        <v>92600</v>
      </c>
      <c r="H5286" s="7">
        <f t="shared" si="129"/>
        <v>41480.57</v>
      </c>
      <c r="I5286" s="15"/>
    </row>
    <row r="5287" spans="1:9" s="8" customFormat="1" ht="21" customHeight="1" x14ac:dyDescent="0.6">
      <c r="A5287" s="7">
        <v>24.730341899999999</v>
      </c>
      <c r="B5287" s="7">
        <v>34.745065099999998</v>
      </c>
      <c r="C5287" s="7">
        <v>676494.26</v>
      </c>
      <c r="D5287" s="7">
        <v>2736214.08</v>
      </c>
      <c r="E5287" s="7">
        <v>433.58</v>
      </c>
      <c r="F5287" s="7">
        <v>41536.67</v>
      </c>
      <c r="G5287" s="7">
        <v>92602</v>
      </c>
      <c r="H5287" s="7">
        <f t="shared" si="129"/>
        <v>41479.67</v>
      </c>
      <c r="I5287" s="15"/>
    </row>
    <row r="5288" spans="1:9" s="8" customFormat="1" ht="21" customHeight="1" x14ac:dyDescent="0.6">
      <c r="A5288" s="7">
        <v>24.730324700000001</v>
      </c>
      <c r="B5288" s="7">
        <v>34.745088000000003</v>
      </c>
      <c r="C5288" s="7">
        <v>676496.6</v>
      </c>
      <c r="D5288" s="7">
        <v>2736212.2</v>
      </c>
      <c r="E5288" s="7">
        <v>433.8</v>
      </c>
      <c r="F5288" s="7">
        <v>41506.239999999998</v>
      </c>
      <c r="G5288" s="7">
        <v>92604</v>
      </c>
      <c r="H5288" s="7">
        <f t="shared" si="129"/>
        <v>41449.24</v>
      </c>
      <c r="I5288" s="15"/>
    </row>
    <row r="5289" spans="1:9" s="8" customFormat="1" ht="21" customHeight="1" x14ac:dyDescent="0.6">
      <c r="A5289" s="7">
        <v>24.730308000000001</v>
      </c>
      <c r="B5289" s="7">
        <v>34.745109599999999</v>
      </c>
      <c r="C5289" s="7">
        <v>676498.82</v>
      </c>
      <c r="D5289" s="7">
        <v>2736210.38</v>
      </c>
      <c r="E5289" s="7">
        <v>434.02</v>
      </c>
      <c r="F5289" s="7">
        <v>41470.01</v>
      </c>
      <c r="G5289" s="7">
        <v>92606</v>
      </c>
      <c r="H5289" s="7">
        <f t="shared" si="129"/>
        <v>41413.01</v>
      </c>
      <c r="I5289" s="15"/>
    </row>
    <row r="5290" spans="1:9" s="8" customFormat="1" ht="21" customHeight="1" x14ac:dyDescent="0.6">
      <c r="A5290" s="7">
        <v>24.730292800000001</v>
      </c>
      <c r="B5290" s="7">
        <v>34.745132400000003</v>
      </c>
      <c r="C5290" s="7">
        <v>676501.14</v>
      </c>
      <c r="D5290" s="7">
        <v>2736208.73</v>
      </c>
      <c r="E5290" s="7">
        <v>434.23</v>
      </c>
      <c r="F5290" s="7">
        <v>41424.5</v>
      </c>
      <c r="G5290" s="7">
        <v>92608</v>
      </c>
      <c r="H5290" s="7">
        <f t="shared" si="129"/>
        <v>41367.5</v>
      </c>
      <c r="I5290" s="15"/>
    </row>
    <row r="5291" spans="1:9" s="8" customFormat="1" ht="21" customHeight="1" x14ac:dyDescent="0.6">
      <c r="A5291" s="7">
        <v>24.7302775</v>
      </c>
      <c r="B5291" s="7">
        <v>34.745153799999997</v>
      </c>
      <c r="C5291" s="7">
        <v>676503.33</v>
      </c>
      <c r="D5291" s="7">
        <v>2736207.06</v>
      </c>
      <c r="E5291" s="7">
        <v>434.6</v>
      </c>
      <c r="F5291" s="7">
        <v>41420.980000000003</v>
      </c>
      <c r="G5291" s="7">
        <v>92610</v>
      </c>
      <c r="H5291" s="7">
        <f t="shared" si="129"/>
        <v>41363.980000000003</v>
      </c>
      <c r="I5291" s="15"/>
    </row>
    <row r="5292" spans="1:9" s="8" customFormat="1" ht="21" customHeight="1" x14ac:dyDescent="0.6">
      <c r="A5292" s="7">
        <v>24.730261800000001</v>
      </c>
      <c r="B5292" s="7">
        <v>34.745175699999997</v>
      </c>
      <c r="C5292" s="7">
        <v>676505.56</v>
      </c>
      <c r="D5292" s="7">
        <v>2736205.35</v>
      </c>
      <c r="E5292" s="7">
        <v>434.59</v>
      </c>
      <c r="F5292" s="7">
        <v>41427.519999999997</v>
      </c>
      <c r="G5292" s="7">
        <v>92612</v>
      </c>
      <c r="H5292" s="7">
        <f t="shared" si="129"/>
        <v>41370.519999999997</v>
      </c>
      <c r="I5292" s="15"/>
    </row>
    <row r="5293" spans="1:9" s="8" customFormat="1" ht="21" customHeight="1" x14ac:dyDescent="0.6">
      <c r="A5293" s="7">
        <v>24.730249300000001</v>
      </c>
      <c r="B5293" s="7">
        <v>34.745197599999997</v>
      </c>
      <c r="C5293" s="7">
        <v>676507.8</v>
      </c>
      <c r="D5293" s="7">
        <v>2736203.99</v>
      </c>
      <c r="E5293" s="7">
        <v>434.84</v>
      </c>
      <c r="F5293" s="7">
        <v>41507.56</v>
      </c>
      <c r="G5293" s="7">
        <v>92614</v>
      </c>
      <c r="H5293" s="7">
        <f t="shared" si="129"/>
        <v>41450.559999999998</v>
      </c>
      <c r="I5293" s="15"/>
    </row>
    <row r="5294" spans="1:9" s="8" customFormat="1" ht="21" customHeight="1" x14ac:dyDescent="0.6">
      <c r="A5294" s="7">
        <v>24.730238400000001</v>
      </c>
      <c r="B5294" s="7">
        <v>34.7452197</v>
      </c>
      <c r="C5294" s="7">
        <v>676510.05</v>
      </c>
      <c r="D5294" s="7">
        <v>2736202.82</v>
      </c>
      <c r="E5294" s="7">
        <v>435.02</v>
      </c>
      <c r="F5294" s="7">
        <v>41529.660000000003</v>
      </c>
      <c r="G5294" s="7">
        <v>92616</v>
      </c>
      <c r="H5294" s="7">
        <f t="shared" si="129"/>
        <v>41472.660000000003</v>
      </c>
      <c r="I5294" s="15"/>
    </row>
    <row r="5295" spans="1:9" s="8" customFormat="1" ht="21" customHeight="1" x14ac:dyDescent="0.6">
      <c r="A5295" s="7">
        <v>24.7302198</v>
      </c>
      <c r="B5295" s="7">
        <v>34.7452349</v>
      </c>
      <c r="C5295" s="7">
        <v>676511.61</v>
      </c>
      <c r="D5295" s="7">
        <v>2736200.78</v>
      </c>
      <c r="E5295" s="7">
        <v>435.31</v>
      </c>
      <c r="F5295" s="7">
        <v>41514.33</v>
      </c>
      <c r="G5295" s="7">
        <v>92618</v>
      </c>
      <c r="H5295" s="7">
        <f t="shared" si="129"/>
        <v>41457.33</v>
      </c>
      <c r="I5295" s="15"/>
    </row>
    <row r="5296" spans="1:9" s="8" customFormat="1" ht="21" customHeight="1" x14ac:dyDescent="0.6">
      <c r="A5296" s="7">
        <v>24.730196400000001</v>
      </c>
      <c r="B5296" s="7">
        <v>34.745245799999999</v>
      </c>
      <c r="C5296" s="7">
        <v>676512.74</v>
      </c>
      <c r="D5296" s="7">
        <v>2736198.2</v>
      </c>
      <c r="E5296" s="7">
        <v>435.21</v>
      </c>
      <c r="F5296" s="7">
        <v>41457.440000000002</v>
      </c>
      <c r="G5296" s="7">
        <v>92620</v>
      </c>
      <c r="H5296" s="7">
        <f t="shared" si="129"/>
        <v>41400.44</v>
      </c>
      <c r="I5296" s="15"/>
    </row>
    <row r="5297" spans="1:9" s="8" customFormat="1" ht="21" customHeight="1" x14ac:dyDescent="0.6">
      <c r="A5297" s="7">
        <v>24.730176799999999</v>
      </c>
      <c r="B5297" s="7">
        <v>34.745254799999998</v>
      </c>
      <c r="C5297" s="7">
        <v>676513.68</v>
      </c>
      <c r="D5297" s="7">
        <v>2736196.03</v>
      </c>
      <c r="E5297" s="7">
        <v>435.87</v>
      </c>
      <c r="F5297" s="7">
        <v>41376.639999999999</v>
      </c>
      <c r="G5297" s="7">
        <v>92622</v>
      </c>
      <c r="H5297" s="7">
        <f t="shared" si="129"/>
        <v>41319.64</v>
      </c>
      <c r="I5297" s="15"/>
    </row>
    <row r="5298" spans="1:9" s="8" customFormat="1" ht="21" customHeight="1" x14ac:dyDescent="0.6">
      <c r="A5298" s="7">
        <v>24.730156099999999</v>
      </c>
      <c r="B5298" s="7">
        <v>34.745265000000003</v>
      </c>
      <c r="C5298" s="7">
        <v>676514.74</v>
      </c>
      <c r="D5298" s="7">
        <v>2736193.76</v>
      </c>
      <c r="E5298" s="7">
        <v>436.19</v>
      </c>
      <c r="F5298" s="7">
        <v>41431.53</v>
      </c>
      <c r="G5298" s="7">
        <v>92624</v>
      </c>
      <c r="H5298" s="7">
        <f t="shared" si="129"/>
        <v>41374.53</v>
      </c>
      <c r="I5298" s="15"/>
    </row>
    <row r="5299" spans="1:9" s="8" customFormat="1" ht="21" customHeight="1" x14ac:dyDescent="0.6">
      <c r="A5299" s="7">
        <v>24.730139699999999</v>
      </c>
      <c r="B5299" s="7">
        <v>34.745280600000001</v>
      </c>
      <c r="C5299" s="7">
        <v>676516.35</v>
      </c>
      <c r="D5299" s="7">
        <v>2736191.96</v>
      </c>
      <c r="E5299" s="7">
        <v>436.16</v>
      </c>
      <c r="F5299" s="7">
        <v>41422.74</v>
      </c>
      <c r="G5299" s="7">
        <v>92626</v>
      </c>
      <c r="H5299" s="7">
        <f t="shared" si="129"/>
        <v>41365.74</v>
      </c>
      <c r="I5299" s="15"/>
    </row>
    <row r="5300" spans="1:9" s="8" customFormat="1" ht="21" customHeight="1" x14ac:dyDescent="0.6">
      <c r="A5300" s="7">
        <v>24.730121499999999</v>
      </c>
      <c r="B5300" s="7">
        <v>34.745297999999998</v>
      </c>
      <c r="C5300" s="7">
        <v>676518.14</v>
      </c>
      <c r="D5300" s="7">
        <v>2736189.97</v>
      </c>
      <c r="E5300" s="7">
        <v>436.37</v>
      </c>
      <c r="F5300" s="7">
        <v>41418.46</v>
      </c>
      <c r="G5300" s="7">
        <v>92628</v>
      </c>
      <c r="H5300" s="7">
        <f t="shared" si="129"/>
        <v>41361.46</v>
      </c>
      <c r="I5300" s="15"/>
    </row>
    <row r="5301" spans="1:9" s="8" customFormat="1" ht="21" customHeight="1" x14ac:dyDescent="0.6">
      <c r="A5301" s="7">
        <v>24.730113599999999</v>
      </c>
      <c r="B5301" s="7">
        <v>34.745319799999997</v>
      </c>
      <c r="C5301" s="7">
        <v>676520.35</v>
      </c>
      <c r="D5301" s="7">
        <v>2736189.12</v>
      </c>
      <c r="E5301" s="7">
        <v>436.98</v>
      </c>
      <c r="F5301" s="7">
        <v>41471.019999999997</v>
      </c>
      <c r="G5301" s="7">
        <v>92630</v>
      </c>
      <c r="H5301" s="7">
        <f t="shared" si="129"/>
        <v>41414.019999999997</v>
      </c>
      <c r="I5301" s="15"/>
    </row>
    <row r="5302" spans="1:9" s="8" customFormat="1" ht="21" customHeight="1" x14ac:dyDescent="0.6">
      <c r="A5302" s="7">
        <v>24.730108000000001</v>
      </c>
      <c r="B5302" s="7">
        <v>34.745339899999998</v>
      </c>
      <c r="C5302" s="7">
        <v>676522.39</v>
      </c>
      <c r="D5302" s="7">
        <v>2736188.53</v>
      </c>
      <c r="E5302" s="7">
        <v>437.12</v>
      </c>
      <c r="F5302" s="7">
        <v>41497.230000000003</v>
      </c>
      <c r="G5302" s="7">
        <v>92632</v>
      </c>
      <c r="H5302" s="7">
        <f t="shared" si="129"/>
        <v>41440.230000000003</v>
      </c>
      <c r="I5302" s="15"/>
    </row>
    <row r="5303" spans="1:9" s="8" customFormat="1" ht="21" customHeight="1" x14ac:dyDescent="0.6">
      <c r="A5303" s="7">
        <v>24.7300948</v>
      </c>
      <c r="B5303" s="7">
        <v>34.745356999999998</v>
      </c>
      <c r="C5303" s="7">
        <v>676524.14</v>
      </c>
      <c r="D5303" s="7">
        <v>2736187.09</v>
      </c>
      <c r="E5303" s="7">
        <v>437.41</v>
      </c>
      <c r="F5303" s="7">
        <v>41417.89</v>
      </c>
      <c r="G5303" s="7">
        <v>92634</v>
      </c>
      <c r="H5303" s="7">
        <f t="shared" si="129"/>
        <v>41360.89</v>
      </c>
      <c r="I5303" s="15"/>
    </row>
    <row r="5304" spans="1:9" s="8" customFormat="1" ht="21" customHeight="1" x14ac:dyDescent="0.6">
      <c r="A5304" s="7">
        <v>24.730079499999999</v>
      </c>
      <c r="B5304" s="7">
        <v>34.745375199999998</v>
      </c>
      <c r="C5304" s="7">
        <v>676526</v>
      </c>
      <c r="D5304" s="7">
        <v>2736185.42</v>
      </c>
      <c r="E5304" s="7">
        <v>437.64</v>
      </c>
      <c r="F5304" s="7">
        <v>41388.26</v>
      </c>
      <c r="G5304" s="7">
        <v>92636</v>
      </c>
      <c r="H5304" s="7">
        <f t="shared" si="129"/>
        <v>41331.26</v>
      </c>
      <c r="I5304" s="15"/>
    </row>
    <row r="5305" spans="1:9" s="8" customFormat="1" ht="21" customHeight="1" x14ac:dyDescent="0.6">
      <c r="A5305" s="7">
        <v>24.7300702</v>
      </c>
      <c r="B5305" s="7">
        <v>34.7453942</v>
      </c>
      <c r="C5305" s="7">
        <v>676527.93</v>
      </c>
      <c r="D5305" s="7">
        <v>2736184.41</v>
      </c>
      <c r="E5305" s="7">
        <v>438.2</v>
      </c>
      <c r="F5305" s="7">
        <v>41304.67</v>
      </c>
      <c r="G5305" s="7">
        <v>92638</v>
      </c>
      <c r="H5305" s="7">
        <f t="shared" si="129"/>
        <v>41247.67</v>
      </c>
      <c r="I5305" s="15"/>
    </row>
    <row r="5306" spans="1:9" s="8" customFormat="1" ht="21" customHeight="1" x14ac:dyDescent="0.6">
      <c r="A5306" s="7">
        <v>24.730058499999998</v>
      </c>
      <c r="B5306" s="7">
        <v>34.745412100000003</v>
      </c>
      <c r="C5306" s="7">
        <v>676529.76</v>
      </c>
      <c r="D5306" s="7">
        <v>2736183.14</v>
      </c>
      <c r="E5306" s="7">
        <v>438.42</v>
      </c>
      <c r="F5306" s="7">
        <v>41301.72</v>
      </c>
      <c r="G5306" s="7">
        <v>92640</v>
      </c>
      <c r="H5306" s="7">
        <f t="shared" si="129"/>
        <v>41244.720000000001</v>
      </c>
      <c r="I5306" s="15"/>
    </row>
    <row r="5307" spans="1:9" s="8" customFormat="1" ht="21" customHeight="1" x14ac:dyDescent="0.6">
      <c r="A5307" s="7">
        <v>24.730054200000001</v>
      </c>
      <c r="B5307" s="7">
        <v>34.7454258</v>
      </c>
      <c r="C5307" s="7">
        <v>676531.16</v>
      </c>
      <c r="D5307" s="7">
        <v>2736182.68</v>
      </c>
      <c r="E5307" s="7">
        <v>438.75</v>
      </c>
      <c r="F5307" s="7">
        <v>41345.519999999997</v>
      </c>
      <c r="G5307" s="7">
        <v>92642</v>
      </c>
      <c r="H5307" s="7">
        <f t="shared" si="129"/>
        <v>41288.519999999997</v>
      </c>
      <c r="I5307" s="15"/>
    </row>
    <row r="5308" spans="1:9" s="8" customFormat="1" ht="21" customHeight="1" x14ac:dyDescent="0.6">
      <c r="A5308" s="7">
        <v>24.730050800000001</v>
      </c>
      <c r="B5308" s="7">
        <v>34.745450300000002</v>
      </c>
      <c r="C5308" s="7">
        <v>676533.63</v>
      </c>
      <c r="D5308" s="7">
        <v>2736182.33</v>
      </c>
      <c r="E5308" s="7">
        <v>439.02</v>
      </c>
      <c r="F5308" s="7">
        <v>41362.480000000003</v>
      </c>
      <c r="G5308" s="7">
        <v>92644</v>
      </c>
      <c r="H5308" s="7">
        <f t="shared" si="129"/>
        <v>41305.480000000003</v>
      </c>
      <c r="I5308" s="15"/>
    </row>
    <row r="5309" spans="1:9" s="8" customFormat="1" ht="21" customHeight="1" x14ac:dyDescent="0.6">
      <c r="A5309" s="7">
        <v>24.730041400000001</v>
      </c>
      <c r="B5309" s="7">
        <v>34.745466399999998</v>
      </c>
      <c r="C5309" s="7">
        <v>676535.29</v>
      </c>
      <c r="D5309" s="7">
        <v>2736181.31</v>
      </c>
      <c r="E5309" s="7">
        <v>439.27</v>
      </c>
      <c r="F5309" s="7">
        <v>41388.89</v>
      </c>
      <c r="G5309" s="7">
        <v>92646</v>
      </c>
      <c r="H5309" s="7">
        <f t="shared" si="129"/>
        <v>41331.89</v>
      </c>
      <c r="I5309" s="15"/>
    </row>
    <row r="5310" spans="1:9" s="8" customFormat="1" ht="21" customHeight="1" x14ac:dyDescent="0.6">
      <c r="A5310" s="7">
        <v>24.730025300000001</v>
      </c>
      <c r="B5310" s="7">
        <v>34.745474199999997</v>
      </c>
      <c r="C5310" s="7">
        <v>676536.09</v>
      </c>
      <c r="D5310" s="7">
        <v>2736179.54</v>
      </c>
      <c r="E5310" s="7">
        <v>439.39</v>
      </c>
      <c r="F5310" s="7">
        <v>41393.339999999997</v>
      </c>
      <c r="G5310" s="7">
        <v>92648</v>
      </c>
      <c r="H5310" s="7">
        <f t="shared" si="129"/>
        <v>41336.339999999997</v>
      </c>
      <c r="I5310" s="15"/>
    </row>
    <row r="5311" spans="1:9" s="8" customFormat="1" ht="21" customHeight="1" x14ac:dyDescent="0.6">
      <c r="A5311" s="7">
        <v>24.7300115</v>
      </c>
      <c r="B5311" s="7">
        <v>34.745478400000003</v>
      </c>
      <c r="C5311" s="7">
        <v>676536.54</v>
      </c>
      <c r="D5311" s="7">
        <v>2736178.02</v>
      </c>
      <c r="E5311" s="7">
        <v>439.31</v>
      </c>
      <c r="F5311" s="7">
        <v>41402.49</v>
      </c>
      <c r="G5311" s="7">
        <v>92650</v>
      </c>
      <c r="H5311" s="7">
        <f t="shared" si="129"/>
        <v>41345.49</v>
      </c>
      <c r="I5311" s="15"/>
    </row>
    <row r="5312" spans="1:9" s="8" customFormat="1" ht="21" customHeight="1" x14ac:dyDescent="0.6">
      <c r="A5312" s="7">
        <v>24.729994600000001</v>
      </c>
      <c r="B5312" s="7">
        <v>34.745486900000003</v>
      </c>
      <c r="C5312" s="7">
        <v>676537.43</v>
      </c>
      <c r="D5312" s="7">
        <v>2736176.16</v>
      </c>
      <c r="E5312" s="7">
        <v>439.23</v>
      </c>
      <c r="F5312" s="7">
        <v>41397.96</v>
      </c>
      <c r="G5312" s="7">
        <v>92652</v>
      </c>
      <c r="H5312" s="7">
        <f t="shared" si="129"/>
        <v>41340.959999999999</v>
      </c>
      <c r="I5312" s="15"/>
    </row>
    <row r="5313" spans="1:9" s="8" customFormat="1" ht="21" customHeight="1" x14ac:dyDescent="0.6">
      <c r="A5313" s="7">
        <v>24.7299781</v>
      </c>
      <c r="B5313" s="7">
        <v>34.745503599999999</v>
      </c>
      <c r="C5313" s="7">
        <v>676539.14</v>
      </c>
      <c r="D5313" s="7">
        <v>2736174.35</v>
      </c>
      <c r="E5313" s="7">
        <v>439.24</v>
      </c>
      <c r="F5313" s="7">
        <v>41494.04</v>
      </c>
      <c r="G5313" s="7">
        <v>92654</v>
      </c>
      <c r="H5313" s="7">
        <f t="shared" si="129"/>
        <v>41437.040000000001</v>
      </c>
      <c r="I5313" s="15"/>
    </row>
    <row r="5314" spans="1:9" s="8" customFormat="1" ht="21" customHeight="1" x14ac:dyDescent="0.6">
      <c r="A5314" s="7">
        <v>24.729963600000001</v>
      </c>
      <c r="B5314" s="7">
        <v>34.7455146</v>
      </c>
      <c r="C5314" s="7">
        <v>676540.26</v>
      </c>
      <c r="D5314" s="7">
        <v>2736172.76</v>
      </c>
      <c r="E5314" s="7">
        <v>439.71</v>
      </c>
      <c r="F5314" s="7">
        <v>41537.31</v>
      </c>
      <c r="G5314" s="7">
        <v>92656</v>
      </c>
      <c r="H5314" s="7">
        <f t="shared" si="129"/>
        <v>41480.31</v>
      </c>
      <c r="I5314" s="15"/>
    </row>
    <row r="5315" spans="1:9" s="8" customFormat="1" ht="21" customHeight="1" x14ac:dyDescent="0.6">
      <c r="A5315" s="7">
        <v>24.729950599999999</v>
      </c>
      <c r="B5315" s="7">
        <v>34.745529599999998</v>
      </c>
      <c r="C5315" s="7">
        <v>676541.8</v>
      </c>
      <c r="D5315" s="7">
        <v>2736171.35</v>
      </c>
      <c r="E5315" s="7">
        <v>439.91</v>
      </c>
      <c r="F5315" s="7">
        <v>41470.6</v>
      </c>
      <c r="G5315" s="7">
        <v>92658</v>
      </c>
      <c r="H5315" s="7">
        <f t="shared" si="129"/>
        <v>41413.599999999999</v>
      </c>
      <c r="I5315" s="15"/>
    </row>
    <row r="5316" spans="1:9" s="8" customFormat="1" ht="21" customHeight="1" x14ac:dyDescent="0.6">
      <c r="A5316" s="7">
        <v>24.729946900000002</v>
      </c>
      <c r="B5316" s="7">
        <v>34.745544199999998</v>
      </c>
      <c r="C5316" s="7">
        <v>676543.28</v>
      </c>
      <c r="D5316" s="7">
        <v>2736170.94</v>
      </c>
      <c r="E5316" s="7">
        <v>440.5</v>
      </c>
      <c r="F5316" s="7">
        <v>41415.26</v>
      </c>
      <c r="G5316" s="7">
        <v>92700</v>
      </c>
      <c r="H5316" s="7">
        <f t="shared" si="129"/>
        <v>41358.26</v>
      </c>
      <c r="I5316" s="15"/>
    </row>
    <row r="5317" spans="1:9" s="8" customFormat="1" ht="21" customHeight="1" x14ac:dyDescent="0.6">
      <c r="A5317" s="7">
        <v>24.7299422</v>
      </c>
      <c r="B5317" s="7">
        <v>34.745554300000002</v>
      </c>
      <c r="C5317" s="7">
        <v>676544.32</v>
      </c>
      <c r="D5317" s="7">
        <v>2736170.44</v>
      </c>
      <c r="E5317" s="7">
        <v>440.44</v>
      </c>
      <c r="F5317" s="7">
        <v>41367.19</v>
      </c>
      <c r="G5317" s="7">
        <v>92702</v>
      </c>
      <c r="H5317" s="7">
        <f t="shared" si="129"/>
        <v>41310.19</v>
      </c>
      <c r="I5317" s="15"/>
    </row>
    <row r="5318" spans="1:9" s="8" customFormat="1" ht="21" customHeight="1" x14ac:dyDescent="0.6">
      <c r="A5318" s="7">
        <v>24.729933299999999</v>
      </c>
      <c r="B5318" s="7">
        <v>34.745564799999997</v>
      </c>
      <c r="C5318" s="7">
        <v>676545.39</v>
      </c>
      <c r="D5318" s="7">
        <v>2736169.46</v>
      </c>
      <c r="E5318" s="7">
        <v>440.89</v>
      </c>
      <c r="F5318" s="7">
        <v>41352.85</v>
      </c>
      <c r="G5318" s="7">
        <v>92704</v>
      </c>
      <c r="H5318" s="7">
        <f t="shared" si="129"/>
        <v>41295.85</v>
      </c>
      <c r="I5318" s="15"/>
    </row>
    <row r="5319" spans="1:9" s="8" customFormat="1" ht="21" customHeight="1" x14ac:dyDescent="0.6">
      <c r="A5319" s="7">
        <v>24.729928399999999</v>
      </c>
      <c r="B5319" s="7">
        <v>34.745581000000001</v>
      </c>
      <c r="C5319" s="7">
        <v>676547.03</v>
      </c>
      <c r="D5319" s="7">
        <v>2736168.95</v>
      </c>
      <c r="E5319" s="7">
        <v>441</v>
      </c>
      <c r="F5319" s="7">
        <v>41425.97</v>
      </c>
      <c r="G5319" s="7">
        <v>92706</v>
      </c>
      <c r="H5319" s="7">
        <f t="shared" si="129"/>
        <v>41368.97</v>
      </c>
      <c r="I5319" s="15"/>
    </row>
    <row r="5320" spans="1:9" s="8" customFormat="1" ht="21" customHeight="1" x14ac:dyDescent="0.6">
      <c r="A5320" s="7">
        <v>24.729922200000001</v>
      </c>
      <c r="B5320" s="7">
        <v>34.745600199999998</v>
      </c>
      <c r="C5320" s="7">
        <v>676548.99</v>
      </c>
      <c r="D5320" s="7">
        <v>2736168.29</v>
      </c>
      <c r="E5320" s="7">
        <v>441.01</v>
      </c>
      <c r="F5320" s="7">
        <v>41592.86</v>
      </c>
      <c r="G5320" s="7">
        <v>92708</v>
      </c>
      <c r="H5320" s="7">
        <f t="shared" si="129"/>
        <v>41535.86</v>
      </c>
      <c r="I5320" s="15"/>
    </row>
    <row r="5321" spans="1:9" s="8" customFormat="1" ht="21" customHeight="1" x14ac:dyDescent="0.6">
      <c r="A5321" s="7">
        <v>24.729925099999999</v>
      </c>
      <c r="B5321" s="7">
        <v>34.745622699999998</v>
      </c>
      <c r="C5321" s="7">
        <v>676551.25</v>
      </c>
      <c r="D5321" s="7">
        <v>2736168.64</v>
      </c>
      <c r="E5321" s="7">
        <v>441</v>
      </c>
      <c r="F5321" s="7">
        <v>41732.83</v>
      </c>
      <c r="G5321" s="7">
        <v>92710</v>
      </c>
      <c r="H5321" s="7">
        <f t="shared" si="129"/>
        <v>41675.83</v>
      </c>
      <c r="I5321" s="15"/>
    </row>
    <row r="5322" spans="1:9" s="8" customFormat="1" ht="21" customHeight="1" x14ac:dyDescent="0.6">
      <c r="A5322" s="7">
        <v>24.729911900000001</v>
      </c>
      <c r="B5322" s="7">
        <v>34.745624300000003</v>
      </c>
      <c r="C5322" s="7">
        <v>676551.44</v>
      </c>
      <c r="D5322" s="7">
        <v>2736167.17</v>
      </c>
      <c r="E5322" s="7">
        <v>441.27</v>
      </c>
      <c r="F5322" s="7">
        <v>41929.72</v>
      </c>
      <c r="G5322" s="7">
        <v>92712</v>
      </c>
      <c r="H5322" s="7">
        <f t="shared" si="129"/>
        <v>41872.720000000001</v>
      </c>
      <c r="I5322" s="15"/>
    </row>
    <row r="5323" spans="1:9" s="8" customFormat="1" ht="21" customHeight="1" x14ac:dyDescent="0.6">
      <c r="A5323" s="7">
        <v>24.7299069</v>
      </c>
      <c r="B5323" s="7">
        <v>34.745635399999998</v>
      </c>
      <c r="C5323" s="7">
        <v>676552.57</v>
      </c>
      <c r="D5323" s="7">
        <v>2736166.64</v>
      </c>
      <c r="E5323" s="7">
        <v>441.66</v>
      </c>
      <c r="F5323" s="7">
        <v>42241.23</v>
      </c>
      <c r="G5323" s="7">
        <v>92714</v>
      </c>
      <c r="H5323" s="7">
        <f t="shared" si="129"/>
        <v>42184.23</v>
      </c>
      <c r="I5323" s="15"/>
    </row>
    <row r="5324" spans="1:9" s="8" customFormat="1" ht="21" customHeight="1" x14ac:dyDescent="0.6">
      <c r="A5324" s="7">
        <v>24.729898599999999</v>
      </c>
      <c r="B5324" s="7">
        <v>34.745646999999998</v>
      </c>
      <c r="C5324" s="7">
        <v>676553.75</v>
      </c>
      <c r="D5324" s="7">
        <v>2736165.73</v>
      </c>
      <c r="E5324" s="7">
        <v>441.7</v>
      </c>
      <c r="F5324" s="7">
        <v>42530.7</v>
      </c>
      <c r="G5324" s="7">
        <v>92716</v>
      </c>
      <c r="H5324" s="7">
        <f t="shared" si="129"/>
        <v>42473.7</v>
      </c>
      <c r="I5324" s="15"/>
    </row>
    <row r="5325" spans="1:9" s="8" customFormat="1" ht="21" customHeight="1" x14ac:dyDescent="0.6">
      <c r="A5325" s="7">
        <v>24.729897600000001</v>
      </c>
      <c r="B5325" s="7">
        <v>34.745662600000003</v>
      </c>
      <c r="C5325" s="7">
        <v>676555.33</v>
      </c>
      <c r="D5325" s="7">
        <v>2736165.64</v>
      </c>
      <c r="E5325" s="7">
        <v>442.13</v>
      </c>
      <c r="F5325" s="7">
        <v>42788.99</v>
      </c>
      <c r="G5325" s="7">
        <v>92718</v>
      </c>
      <c r="H5325" s="7">
        <f t="shared" si="129"/>
        <v>42731.99</v>
      </c>
      <c r="I5325" s="15"/>
    </row>
    <row r="5326" spans="1:9" s="8" customFormat="1" ht="21" customHeight="1" x14ac:dyDescent="0.6">
      <c r="A5326" s="7">
        <v>24.7298884</v>
      </c>
      <c r="B5326" s="7">
        <v>34.745670500000003</v>
      </c>
      <c r="C5326" s="7">
        <v>676556.14</v>
      </c>
      <c r="D5326" s="7">
        <v>2736164.63</v>
      </c>
      <c r="E5326" s="7">
        <v>442.65</v>
      </c>
      <c r="F5326" s="7">
        <v>42533.81</v>
      </c>
      <c r="G5326" s="7">
        <v>92720</v>
      </c>
      <c r="H5326" s="7">
        <f t="shared" si="129"/>
        <v>42476.81</v>
      </c>
      <c r="I5326" s="15"/>
    </row>
    <row r="5327" spans="1:9" s="8" customFormat="1" ht="21" customHeight="1" x14ac:dyDescent="0.6">
      <c r="A5327" s="7">
        <v>24.729888800000001</v>
      </c>
      <c r="B5327" s="7">
        <v>34.745669700000001</v>
      </c>
      <c r="C5327" s="7">
        <v>676556.06</v>
      </c>
      <c r="D5327" s="7">
        <v>2736164.68</v>
      </c>
      <c r="E5327" s="7">
        <v>442.8</v>
      </c>
      <c r="F5327" s="7">
        <v>42483.79</v>
      </c>
      <c r="G5327" s="7">
        <v>92722</v>
      </c>
      <c r="H5327" s="7">
        <f t="shared" si="129"/>
        <v>42426.79</v>
      </c>
      <c r="I5327" s="15"/>
    </row>
    <row r="5328" spans="1:9" s="8" customFormat="1" ht="21" customHeight="1" x14ac:dyDescent="0.6">
      <c r="A5328" s="7">
        <v>24.7298878</v>
      </c>
      <c r="B5328" s="7">
        <v>34.745671600000001</v>
      </c>
      <c r="C5328" s="7">
        <v>676556.26</v>
      </c>
      <c r="D5328" s="7">
        <v>2736164.57</v>
      </c>
      <c r="E5328" s="7">
        <v>442.85</v>
      </c>
      <c r="F5328" s="7">
        <v>42493.95</v>
      </c>
      <c r="G5328" s="7">
        <v>92724</v>
      </c>
      <c r="H5328" s="7">
        <f t="shared" si="129"/>
        <v>42436.95</v>
      </c>
      <c r="I5328" s="15"/>
    </row>
    <row r="5329" spans="1:9" s="8" customFormat="1" ht="21" customHeight="1" x14ac:dyDescent="0.6">
      <c r="A5329" s="7">
        <v>24.729873300000001</v>
      </c>
      <c r="B5329" s="7">
        <v>34.745677200000003</v>
      </c>
      <c r="C5329" s="7">
        <v>676556.84</v>
      </c>
      <c r="D5329" s="7">
        <v>2736162.97</v>
      </c>
      <c r="E5329" s="7">
        <v>443.36</v>
      </c>
      <c r="F5329" s="7">
        <v>42050.52</v>
      </c>
      <c r="G5329" s="7">
        <v>92726</v>
      </c>
      <c r="H5329" s="7">
        <f t="shared" si="129"/>
        <v>41993.52</v>
      </c>
      <c r="I5329" s="15"/>
    </row>
    <row r="5330" spans="1:9" s="8" customFormat="1" ht="21" customHeight="1" x14ac:dyDescent="0.6">
      <c r="A5330" s="7">
        <v>24.7298632</v>
      </c>
      <c r="B5330" s="7">
        <v>34.7456824</v>
      </c>
      <c r="C5330" s="7">
        <v>676557.39</v>
      </c>
      <c r="D5330" s="7">
        <v>2736161.85</v>
      </c>
      <c r="E5330" s="7">
        <v>443.88</v>
      </c>
      <c r="F5330" s="7">
        <v>41927.89</v>
      </c>
      <c r="G5330" s="7">
        <v>92728</v>
      </c>
      <c r="H5330" s="7">
        <f t="shared" si="129"/>
        <v>41870.89</v>
      </c>
      <c r="I5330" s="15"/>
    </row>
    <row r="5331" spans="1:9" s="8" customFormat="1" ht="21" customHeight="1" x14ac:dyDescent="0.6">
      <c r="A5331" s="7">
        <v>24.729838399999998</v>
      </c>
      <c r="B5331" s="7">
        <v>34.7457086</v>
      </c>
      <c r="C5331" s="7">
        <v>676560.07</v>
      </c>
      <c r="D5331" s="7">
        <v>2736159.15</v>
      </c>
      <c r="E5331" s="7">
        <v>444.82</v>
      </c>
      <c r="F5331" s="7">
        <v>41956.62</v>
      </c>
      <c r="G5331" s="7">
        <v>92730</v>
      </c>
      <c r="H5331" s="7">
        <f t="shared" ref="H5331:H5344" si="130">SUM(F5331-57)</f>
        <v>41899.620000000003</v>
      </c>
      <c r="I5331" s="15"/>
    </row>
    <row r="5332" spans="1:9" s="8" customFormat="1" ht="21" customHeight="1" x14ac:dyDescent="0.6">
      <c r="A5332" s="7">
        <v>24.7298221</v>
      </c>
      <c r="B5332" s="7">
        <v>34.745715500000003</v>
      </c>
      <c r="C5332" s="7">
        <v>676560.79</v>
      </c>
      <c r="D5332" s="7">
        <v>2736157.35</v>
      </c>
      <c r="E5332" s="7">
        <v>445.56</v>
      </c>
      <c r="F5332" s="7">
        <v>42009.3</v>
      </c>
      <c r="G5332" s="7">
        <v>92732</v>
      </c>
      <c r="H5332" s="7">
        <f t="shared" si="130"/>
        <v>41952.3</v>
      </c>
      <c r="I5332" s="15"/>
    </row>
    <row r="5333" spans="1:9" s="8" customFormat="1" ht="21" customHeight="1" x14ac:dyDescent="0.6">
      <c r="A5333" s="7">
        <v>24.729828399999999</v>
      </c>
      <c r="B5333" s="7">
        <v>34.745708299999997</v>
      </c>
      <c r="C5333" s="7">
        <v>676560.05</v>
      </c>
      <c r="D5333" s="7">
        <v>2736158.03</v>
      </c>
      <c r="E5333" s="7">
        <v>444.18</v>
      </c>
      <c r="F5333" s="7">
        <v>42364.26</v>
      </c>
      <c r="G5333" s="7">
        <v>92734</v>
      </c>
      <c r="H5333" s="7">
        <f t="shared" si="130"/>
        <v>42307.26</v>
      </c>
      <c r="I5333" s="15"/>
    </row>
    <row r="5334" spans="1:9" s="8" customFormat="1" ht="21" customHeight="1" x14ac:dyDescent="0.6">
      <c r="A5334" s="7">
        <v>24.729824000000001</v>
      </c>
      <c r="B5334" s="7">
        <v>34.745716399999999</v>
      </c>
      <c r="C5334" s="7">
        <v>676560.88</v>
      </c>
      <c r="D5334" s="7">
        <v>2736157.56</v>
      </c>
      <c r="E5334" s="7">
        <v>443.4</v>
      </c>
      <c r="F5334" s="7">
        <v>42417.78</v>
      </c>
      <c r="G5334" s="7">
        <v>92736</v>
      </c>
      <c r="H5334" s="7">
        <f t="shared" si="130"/>
        <v>42360.78</v>
      </c>
      <c r="I5334" s="15"/>
    </row>
    <row r="5335" spans="1:9" s="8" customFormat="1" ht="21" customHeight="1" x14ac:dyDescent="0.6">
      <c r="A5335" s="7">
        <v>24.729816</v>
      </c>
      <c r="B5335" s="7">
        <v>34.745712599999997</v>
      </c>
      <c r="C5335" s="7">
        <v>676560.5</v>
      </c>
      <c r="D5335" s="7">
        <v>2736156.67</v>
      </c>
      <c r="E5335" s="7">
        <v>444.03</v>
      </c>
      <c r="F5335" s="7">
        <v>42302.06</v>
      </c>
      <c r="G5335" s="7">
        <v>92738</v>
      </c>
      <c r="H5335" s="7">
        <f t="shared" si="130"/>
        <v>42245.06</v>
      </c>
      <c r="I5335" s="15"/>
    </row>
    <row r="5336" spans="1:9" s="8" customFormat="1" ht="21" customHeight="1" x14ac:dyDescent="0.6">
      <c r="A5336" s="7">
        <v>24.729813</v>
      </c>
      <c r="B5336" s="7">
        <v>34.745720900000002</v>
      </c>
      <c r="C5336" s="7">
        <v>676561.35</v>
      </c>
      <c r="D5336" s="7">
        <v>2736156.35</v>
      </c>
      <c r="E5336" s="7">
        <v>443.81</v>
      </c>
      <c r="F5336" s="7">
        <v>42294.32</v>
      </c>
      <c r="G5336" s="7">
        <v>92740</v>
      </c>
      <c r="H5336" s="7">
        <f t="shared" si="130"/>
        <v>42237.32</v>
      </c>
      <c r="I5336" s="15"/>
    </row>
    <row r="5337" spans="1:9" s="8" customFormat="1" ht="21" customHeight="1" x14ac:dyDescent="0.6">
      <c r="A5337" s="7">
        <v>24.729811000000002</v>
      </c>
      <c r="B5337" s="7">
        <v>34.745737200000001</v>
      </c>
      <c r="C5337" s="7">
        <v>676563</v>
      </c>
      <c r="D5337" s="7">
        <v>2736156.14</v>
      </c>
      <c r="E5337" s="7">
        <v>444.59</v>
      </c>
      <c r="F5337" s="7">
        <v>42449.54</v>
      </c>
      <c r="G5337" s="7">
        <v>92742</v>
      </c>
      <c r="H5337" s="7">
        <f t="shared" si="130"/>
        <v>42392.54</v>
      </c>
      <c r="I5337" s="15"/>
    </row>
    <row r="5338" spans="1:9" s="8" customFormat="1" ht="21" customHeight="1" x14ac:dyDescent="0.6">
      <c r="A5338" s="7">
        <v>24.729801800000001</v>
      </c>
      <c r="B5338" s="7">
        <v>34.745742700000001</v>
      </c>
      <c r="C5338" s="7">
        <v>676563.57</v>
      </c>
      <c r="D5338" s="7">
        <v>2736155.13</v>
      </c>
      <c r="E5338" s="7">
        <v>444.88</v>
      </c>
      <c r="F5338" s="7">
        <v>42428.74</v>
      </c>
      <c r="G5338" s="7">
        <v>92744</v>
      </c>
      <c r="H5338" s="7">
        <f t="shared" si="130"/>
        <v>42371.74</v>
      </c>
      <c r="I5338" s="15"/>
    </row>
    <row r="5339" spans="1:9" s="8" customFormat="1" ht="21" customHeight="1" x14ac:dyDescent="0.6">
      <c r="A5339" s="7">
        <v>24.729794600000002</v>
      </c>
      <c r="B5339" s="7">
        <v>34.745754499999997</v>
      </c>
      <c r="C5339" s="7">
        <v>676564.78</v>
      </c>
      <c r="D5339" s="7">
        <v>2736154.36</v>
      </c>
      <c r="E5339" s="7">
        <v>445.41</v>
      </c>
      <c r="F5339" s="7">
        <v>42244.72</v>
      </c>
      <c r="G5339" s="7">
        <v>92746</v>
      </c>
      <c r="H5339" s="7">
        <f t="shared" si="130"/>
        <v>42187.72</v>
      </c>
      <c r="I5339" s="15"/>
    </row>
    <row r="5340" spans="1:9" s="8" customFormat="1" ht="21" customHeight="1" x14ac:dyDescent="0.6">
      <c r="A5340" s="7">
        <v>24.729797300000001</v>
      </c>
      <c r="B5340" s="7">
        <v>34.745766099999997</v>
      </c>
      <c r="C5340" s="7">
        <v>676565.94</v>
      </c>
      <c r="D5340" s="7">
        <v>2736154.67</v>
      </c>
      <c r="E5340" s="7">
        <v>445.44</v>
      </c>
      <c r="F5340" s="7">
        <v>42310.400000000001</v>
      </c>
      <c r="G5340" s="7">
        <v>92748</v>
      </c>
      <c r="H5340" s="7">
        <f t="shared" si="130"/>
        <v>42253.4</v>
      </c>
      <c r="I5340" s="15"/>
    </row>
    <row r="5341" spans="1:9" s="8" customFormat="1" ht="21" customHeight="1" x14ac:dyDescent="0.6">
      <c r="A5341" s="7">
        <v>24.729793999999998</v>
      </c>
      <c r="B5341" s="7">
        <v>34.7457779</v>
      </c>
      <c r="C5341" s="7">
        <v>676567.15</v>
      </c>
      <c r="D5341" s="7">
        <v>2736154.32</v>
      </c>
      <c r="E5341" s="7">
        <v>445.73</v>
      </c>
      <c r="F5341" s="7">
        <v>42024.43</v>
      </c>
      <c r="G5341" s="7">
        <v>92750</v>
      </c>
      <c r="H5341" s="7">
        <f t="shared" si="130"/>
        <v>41967.43</v>
      </c>
      <c r="I5341" s="15"/>
    </row>
    <row r="5342" spans="1:9" s="8" customFormat="1" ht="21" customHeight="1" x14ac:dyDescent="0.6">
      <c r="A5342" s="7">
        <v>24.729793099999998</v>
      </c>
      <c r="B5342" s="7">
        <v>34.745792600000001</v>
      </c>
      <c r="C5342" s="7">
        <v>676568.63</v>
      </c>
      <c r="D5342" s="7">
        <v>2736154.24</v>
      </c>
      <c r="E5342" s="7">
        <v>446.22</v>
      </c>
      <c r="F5342" s="7">
        <v>41755.51</v>
      </c>
      <c r="G5342" s="7">
        <v>92752</v>
      </c>
      <c r="H5342" s="7">
        <f t="shared" si="130"/>
        <v>41698.51</v>
      </c>
      <c r="I5342" s="15"/>
    </row>
    <row r="5343" spans="1:9" s="8" customFormat="1" ht="21" customHeight="1" x14ac:dyDescent="0.6">
      <c r="A5343" s="7">
        <v>24.729785400000001</v>
      </c>
      <c r="B5343" s="7">
        <v>34.745792000000002</v>
      </c>
      <c r="C5343" s="7">
        <v>676568.58</v>
      </c>
      <c r="D5343" s="7">
        <v>2736153.38</v>
      </c>
      <c r="E5343" s="7">
        <v>446.06</v>
      </c>
      <c r="F5343" s="7">
        <v>41790.43</v>
      </c>
      <c r="G5343" s="7">
        <v>92754</v>
      </c>
      <c r="H5343" s="7">
        <f t="shared" si="130"/>
        <v>41733.43</v>
      </c>
      <c r="I5343" s="15"/>
    </row>
    <row r="5344" spans="1:9" s="8" customFormat="1" ht="21" customHeight="1" x14ac:dyDescent="0.6">
      <c r="A5344" s="7">
        <v>24.729780300000002</v>
      </c>
      <c r="B5344" s="7">
        <v>34.745795800000003</v>
      </c>
      <c r="C5344" s="7">
        <v>676568.97</v>
      </c>
      <c r="D5344" s="7">
        <v>2736152.83</v>
      </c>
      <c r="E5344" s="7">
        <v>446.81</v>
      </c>
      <c r="F5344" s="7">
        <v>41945.51</v>
      </c>
      <c r="G5344" s="7">
        <v>92756</v>
      </c>
      <c r="H5344" s="7">
        <f t="shared" si="130"/>
        <v>41888.51</v>
      </c>
      <c r="I5344" s="15"/>
    </row>
    <row r="5345" spans="1:9" s="2" customFormat="1" ht="19.5" customHeight="1" x14ac:dyDescent="0.55000000000000004">
      <c r="A5345" s="18">
        <v>24.727163099999999</v>
      </c>
      <c r="B5345" s="18">
        <v>34.763674399999999</v>
      </c>
      <c r="C5345" s="18">
        <v>678381.31</v>
      </c>
      <c r="D5345" s="18">
        <v>2735886.12</v>
      </c>
      <c r="E5345" s="18">
        <v>422.98</v>
      </c>
      <c r="F5345" s="18">
        <v>41732.03</v>
      </c>
      <c r="G5345" s="18">
        <v>100701</v>
      </c>
      <c r="H5345" s="18">
        <f>SUM(F5345-76)</f>
        <v>41656.03</v>
      </c>
      <c r="I5345" s="12"/>
    </row>
    <row r="5346" spans="1:9" s="2" customFormat="1" ht="19.5" customHeight="1" x14ac:dyDescent="0.55000000000000004">
      <c r="A5346" s="18">
        <v>24.727162499999999</v>
      </c>
      <c r="B5346" s="18">
        <v>34.763689499999998</v>
      </c>
      <c r="C5346" s="18">
        <v>678382.84</v>
      </c>
      <c r="D5346" s="18">
        <v>2735886.07</v>
      </c>
      <c r="E5346" s="18">
        <v>428.24</v>
      </c>
      <c r="F5346" s="18">
        <v>41731.550000000003</v>
      </c>
      <c r="G5346" s="18">
        <v>100719</v>
      </c>
      <c r="H5346" s="18">
        <f t="shared" ref="H5346:H5347" si="131">SUM(F5346-76)</f>
        <v>41655.550000000003</v>
      </c>
      <c r="I5346" s="12"/>
    </row>
    <row r="5347" spans="1:9" s="2" customFormat="1" ht="19.5" customHeight="1" x14ac:dyDescent="0.55000000000000004">
      <c r="A5347" s="18">
        <v>24.725216700000001</v>
      </c>
      <c r="B5347" s="18">
        <v>34.765059999999998</v>
      </c>
      <c r="C5347" s="18">
        <v>678524.26</v>
      </c>
      <c r="D5347" s="18">
        <v>2735672.35</v>
      </c>
      <c r="E5347" s="18">
        <v>428.76</v>
      </c>
      <c r="F5347" s="18">
        <v>41699.120000000003</v>
      </c>
      <c r="G5347" s="18">
        <v>100849</v>
      </c>
      <c r="H5347" s="18">
        <f t="shared" si="131"/>
        <v>41623.120000000003</v>
      </c>
      <c r="I5347" s="12"/>
    </row>
    <row r="5348" spans="1:9" s="2" customFormat="1" ht="19.5" customHeight="1" x14ac:dyDescent="0.55000000000000004">
      <c r="A5348" s="18">
        <v>24.723853399999999</v>
      </c>
      <c r="B5348" s="18">
        <v>34.765757800000003</v>
      </c>
      <c r="C5348" s="18">
        <v>678596.8</v>
      </c>
      <c r="D5348" s="18">
        <v>2735522.26</v>
      </c>
      <c r="E5348" s="18">
        <v>431.53</v>
      </c>
      <c r="F5348" s="18">
        <v>41743.589999999997</v>
      </c>
      <c r="G5348" s="18">
        <v>101010</v>
      </c>
      <c r="H5348" s="18">
        <f>SUM(F5348-83)</f>
        <v>41660.589999999997</v>
      </c>
      <c r="I5348" s="12"/>
    </row>
    <row r="5349" spans="1:9" s="2" customFormat="1" ht="19.5" customHeight="1" x14ac:dyDescent="0.55000000000000004">
      <c r="A5349" s="18">
        <v>24.723854200000002</v>
      </c>
      <c r="B5349" s="18">
        <v>34.765757800000003</v>
      </c>
      <c r="C5349" s="18">
        <v>678596.8</v>
      </c>
      <c r="D5349" s="18">
        <v>2735522.34</v>
      </c>
      <c r="E5349" s="18">
        <v>431.37</v>
      </c>
      <c r="F5349" s="18">
        <v>41740.639999999999</v>
      </c>
      <c r="G5349" s="18">
        <v>101019</v>
      </c>
      <c r="H5349" s="18">
        <f t="shared" ref="H5349:H5354" si="132">SUM(F5349-83)</f>
        <v>41657.64</v>
      </c>
      <c r="I5349" s="12"/>
    </row>
    <row r="5350" spans="1:9" s="2" customFormat="1" ht="19.5" customHeight="1" x14ac:dyDescent="0.55000000000000004">
      <c r="A5350" s="18">
        <v>24.7216378</v>
      </c>
      <c r="B5350" s="18">
        <v>34.765686299999999</v>
      </c>
      <c r="C5350" s="18">
        <v>678592.73</v>
      </c>
      <c r="D5350" s="18">
        <v>2735276.76</v>
      </c>
      <c r="E5350" s="18">
        <v>435.95</v>
      </c>
      <c r="F5350" s="18">
        <v>41728.43</v>
      </c>
      <c r="G5350" s="18">
        <v>101149</v>
      </c>
      <c r="H5350" s="18">
        <f t="shared" si="132"/>
        <v>41645.43</v>
      </c>
      <c r="I5350" s="12"/>
    </row>
    <row r="5351" spans="1:9" s="2" customFormat="1" ht="19.5" customHeight="1" x14ac:dyDescent="0.55000000000000004">
      <c r="A5351" s="18">
        <v>24.719947399999999</v>
      </c>
      <c r="B5351" s="18">
        <v>34.766129599999999</v>
      </c>
      <c r="C5351" s="18">
        <v>678640</v>
      </c>
      <c r="D5351" s="18">
        <v>2735090.13</v>
      </c>
      <c r="E5351" s="18">
        <v>439.45</v>
      </c>
      <c r="F5351" s="18">
        <v>41743.82</v>
      </c>
      <c r="G5351" s="18">
        <v>101313</v>
      </c>
      <c r="H5351" s="18">
        <f t="shared" si="132"/>
        <v>41660.82</v>
      </c>
      <c r="I5351" s="12"/>
    </row>
    <row r="5352" spans="1:9" s="2" customFormat="1" ht="19.5" customHeight="1" x14ac:dyDescent="0.55000000000000004">
      <c r="A5352" s="18">
        <v>24.719947900000001</v>
      </c>
      <c r="B5352" s="18">
        <v>34.7661297</v>
      </c>
      <c r="C5352" s="18">
        <v>678640.01</v>
      </c>
      <c r="D5352" s="18">
        <v>2735090.17</v>
      </c>
      <c r="E5352" s="18">
        <v>439.65</v>
      </c>
      <c r="F5352" s="18">
        <v>41743.300000000003</v>
      </c>
      <c r="G5352" s="18">
        <v>101328</v>
      </c>
      <c r="H5352" s="18">
        <f t="shared" si="132"/>
        <v>41660.300000000003</v>
      </c>
      <c r="I5352" s="12"/>
    </row>
    <row r="5353" spans="1:9" s="2" customFormat="1" ht="19.5" customHeight="1" x14ac:dyDescent="0.55000000000000004">
      <c r="A5353" s="18">
        <v>24.7178504</v>
      </c>
      <c r="B5353" s="18">
        <v>34.767561000000001</v>
      </c>
      <c r="C5353" s="18">
        <v>678787.8</v>
      </c>
      <c r="D5353" s="18">
        <v>2734859.72</v>
      </c>
      <c r="E5353" s="18">
        <v>445.66</v>
      </c>
      <c r="F5353" s="18">
        <v>41734.93</v>
      </c>
      <c r="G5353" s="18">
        <v>101507</v>
      </c>
      <c r="H5353" s="18">
        <f t="shared" si="132"/>
        <v>41651.93</v>
      </c>
      <c r="I5353" s="12"/>
    </row>
    <row r="5354" spans="1:9" s="2" customFormat="1" ht="19.5" customHeight="1" x14ac:dyDescent="0.55000000000000004">
      <c r="A5354" s="18">
        <v>24.717849699999999</v>
      </c>
      <c r="B5354" s="18">
        <v>34.767560400000001</v>
      </c>
      <c r="C5354" s="18">
        <v>678787.74</v>
      </c>
      <c r="D5354" s="18">
        <v>2734859.65</v>
      </c>
      <c r="E5354" s="18">
        <v>445.62</v>
      </c>
      <c r="F5354" s="18">
        <v>41731.17</v>
      </c>
      <c r="G5354" s="18">
        <v>101516</v>
      </c>
      <c r="H5354" s="18">
        <f t="shared" si="132"/>
        <v>41648.17</v>
      </c>
      <c r="I5354" s="12"/>
    </row>
    <row r="5355" spans="1:9" s="2" customFormat="1" ht="19.5" customHeight="1" x14ac:dyDescent="0.55000000000000004">
      <c r="A5355" s="18">
        <v>24.7170524</v>
      </c>
      <c r="B5355" s="18">
        <v>34.769190000000002</v>
      </c>
      <c r="C5355" s="18">
        <v>678953.75</v>
      </c>
      <c r="D5355" s="18">
        <v>2734773.46</v>
      </c>
      <c r="E5355" s="18">
        <v>448.67</v>
      </c>
      <c r="F5355" s="18">
        <v>41749.769999999997</v>
      </c>
      <c r="G5355" s="18">
        <v>101634</v>
      </c>
      <c r="H5355" s="18">
        <f>SUM(F5355-91)</f>
        <v>41658.769999999997</v>
      </c>
      <c r="I5355" s="12"/>
    </row>
    <row r="5356" spans="1:9" s="2" customFormat="1" ht="19.5" customHeight="1" x14ac:dyDescent="0.55000000000000004">
      <c r="A5356" s="18">
        <v>24.717053</v>
      </c>
      <c r="B5356" s="18">
        <v>34.769188900000003</v>
      </c>
      <c r="C5356" s="18">
        <v>678953.64</v>
      </c>
      <c r="D5356" s="18">
        <v>2734773.54</v>
      </c>
      <c r="E5356" s="18">
        <v>448.6</v>
      </c>
      <c r="F5356" s="18">
        <v>41749.96</v>
      </c>
      <c r="G5356" s="18">
        <v>101643</v>
      </c>
      <c r="H5356" s="18">
        <f t="shared" ref="H5356:H5364" si="133">SUM(F5356-91)</f>
        <v>41658.959999999999</v>
      </c>
      <c r="I5356" s="12"/>
    </row>
    <row r="5357" spans="1:9" s="2" customFormat="1" ht="19.5" customHeight="1" x14ac:dyDescent="0.55000000000000004">
      <c r="A5357" s="18">
        <v>24.7165894</v>
      </c>
      <c r="B5357" s="18">
        <v>34.770514900000002</v>
      </c>
      <c r="C5357" s="18">
        <v>679088.46</v>
      </c>
      <c r="D5357" s="18">
        <v>2734723.92</v>
      </c>
      <c r="E5357" s="18">
        <v>452.09</v>
      </c>
      <c r="F5357" s="18">
        <v>41732.550000000003</v>
      </c>
      <c r="G5357" s="18">
        <v>101752</v>
      </c>
      <c r="H5357" s="18">
        <f t="shared" si="133"/>
        <v>41641.550000000003</v>
      </c>
      <c r="I5357" s="12"/>
    </row>
    <row r="5358" spans="1:9" s="2" customFormat="1" ht="19.5" customHeight="1" x14ac:dyDescent="0.55000000000000004">
      <c r="A5358" s="18">
        <v>24.716586</v>
      </c>
      <c r="B5358" s="18">
        <v>34.770518099999997</v>
      </c>
      <c r="C5358" s="18">
        <v>679088.78</v>
      </c>
      <c r="D5358" s="18">
        <v>2734723.54</v>
      </c>
      <c r="E5358" s="18">
        <v>452.17</v>
      </c>
      <c r="F5358" s="18">
        <v>41737.440000000002</v>
      </c>
      <c r="G5358" s="18">
        <v>101804</v>
      </c>
      <c r="H5358" s="18">
        <f t="shared" si="133"/>
        <v>41646.44</v>
      </c>
      <c r="I5358" s="12"/>
    </row>
    <row r="5359" spans="1:9" s="2" customFormat="1" ht="19.5" customHeight="1" x14ac:dyDescent="0.55000000000000004">
      <c r="A5359" s="18">
        <v>24.7154034</v>
      </c>
      <c r="B5359" s="18">
        <v>34.772017599999998</v>
      </c>
      <c r="C5359" s="18">
        <v>679242.19</v>
      </c>
      <c r="D5359" s="18">
        <v>2734594.52</v>
      </c>
      <c r="E5359" s="18">
        <v>457.29</v>
      </c>
      <c r="F5359" s="18">
        <v>41743.360000000001</v>
      </c>
      <c r="G5359" s="18">
        <v>101940</v>
      </c>
      <c r="H5359" s="18">
        <f t="shared" si="133"/>
        <v>41652.36</v>
      </c>
      <c r="I5359" s="12"/>
    </row>
    <row r="5360" spans="1:9" s="2" customFormat="1" ht="19.5" customHeight="1" x14ac:dyDescent="0.55000000000000004">
      <c r="A5360" s="18">
        <v>24.715383899999999</v>
      </c>
      <c r="B5360" s="18">
        <v>34.772036900000003</v>
      </c>
      <c r="C5360" s="18">
        <v>679244.16</v>
      </c>
      <c r="D5360" s="18">
        <v>2734592.39</v>
      </c>
      <c r="E5360" s="18">
        <v>457.45</v>
      </c>
      <c r="F5360" s="18">
        <v>41738.14</v>
      </c>
      <c r="G5360" s="18">
        <v>101952</v>
      </c>
      <c r="H5360" s="18">
        <f t="shared" si="133"/>
        <v>41647.14</v>
      </c>
      <c r="I5360" s="12"/>
    </row>
    <row r="5361" spans="1:9" s="2" customFormat="1" ht="19.5" customHeight="1" x14ac:dyDescent="0.55000000000000004">
      <c r="A5361" s="18">
        <v>24.7142236</v>
      </c>
      <c r="B5361" s="18">
        <v>34.773926199999998</v>
      </c>
      <c r="C5361" s="18">
        <v>679436.98</v>
      </c>
      <c r="D5361" s="18">
        <v>2734466.35</v>
      </c>
      <c r="E5361" s="18">
        <v>465.52</v>
      </c>
      <c r="F5361" s="18">
        <v>41732.550000000003</v>
      </c>
      <c r="G5361" s="18">
        <v>102125</v>
      </c>
      <c r="H5361" s="18">
        <f t="shared" si="133"/>
        <v>41641.550000000003</v>
      </c>
      <c r="I5361" s="12"/>
    </row>
    <row r="5362" spans="1:9" s="2" customFormat="1" ht="19.5" customHeight="1" x14ac:dyDescent="0.55000000000000004">
      <c r="A5362" s="18">
        <v>24.714216700000001</v>
      </c>
      <c r="B5362" s="18">
        <v>34.773916499999999</v>
      </c>
      <c r="C5362" s="18">
        <v>679436</v>
      </c>
      <c r="D5362" s="18">
        <v>2734465.57</v>
      </c>
      <c r="E5362" s="18">
        <v>464.31</v>
      </c>
      <c r="F5362" s="18">
        <v>41730.839999999997</v>
      </c>
      <c r="G5362" s="18">
        <v>102143</v>
      </c>
      <c r="H5362" s="18">
        <f t="shared" si="133"/>
        <v>41639.839999999997</v>
      </c>
      <c r="I5362" s="12"/>
    </row>
    <row r="5363" spans="1:9" s="2" customFormat="1" ht="19.5" customHeight="1" x14ac:dyDescent="0.55000000000000004">
      <c r="A5363" s="18">
        <v>24.713522999999999</v>
      </c>
      <c r="B5363" s="18">
        <v>34.775559000000001</v>
      </c>
      <c r="C5363" s="18">
        <v>679603.18</v>
      </c>
      <c r="D5363" s="18">
        <v>2734390.89</v>
      </c>
      <c r="E5363" s="18">
        <v>468.76</v>
      </c>
      <c r="F5363" s="18">
        <v>41717.949999999997</v>
      </c>
      <c r="G5363" s="18">
        <v>102525</v>
      </c>
      <c r="H5363" s="18">
        <f t="shared" si="133"/>
        <v>41626.949999999997</v>
      </c>
      <c r="I5363" s="12"/>
    </row>
    <row r="5364" spans="1:9" s="2" customFormat="1" ht="19.5" customHeight="1" x14ac:dyDescent="0.55000000000000004">
      <c r="A5364" s="18">
        <v>24.713525700000002</v>
      </c>
      <c r="B5364" s="18">
        <v>34.775564299999999</v>
      </c>
      <c r="C5364" s="18">
        <v>679603.71</v>
      </c>
      <c r="D5364" s="18">
        <v>2734391.19</v>
      </c>
      <c r="E5364" s="18">
        <v>468.74</v>
      </c>
      <c r="F5364" s="18">
        <v>41718.79</v>
      </c>
      <c r="G5364" s="18">
        <v>102534</v>
      </c>
      <c r="H5364" s="18">
        <f t="shared" si="133"/>
        <v>41627.79</v>
      </c>
      <c r="I5364" s="12"/>
    </row>
    <row r="5365" spans="1:9" s="4" customFormat="1" ht="20.25" customHeight="1" x14ac:dyDescent="0.55000000000000004">
      <c r="A5365" s="18">
        <v>24.7135502</v>
      </c>
      <c r="B5365" s="18">
        <v>34.775778199999998</v>
      </c>
      <c r="C5365" s="18">
        <v>679625.32</v>
      </c>
      <c r="D5365" s="18">
        <v>2734394.19</v>
      </c>
      <c r="E5365" s="18">
        <v>471.73</v>
      </c>
      <c r="F5365" s="18">
        <v>41708.870000000003</v>
      </c>
      <c r="G5365" s="18">
        <v>102816</v>
      </c>
      <c r="H5365" s="18">
        <f>SUM(F5365-91)</f>
        <v>41617.870000000003</v>
      </c>
      <c r="I5365" s="3"/>
    </row>
    <row r="5366" spans="1:9" s="4" customFormat="1" ht="20.25" customHeight="1" x14ac:dyDescent="0.55000000000000004">
      <c r="A5366" s="18">
        <v>24.7135429</v>
      </c>
      <c r="B5366" s="18">
        <v>34.775779999999997</v>
      </c>
      <c r="C5366" s="18">
        <v>679625.51</v>
      </c>
      <c r="D5366" s="18">
        <v>2734393.38</v>
      </c>
      <c r="E5366" s="18">
        <v>469.3</v>
      </c>
      <c r="F5366" s="18">
        <v>41707.33</v>
      </c>
      <c r="G5366" s="18">
        <v>102818</v>
      </c>
      <c r="H5366" s="18">
        <f t="shared" ref="H5366:H5429" si="134">SUM(F5366-91)</f>
        <v>41616.33</v>
      </c>
      <c r="I5366" s="3"/>
    </row>
    <row r="5367" spans="1:9" s="4" customFormat="1" ht="20.25" customHeight="1" x14ac:dyDescent="0.55000000000000004">
      <c r="A5367" s="18">
        <v>24.713525499999999</v>
      </c>
      <c r="B5367" s="18">
        <v>34.775790600000001</v>
      </c>
      <c r="C5367" s="18">
        <v>679626.6</v>
      </c>
      <c r="D5367" s="18">
        <v>2734391.47</v>
      </c>
      <c r="E5367" s="18">
        <v>469.25</v>
      </c>
      <c r="F5367" s="18">
        <v>41708.269999999997</v>
      </c>
      <c r="G5367" s="18">
        <v>102820</v>
      </c>
      <c r="H5367" s="18">
        <f t="shared" si="134"/>
        <v>41617.269999999997</v>
      </c>
      <c r="I5367" s="3"/>
    </row>
    <row r="5368" spans="1:9" s="4" customFormat="1" ht="20.25" customHeight="1" x14ac:dyDescent="0.55000000000000004">
      <c r="A5368" s="18">
        <v>24.713511499999999</v>
      </c>
      <c r="B5368" s="18">
        <v>34.775816300000002</v>
      </c>
      <c r="C5368" s="18">
        <v>679629.22</v>
      </c>
      <c r="D5368" s="18">
        <v>2734389.96</v>
      </c>
      <c r="E5368" s="18">
        <v>469.08</v>
      </c>
      <c r="F5368" s="18">
        <v>41708.51</v>
      </c>
      <c r="G5368" s="18">
        <v>102822</v>
      </c>
      <c r="H5368" s="18">
        <f t="shared" si="134"/>
        <v>41617.51</v>
      </c>
      <c r="I5368" s="3"/>
    </row>
    <row r="5369" spans="1:9" s="4" customFormat="1" ht="20.25" customHeight="1" x14ac:dyDescent="0.55000000000000004">
      <c r="A5369" s="18">
        <v>24.713496599999999</v>
      </c>
      <c r="B5369" s="18">
        <v>34.775841499999999</v>
      </c>
      <c r="C5369" s="18">
        <v>679631.8</v>
      </c>
      <c r="D5369" s="18">
        <v>2734388.34</v>
      </c>
      <c r="E5369" s="18">
        <v>468.59</v>
      </c>
      <c r="F5369" s="18">
        <v>41710.19</v>
      </c>
      <c r="G5369" s="18">
        <v>102824</v>
      </c>
      <c r="H5369" s="18">
        <f t="shared" si="134"/>
        <v>41619.19</v>
      </c>
      <c r="I5369" s="3"/>
    </row>
    <row r="5370" spans="1:9" s="4" customFormat="1" ht="20.25" customHeight="1" x14ac:dyDescent="0.55000000000000004">
      <c r="A5370" s="18">
        <v>24.713478200000001</v>
      </c>
      <c r="B5370" s="18">
        <v>34.775863399999999</v>
      </c>
      <c r="C5370" s="18">
        <v>679634.04</v>
      </c>
      <c r="D5370" s="18">
        <v>2734386.33</v>
      </c>
      <c r="E5370" s="18">
        <v>468.3</v>
      </c>
      <c r="F5370" s="18">
        <v>41709.699999999997</v>
      </c>
      <c r="G5370" s="18">
        <v>102826</v>
      </c>
      <c r="H5370" s="18">
        <f t="shared" si="134"/>
        <v>41618.699999999997</v>
      </c>
      <c r="I5370" s="3"/>
    </row>
    <row r="5371" spans="1:9" s="4" customFormat="1" ht="20.25" customHeight="1" x14ac:dyDescent="0.55000000000000004">
      <c r="A5371" s="18">
        <v>24.713456999999998</v>
      </c>
      <c r="B5371" s="18">
        <v>34.775880100000002</v>
      </c>
      <c r="C5371" s="18">
        <v>679635.76</v>
      </c>
      <c r="D5371" s="18">
        <v>2734384</v>
      </c>
      <c r="E5371" s="18">
        <v>468.06</v>
      </c>
      <c r="F5371" s="18">
        <v>41708.589999999997</v>
      </c>
      <c r="G5371" s="18">
        <v>102828</v>
      </c>
      <c r="H5371" s="18">
        <f t="shared" si="134"/>
        <v>41617.589999999997</v>
      </c>
      <c r="I5371" s="3"/>
    </row>
    <row r="5372" spans="1:9" s="4" customFormat="1" ht="20.25" customHeight="1" x14ac:dyDescent="0.55000000000000004">
      <c r="A5372" s="18">
        <v>24.7134435</v>
      </c>
      <c r="B5372" s="18">
        <v>34.775901900000001</v>
      </c>
      <c r="C5372" s="18">
        <v>679637.98</v>
      </c>
      <c r="D5372" s="18">
        <v>2734382.53</v>
      </c>
      <c r="E5372" s="18">
        <v>467.92</v>
      </c>
      <c r="F5372" s="18">
        <v>41709</v>
      </c>
      <c r="G5372" s="18">
        <v>102830</v>
      </c>
      <c r="H5372" s="18">
        <f t="shared" si="134"/>
        <v>41618</v>
      </c>
      <c r="I5372" s="3"/>
    </row>
    <row r="5373" spans="1:9" s="4" customFormat="1" ht="20.25" customHeight="1" x14ac:dyDescent="0.55000000000000004">
      <c r="A5373" s="18">
        <v>24.713432300000001</v>
      </c>
      <c r="B5373" s="18">
        <v>34.775927799999998</v>
      </c>
      <c r="C5373" s="18">
        <v>679640.63</v>
      </c>
      <c r="D5373" s="18">
        <v>2734381.33</v>
      </c>
      <c r="E5373" s="18">
        <v>467.7</v>
      </c>
      <c r="F5373" s="18">
        <v>41711.08</v>
      </c>
      <c r="G5373" s="18">
        <v>102832</v>
      </c>
      <c r="H5373" s="18">
        <f t="shared" si="134"/>
        <v>41620.080000000002</v>
      </c>
      <c r="I5373" s="3"/>
    </row>
    <row r="5374" spans="1:9" s="4" customFormat="1" ht="20.25" customHeight="1" x14ac:dyDescent="0.55000000000000004">
      <c r="A5374" s="18">
        <v>24.713417700000001</v>
      </c>
      <c r="B5374" s="18">
        <v>34.775951200000002</v>
      </c>
      <c r="C5374" s="18">
        <v>679643.01</v>
      </c>
      <c r="D5374" s="18">
        <v>2734379.75</v>
      </c>
      <c r="E5374" s="18">
        <v>467.5</v>
      </c>
      <c r="F5374" s="18">
        <v>41708.89</v>
      </c>
      <c r="G5374" s="18">
        <v>102834</v>
      </c>
      <c r="H5374" s="18">
        <f t="shared" si="134"/>
        <v>41617.89</v>
      </c>
      <c r="I5374" s="3"/>
    </row>
    <row r="5375" spans="1:9" s="4" customFormat="1" ht="20.25" customHeight="1" x14ac:dyDescent="0.55000000000000004">
      <c r="A5375" s="18">
        <v>24.713408600000001</v>
      </c>
      <c r="B5375" s="18">
        <v>34.775978000000002</v>
      </c>
      <c r="C5375" s="18">
        <v>679645.73</v>
      </c>
      <c r="D5375" s="18">
        <v>2734378.77</v>
      </c>
      <c r="E5375" s="18">
        <v>467.23</v>
      </c>
      <c r="F5375" s="18">
        <v>41708.33</v>
      </c>
      <c r="G5375" s="18">
        <v>102836</v>
      </c>
      <c r="H5375" s="18">
        <f t="shared" si="134"/>
        <v>41617.33</v>
      </c>
      <c r="I5375" s="3"/>
    </row>
    <row r="5376" spans="1:9" s="4" customFormat="1" ht="20.25" customHeight="1" x14ac:dyDescent="0.55000000000000004">
      <c r="A5376" s="18">
        <v>24.713404499999999</v>
      </c>
      <c r="B5376" s="18">
        <v>34.776008400000002</v>
      </c>
      <c r="C5376" s="18">
        <v>679648.81</v>
      </c>
      <c r="D5376" s="18">
        <v>2734378.35</v>
      </c>
      <c r="E5376" s="18">
        <v>466.92</v>
      </c>
      <c r="F5376" s="18">
        <v>41709.75</v>
      </c>
      <c r="G5376" s="18">
        <v>102838</v>
      </c>
      <c r="H5376" s="18">
        <f t="shared" si="134"/>
        <v>41618.75</v>
      </c>
      <c r="I5376" s="3"/>
    </row>
    <row r="5377" spans="1:9" s="4" customFormat="1" ht="20.25" customHeight="1" x14ac:dyDescent="0.55000000000000004">
      <c r="A5377" s="18">
        <v>24.713402299999998</v>
      </c>
      <c r="B5377" s="18">
        <v>34.776039099999998</v>
      </c>
      <c r="C5377" s="18">
        <v>679651.93</v>
      </c>
      <c r="D5377" s="18">
        <v>2734378.15</v>
      </c>
      <c r="E5377" s="18">
        <v>466.81</v>
      </c>
      <c r="F5377" s="18">
        <v>41708.11</v>
      </c>
      <c r="G5377" s="18">
        <v>102840</v>
      </c>
      <c r="H5377" s="18">
        <f t="shared" si="134"/>
        <v>41617.11</v>
      </c>
      <c r="I5377" s="3"/>
    </row>
    <row r="5378" spans="1:9" s="4" customFormat="1" ht="20.25" customHeight="1" x14ac:dyDescent="0.55000000000000004">
      <c r="A5378" s="18">
        <v>24.713404199999999</v>
      </c>
      <c r="B5378" s="18">
        <v>34.776069300000003</v>
      </c>
      <c r="C5378" s="18">
        <v>679654.98</v>
      </c>
      <c r="D5378" s="18">
        <v>2734378.4</v>
      </c>
      <c r="E5378" s="18">
        <v>466.82</v>
      </c>
      <c r="F5378" s="18">
        <v>41709.39</v>
      </c>
      <c r="G5378" s="18">
        <v>102842</v>
      </c>
      <c r="H5378" s="18">
        <f t="shared" si="134"/>
        <v>41618.39</v>
      </c>
      <c r="I5378" s="3"/>
    </row>
    <row r="5379" spans="1:9" s="4" customFormat="1" ht="20.25" customHeight="1" x14ac:dyDescent="0.55000000000000004">
      <c r="A5379" s="18">
        <v>24.713410100000001</v>
      </c>
      <c r="B5379" s="18">
        <v>34.776097499999999</v>
      </c>
      <c r="C5379" s="18">
        <v>679657.82</v>
      </c>
      <c r="D5379" s="18">
        <v>2734379.1</v>
      </c>
      <c r="E5379" s="18">
        <v>466.65</v>
      </c>
      <c r="F5379" s="18">
        <v>41711.82</v>
      </c>
      <c r="G5379" s="18">
        <v>102844</v>
      </c>
      <c r="H5379" s="18">
        <f t="shared" si="134"/>
        <v>41620.82</v>
      </c>
      <c r="I5379" s="3"/>
    </row>
    <row r="5380" spans="1:9" s="4" customFormat="1" ht="20.25" customHeight="1" x14ac:dyDescent="0.55000000000000004">
      <c r="A5380" s="18">
        <v>24.713402599999998</v>
      </c>
      <c r="B5380" s="18">
        <v>34.776123200000001</v>
      </c>
      <c r="C5380" s="18">
        <v>679660.44</v>
      </c>
      <c r="D5380" s="18">
        <v>2734378.3</v>
      </c>
      <c r="E5380" s="18">
        <v>466.61</v>
      </c>
      <c r="F5380" s="18">
        <v>41711.53</v>
      </c>
      <c r="G5380" s="18">
        <v>102846</v>
      </c>
      <c r="H5380" s="18">
        <f t="shared" si="134"/>
        <v>41620.53</v>
      </c>
      <c r="I5380" s="3"/>
    </row>
    <row r="5381" spans="1:9" s="4" customFormat="1" ht="20.25" customHeight="1" x14ac:dyDescent="0.55000000000000004">
      <c r="A5381" s="18">
        <v>24.713398699999999</v>
      </c>
      <c r="B5381" s="18">
        <v>34.7761511</v>
      </c>
      <c r="C5381" s="18">
        <v>679663.26</v>
      </c>
      <c r="D5381" s="18">
        <v>2734377.9</v>
      </c>
      <c r="E5381" s="18">
        <v>466.49</v>
      </c>
      <c r="F5381" s="18">
        <v>41707.4</v>
      </c>
      <c r="G5381" s="18">
        <v>102848</v>
      </c>
      <c r="H5381" s="18">
        <f t="shared" si="134"/>
        <v>41616.400000000001</v>
      </c>
      <c r="I5381" s="3"/>
    </row>
    <row r="5382" spans="1:9" s="4" customFormat="1" ht="20.25" customHeight="1" x14ac:dyDescent="0.55000000000000004">
      <c r="A5382" s="18">
        <v>24.713404400000002</v>
      </c>
      <c r="B5382" s="18">
        <v>34.776171699999999</v>
      </c>
      <c r="C5382" s="18">
        <v>679665.33</v>
      </c>
      <c r="D5382" s="18">
        <v>2734378.56</v>
      </c>
      <c r="E5382" s="18">
        <v>466.35</v>
      </c>
      <c r="F5382" s="18">
        <v>41707.839999999997</v>
      </c>
      <c r="G5382" s="18">
        <v>102850</v>
      </c>
      <c r="H5382" s="18">
        <f t="shared" si="134"/>
        <v>41616.839999999997</v>
      </c>
      <c r="I5382" s="3"/>
    </row>
    <row r="5383" spans="1:9" s="4" customFormat="1" ht="20.25" customHeight="1" x14ac:dyDescent="0.55000000000000004">
      <c r="A5383" s="18">
        <v>24.713420599999999</v>
      </c>
      <c r="B5383" s="18">
        <v>34.776192500000001</v>
      </c>
      <c r="C5383" s="18">
        <v>679667.42</v>
      </c>
      <c r="D5383" s="18">
        <v>2734380.38</v>
      </c>
      <c r="E5383" s="18">
        <v>466.14</v>
      </c>
      <c r="F5383" s="18">
        <v>41707.040000000001</v>
      </c>
      <c r="G5383" s="18">
        <v>102852</v>
      </c>
      <c r="H5383" s="18">
        <f t="shared" si="134"/>
        <v>41616.04</v>
      </c>
      <c r="I5383" s="3"/>
    </row>
    <row r="5384" spans="1:9" s="4" customFormat="1" ht="20.25" customHeight="1" x14ac:dyDescent="0.55000000000000004">
      <c r="A5384" s="18">
        <v>24.713434599999999</v>
      </c>
      <c r="B5384" s="18">
        <v>34.776215700000002</v>
      </c>
      <c r="C5384" s="18">
        <v>679669.74</v>
      </c>
      <c r="D5384" s="18">
        <v>2734381.96</v>
      </c>
      <c r="E5384" s="18">
        <v>465.97</v>
      </c>
      <c r="F5384" s="18">
        <v>41710.43</v>
      </c>
      <c r="G5384" s="18">
        <v>102854</v>
      </c>
      <c r="H5384" s="18">
        <f t="shared" si="134"/>
        <v>41619.43</v>
      </c>
      <c r="I5384" s="3"/>
    </row>
    <row r="5385" spans="1:9" s="4" customFormat="1" ht="20.25" customHeight="1" x14ac:dyDescent="0.55000000000000004">
      <c r="A5385" s="18">
        <v>24.713442700000002</v>
      </c>
      <c r="B5385" s="18">
        <v>34.776241499999998</v>
      </c>
      <c r="C5385" s="18">
        <v>679672.35</v>
      </c>
      <c r="D5385" s="18">
        <v>2734382.89</v>
      </c>
      <c r="E5385" s="18">
        <v>465.96</v>
      </c>
      <c r="F5385" s="18">
        <v>41709.99</v>
      </c>
      <c r="G5385" s="18">
        <v>102856</v>
      </c>
      <c r="H5385" s="18">
        <f t="shared" si="134"/>
        <v>41618.99</v>
      </c>
      <c r="I5385" s="3"/>
    </row>
    <row r="5386" spans="1:9" s="4" customFormat="1" ht="20.25" customHeight="1" x14ac:dyDescent="0.55000000000000004">
      <c r="A5386" s="18">
        <v>24.7134486</v>
      </c>
      <c r="B5386" s="18">
        <v>34.776264699999999</v>
      </c>
      <c r="C5386" s="18">
        <v>679674.69</v>
      </c>
      <c r="D5386" s="18">
        <v>2734383.58</v>
      </c>
      <c r="E5386" s="18">
        <v>465.79</v>
      </c>
      <c r="F5386" s="18">
        <v>41710.400000000001</v>
      </c>
      <c r="G5386" s="18">
        <v>102858</v>
      </c>
      <c r="H5386" s="18">
        <f t="shared" si="134"/>
        <v>41619.4</v>
      </c>
      <c r="I5386" s="3"/>
    </row>
    <row r="5387" spans="1:9" s="4" customFormat="1" ht="20.25" customHeight="1" x14ac:dyDescent="0.55000000000000004">
      <c r="A5387" s="18">
        <v>24.713455</v>
      </c>
      <c r="B5387" s="18">
        <v>34.776291299999997</v>
      </c>
      <c r="C5387" s="18">
        <v>679677.36</v>
      </c>
      <c r="D5387" s="18">
        <v>2734384.32</v>
      </c>
      <c r="E5387" s="18">
        <v>465.62</v>
      </c>
      <c r="F5387" s="18">
        <v>41711.379999999997</v>
      </c>
      <c r="G5387" s="18">
        <v>102900</v>
      </c>
      <c r="H5387" s="18">
        <f t="shared" si="134"/>
        <v>41620.379999999997</v>
      </c>
      <c r="I5387" s="3"/>
    </row>
    <row r="5388" spans="1:9" s="4" customFormat="1" ht="20.25" customHeight="1" x14ac:dyDescent="0.55000000000000004">
      <c r="A5388" s="18">
        <v>24.7134626</v>
      </c>
      <c r="B5388" s="18">
        <v>34.776316399999999</v>
      </c>
      <c r="C5388" s="18">
        <v>679679.89</v>
      </c>
      <c r="D5388" s="18">
        <v>2734385.2</v>
      </c>
      <c r="E5388" s="18">
        <v>465.65</v>
      </c>
      <c r="F5388" s="18">
        <v>41710.339999999997</v>
      </c>
      <c r="G5388" s="18">
        <v>102902</v>
      </c>
      <c r="H5388" s="18">
        <f t="shared" si="134"/>
        <v>41619.339999999997</v>
      </c>
      <c r="I5388" s="3"/>
    </row>
    <row r="5389" spans="1:9" s="4" customFormat="1" ht="20.25" customHeight="1" x14ac:dyDescent="0.55000000000000004">
      <c r="A5389" s="18">
        <v>24.713464800000001</v>
      </c>
      <c r="B5389" s="18">
        <v>34.776344000000002</v>
      </c>
      <c r="C5389" s="18">
        <v>679682.69</v>
      </c>
      <c r="D5389" s="18">
        <v>2734385.47</v>
      </c>
      <c r="E5389" s="18">
        <v>465.65</v>
      </c>
      <c r="F5389" s="18">
        <v>41708.67</v>
      </c>
      <c r="G5389" s="18">
        <v>102904</v>
      </c>
      <c r="H5389" s="18">
        <f t="shared" si="134"/>
        <v>41617.67</v>
      </c>
      <c r="I5389" s="3"/>
    </row>
    <row r="5390" spans="1:9" s="4" customFormat="1" ht="20.25" customHeight="1" x14ac:dyDescent="0.55000000000000004">
      <c r="A5390" s="18">
        <v>24.713467999999999</v>
      </c>
      <c r="B5390" s="18">
        <v>34.776370100000001</v>
      </c>
      <c r="C5390" s="18">
        <v>679685.32</v>
      </c>
      <c r="D5390" s="18">
        <v>2734385.86</v>
      </c>
      <c r="E5390" s="18">
        <v>465.53</v>
      </c>
      <c r="F5390" s="18">
        <v>41703.120000000003</v>
      </c>
      <c r="G5390" s="18">
        <v>102906</v>
      </c>
      <c r="H5390" s="18">
        <f t="shared" si="134"/>
        <v>41612.120000000003</v>
      </c>
      <c r="I5390" s="3"/>
    </row>
    <row r="5391" spans="1:9" s="4" customFormat="1" ht="20.25" customHeight="1" x14ac:dyDescent="0.55000000000000004">
      <c r="A5391" s="18">
        <v>24.7134772</v>
      </c>
      <c r="B5391" s="18">
        <v>34.776395100000002</v>
      </c>
      <c r="C5391" s="18">
        <v>679687.83</v>
      </c>
      <c r="D5391" s="18">
        <v>2734386.92</v>
      </c>
      <c r="E5391" s="18">
        <v>465.51</v>
      </c>
      <c r="F5391" s="18">
        <v>41710.1</v>
      </c>
      <c r="G5391" s="18">
        <v>102908</v>
      </c>
      <c r="H5391" s="18">
        <f t="shared" si="134"/>
        <v>41619.1</v>
      </c>
      <c r="I5391" s="3"/>
    </row>
    <row r="5392" spans="1:9" s="4" customFormat="1" ht="20.25" customHeight="1" x14ac:dyDescent="0.55000000000000004">
      <c r="A5392" s="18">
        <v>24.713482899999999</v>
      </c>
      <c r="B5392" s="18">
        <v>34.776420899999998</v>
      </c>
      <c r="C5392" s="18">
        <v>679690.44</v>
      </c>
      <c r="D5392" s="18">
        <v>2734387.58</v>
      </c>
      <c r="E5392" s="18">
        <v>465.35</v>
      </c>
      <c r="F5392" s="18">
        <v>41711.47</v>
      </c>
      <c r="G5392" s="18">
        <v>102910</v>
      </c>
      <c r="H5392" s="18">
        <f t="shared" si="134"/>
        <v>41620.47</v>
      </c>
      <c r="I5392" s="3"/>
    </row>
    <row r="5393" spans="1:9" s="4" customFormat="1" ht="20.25" customHeight="1" x14ac:dyDescent="0.55000000000000004">
      <c r="A5393" s="18">
        <v>24.713485800000001</v>
      </c>
      <c r="B5393" s="18">
        <v>34.776451199999997</v>
      </c>
      <c r="C5393" s="18">
        <v>679693.49</v>
      </c>
      <c r="D5393" s="18">
        <v>2734387.94</v>
      </c>
      <c r="E5393" s="18">
        <v>465.24</v>
      </c>
      <c r="F5393" s="18">
        <v>41711.72</v>
      </c>
      <c r="G5393" s="18">
        <v>102912</v>
      </c>
      <c r="H5393" s="18">
        <f t="shared" si="134"/>
        <v>41620.720000000001</v>
      </c>
      <c r="I5393" s="3"/>
    </row>
    <row r="5394" spans="1:9" s="4" customFormat="1" ht="20.25" customHeight="1" x14ac:dyDescent="0.55000000000000004">
      <c r="A5394" s="18">
        <v>24.713487099999998</v>
      </c>
      <c r="B5394" s="18">
        <v>34.776481400000002</v>
      </c>
      <c r="C5394" s="18">
        <v>679696.55</v>
      </c>
      <c r="D5394" s="18">
        <v>2734388.12</v>
      </c>
      <c r="E5394" s="18">
        <v>465.17</v>
      </c>
      <c r="F5394" s="18">
        <v>41711.19</v>
      </c>
      <c r="G5394" s="18">
        <v>102914</v>
      </c>
      <c r="H5394" s="18">
        <f t="shared" si="134"/>
        <v>41620.19</v>
      </c>
      <c r="I5394" s="3"/>
    </row>
    <row r="5395" spans="1:9" s="4" customFormat="1" ht="20.25" customHeight="1" x14ac:dyDescent="0.55000000000000004">
      <c r="A5395" s="18">
        <v>24.7134888</v>
      </c>
      <c r="B5395" s="18">
        <v>34.776510799999997</v>
      </c>
      <c r="C5395" s="18">
        <v>679699.53</v>
      </c>
      <c r="D5395" s="18">
        <v>2734388.35</v>
      </c>
      <c r="E5395" s="18">
        <v>465.19</v>
      </c>
      <c r="F5395" s="18">
        <v>41711.730000000003</v>
      </c>
      <c r="G5395" s="18">
        <v>102916</v>
      </c>
      <c r="H5395" s="18">
        <f t="shared" si="134"/>
        <v>41620.730000000003</v>
      </c>
      <c r="I5395" s="3"/>
    </row>
    <row r="5396" spans="1:9" s="4" customFormat="1" ht="20.25" customHeight="1" x14ac:dyDescent="0.55000000000000004">
      <c r="A5396" s="18">
        <v>24.713488399999999</v>
      </c>
      <c r="B5396" s="18">
        <v>34.776539200000002</v>
      </c>
      <c r="C5396" s="18">
        <v>679702.39</v>
      </c>
      <c r="D5396" s="18">
        <v>2734388.35</v>
      </c>
      <c r="E5396" s="18">
        <v>465.23</v>
      </c>
      <c r="F5396" s="18">
        <v>41711.4</v>
      </c>
      <c r="G5396" s="18">
        <v>102918</v>
      </c>
      <c r="H5396" s="18">
        <f t="shared" si="134"/>
        <v>41620.400000000001</v>
      </c>
      <c r="I5396" s="3"/>
    </row>
    <row r="5397" spans="1:9" s="4" customFormat="1" ht="20.25" customHeight="1" x14ac:dyDescent="0.55000000000000004">
      <c r="A5397" s="18">
        <v>24.7134818</v>
      </c>
      <c r="B5397" s="18">
        <v>34.776566899999999</v>
      </c>
      <c r="C5397" s="18">
        <v>679705.21</v>
      </c>
      <c r="D5397" s="18">
        <v>2734387.65</v>
      </c>
      <c r="E5397" s="18">
        <v>465.2</v>
      </c>
      <c r="F5397" s="18">
        <v>41708.050000000003</v>
      </c>
      <c r="G5397" s="18">
        <v>102920</v>
      </c>
      <c r="H5397" s="18">
        <f t="shared" si="134"/>
        <v>41617.050000000003</v>
      </c>
      <c r="I5397" s="3"/>
    </row>
    <row r="5398" spans="1:9" s="4" customFormat="1" ht="20.25" customHeight="1" x14ac:dyDescent="0.55000000000000004">
      <c r="A5398" s="18">
        <v>24.713468800000001</v>
      </c>
      <c r="B5398" s="18">
        <v>34.776591799999998</v>
      </c>
      <c r="C5398" s="18">
        <v>679707.75</v>
      </c>
      <c r="D5398" s="18">
        <v>2734386.24</v>
      </c>
      <c r="E5398" s="18">
        <v>465.16</v>
      </c>
      <c r="F5398" s="18">
        <v>41705.78</v>
      </c>
      <c r="G5398" s="18">
        <v>102922</v>
      </c>
      <c r="H5398" s="18">
        <f t="shared" si="134"/>
        <v>41614.78</v>
      </c>
      <c r="I5398" s="3"/>
    </row>
    <row r="5399" spans="1:9" s="4" customFormat="1" ht="20.25" customHeight="1" x14ac:dyDescent="0.55000000000000004">
      <c r="A5399" s="18">
        <v>24.713450999999999</v>
      </c>
      <c r="B5399" s="18">
        <v>34.776614299999999</v>
      </c>
      <c r="C5399" s="18">
        <v>679710.05</v>
      </c>
      <c r="D5399" s="18">
        <v>2734384.31</v>
      </c>
      <c r="E5399" s="18">
        <v>465.11</v>
      </c>
      <c r="F5399" s="18">
        <v>41704.25</v>
      </c>
      <c r="G5399" s="18">
        <v>102924</v>
      </c>
      <c r="H5399" s="18">
        <f t="shared" si="134"/>
        <v>41613.25</v>
      </c>
      <c r="I5399" s="3"/>
    </row>
    <row r="5400" spans="1:9" s="4" customFormat="1" ht="20.25" customHeight="1" x14ac:dyDescent="0.55000000000000004">
      <c r="A5400" s="18">
        <v>24.713429399999999</v>
      </c>
      <c r="B5400" s="18">
        <v>34.776632399999997</v>
      </c>
      <c r="C5400" s="18">
        <v>679711.91</v>
      </c>
      <c r="D5400" s="18">
        <v>2734381.93</v>
      </c>
      <c r="E5400" s="18">
        <v>464.99</v>
      </c>
      <c r="F5400" s="18">
        <v>41704.53</v>
      </c>
      <c r="G5400" s="18">
        <v>102926</v>
      </c>
      <c r="H5400" s="18">
        <f t="shared" si="134"/>
        <v>41613.53</v>
      </c>
      <c r="I5400" s="3"/>
    </row>
    <row r="5401" spans="1:9" s="4" customFormat="1" ht="20.25" customHeight="1" x14ac:dyDescent="0.55000000000000004">
      <c r="A5401" s="18">
        <v>24.7134073</v>
      </c>
      <c r="B5401" s="18">
        <v>34.776646700000001</v>
      </c>
      <c r="C5401" s="18">
        <v>679713.39</v>
      </c>
      <c r="D5401" s="18">
        <v>2734379.5</v>
      </c>
      <c r="E5401" s="18">
        <v>464.82</v>
      </c>
      <c r="F5401" s="18">
        <v>41706.519999999997</v>
      </c>
      <c r="G5401" s="18">
        <v>102928</v>
      </c>
      <c r="H5401" s="18">
        <f t="shared" si="134"/>
        <v>41615.519999999997</v>
      </c>
      <c r="I5401" s="3"/>
    </row>
    <row r="5402" spans="1:9" s="4" customFormat="1" ht="20.25" customHeight="1" x14ac:dyDescent="0.55000000000000004">
      <c r="A5402" s="18">
        <v>24.713381699999999</v>
      </c>
      <c r="B5402" s="18">
        <v>34.776654600000001</v>
      </c>
      <c r="C5402" s="18">
        <v>679714.23</v>
      </c>
      <c r="D5402" s="18">
        <v>2734376.68</v>
      </c>
      <c r="E5402" s="18">
        <v>464.61</v>
      </c>
      <c r="F5402" s="18">
        <v>41706.879999999997</v>
      </c>
      <c r="G5402" s="18">
        <v>102930</v>
      </c>
      <c r="H5402" s="18">
        <f t="shared" si="134"/>
        <v>41615.879999999997</v>
      </c>
      <c r="I5402" s="3"/>
    </row>
    <row r="5403" spans="1:9" s="4" customFormat="1" ht="20.25" customHeight="1" x14ac:dyDescent="0.55000000000000004">
      <c r="A5403" s="18">
        <v>24.713354500000001</v>
      </c>
      <c r="B5403" s="18">
        <v>34.776658400000002</v>
      </c>
      <c r="C5403" s="18">
        <v>679714.65</v>
      </c>
      <c r="D5403" s="18">
        <v>2734373.67</v>
      </c>
      <c r="E5403" s="18">
        <v>464.29</v>
      </c>
      <c r="F5403" s="18">
        <v>41707.370000000003</v>
      </c>
      <c r="G5403" s="18">
        <v>102932</v>
      </c>
      <c r="H5403" s="18">
        <f t="shared" si="134"/>
        <v>41616.370000000003</v>
      </c>
      <c r="I5403" s="3"/>
    </row>
    <row r="5404" spans="1:9" s="4" customFormat="1" ht="20.25" customHeight="1" x14ac:dyDescent="0.55000000000000004">
      <c r="A5404" s="18">
        <v>24.7133258</v>
      </c>
      <c r="B5404" s="18">
        <v>34.776662000000002</v>
      </c>
      <c r="C5404" s="18">
        <v>679715.05</v>
      </c>
      <c r="D5404" s="18">
        <v>2734370.49</v>
      </c>
      <c r="E5404" s="18">
        <v>464.14</v>
      </c>
      <c r="F5404" s="18">
        <v>41705.79</v>
      </c>
      <c r="G5404" s="18">
        <v>102934</v>
      </c>
      <c r="H5404" s="18">
        <f t="shared" si="134"/>
        <v>41614.79</v>
      </c>
      <c r="I5404" s="3"/>
    </row>
    <row r="5405" spans="1:9" s="4" customFormat="1" ht="20.25" customHeight="1" x14ac:dyDescent="0.55000000000000004">
      <c r="A5405" s="18">
        <v>24.713298099999999</v>
      </c>
      <c r="B5405" s="18">
        <v>34.776666200000001</v>
      </c>
      <c r="C5405" s="18">
        <v>679715.52</v>
      </c>
      <c r="D5405" s="18">
        <v>2734367.44</v>
      </c>
      <c r="E5405" s="18">
        <v>464</v>
      </c>
      <c r="F5405" s="18">
        <v>41707.839999999997</v>
      </c>
      <c r="G5405" s="18">
        <v>102936</v>
      </c>
      <c r="H5405" s="18">
        <f t="shared" si="134"/>
        <v>41616.839999999997</v>
      </c>
      <c r="I5405" s="3"/>
    </row>
    <row r="5406" spans="1:9" s="4" customFormat="1" ht="20.25" customHeight="1" x14ac:dyDescent="0.55000000000000004">
      <c r="A5406" s="18">
        <v>24.713271500000001</v>
      </c>
      <c r="B5406" s="18">
        <v>34.776671299999997</v>
      </c>
      <c r="C5406" s="18">
        <v>679716.08</v>
      </c>
      <c r="D5406" s="18">
        <v>2734364.5</v>
      </c>
      <c r="E5406" s="18">
        <v>463.89</v>
      </c>
      <c r="F5406" s="18">
        <v>41704.1</v>
      </c>
      <c r="G5406" s="18">
        <v>102938</v>
      </c>
      <c r="H5406" s="18">
        <f t="shared" si="134"/>
        <v>41613.1</v>
      </c>
      <c r="I5406" s="3"/>
    </row>
    <row r="5407" spans="1:9" s="4" customFormat="1" ht="20.25" customHeight="1" x14ac:dyDescent="0.55000000000000004">
      <c r="A5407" s="18">
        <v>24.713241</v>
      </c>
      <c r="B5407" s="18">
        <v>34.776676199999997</v>
      </c>
      <c r="C5407" s="18">
        <v>679716.62</v>
      </c>
      <c r="D5407" s="18">
        <v>2734361.13</v>
      </c>
      <c r="E5407" s="18">
        <v>463.83</v>
      </c>
      <c r="F5407" s="18">
        <v>41704.35</v>
      </c>
      <c r="G5407" s="18">
        <v>102940</v>
      </c>
      <c r="H5407" s="18">
        <f t="shared" si="134"/>
        <v>41613.35</v>
      </c>
      <c r="I5407" s="3"/>
    </row>
    <row r="5408" spans="1:9" s="4" customFormat="1" ht="20.25" customHeight="1" x14ac:dyDescent="0.55000000000000004">
      <c r="A5408" s="18">
        <v>24.713211900000001</v>
      </c>
      <c r="B5408" s="18">
        <v>34.776679600000001</v>
      </c>
      <c r="C5408" s="18">
        <v>679717</v>
      </c>
      <c r="D5408" s="18">
        <v>2734357.91</v>
      </c>
      <c r="E5408" s="18">
        <v>463.9</v>
      </c>
      <c r="F5408" s="18">
        <v>41705.24</v>
      </c>
      <c r="G5408" s="18">
        <v>102942</v>
      </c>
      <c r="H5408" s="18">
        <f t="shared" si="134"/>
        <v>41614.239999999998</v>
      </c>
      <c r="I5408" s="3"/>
    </row>
    <row r="5409" spans="1:9" s="4" customFormat="1" ht="20.25" customHeight="1" x14ac:dyDescent="0.55000000000000004">
      <c r="A5409" s="18">
        <v>24.713183699999998</v>
      </c>
      <c r="B5409" s="18">
        <v>34.7766819</v>
      </c>
      <c r="C5409" s="18">
        <v>679717.28</v>
      </c>
      <c r="D5409" s="18">
        <v>2734354.79</v>
      </c>
      <c r="E5409" s="18">
        <v>463.97</v>
      </c>
      <c r="F5409" s="18">
        <v>41704.51</v>
      </c>
      <c r="G5409" s="18">
        <v>102944</v>
      </c>
      <c r="H5409" s="18">
        <f t="shared" si="134"/>
        <v>41613.51</v>
      </c>
      <c r="I5409" s="3"/>
    </row>
    <row r="5410" spans="1:9" s="4" customFormat="1" ht="20.25" customHeight="1" x14ac:dyDescent="0.55000000000000004">
      <c r="A5410" s="18">
        <v>24.713154100000001</v>
      </c>
      <c r="B5410" s="18">
        <v>34.776685200000003</v>
      </c>
      <c r="C5410" s="18">
        <v>679717.65</v>
      </c>
      <c r="D5410" s="18">
        <v>2734351.51</v>
      </c>
      <c r="E5410" s="18">
        <v>463.82</v>
      </c>
      <c r="F5410" s="18">
        <v>41704.65</v>
      </c>
      <c r="G5410" s="18">
        <v>102946</v>
      </c>
      <c r="H5410" s="18">
        <f t="shared" si="134"/>
        <v>41613.65</v>
      </c>
      <c r="I5410" s="3"/>
    </row>
    <row r="5411" spans="1:9" s="4" customFormat="1" ht="20.25" customHeight="1" x14ac:dyDescent="0.55000000000000004">
      <c r="A5411" s="18">
        <v>24.7131255</v>
      </c>
      <c r="B5411" s="18">
        <v>34.776688300000004</v>
      </c>
      <c r="C5411" s="18">
        <v>679718.01</v>
      </c>
      <c r="D5411" s="18">
        <v>2734348.34</v>
      </c>
      <c r="E5411" s="18">
        <v>463.78</v>
      </c>
      <c r="F5411" s="18">
        <v>41704.42</v>
      </c>
      <c r="G5411" s="18">
        <v>102948</v>
      </c>
      <c r="H5411" s="18">
        <f t="shared" si="134"/>
        <v>41613.42</v>
      </c>
      <c r="I5411" s="3"/>
    </row>
    <row r="5412" spans="1:9" s="4" customFormat="1" ht="20.25" customHeight="1" x14ac:dyDescent="0.55000000000000004">
      <c r="A5412" s="18">
        <v>24.7130966</v>
      </c>
      <c r="B5412" s="18">
        <v>34.776691999999997</v>
      </c>
      <c r="C5412" s="18">
        <v>679718.42</v>
      </c>
      <c r="D5412" s="18">
        <v>2734345.15</v>
      </c>
      <c r="E5412" s="18">
        <v>463.76</v>
      </c>
      <c r="F5412" s="18">
        <v>41704.050000000003</v>
      </c>
      <c r="G5412" s="18">
        <v>102950</v>
      </c>
      <c r="H5412" s="18">
        <f t="shared" si="134"/>
        <v>41613.050000000003</v>
      </c>
      <c r="I5412" s="3"/>
    </row>
    <row r="5413" spans="1:9" s="4" customFormat="1" ht="20.25" customHeight="1" x14ac:dyDescent="0.55000000000000004">
      <c r="A5413" s="18">
        <v>24.7130677</v>
      </c>
      <c r="B5413" s="18">
        <v>34.776693899999998</v>
      </c>
      <c r="C5413" s="18">
        <v>679718.66</v>
      </c>
      <c r="D5413" s="18">
        <v>2734341.95</v>
      </c>
      <c r="E5413" s="18">
        <v>463.8</v>
      </c>
      <c r="F5413" s="18">
        <v>41705.160000000003</v>
      </c>
      <c r="G5413" s="18">
        <v>102952</v>
      </c>
      <c r="H5413" s="18">
        <f t="shared" si="134"/>
        <v>41614.160000000003</v>
      </c>
      <c r="I5413" s="3"/>
    </row>
    <row r="5414" spans="1:9" s="4" customFormat="1" ht="20.25" customHeight="1" x14ac:dyDescent="0.55000000000000004">
      <c r="A5414" s="18">
        <v>24.713039200000001</v>
      </c>
      <c r="B5414" s="18">
        <v>34.7766947</v>
      </c>
      <c r="C5414" s="18">
        <v>679718.78</v>
      </c>
      <c r="D5414" s="18">
        <v>2734338.8</v>
      </c>
      <c r="E5414" s="18">
        <v>463.8</v>
      </c>
      <c r="F5414" s="18">
        <v>41705.699999999997</v>
      </c>
      <c r="G5414" s="18">
        <v>102954</v>
      </c>
      <c r="H5414" s="18">
        <f t="shared" si="134"/>
        <v>41614.699999999997</v>
      </c>
      <c r="I5414" s="3"/>
    </row>
    <row r="5415" spans="1:9" s="4" customFormat="1" ht="20.25" customHeight="1" x14ac:dyDescent="0.55000000000000004">
      <c r="A5415" s="18">
        <v>24.713010499999999</v>
      </c>
      <c r="B5415" s="18">
        <v>34.776698000000003</v>
      </c>
      <c r="C5415" s="18">
        <v>679719.15</v>
      </c>
      <c r="D5415" s="18">
        <v>2734335.62</v>
      </c>
      <c r="E5415" s="18">
        <v>463.81</v>
      </c>
      <c r="F5415" s="18">
        <v>41706.51</v>
      </c>
      <c r="G5415" s="18">
        <v>102956</v>
      </c>
      <c r="H5415" s="18">
        <f t="shared" si="134"/>
        <v>41615.51</v>
      </c>
      <c r="I5415" s="3"/>
    </row>
    <row r="5416" spans="1:9" s="4" customFormat="1" ht="20.25" customHeight="1" x14ac:dyDescent="0.55000000000000004">
      <c r="A5416" s="18">
        <v>24.712982100000001</v>
      </c>
      <c r="B5416" s="18">
        <v>34.776700699999999</v>
      </c>
      <c r="C5416" s="18">
        <v>679719.46</v>
      </c>
      <c r="D5416" s="18">
        <v>2734332.48</v>
      </c>
      <c r="E5416" s="18">
        <v>463.74</v>
      </c>
      <c r="F5416" s="18">
        <v>41706.870000000003</v>
      </c>
      <c r="G5416" s="18">
        <v>102958</v>
      </c>
      <c r="H5416" s="18">
        <f t="shared" si="134"/>
        <v>41615.870000000003</v>
      </c>
      <c r="I5416" s="3"/>
    </row>
    <row r="5417" spans="1:9" s="4" customFormat="1" ht="20.25" customHeight="1" x14ac:dyDescent="0.55000000000000004">
      <c r="A5417" s="18">
        <v>24.712953599999999</v>
      </c>
      <c r="B5417" s="18">
        <v>34.776699899999997</v>
      </c>
      <c r="C5417" s="18">
        <v>679719.42</v>
      </c>
      <c r="D5417" s="18">
        <v>2734329.32</v>
      </c>
      <c r="E5417" s="18">
        <v>463.69</v>
      </c>
      <c r="F5417" s="18">
        <v>41705.57</v>
      </c>
      <c r="G5417" s="18">
        <v>103000</v>
      </c>
      <c r="H5417" s="18">
        <f t="shared" si="134"/>
        <v>41614.57</v>
      </c>
      <c r="I5417" s="3"/>
    </row>
    <row r="5418" spans="1:9" s="4" customFormat="1" ht="20.25" customHeight="1" x14ac:dyDescent="0.55000000000000004">
      <c r="A5418" s="18">
        <v>24.712924699999999</v>
      </c>
      <c r="B5418" s="18">
        <v>34.776704100000003</v>
      </c>
      <c r="C5418" s="18">
        <v>679719.89</v>
      </c>
      <c r="D5418" s="18">
        <v>2734326.13</v>
      </c>
      <c r="E5418" s="18">
        <v>463.6</v>
      </c>
      <c r="F5418" s="18">
        <v>41705.620000000003</v>
      </c>
      <c r="G5418" s="18">
        <v>103002</v>
      </c>
      <c r="H5418" s="18">
        <f t="shared" si="134"/>
        <v>41614.620000000003</v>
      </c>
      <c r="I5418" s="3"/>
    </row>
    <row r="5419" spans="1:9" s="4" customFormat="1" ht="20.25" customHeight="1" x14ac:dyDescent="0.55000000000000004">
      <c r="A5419" s="18">
        <v>24.712897099999999</v>
      </c>
      <c r="B5419" s="18">
        <v>34.7767111</v>
      </c>
      <c r="C5419" s="18">
        <v>679720.64</v>
      </c>
      <c r="D5419" s="18">
        <v>2734323.08</v>
      </c>
      <c r="E5419" s="18">
        <v>463.53</v>
      </c>
      <c r="F5419" s="18">
        <v>41705.96</v>
      </c>
      <c r="G5419" s="18">
        <v>103004</v>
      </c>
      <c r="H5419" s="18">
        <f t="shared" si="134"/>
        <v>41614.959999999999</v>
      </c>
      <c r="I5419" s="3"/>
    </row>
    <row r="5420" spans="1:9" s="4" customFormat="1" ht="20.25" customHeight="1" x14ac:dyDescent="0.55000000000000004">
      <c r="A5420" s="18">
        <v>24.712871499999999</v>
      </c>
      <c r="B5420" s="18">
        <v>34.776722499999998</v>
      </c>
      <c r="C5420" s="18">
        <v>679721.83</v>
      </c>
      <c r="D5420" s="18">
        <v>2734320.25</v>
      </c>
      <c r="E5420" s="18">
        <v>463.48</v>
      </c>
      <c r="F5420" s="18">
        <v>41706.03</v>
      </c>
      <c r="G5420" s="18">
        <v>103006</v>
      </c>
      <c r="H5420" s="18">
        <f t="shared" si="134"/>
        <v>41615.03</v>
      </c>
      <c r="I5420" s="3"/>
    </row>
    <row r="5421" spans="1:9" s="4" customFormat="1" ht="20.25" customHeight="1" x14ac:dyDescent="0.55000000000000004">
      <c r="A5421" s="18">
        <v>24.712846200000001</v>
      </c>
      <c r="B5421" s="18">
        <v>34.776735700000003</v>
      </c>
      <c r="C5421" s="18">
        <v>679723.2</v>
      </c>
      <c r="D5421" s="18">
        <v>2734317.47</v>
      </c>
      <c r="E5421" s="18">
        <v>463.46</v>
      </c>
      <c r="F5421" s="18">
        <v>41706.44</v>
      </c>
      <c r="G5421" s="18">
        <v>103008</v>
      </c>
      <c r="H5421" s="18">
        <f t="shared" si="134"/>
        <v>41615.440000000002</v>
      </c>
      <c r="I5421" s="3"/>
    </row>
    <row r="5422" spans="1:9" s="4" customFormat="1" ht="20.25" customHeight="1" x14ac:dyDescent="0.55000000000000004">
      <c r="A5422" s="18">
        <v>24.712822200000002</v>
      </c>
      <c r="B5422" s="18">
        <v>34.77675</v>
      </c>
      <c r="C5422" s="18">
        <v>679724.68</v>
      </c>
      <c r="D5422" s="18">
        <v>2734314.83</v>
      </c>
      <c r="E5422" s="18">
        <v>463.37</v>
      </c>
      <c r="F5422" s="18">
        <v>41706.080000000002</v>
      </c>
      <c r="G5422" s="18">
        <v>103010</v>
      </c>
      <c r="H5422" s="18">
        <f t="shared" si="134"/>
        <v>41615.08</v>
      </c>
      <c r="I5422" s="3"/>
    </row>
    <row r="5423" spans="1:9" s="4" customFormat="1" ht="20.25" customHeight="1" x14ac:dyDescent="0.55000000000000004">
      <c r="A5423" s="18">
        <v>24.712799700000001</v>
      </c>
      <c r="B5423" s="18">
        <v>34.776767</v>
      </c>
      <c r="C5423" s="18">
        <v>679726.43</v>
      </c>
      <c r="D5423" s="18">
        <v>2734312.37</v>
      </c>
      <c r="E5423" s="18">
        <v>463.35</v>
      </c>
      <c r="F5423" s="18">
        <v>41707.39</v>
      </c>
      <c r="G5423" s="18">
        <v>103012</v>
      </c>
      <c r="H5423" s="18">
        <f t="shared" si="134"/>
        <v>41616.39</v>
      </c>
      <c r="I5423" s="3"/>
    </row>
    <row r="5424" spans="1:9" s="4" customFormat="1" ht="20.25" customHeight="1" x14ac:dyDescent="0.55000000000000004">
      <c r="A5424" s="18">
        <v>24.712776699999999</v>
      </c>
      <c r="B5424" s="18">
        <v>34.776783799999997</v>
      </c>
      <c r="C5424" s="18">
        <v>679728.17</v>
      </c>
      <c r="D5424" s="18">
        <v>2734309.84</v>
      </c>
      <c r="E5424" s="18">
        <v>463.32</v>
      </c>
      <c r="F5424" s="18">
        <v>41706.269999999997</v>
      </c>
      <c r="G5424" s="18">
        <v>103014</v>
      </c>
      <c r="H5424" s="18">
        <f t="shared" si="134"/>
        <v>41615.269999999997</v>
      </c>
      <c r="I5424" s="3"/>
    </row>
    <row r="5425" spans="1:9" s="4" customFormat="1" ht="20.25" customHeight="1" x14ac:dyDescent="0.55000000000000004">
      <c r="A5425" s="18">
        <v>24.712756500000001</v>
      </c>
      <c r="B5425" s="18">
        <v>34.776803899999997</v>
      </c>
      <c r="C5425" s="18">
        <v>679730.23</v>
      </c>
      <c r="D5425" s="18">
        <v>2734307.62</v>
      </c>
      <c r="E5425" s="18">
        <v>463.19</v>
      </c>
      <c r="F5425" s="18">
        <v>41707.17</v>
      </c>
      <c r="G5425" s="18">
        <v>103016</v>
      </c>
      <c r="H5425" s="18">
        <f t="shared" si="134"/>
        <v>41616.17</v>
      </c>
      <c r="I5425" s="3"/>
    </row>
    <row r="5426" spans="1:9" s="4" customFormat="1" ht="20.25" customHeight="1" x14ac:dyDescent="0.55000000000000004">
      <c r="A5426" s="18">
        <v>24.712737000000001</v>
      </c>
      <c r="B5426" s="18">
        <v>34.7768254</v>
      </c>
      <c r="C5426" s="18">
        <v>679732.44</v>
      </c>
      <c r="D5426" s="18">
        <v>2734305.49</v>
      </c>
      <c r="E5426" s="18">
        <v>463.19</v>
      </c>
      <c r="F5426" s="18">
        <v>41706.800000000003</v>
      </c>
      <c r="G5426" s="18">
        <v>103018</v>
      </c>
      <c r="H5426" s="18">
        <f t="shared" si="134"/>
        <v>41615.800000000003</v>
      </c>
      <c r="I5426" s="3"/>
    </row>
    <row r="5427" spans="1:9" s="4" customFormat="1" ht="20.25" customHeight="1" x14ac:dyDescent="0.55000000000000004">
      <c r="A5427" s="18">
        <v>24.7127151</v>
      </c>
      <c r="B5427" s="18">
        <v>34.776844400000002</v>
      </c>
      <c r="C5427" s="18">
        <v>679734.39</v>
      </c>
      <c r="D5427" s="18">
        <v>2734303.09</v>
      </c>
      <c r="E5427" s="18">
        <v>463.04</v>
      </c>
      <c r="F5427" s="18">
        <v>41707.370000000003</v>
      </c>
      <c r="G5427" s="18">
        <v>103020</v>
      </c>
      <c r="H5427" s="18">
        <f t="shared" si="134"/>
        <v>41616.370000000003</v>
      </c>
      <c r="I5427" s="3"/>
    </row>
    <row r="5428" spans="1:9" s="4" customFormat="1" ht="20.25" customHeight="1" x14ac:dyDescent="0.55000000000000004">
      <c r="A5428" s="18">
        <v>24.712691899999999</v>
      </c>
      <c r="B5428" s="18">
        <v>34.776859199999997</v>
      </c>
      <c r="C5428" s="18">
        <v>679735.91</v>
      </c>
      <c r="D5428" s="18">
        <v>2734300.55</v>
      </c>
      <c r="E5428" s="18">
        <v>462.74</v>
      </c>
      <c r="F5428" s="18">
        <v>41706.199999999997</v>
      </c>
      <c r="G5428" s="18">
        <v>103022</v>
      </c>
      <c r="H5428" s="18">
        <f t="shared" si="134"/>
        <v>41615.199999999997</v>
      </c>
      <c r="I5428" s="3"/>
    </row>
    <row r="5429" spans="1:9" s="4" customFormat="1" ht="20.25" customHeight="1" x14ac:dyDescent="0.55000000000000004">
      <c r="A5429" s="18">
        <v>24.712667499999998</v>
      </c>
      <c r="B5429" s="18">
        <v>34.7768747</v>
      </c>
      <c r="C5429" s="18">
        <v>679737.52</v>
      </c>
      <c r="D5429" s="18">
        <v>2734297.87</v>
      </c>
      <c r="E5429" s="18">
        <v>462.61</v>
      </c>
      <c r="F5429" s="18">
        <v>41707.1</v>
      </c>
      <c r="G5429" s="18">
        <v>103024</v>
      </c>
      <c r="H5429" s="18">
        <f t="shared" si="134"/>
        <v>41616.1</v>
      </c>
      <c r="I5429" s="3"/>
    </row>
    <row r="5430" spans="1:9" s="4" customFormat="1" ht="20.25" customHeight="1" x14ac:dyDescent="0.55000000000000004">
      <c r="A5430" s="18">
        <v>24.7126436</v>
      </c>
      <c r="B5430" s="18">
        <v>34.776892799999999</v>
      </c>
      <c r="C5430" s="18">
        <v>679739.39</v>
      </c>
      <c r="D5430" s="18">
        <v>2734295.24</v>
      </c>
      <c r="E5430" s="18">
        <v>462.48</v>
      </c>
      <c r="F5430" s="18">
        <v>41706.559999999998</v>
      </c>
      <c r="G5430" s="18">
        <v>103026</v>
      </c>
      <c r="H5430" s="18">
        <f t="shared" ref="H5430:H5493" si="135">SUM(F5430-91)</f>
        <v>41615.56</v>
      </c>
      <c r="I5430" s="3"/>
    </row>
    <row r="5431" spans="1:9" s="4" customFormat="1" ht="20.25" customHeight="1" x14ac:dyDescent="0.55000000000000004">
      <c r="A5431" s="18">
        <v>24.7126245</v>
      </c>
      <c r="B5431" s="18">
        <v>34.776916100000001</v>
      </c>
      <c r="C5431" s="18">
        <v>679741.77</v>
      </c>
      <c r="D5431" s="18">
        <v>2734293.16</v>
      </c>
      <c r="E5431" s="18">
        <v>462.31</v>
      </c>
      <c r="F5431" s="18">
        <v>41707.71</v>
      </c>
      <c r="G5431" s="18">
        <v>103028</v>
      </c>
      <c r="H5431" s="18">
        <f t="shared" si="135"/>
        <v>41616.71</v>
      </c>
      <c r="I5431" s="3"/>
    </row>
    <row r="5432" spans="1:9" s="4" customFormat="1" ht="20.25" customHeight="1" x14ac:dyDescent="0.55000000000000004">
      <c r="A5432" s="18">
        <v>24.712607599999998</v>
      </c>
      <c r="B5432" s="18">
        <v>34.7769385</v>
      </c>
      <c r="C5432" s="18">
        <v>679744.06</v>
      </c>
      <c r="D5432" s="18">
        <v>2734291.31</v>
      </c>
      <c r="E5432" s="18">
        <v>462.24</v>
      </c>
      <c r="F5432" s="18">
        <v>41708.120000000003</v>
      </c>
      <c r="G5432" s="18">
        <v>103030</v>
      </c>
      <c r="H5432" s="18">
        <f t="shared" si="135"/>
        <v>41617.120000000003</v>
      </c>
      <c r="I5432" s="3"/>
    </row>
    <row r="5433" spans="1:9" s="4" customFormat="1" ht="20.25" customHeight="1" x14ac:dyDescent="0.55000000000000004">
      <c r="A5433" s="18">
        <v>24.712589900000001</v>
      </c>
      <c r="B5433" s="18">
        <v>34.776960799999998</v>
      </c>
      <c r="C5433" s="18">
        <v>679746.34</v>
      </c>
      <c r="D5433" s="18">
        <v>2734289.39</v>
      </c>
      <c r="E5433" s="18">
        <v>462.05</v>
      </c>
      <c r="F5433" s="18">
        <v>41708.370000000003</v>
      </c>
      <c r="G5433" s="18">
        <v>103032</v>
      </c>
      <c r="H5433" s="18">
        <f t="shared" si="135"/>
        <v>41617.370000000003</v>
      </c>
      <c r="I5433" s="3"/>
    </row>
    <row r="5434" spans="1:9" s="4" customFormat="1" ht="20.25" customHeight="1" x14ac:dyDescent="0.55000000000000004">
      <c r="A5434" s="18">
        <v>24.712570599999999</v>
      </c>
      <c r="B5434" s="18">
        <v>34.776981200000002</v>
      </c>
      <c r="C5434" s="18">
        <v>679748.44</v>
      </c>
      <c r="D5434" s="18">
        <v>2734287.28</v>
      </c>
      <c r="E5434" s="18">
        <v>461.83</v>
      </c>
      <c r="F5434" s="18">
        <v>41708.14</v>
      </c>
      <c r="G5434" s="18">
        <v>103034</v>
      </c>
      <c r="H5434" s="18">
        <f t="shared" si="135"/>
        <v>41617.14</v>
      </c>
      <c r="I5434" s="3"/>
    </row>
    <row r="5435" spans="1:9" s="4" customFormat="1" ht="20.25" customHeight="1" x14ac:dyDescent="0.55000000000000004">
      <c r="A5435" s="18">
        <v>24.712551699999999</v>
      </c>
      <c r="B5435" s="18">
        <v>34.777006299999996</v>
      </c>
      <c r="C5435" s="18">
        <v>679751</v>
      </c>
      <c r="D5435" s="18">
        <v>2734285.21</v>
      </c>
      <c r="E5435" s="18">
        <v>461.7</v>
      </c>
      <c r="F5435" s="18">
        <v>41709.480000000003</v>
      </c>
      <c r="G5435" s="18">
        <v>103036</v>
      </c>
      <c r="H5435" s="18">
        <f t="shared" si="135"/>
        <v>41618.480000000003</v>
      </c>
      <c r="I5435" s="3"/>
    </row>
    <row r="5436" spans="1:9" s="4" customFormat="1" ht="20.25" customHeight="1" x14ac:dyDescent="0.55000000000000004">
      <c r="A5436" s="18">
        <v>24.712537000000001</v>
      </c>
      <c r="B5436" s="18">
        <v>34.777030500000002</v>
      </c>
      <c r="C5436" s="18">
        <v>679753.47</v>
      </c>
      <c r="D5436" s="18">
        <v>2734283.61</v>
      </c>
      <c r="E5436" s="18">
        <v>461.54</v>
      </c>
      <c r="F5436" s="18">
        <v>41709.32</v>
      </c>
      <c r="G5436" s="18">
        <v>103038</v>
      </c>
      <c r="H5436" s="18">
        <f t="shared" si="135"/>
        <v>41618.32</v>
      </c>
      <c r="I5436" s="3"/>
    </row>
    <row r="5437" spans="1:9" s="4" customFormat="1" ht="20.25" customHeight="1" x14ac:dyDescent="0.55000000000000004">
      <c r="A5437" s="18">
        <v>24.712521800000001</v>
      </c>
      <c r="B5437" s="18">
        <v>34.777060599999999</v>
      </c>
      <c r="C5437" s="18">
        <v>679756.54</v>
      </c>
      <c r="D5437" s="18">
        <v>2734281.97</v>
      </c>
      <c r="E5437" s="18">
        <v>461.49</v>
      </c>
      <c r="F5437" s="18">
        <v>41709.089999999997</v>
      </c>
      <c r="G5437" s="18">
        <v>103040</v>
      </c>
      <c r="H5437" s="18">
        <f t="shared" si="135"/>
        <v>41618.089999999997</v>
      </c>
      <c r="I5437" s="3"/>
    </row>
    <row r="5438" spans="1:9" s="4" customFormat="1" ht="20.25" customHeight="1" x14ac:dyDescent="0.55000000000000004">
      <c r="A5438" s="18">
        <v>24.712507299999999</v>
      </c>
      <c r="B5438" s="18">
        <v>34.7770832</v>
      </c>
      <c r="C5438" s="18">
        <v>679758.85</v>
      </c>
      <c r="D5438" s="18">
        <v>2734280.4</v>
      </c>
      <c r="E5438" s="18">
        <v>461.51</v>
      </c>
      <c r="F5438" s="18">
        <v>41706.339999999997</v>
      </c>
      <c r="G5438" s="18">
        <v>103042</v>
      </c>
      <c r="H5438" s="18">
        <f t="shared" si="135"/>
        <v>41615.339999999997</v>
      </c>
      <c r="I5438" s="3"/>
    </row>
    <row r="5439" spans="1:9" s="4" customFormat="1" ht="20.25" customHeight="1" x14ac:dyDescent="0.55000000000000004">
      <c r="A5439" s="18">
        <v>24.712494499999998</v>
      </c>
      <c r="B5439" s="18">
        <v>34.777109600000003</v>
      </c>
      <c r="C5439" s="18">
        <v>679761.53</v>
      </c>
      <c r="D5439" s="18">
        <v>2734279.01</v>
      </c>
      <c r="E5439" s="18">
        <v>461.44</v>
      </c>
      <c r="F5439" s="18">
        <v>41707.93</v>
      </c>
      <c r="G5439" s="18">
        <v>103044</v>
      </c>
      <c r="H5439" s="18">
        <f t="shared" si="135"/>
        <v>41616.93</v>
      </c>
      <c r="I5439" s="3"/>
    </row>
    <row r="5440" spans="1:9" s="4" customFormat="1" ht="20.25" customHeight="1" x14ac:dyDescent="0.55000000000000004">
      <c r="A5440" s="18">
        <v>24.712479900000002</v>
      </c>
      <c r="B5440" s="18">
        <v>34.777134599999997</v>
      </c>
      <c r="C5440" s="18">
        <v>679764.09</v>
      </c>
      <c r="D5440" s="18">
        <v>2734277.43</v>
      </c>
      <c r="E5440" s="18">
        <v>461.27</v>
      </c>
      <c r="F5440" s="18">
        <v>41707.949999999997</v>
      </c>
      <c r="G5440" s="18">
        <v>103046</v>
      </c>
      <c r="H5440" s="18">
        <f t="shared" si="135"/>
        <v>41616.949999999997</v>
      </c>
      <c r="I5440" s="3"/>
    </row>
    <row r="5441" spans="1:9" s="4" customFormat="1" ht="20.25" customHeight="1" x14ac:dyDescent="0.55000000000000004">
      <c r="A5441" s="18">
        <v>24.712465399999999</v>
      </c>
      <c r="B5441" s="18">
        <v>34.777157099999997</v>
      </c>
      <c r="C5441" s="18">
        <v>679766.38</v>
      </c>
      <c r="D5441" s="18">
        <v>2734275.85</v>
      </c>
      <c r="E5441" s="18">
        <v>461.08</v>
      </c>
      <c r="F5441" s="18">
        <v>41708.1</v>
      </c>
      <c r="G5441" s="18">
        <v>103048</v>
      </c>
      <c r="H5441" s="18">
        <f t="shared" si="135"/>
        <v>41617.1</v>
      </c>
      <c r="I5441" s="3"/>
    </row>
    <row r="5442" spans="1:9" s="4" customFormat="1" ht="20.25" customHeight="1" x14ac:dyDescent="0.55000000000000004">
      <c r="A5442" s="18">
        <v>24.712451999999999</v>
      </c>
      <c r="B5442" s="18">
        <v>34.777181599999999</v>
      </c>
      <c r="C5442" s="18">
        <v>679768.88</v>
      </c>
      <c r="D5442" s="18">
        <v>2734274.4</v>
      </c>
      <c r="E5442" s="18">
        <v>460.97</v>
      </c>
      <c r="F5442" s="18">
        <v>41707.360000000001</v>
      </c>
      <c r="G5442" s="18">
        <v>103050</v>
      </c>
      <c r="H5442" s="18">
        <f t="shared" si="135"/>
        <v>41616.36</v>
      </c>
      <c r="I5442" s="3"/>
    </row>
    <row r="5443" spans="1:9" s="4" customFormat="1" ht="20.25" customHeight="1" x14ac:dyDescent="0.55000000000000004">
      <c r="A5443" s="18">
        <v>24.712436199999999</v>
      </c>
      <c r="B5443" s="18">
        <v>34.7772066</v>
      </c>
      <c r="C5443" s="18">
        <v>679771.44</v>
      </c>
      <c r="D5443" s="18">
        <v>2734272.69</v>
      </c>
      <c r="E5443" s="18">
        <v>460.9</v>
      </c>
      <c r="F5443" s="18">
        <v>41709.39</v>
      </c>
      <c r="G5443" s="18">
        <v>103052</v>
      </c>
      <c r="H5443" s="18">
        <f t="shared" si="135"/>
        <v>41618.39</v>
      </c>
      <c r="I5443" s="3"/>
    </row>
    <row r="5444" spans="1:9" s="4" customFormat="1" ht="20.25" customHeight="1" x14ac:dyDescent="0.55000000000000004">
      <c r="A5444" s="18">
        <v>24.712422700000001</v>
      </c>
      <c r="B5444" s="18">
        <v>34.777233899999999</v>
      </c>
      <c r="C5444" s="18">
        <v>679774.22</v>
      </c>
      <c r="D5444" s="18">
        <v>2734271.22</v>
      </c>
      <c r="E5444" s="18">
        <v>460.79</v>
      </c>
      <c r="F5444" s="18">
        <v>41709.339999999997</v>
      </c>
      <c r="G5444" s="18">
        <v>103054</v>
      </c>
      <c r="H5444" s="18">
        <f t="shared" si="135"/>
        <v>41618.339999999997</v>
      </c>
      <c r="I5444" s="3"/>
    </row>
    <row r="5445" spans="1:9" s="4" customFormat="1" ht="20.25" customHeight="1" x14ac:dyDescent="0.55000000000000004">
      <c r="A5445" s="18">
        <v>24.712411100000001</v>
      </c>
      <c r="B5445" s="18">
        <v>34.777261799999998</v>
      </c>
      <c r="C5445" s="18">
        <v>679777.05</v>
      </c>
      <c r="D5445" s="18">
        <v>2734269.97</v>
      </c>
      <c r="E5445" s="18">
        <v>460.74</v>
      </c>
      <c r="F5445" s="18">
        <v>41709.919999999998</v>
      </c>
      <c r="G5445" s="18">
        <v>103056</v>
      </c>
      <c r="H5445" s="18">
        <f t="shared" si="135"/>
        <v>41618.92</v>
      </c>
      <c r="I5445" s="3"/>
    </row>
    <row r="5446" spans="1:9" s="4" customFormat="1" ht="20.25" customHeight="1" x14ac:dyDescent="0.55000000000000004">
      <c r="A5446" s="18">
        <v>24.712398</v>
      </c>
      <c r="B5446" s="18">
        <v>34.777287700000002</v>
      </c>
      <c r="C5446" s="18">
        <v>679779.7</v>
      </c>
      <c r="D5446" s="18">
        <v>2734268.56</v>
      </c>
      <c r="E5446" s="18">
        <v>460.72</v>
      </c>
      <c r="F5446" s="18">
        <v>41708.6</v>
      </c>
      <c r="G5446" s="18">
        <v>103058</v>
      </c>
      <c r="H5446" s="18">
        <f t="shared" si="135"/>
        <v>41617.599999999999</v>
      </c>
      <c r="I5446" s="3"/>
    </row>
    <row r="5447" spans="1:9" s="4" customFormat="1" ht="20.25" customHeight="1" x14ac:dyDescent="0.55000000000000004">
      <c r="A5447" s="18">
        <v>24.712381600000001</v>
      </c>
      <c r="B5447" s="18">
        <v>34.777312299999998</v>
      </c>
      <c r="C5447" s="18">
        <v>679782.21</v>
      </c>
      <c r="D5447" s="18">
        <v>2734266.78</v>
      </c>
      <c r="E5447" s="18">
        <v>460.72</v>
      </c>
      <c r="F5447" s="18">
        <v>41709.46</v>
      </c>
      <c r="G5447" s="18">
        <v>103100</v>
      </c>
      <c r="H5447" s="18">
        <f t="shared" si="135"/>
        <v>41618.46</v>
      </c>
      <c r="I5447" s="3"/>
    </row>
    <row r="5448" spans="1:9" s="4" customFormat="1" ht="20.25" customHeight="1" x14ac:dyDescent="0.55000000000000004">
      <c r="A5448" s="18">
        <v>24.7123636</v>
      </c>
      <c r="B5448" s="18">
        <v>34.777334099999997</v>
      </c>
      <c r="C5448" s="18">
        <v>679784.43</v>
      </c>
      <c r="D5448" s="18">
        <v>2734264.81</v>
      </c>
      <c r="E5448" s="18">
        <v>460.7</v>
      </c>
      <c r="F5448" s="18">
        <v>41708.379999999997</v>
      </c>
      <c r="G5448" s="18">
        <v>103102</v>
      </c>
      <c r="H5448" s="18">
        <f t="shared" si="135"/>
        <v>41617.379999999997</v>
      </c>
      <c r="I5448" s="3"/>
    </row>
    <row r="5449" spans="1:9" s="4" customFormat="1" ht="20.25" customHeight="1" x14ac:dyDescent="0.55000000000000004">
      <c r="A5449" s="18">
        <v>24.712342899999999</v>
      </c>
      <c r="B5449" s="18">
        <v>34.777355200000002</v>
      </c>
      <c r="C5449" s="18">
        <v>679786.6</v>
      </c>
      <c r="D5449" s="18">
        <v>2734262.54</v>
      </c>
      <c r="E5449" s="18">
        <v>460.69</v>
      </c>
      <c r="F5449" s="18">
        <v>41708.75</v>
      </c>
      <c r="G5449" s="18">
        <v>103104</v>
      </c>
      <c r="H5449" s="18">
        <f t="shared" si="135"/>
        <v>41617.75</v>
      </c>
      <c r="I5449" s="3"/>
    </row>
    <row r="5450" spans="1:9" s="4" customFormat="1" ht="20.25" customHeight="1" x14ac:dyDescent="0.55000000000000004">
      <c r="A5450" s="18">
        <v>24.712323600000001</v>
      </c>
      <c r="B5450" s="18">
        <v>34.777376199999999</v>
      </c>
      <c r="C5450" s="18">
        <v>679788.75</v>
      </c>
      <c r="D5450" s="18">
        <v>2734260.43</v>
      </c>
      <c r="E5450" s="18">
        <v>460.69</v>
      </c>
      <c r="F5450" s="18">
        <v>41707.65</v>
      </c>
      <c r="G5450" s="18">
        <v>103106</v>
      </c>
      <c r="H5450" s="18">
        <f t="shared" si="135"/>
        <v>41616.65</v>
      </c>
      <c r="I5450" s="3"/>
    </row>
    <row r="5451" spans="1:9" s="4" customFormat="1" ht="20.25" customHeight="1" x14ac:dyDescent="0.55000000000000004">
      <c r="A5451" s="18">
        <v>24.712304100000001</v>
      </c>
      <c r="B5451" s="18">
        <v>34.777396799999998</v>
      </c>
      <c r="C5451" s="18">
        <v>679790.87</v>
      </c>
      <c r="D5451" s="18">
        <v>2734258.3</v>
      </c>
      <c r="E5451" s="18">
        <v>460.61</v>
      </c>
      <c r="F5451" s="18">
        <v>41705.519999999997</v>
      </c>
      <c r="G5451" s="18">
        <v>103108</v>
      </c>
      <c r="H5451" s="18">
        <f t="shared" si="135"/>
        <v>41614.519999999997</v>
      </c>
      <c r="I5451" s="3"/>
    </row>
    <row r="5452" spans="1:9" s="4" customFormat="1" ht="20.25" customHeight="1" x14ac:dyDescent="0.55000000000000004">
      <c r="A5452" s="18">
        <v>24.712284</v>
      </c>
      <c r="B5452" s="18">
        <v>34.777417399999997</v>
      </c>
      <c r="C5452" s="18">
        <v>679792.98</v>
      </c>
      <c r="D5452" s="18">
        <v>2734256.1</v>
      </c>
      <c r="E5452" s="18">
        <v>460.52</v>
      </c>
      <c r="F5452" s="18">
        <v>41706.410000000003</v>
      </c>
      <c r="G5452" s="18">
        <v>103110</v>
      </c>
      <c r="H5452" s="18">
        <f t="shared" si="135"/>
        <v>41615.410000000003</v>
      </c>
      <c r="I5452" s="3"/>
    </row>
    <row r="5453" spans="1:9" s="4" customFormat="1" ht="20.25" customHeight="1" x14ac:dyDescent="0.55000000000000004">
      <c r="A5453" s="18">
        <v>24.712261000000002</v>
      </c>
      <c r="B5453" s="18">
        <v>34.777436799999997</v>
      </c>
      <c r="C5453" s="18">
        <v>679794.97</v>
      </c>
      <c r="D5453" s="18">
        <v>2734253.57</v>
      </c>
      <c r="E5453" s="18">
        <v>460.43</v>
      </c>
      <c r="F5453" s="18">
        <v>41707.9</v>
      </c>
      <c r="G5453" s="18">
        <v>103112</v>
      </c>
      <c r="H5453" s="18">
        <f t="shared" si="135"/>
        <v>41616.9</v>
      </c>
      <c r="I5453" s="3"/>
    </row>
    <row r="5454" spans="1:9" s="4" customFormat="1" ht="20.25" customHeight="1" x14ac:dyDescent="0.55000000000000004">
      <c r="A5454" s="18">
        <v>24.712236699999998</v>
      </c>
      <c r="B5454" s="18">
        <v>34.777451900000003</v>
      </c>
      <c r="C5454" s="18">
        <v>679796.54</v>
      </c>
      <c r="D5454" s="18">
        <v>2734250.91</v>
      </c>
      <c r="E5454" s="18">
        <v>460.29</v>
      </c>
      <c r="F5454" s="18">
        <v>41707.83</v>
      </c>
      <c r="G5454" s="18">
        <v>103114</v>
      </c>
      <c r="H5454" s="18">
        <f t="shared" si="135"/>
        <v>41616.83</v>
      </c>
      <c r="I5454" s="3"/>
    </row>
    <row r="5455" spans="1:9" s="4" customFormat="1" ht="20.25" customHeight="1" x14ac:dyDescent="0.55000000000000004">
      <c r="A5455" s="18">
        <v>24.712210500000001</v>
      </c>
      <c r="B5455" s="18">
        <v>34.7774644</v>
      </c>
      <c r="C5455" s="18">
        <v>679797.84</v>
      </c>
      <c r="D5455" s="18">
        <v>2734248.02</v>
      </c>
      <c r="E5455" s="18">
        <v>460.16</v>
      </c>
      <c r="F5455" s="18">
        <v>41706.04</v>
      </c>
      <c r="G5455" s="18">
        <v>103116</v>
      </c>
      <c r="H5455" s="18">
        <f t="shared" si="135"/>
        <v>41615.040000000001</v>
      </c>
      <c r="I5455" s="3"/>
    </row>
    <row r="5456" spans="1:9" s="4" customFormat="1" ht="20.25" customHeight="1" x14ac:dyDescent="0.55000000000000004">
      <c r="A5456" s="18">
        <v>24.712185900000001</v>
      </c>
      <c r="B5456" s="18">
        <v>34.777475799999998</v>
      </c>
      <c r="C5456" s="18">
        <v>679799.02</v>
      </c>
      <c r="D5456" s="18">
        <v>2734245.31</v>
      </c>
      <c r="E5456" s="18">
        <v>460.06</v>
      </c>
      <c r="F5456" s="18">
        <v>41706.93</v>
      </c>
      <c r="G5456" s="18">
        <v>103118</v>
      </c>
      <c r="H5456" s="18">
        <f t="shared" si="135"/>
        <v>41615.93</v>
      </c>
      <c r="I5456" s="3"/>
    </row>
    <row r="5457" spans="1:9" s="4" customFormat="1" ht="20.25" customHeight="1" x14ac:dyDescent="0.55000000000000004">
      <c r="A5457" s="18">
        <v>24.7121648</v>
      </c>
      <c r="B5457" s="18">
        <v>34.777493900000003</v>
      </c>
      <c r="C5457" s="18">
        <v>679800.89</v>
      </c>
      <c r="D5457" s="18">
        <v>2734243</v>
      </c>
      <c r="E5457" s="18">
        <v>459.97</v>
      </c>
      <c r="F5457" s="18">
        <v>41706.57</v>
      </c>
      <c r="G5457" s="18">
        <v>103120</v>
      </c>
      <c r="H5457" s="18">
        <f t="shared" si="135"/>
        <v>41615.57</v>
      </c>
      <c r="I5457" s="3"/>
    </row>
    <row r="5458" spans="1:9" s="4" customFormat="1" ht="20.25" customHeight="1" x14ac:dyDescent="0.55000000000000004">
      <c r="A5458" s="18">
        <v>24.712146000000001</v>
      </c>
      <c r="B5458" s="18">
        <v>34.777516200000001</v>
      </c>
      <c r="C5458" s="18">
        <v>679803.17</v>
      </c>
      <c r="D5458" s="18">
        <v>2734240.95</v>
      </c>
      <c r="E5458" s="18">
        <v>459.74</v>
      </c>
      <c r="F5458" s="18">
        <v>41710.980000000003</v>
      </c>
      <c r="G5458" s="18">
        <v>103122</v>
      </c>
      <c r="H5458" s="18">
        <f t="shared" si="135"/>
        <v>41619.980000000003</v>
      </c>
      <c r="I5458" s="3"/>
    </row>
    <row r="5459" spans="1:9" s="4" customFormat="1" ht="20.25" customHeight="1" x14ac:dyDescent="0.55000000000000004">
      <c r="A5459" s="18">
        <v>24.712122999999998</v>
      </c>
      <c r="B5459" s="18">
        <v>34.777535899999997</v>
      </c>
      <c r="C5459" s="18">
        <v>679805.2</v>
      </c>
      <c r="D5459" s="18">
        <v>2734238.42</v>
      </c>
      <c r="E5459" s="18">
        <v>459.49</v>
      </c>
      <c r="F5459" s="18">
        <v>41708.54</v>
      </c>
      <c r="G5459" s="18">
        <v>103124</v>
      </c>
      <c r="H5459" s="18">
        <f t="shared" si="135"/>
        <v>41617.54</v>
      </c>
      <c r="I5459" s="3"/>
    </row>
    <row r="5460" spans="1:9" s="4" customFormat="1" ht="20.25" customHeight="1" x14ac:dyDescent="0.55000000000000004">
      <c r="A5460" s="18">
        <v>24.712099299999998</v>
      </c>
      <c r="B5460" s="18">
        <v>34.777552499999999</v>
      </c>
      <c r="C5460" s="18">
        <v>679806.92</v>
      </c>
      <c r="D5460" s="18">
        <v>2734235.82</v>
      </c>
      <c r="E5460" s="18">
        <v>459.45</v>
      </c>
      <c r="F5460" s="18">
        <v>41706.879999999997</v>
      </c>
      <c r="G5460" s="18">
        <v>103126</v>
      </c>
      <c r="H5460" s="18">
        <f t="shared" si="135"/>
        <v>41615.879999999997</v>
      </c>
      <c r="I5460" s="3"/>
    </row>
    <row r="5461" spans="1:9" s="4" customFormat="1" ht="20.25" customHeight="1" x14ac:dyDescent="0.55000000000000004">
      <c r="A5461" s="18">
        <v>24.712077799999999</v>
      </c>
      <c r="B5461" s="18">
        <v>34.777572800000002</v>
      </c>
      <c r="C5461" s="18">
        <v>679809</v>
      </c>
      <c r="D5461" s="18">
        <v>2734233.46</v>
      </c>
      <c r="E5461" s="18">
        <v>459.31</v>
      </c>
      <c r="F5461" s="18">
        <v>41709.32</v>
      </c>
      <c r="G5461" s="18">
        <v>103128</v>
      </c>
      <c r="H5461" s="18">
        <f t="shared" si="135"/>
        <v>41618.32</v>
      </c>
      <c r="I5461" s="3"/>
    </row>
    <row r="5462" spans="1:9" s="4" customFormat="1" ht="20.25" customHeight="1" x14ac:dyDescent="0.55000000000000004">
      <c r="A5462" s="18">
        <v>24.7120578</v>
      </c>
      <c r="B5462" s="18">
        <v>34.777594499999999</v>
      </c>
      <c r="C5462" s="18">
        <v>679811.22</v>
      </c>
      <c r="D5462" s="18">
        <v>2734231.28</v>
      </c>
      <c r="E5462" s="18">
        <v>459.1</v>
      </c>
      <c r="F5462" s="18">
        <v>41708.79</v>
      </c>
      <c r="G5462" s="18">
        <v>103130</v>
      </c>
      <c r="H5462" s="18">
        <f t="shared" si="135"/>
        <v>41617.79</v>
      </c>
      <c r="I5462" s="3"/>
    </row>
    <row r="5463" spans="1:9" s="4" customFormat="1" ht="20.25" customHeight="1" x14ac:dyDescent="0.55000000000000004">
      <c r="A5463" s="18">
        <v>24.7120371</v>
      </c>
      <c r="B5463" s="18">
        <v>34.777616600000002</v>
      </c>
      <c r="C5463" s="18">
        <v>679813.49</v>
      </c>
      <c r="D5463" s="18">
        <v>2734229.02</v>
      </c>
      <c r="E5463" s="18">
        <v>458.97</v>
      </c>
      <c r="F5463" s="18">
        <v>41709.040000000001</v>
      </c>
      <c r="G5463" s="18">
        <v>103132</v>
      </c>
      <c r="H5463" s="18">
        <f t="shared" si="135"/>
        <v>41618.04</v>
      </c>
      <c r="I5463" s="3"/>
    </row>
    <row r="5464" spans="1:9" s="4" customFormat="1" ht="20.25" customHeight="1" x14ac:dyDescent="0.55000000000000004">
      <c r="A5464" s="18">
        <v>24.712018100000002</v>
      </c>
      <c r="B5464" s="18">
        <v>34.777639000000001</v>
      </c>
      <c r="C5464" s="18">
        <v>679815.78</v>
      </c>
      <c r="D5464" s="18">
        <v>2734226.94</v>
      </c>
      <c r="E5464" s="18">
        <v>458.86</v>
      </c>
      <c r="F5464" s="18">
        <v>41707.56</v>
      </c>
      <c r="G5464" s="18">
        <v>103134</v>
      </c>
      <c r="H5464" s="18">
        <f t="shared" si="135"/>
        <v>41616.559999999998</v>
      </c>
      <c r="I5464" s="3"/>
    </row>
    <row r="5465" spans="1:9" s="4" customFormat="1" ht="20.25" customHeight="1" x14ac:dyDescent="0.55000000000000004">
      <c r="A5465" s="18">
        <v>24.711999599999999</v>
      </c>
      <c r="B5465" s="18">
        <v>34.777662399999997</v>
      </c>
      <c r="C5465" s="18">
        <v>679818.17</v>
      </c>
      <c r="D5465" s="18">
        <v>2734224.92</v>
      </c>
      <c r="E5465" s="18">
        <v>458.72</v>
      </c>
      <c r="F5465" s="18">
        <v>41708.49</v>
      </c>
      <c r="G5465" s="18">
        <v>103136</v>
      </c>
      <c r="H5465" s="18">
        <f t="shared" si="135"/>
        <v>41617.49</v>
      </c>
      <c r="I5465" s="3"/>
    </row>
    <row r="5466" spans="1:9" s="4" customFormat="1" ht="20.25" customHeight="1" x14ac:dyDescent="0.55000000000000004">
      <c r="A5466" s="18">
        <v>24.711983199999999</v>
      </c>
      <c r="B5466" s="18">
        <v>34.777687800000002</v>
      </c>
      <c r="C5466" s="18">
        <v>679820.77</v>
      </c>
      <c r="D5466" s="18">
        <v>2734223.14</v>
      </c>
      <c r="E5466" s="18">
        <v>458.61</v>
      </c>
      <c r="F5466" s="18">
        <v>41705.949999999997</v>
      </c>
      <c r="G5466" s="18">
        <v>103138</v>
      </c>
      <c r="H5466" s="18">
        <f t="shared" si="135"/>
        <v>41614.949999999997</v>
      </c>
      <c r="I5466" s="3"/>
    </row>
    <row r="5467" spans="1:9" s="4" customFormat="1" ht="20.25" customHeight="1" x14ac:dyDescent="0.55000000000000004">
      <c r="A5467" s="18">
        <v>24.711969700000001</v>
      </c>
      <c r="B5467" s="18">
        <v>34.777714199999998</v>
      </c>
      <c r="C5467" s="18">
        <v>679823.46</v>
      </c>
      <c r="D5467" s="18">
        <v>2734221.67</v>
      </c>
      <c r="E5467" s="18">
        <v>458.44</v>
      </c>
      <c r="F5467" s="18">
        <v>41707.800000000003</v>
      </c>
      <c r="G5467" s="18">
        <v>103140</v>
      </c>
      <c r="H5467" s="18">
        <f t="shared" si="135"/>
        <v>41616.800000000003</v>
      </c>
      <c r="I5467" s="3"/>
    </row>
    <row r="5468" spans="1:9" s="4" customFormat="1" ht="20.25" customHeight="1" x14ac:dyDescent="0.55000000000000004">
      <c r="A5468" s="18">
        <v>24.711957200000001</v>
      </c>
      <c r="B5468" s="18">
        <v>34.777741200000001</v>
      </c>
      <c r="C5468" s="18">
        <v>679826.21</v>
      </c>
      <c r="D5468" s="18">
        <v>2734220.32</v>
      </c>
      <c r="E5468" s="18">
        <v>458.18</v>
      </c>
      <c r="F5468" s="18">
        <v>41709.14</v>
      </c>
      <c r="G5468" s="18">
        <v>103142</v>
      </c>
      <c r="H5468" s="18">
        <f t="shared" si="135"/>
        <v>41618.14</v>
      </c>
      <c r="I5468" s="3"/>
    </row>
    <row r="5469" spans="1:9" s="4" customFormat="1" ht="20.25" customHeight="1" x14ac:dyDescent="0.55000000000000004">
      <c r="A5469" s="18">
        <v>24.711943000000002</v>
      </c>
      <c r="B5469" s="18">
        <v>34.777767400000002</v>
      </c>
      <c r="C5469" s="18">
        <v>679828.88</v>
      </c>
      <c r="D5469" s="18">
        <v>2734218.79</v>
      </c>
      <c r="E5469" s="18">
        <v>458.03</v>
      </c>
      <c r="F5469" s="18">
        <v>41708.21</v>
      </c>
      <c r="G5469" s="18">
        <v>103144</v>
      </c>
      <c r="H5469" s="18">
        <f t="shared" si="135"/>
        <v>41617.21</v>
      </c>
      <c r="I5469" s="3"/>
    </row>
    <row r="5470" spans="1:9" s="4" customFormat="1" ht="20.25" customHeight="1" x14ac:dyDescent="0.55000000000000004">
      <c r="A5470" s="18">
        <v>24.711926900000002</v>
      </c>
      <c r="B5470" s="18">
        <v>34.777791399999998</v>
      </c>
      <c r="C5470" s="18">
        <v>679831.33</v>
      </c>
      <c r="D5470" s="18">
        <v>2734217.03</v>
      </c>
      <c r="E5470" s="18">
        <v>457.88</v>
      </c>
      <c r="F5470" s="18">
        <v>41708.22</v>
      </c>
      <c r="G5470" s="18">
        <v>103146</v>
      </c>
      <c r="H5470" s="18">
        <f t="shared" si="135"/>
        <v>41617.22</v>
      </c>
      <c r="I5470" s="3"/>
    </row>
    <row r="5471" spans="1:9" s="4" customFormat="1" ht="20.25" customHeight="1" x14ac:dyDescent="0.55000000000000004">
      <c r="A5471" s="18">
        <v>24.711907100000001</v>
      </c>
      <c r="B5471" s="18">
        <v>34.777811200000002</v>
      </c>
      <c r="C5471" s="18">
        <v>679833.36</v>
      </c>
      <c r="D5471" s="18">
        <v>2734214.87</v>
      </c>
      <c r="E5471" s="18">
        <v>457.8</v>
      </c>
      <c r="F5471" s="18">
        <v>41704.21</v>
      </c>
      <c r="G5471" s="18">
        <v>103148</v>
      </c>
      <c r="H5471" s="18">
        <f t="shared" si="135"/>
        <v>41613.21</v>
      </c>
      <c r="I5471" s="3"/>
    </row>
    <row r="5472" spans="1:9" s="4" customFormat="1" ht="20.25" customHeight="1" x14ac:dyDescent="0.55000000000000004">
      <c r="A5472" s="18">
        <v>24.711891099999999</v>
      </c>
      <c r="B5472" s="18">
        <v>34.777829400000002</v>
      </c>
      <c r="C5472" s="18">
        <v>679835.23</v>
      </c>
      <c r="D5472" s="18">
        <v>2734213.1200000001</v>
      </c>
      <c r="E5472" s="18">
        <v>457.59</v>
      </c>
      <c r="F5472" s="18">
        <v>41704.54</v>
      </c>
      <c r="G5472" s="18">
        <v>103150</v>
      </c>
      <c r="H5472" s="18">
        <f t="shared" si="135"/>
        <v>41613.54</v>
      </c>
      <c r="I5472" s="3"/>
    </row>
    <row r="5473" spans="1:9" s="4" customFormat="1" ht="20.25" customHeight="1" x14ac:dyDescent="0.55000000000000004">
      <c r="A5473" s="18">
        <v>24.711874099999999</v>
      </c>
      <c r="B5473" s="18">
        <v>34.777845499999998</v>
      </c>
      <c r="C5473" s="18">
        <v>679836.88</v>
      </c>
      <c r="D5473" s="18">
        <v>2734211.26</v>
      </c>
      <c r="E5473" s="18">
        <v>457.44</v>
      </c>
      <c r="F5473" s="18">
        <v>41702.44</v>
      </c>
      <c r="G5473" s="18">
        <v>103152</v>
      </c>
      <c r="H5473" s="18">
        <f t="shared" si="135"/>
        <v>41611.440000000002</v>
      </c>
      <c r="I5473" s="3"/>
    </row>
    <row r="5474" spans="1:9" s="4" customFormat="1" ht="20.25" customHeight="1" x14ac:dyDescent="0.55000000000000004">
      <c r="A5474" s="18">
        <v>24.7118556</v>
      </c>
      <c r="B5474" s="18">
        <v>34.777863099999998</v>
      </c>
      <c r="C5474" s="18">
        <v>679838.69</v>
      </c>
      <c r="D5474" s="18">
        <v>2734209.24</v>
      </c>
      <c r="E5474" s="18">
        <v>457.24</v>
      </c>
      <c r="F5474" s="18">
        <v>41703.480000000003</v>
      </c>
      <c r="G5474" s="18">
        <v>103154</v>
      </c>
      <c r="H5474" s="18">
        <f t="shared" si="135"/>
        <v>41612.480000000003</v>
      </c>
      <c r="I5474" s="3"/>
    </row>
    <row r="5475" spans="1:9" s="4" customFormat="1" ht="20.25" customHeight="1" x14ac:dyDescent="0.55000000000000004">
      <c r="A5475" s="18">
        <v>24.711837299999999</v>
      </c>
      <c r="B5475" s="18">
        <v>34.777882400000003</v>
      </c>
      <c r="C5475" s="18">
        <v>679840.67</v>
      </c>
      <c r="D5475" s="18">
        <v>2734207.24</v>
      </c>
      <c r="E5475" s="18">
        <v>457.03</v>
      </c>
      <c r="F5475" s="18">
        <v>41704.519999999997</v>
      </c>
      <c r="G5475" s="18">
        <v>103156</v>
      </c>
      <c r="H5475" s="18">
        <f t="shared" si="135"/>
        <v>41613.519999999997</v>
      </c>
      <c r="I5475" s="3"/>
    </row>
    <row r="5476" spans="1:9" s="4" customFormat="1" ht="20.25" customHeight="1" x14ac:dyDescent="0.55000000000000004">
      <c r="A5476" s="18">
        <v>24.711813100000001</v>
      </c>
      <c r="B5476" s="18">
        <v>34.777897400000001</v>
      </c>
      <c r="C5476" s="18">
        <v>679842.22</v>
      </c>
      <c r="D5476" s="18">
        <v>2734204.57</v>
      </c>
      <c r="E5476" s="18">
        <v>456.81</v>
      </c>
      <c r="F5476" s="18">
        <v>41706.36</v>
      </c>
      <c r="G5476" s="18">
        <v>103158</v>
      </c>
      <c r="H5476" s="18">
        <f t="shared" si="135"/>
        <v>41615.360000000001</v>
      </c>
      <c r="I5476" s="3"/>
    </row>
    <row r="5477" spans="1:9" s="4" customFormat="1" ht="20.25" customHeight="1" x14ac:dyDescent="0.55000000000000004">
      <c r="A5477" s="18">
        <v>24.7117875</v>
      </c>
      <c r="B5477" s="18">
        <v>34.777911799999998</v>
      </c>
      <c r="C5477" s="18">
        <v>679843.72</v>
      </c>
      <c r="D5477" s="18">
        <v>2734201.75</v>
      </c>
      <c r="E5477" s="18">
        <v>456.67</v>
      </c>
      <c r="F5477" s="18">
        <v>41705.57</v>
      </c>
      <c r="G5477" s="18">
        <v>103200</v>
      </c>
      <c r="H5477" s="18">
        <f t="shared" si="135"/>
        <v>41614.57</v>
      </c>
      <c r="I5477" s="3"/>
    </row>
    <row r="5478" spans="1:9" s="4" customFormat="1" ht="20.25" customHeight="1" x14ac:dyDescent="0.55000000000000004">
      <c r="A5478" s="18">
        <v>24.711765499999998</v>
      </c>
      <c r="B5478" s="18">
        <v>34.777926899999997</v>
      </c>
      <c r="C5478" s="18">
        <v>679845.27</v>
      </c>
      <c r="D5478" s="18">
        <v>2734199.34</v>
      </c>
      <c r="E5478" s="18">
        <v>456.64</v>
      </c>
      <c r="F5478" s="18">
        <v>41704.89</v>
      </c>
      <c r="G5478" s="18">
        <v>103202</v>
      </c>
      <c r="H5478" s="18">
        <f t="shared" si="135"/>
        <v>41613.89</v>
      </c>
      <c r="I5478" s="3"/>
    </row>
    <row r="5479" spans="1:9" s="4" customFormat="1" ht="20.25" customHeight="1" x14ac:dyDescent="0.55000000000000004">
      <c r="A5479" s="18">
        <v>24.7117425</v>
      </c>
      <c r="B5479" s="18">
        <v>34.777941300000002</v>
      </c>
      <c r="C5479" s="18">
        <v>679846.76</v>
      </c>
      <c r="D5479" s="18">
        <v>2734196.81</v>
      </c>
      <c r="E5479" s="18">
        <v>456.56</v>
      </c>
      <c r="F5479" s="18">
        <v>41704.9</v>
      </c>
      <c r="G5479" s="18">
        <v>103204</v>
      </c>
      <c r="H5479" s="18">
        <f t="shared" si="135"/>
        <v>41613.9</v>
      </c>
      <c r="I5479" s="3"/>
    </row>
    <row r="5480" spans="1:9" s="4" customFormat="1" ht="20.25" customHeight="1" x14ac:dyDescent="0.55000000000000004">
      <c r="A5480" s="18">
        <v>24.7117191</v>
      </c>
      <c r="B5480" s="18">
        <v>34.777955599999999</v>
      </c>
      <c r="C5480" s="18">
        <v>679848.24</v>
      </c>
      <c r="D5480" s="18">
        <v>2734194.24</v>
      </c>
      <c r="E5480" s="18">
        <v>456.41</v>
      </c>
      <c r="F5480" s="18">
        <v>41707.47</v>
      </c>
      <c r="G5480" s="18">
        <v>103206</v>
      </c>
      <c r="H5480" s="18">
        <f t="shared" si="135"/>
        <v>41616.47</v>
      </c>
      <c r="I5480" s="3"/>
    </row>
    <row r="5481" spans="1:9" s="4" customFormat="1" ht="20.25" customHeight="1" x14ac:dyDescent="0.55000000000000004">
      <c r="A5481" s="18">
        <v>24.7116957</v>
      </c>
      <c r="B5481" s="18">
        <v>34.777970199999999</v>
      </c>
      <c r="C5481" s="18">
        <v>679849.76</v>
      </c>
      <c r="D5481" s="18">
        <v>2734191.67</v>
      </c>
      <c r="E5481" s="18">
        <v>456.29</v>
      </c>
      <c r="F5481" s="18">
        <v>41706.18</v>
      </c>
      <c r="G5481" s="18">
        <v>103208</v>
      </c>
      <c r="H5481" s="18">
        <f t="shared" si="135"/>
        <v>41615.18</v>
      </c>
      <c r="I5481" s="3"/>
    </row>
    <row r="5482" spans="1:9" s="4" customFormat="1" ht="20.25" customHeight="1" x14ac:dyDescent="0.55000000000000004">
      <c r="A5482" s="18">
        <v>24.711673000000001</v>
      </c>
      <c r="B5482" s="18">
        <v>34.777984099999998</v>
      </c>
      <c r="C5482" s="18">
        <v>679851.19</v>
      </c>
      <c r="D5482" s="18">
        <v>2734189.17</v>
      </c>
      <c r="E5482" s="18">
        <v>456.1</v>
      </c>
      <c r="F5482" s="18">
        <v>41704.550000000003</v>
      </c>
      <c r="G5482" s="18">
        <v>103210</v>
      </c>
      <c r="H5482" s="18">
        <f t="shared" si="135"/>
        <v>41613.550000000003</v>
      </c>
      <c r="I5482" s="3"/>
    </row>
    <row r="5483" spans="1:9" s="4" customFormat="1" ht="20.25" customHeight="1" x14ac:dyDescent="0.55000000000000004">
      <c r="A5483" s="18">
        <v>24.711651400000001</v>
      </c>
      <c r="B5483" s="18">
        <v>34.7779989</v>
      </c>
      <c r="C5483" s="18">
        <v>679852.72</v>
      </c>
      <c r="D5483" s="18">
        <v>2734186.79</v>
      </c>
      <c r="E5483" s="18">
        <v>455.82</v>
      </c>
      <c r="F5483" s="18">
        <v>41705.160000000003</v>
      </c>
      <c r="G5483" s="18">
        <v>103212</v>
      </c>
      <c r="H5483" s="18">
        <f t="shared" si="135"/>
        <v>41614.160000000003</v>
      </c>
      <c r="I5483" s="3"/>
    </row>
    <row r="5484" spans="1:9" s="4" customFormat="1" ht="20.25" customHeight="1" x14ac:dyDescent="0.55000000000000004">
      <c r="A5484" s="18">
        <v>24.711631199999999</v>
      </c>
      <c r="B5484" s="18">
        <v>34.778014400000004</v>
      </c>
      <c r="C5484" s="18">
        <v>679854.32</v>
      </c>
      <c r="D5484" s="18">
        <v>2734184.58</v>
      </c>
      <c r="E5484" s="18">
        <v>455.74</v>
      </c>
      <c r="F5484" s="18">
        <v>41702.28</v>
      </c>
      <c r="G5484" s="18">
        <v>103214</v>
      </c>
      <c r="H5484" s="18">
        <f t="shared" si="135"/>
        <v>41611.279999999999</v>
      </c>
      <c r="I5484" s="3"/>
    </row>
    <row r="5485" spans="1:9" s="4" customFormat="1" ht="20.25" customHeight="1" x14ac:dyDescent="0.55000000000000004">
      <c r="A5485" s="18">
        <v>24.7116109</v>
      </c>
      <c r="B5485" s="18">
        <v>34.778030999999999</v>
      </c>
      <c r="C5485" s="18">
        <v>679856.03</v>
      </c>
      <c r="D5485" s="18">
        <v>2734182.35</v>
      </c>
      <c r="E5485" s="18">
        <v>455.63</v>
      </c>
      <c r="F5485" s="18">
        <v>41704.99</v>
      </c>
      <c r="G5485" s="18">
        <v>103216</v>
      </c>
      <c r="H5485" s="18">
        <f t="shared" si="135"/>
        <v>41613.99</v>
      </c>
      <c r="I5485" s="3"/>
    </row>
    <row r="5486" spans="1:9" s="4" customFormat="1" ht="20.25" customHeight="1" x14ac:dyDescent="0.55000000000000004">
      <c r="A5486" s="18">
        <v>24.711590000000001</v>
      </c>
      <c r="B5486" s="18">
        <v>34.7780494</v>
      </c>
      <c r="C5486" s="18">
        <v>679857.92</v>
      </c>
      <c r="D5486" s="18">
        <v>2734180.06</v>
      </c>
      <c r="E5486" s="18">
        <v>455.55</v>
      </c>
      <c r="F5486" s="18">
        <v>41706.67</v>
      </c>
      <c r="G5486" s="18">
        <v>103218</v>
      </c>
      <c r="H5486" s="18">
        <f t="shared" si="135"/>
        <v>41615.67</v>
      </c>
      <c r="I5486" s="3"/>
    </row>
    <row r="5487" spans="1:9" s="4" customFormat="1" ht="20.25" customHeight="1" x14ac:dyDescent="0.55000000000000004">
      <c r="A5487" s="18">
        <v>24.7115732</v>
      </c>
      <c r="B5487" s="18">
        <v>34.778069799999997</v>
      </c>
      <c r="C5487" s="18">
        <v>679860.01</v>
      </c>
      <c r="D5487" s="18">
        <v>2734178.23</v>
      </c>
      <c r="E5487" s="18">
        <v>455.44</v>
      </c>
      <c r="F5487" s="18">
        <v>41703.14</v>
      </c>
      <c r="G5487" s="18">
        <v>103220</v>
      </c>
      <c r="H5487" s="18">
        <f t="shared" si="135"/>
        <v>41612.14</v>
      </c>
      <c r="I5487" s="3"/>
    </row>
    <row r="5488" spans="1:9" s="4" customFormat="1" ht="20.25" customHeight="1" x14ac:dyDescent="0.55000000000000004">
      <c r="A5488" s="18">
        <v>24.711554199999998</v>
      </c>
      <c r="B5488" s="18">
        <v>34.778090300000002</v>
      </c>
      <c r="C5488" s="18">
        <v>679862.1</v>
      </c>
      <c r="D5488" s="18">
        <v>2734176.15</v>
      </c>
      <c r="E5488" s="18">
        <v>455.26</v>
      </c>
      <c r="F5488" s="18">
        <v>41704.31</v>
      </c>
      <c r="G5488" s="18">
        <v>103222</v>
      </c>
      <c r="H5488" s="18">
        <f t="shared" si="135"/>
        <v>41613.31</v>
      </c>
      <c r="I5488" s="3"/>
    </row>
    <row r="5489" spans="1:9" s="4" customFormat="1" ht="20.25" customHeight="1" x14ac:dyDescent="0.55000000000000004">
      <c r="A5489" s="18">
        <v>24.711532900000002</v>
      </c>
      <c r="B5489" s="18">
        <v>34.778105500000002</v>
      </c>
      <c r="C5489" s="18">
        <v>679863.67</v>
      </c>
      <c r="D5489" s="18">
        <v>2734173.82</v>
      </c>
      <c r="E5489" s="18">
        <v>455.17</v>
      </c>
      <c r="F5489" s="18">
        <v>41704.19</v>
      </c>
      <c r="G5489" s="18">
        <v>103224</v>
      </c>
      <c r="H5489" s="18">
        <f t="shared" si="135"/>
        <v>41613.19</v>
      </c>
      <c r="I5489" s="3"/>
    </row>
    <row r="5490" spans="1:9" s="4" customFormat="1" ht="20.25" customHeight="1" x14ac:dyDescent="0.55000000000000004">
      <c r="A5490" s="18">
        <v>24.711511399999999</v>
      </c>
      <c r="B5490" s="18">
        <v>34.778123299999997</v>
      </c>
      <c r="C5490" s="18">
        <v>679865.51</v>
      </c>
      <c r="D5490" s="18">
        <v>2734171.45</v>
      </c>
      <c r="E5490" s="18">
        <v>455.03</v>
      </c>
      <c r="F5490" s="18">
        <v>41704.15</v>
      </c>
      <c r="G5490" s="18">
        <v>103226</v>
      </c>
      <c r="H5490" s="18">
        <f t="shared" si="135"/>
        <v>41613.15</v>
      </c>
      <c r="I5490" s="3"/>
    </row>
    <row r="5491" spans="1:9" s="4" customFormat="1" ht="20.25" customHeight="1" x14ac:dyDescent="0.55000000000000004">
      <c r="A5491" s="18">
        <v>24.711487999999999</v>
      </c>
      <c r="B5491" s="18">
        <v>34.778137899999997</v>
      </c>
      <c r="C5491" s="18">
        <v>679867.02</v>
      </c>
      <c r="D5491" s="18">
        <v>2734168.88</v>
      </c>
      <c r="E5491" s="18">
        <v>454.96</v>
      </c>
      <c r="F5491" s="18">
        <v>41704.449999999997</v>
      </c>
      <c r="G5491" s="18">
        <v>103228</v>
      </c>
      <c r="H5491" s="18">
        <f t="shared" si="135"/>
        <v>41613.449999999997</v>
      </c>
      <c r="I5491" s="3"/>
    </row>
    <row r="5492" spans="1:9" s="4" customFormat="1" ht="20.25" customHeight="1" x14ac:dyDescent="0.55000000000000004">
      <c r="A5492" s="18">
        <v>24.711466600000001</v>
      </c>
      <c r="B5492" s="18">
        <v>34.778155699999999</v>
      </c>
      <c r="C5492" s="18">
        <v>679868.85</v>
      </c>
      <c r="D5492" s="18">
        <v>2734166.53</v>
      </c>
      <c r="E5492" s="18">
        <v>454.91</v>
      </c>
      <c r="F5492" s="18">
        <v>41704.32</v>
      </c>
      <c r="G5492" s="18">
        <v>103230</v>
      </c>
      <c r="H5492" s="18">
        <f t="shared" si="135"/>
        <v>41613.32</v>
      </c>
      <c r="I5492" s="3"/>
    </row>
    <row r="5493" spans="1:9" s="4" customFormat="1" ht="20.25" customHeight="1" x14ac:dyDescent="0.55000000000000004">
      <c r="A5493" s="18">
        <v>24.711448300000001</v>
      </c>
      <c r="B5493" s="18">
        <v>34.778177999999997</v>
      </c>
      <c r="C5493" s="18">
        <v>679871.13</v>
      </c>
      <c r="D5493" s="18">
        <v>2734164.54</v>
      </c>
      <c r="E5493" s="18">
        <v>454.76</v>
      </c>
      <c r="F5493" s="18">
        <v>41705.15</v>
      </c>
      <c r="G5493" s="18">
        <v>103232</v>
      </c>
      <c r="H5493" s="18">
        <f t="shared" si="135"/>
        <v>41614.15</v>
      </c>
      <c r="I5493" s="3"/>
    </row>
    <row r="5494" spans="1:9" s="4" customFormat="1" ht="20.25" customHeight="1" x14ac:dyDescent="0.55000000000000004">
      <c r="A5494" s="18">
        <v>24.711431699999999</v>
      </c>
      <c r="B5494" s="18">
        <v>34.778201600000003</v>
      </c>
      <c r="C5494" s="18">
        <v>679873.55</v>
      </c>
      <c r="D5494" s="18">
        <v>2734162.73</v>
      </c>
      <c r="E5494" s="18">
        <v>455.07</v>
      </c>
      <c r="F5494" s="18">
        <v>41704.93</v>
      </c>
      <c r="G5494" s="18">
        <v>103234</v>
      </c>
      <c r="H5494" s="18">
        <f t="shared" ref="H5494:H5557" si="136">SUM(F5494-91)</f>
        <v>41613.93</v>
      </c>
      <c r="I5494" s="3"/>
    </row>
    <row r="5495" spans="1:9" s="4" customFormat="1" ht="20.25" customHeight="1" x14ac:dyDescent="0.55000000000000004">
      <c r="A5495" s="18">
        <v>24.7114148</v>
      </c>
      <c r="B5495" s="18">
        <v>34.778222100000001</v>
      </c>
      <c r="C5495" s="18">
        <v>679875.64</v>
      </c>
      <c r="D5495" s="18">
        <v>2734160.89</v>
      </c>
      <c r="E5495" s="18">
        <v>455.27</v>
      </c>
      <c r="F5495" s="18">
        <v>41703.49</v>
      </c>
      <c r="G5495" s="18">
        <v>103236</v>
      </c>
      <c r="H5495" s="18">
        <f t="shared" si="136"/>
        <v>41612.49</v>
      </c>
      <c r="I5495" s="3"/>
    </row>
    <row r="5496" spans="1:9" s="4" customFormat="1" ht="20.25" customHeight="1" x14ac:dyDescent="0.55000000000000004">
      <c r="A5496" s="18">
        <v>24.711395199999998</v>
      </c>
      <c r="B5496" s="18">
        <v>34.7782427</v>
      </c>
      <c r="C5496" s="18">
        <v>679877.76</v>
      </c>
      <c r="D5496" s="18">
        <v>2734158.74</v>
      </c>
      <c r="E5496" s="18">
        <v>455.34</v>
      </c>
      <c r="F5496" s="18">
        <v>41704.67</v>
      </c>
      <c r="G5496" s="18">
        <v>103238</v>
      </c>
      <c r="H5496" s="18">
        <f t="shared" si="136"/>
        <v>41613.67</v>
      </c>
      <c r="I5496" s="3"/>
    </row>
    <row r="5497" spans="1:9" s="4" customFormat="1" ht="20.25" customHeight="1" x14ac:dyDescent="0.55000000000000004">
      <c r="A5497" s="18">
        <v>24.711377200000001</v>
      </c>
      <c r="B5497" s="18">
        <v>34.778264800000002</v>
      </c>
      <c r="C5497" s="18">
        <v>679880.02</v>
      </c>
      <c r="D5497" s="18">
        <v>2734156.77</v>
      </c>
      <c r="E5497" s="18">
        <v>455.46</v>
      </c>
      <c r="F5497" s="18">
        <v>41705.29</v>
      </c>
      <c r="G5497" s="18">
        <v>103240</v>
      </c>
      <c r="H5497" s="18">
        <f t="shared" si="136"/>
        <v>41614.29</v>
      </c>
      <c r="I5497" s="3"/>
    </row>
    <row r="5498" spans="1:9" s="4" customFormat="1" ht="20.25" customHeight="1" x14ac:dyDescent="0.55000000000000004">
      <c r="A5498" s="18">
        <v>24.711359399999999</v>
      </c>
      <c r="B5498" s="18">
        <v>34.778285199999999</v>
      </c>
      <c r="C5498" s="18">
        <v>679882.11</v>
      </c>
      <c r="D5498" s="18">
        <v>2734154.83</v>
      </c>
      <c r="E5498" s="18">
        <v>455.63</v>
      </c>
      <c r="F5498" s="18">
        <v>41704.21</v>
      </c>
      <c r="G5498" s="18">
        <v>103242</v>
      </c>
      <c r="H5498" s="18">
        <f t="shared" si="136"/>
        <v>41613.21</v>
      </c>
      <c r="I5498" s="3"/>
    </row>
    <row r="5499" spans="1:9" s="4" customFormat="1" ht="20.25" customHeight="1" x14ac:dyDescent="0.55000000000000004">
      <c r="A5499" s="18">
        <v>24.7113443</v>
      </c>
      <c r="B5499" s="18">
        <v>34.778308600000003</v>
      </c>
      <c r="C5499" s="18">
        <v>679884.5</v>
      </c>
      <c r="D5499" s="18">
        <v>2734153.19</v>
      </c>
      <c r="E5499" s="18">
        <v>455.84</v>
      </c>
      <c r="F5499" s="18">
        <v>41704.74</v>
      </c>
      <c r="G5499" s="18">
        <v>103244</v>
      </c>
      <c r="H5499" s="18">
        <f t="shared" si="136"/>
        <v>41613.74</v>
      </c>
      <c r="I5499" s="3"/>
    </row>
    <row r="5500" spans="1:9" s="4" customFormat="1" ht="20.25" customHeight="1" x14ac:dyDescent="0.55000000000000004">
      <c r="A5500" s="18">
        <v>24.711328600000002</v>
      </c>
      <c r="B5500" s="18">
        <v>34.778331899999998</v>
      </c>
      <c r="C5500" s="18">
        <v>679886.88</v>
      </c>
      <c r="D5500" s="18">
        <v>2734151.48</v>
      </c>
      <c r="E5500" s="18">
        <v>456.02</v>
      </c>
      <c r="F5500" s="18">
        <v>41705.49</v>
      </c>
      <c r="G5500" s="18">
        <v>103246</v>
      </c>
      <c r="H5500" s="18">
        <f t="shared" si="136"/>
        <v>41614.49</v>
      </c>
      <c r="I5500" s="3"/>
    </row>
    <row r="5501" spans="1:9" s="4" customFormat="1" ht="20.25" customHeight="1" x14ac:dyDescent="0.55000000000000004">
      <c r="A5501" s="18">
        <v>24.7113151</v>
      </c>
      <c r="B5501" s="18">
        <v>34.778356899999999</v>
      </c>
      <c r="C5501" s="18">
        <v>679889.42</v>
      </c>
      <c r="D5501" s="18">
        <v>2734150.02</v>
      </c>
      <c r="E5501" s="18">
        <v>455.88</v>
      </c>
      <c r="F5501" s="18">
        <v>41699.019999999997</v>
      </c>
      <c r="G5501" s="18">
        <v>103248</v>
      </c>
      <c r="H5501" s="18">
        <f t="shared" si="136"/>
        <v>41608.019999999997</v>
      </c>
      <c r="I5501" s="3"/>
    </row>
    <row r="5502" spans="1:9" s="4" customFormat="1" ht="20.25" customHeight="1" x14ac:dyDescent="0.55000000000000004">
      <c r="A5502" s="18">
        <v>24.711302400000001</v>
      </c>
      <c r="B5502" s="18">
        <v>34.778385200000002</v>
      </c>
      <c r="C5502" s="18">
        <v>679892.31</v>
      </c>
      <c r="D5502" s="18">
        <v>2734148.65</v>
      </c>
      <c r="E5502" s="18">
        <v>455.97</v>
      </c>
      <c r="F5502" s="18">
        <v>41707.300000000003</v>
      </c>
      <c r="G5502" s="18">
        <v>103250</v>
      </c>
      <c r="H5502" s="18">
        <f t="shared" si="136"/>
        <v>41616.300000000003</v>
      </c>
      <c r="I5502" s="3"/>
    </row>
    <row r="5503" spans="1:9" s="4" customFormat="1" ht="20.25" customHeight="1" x14ac:dyDescent="0.55000000000000004">
      <c r="A5503" s="18">
        <v>24.711288400000001</v>
      </c>
      <c r="B5503" s="18">
        <v>34.7784087</v>
      </c>
      <c r="C5503" s="18">
        <v>679894.7</v>
      </c>
      <c r="D5503" s="18">
        <v>2734147.13</v>
      </c>
      <c r="E5503" s="18">
        <v>456.02</v>
      </c>
      <c r="F5503" s="18">
        <v>41705.589999999997</v>
      </c>
      <c r="G5503" s="18">
        <v>103252</v>
      </c>
      <c r="H5503" s="18">
        <f t="shared" si="136"/>
        <v>41614.589999999997</v>
      </c>
      <c r="I5503" s="3"/>
    </row>
    <row r="5504" spans="1:9" s="4" customFormat="1" ht="20.25" customHeight="1" x14ac:dyDescent="0.55000000000000004">
      <c r="A5504" s="18">
        <v>24.7112734</v>
      </c>
      <c r="B5504" s="18">
        <v>34.7784318</v>
      </c>
      <c r="C5504" s="18">
        <v>679897.06</v>
      </c>
      <c r="D5504" s="18">
        <v>2734145.5</v>
      </c>
      <c r="E5504" s="18">
        <v>456.02</v>
      </c>
      <c r="F5504" s="18">
        <v>41709.589999999997</v>
      </c>
      <c r="G5504" s="18">
        <v>103254</v>
      </c>
      <c r="H5504" s="18">
        <f t="shared" si="136"/>
        <v>41618.589999999997</v>
      </c>
      <c r="I5504" s="3"/>
    </row>
    <row r="5505" spans="1:9" s="4" customFormat="1" ht="20.25" customHeight="1" x14ac:dyDescent="0.55000000000000004">
      <c r="A5505" s="18">
        <v>24.7112582</v>
      </c>
      <c r="B5505" s="18">
        <v>34.778452199999997</v>
      </c>
      <c r="C5505" s="18">
        <v>679899.15</v>
      </c>
      <c r="D5505" s="18">
        <v>2734143.84</v>
      </c>
      <c r="E5505" s="18">
        <v>456</v>
      </c>
      <c r="F5505" s="18">
        <v>41709.35</v>
      </c>
      <c r="G5505" s="18">
        <v>103256</v>
      </c>
      <c r="H5505" s="18">
        <f t="shared" si="136"/>
        <v>41618.35</v>
      </c>
      <c r="I5505" s="3"/>
    </row>
    <row r="5506" spans="1:9" s="4" customFormat="1" ht="20.25" customHeight="1" x14ac:dyDescent="0.55000000000000004">
      <c r="A5506" s="18">
        <v>24.711238399999999</v>
      </c>
      <c r="B5506" s="18">
        <v>34.778470400000003</v>
      </c>
      <c r="C5506" s="18">
        <v>679901.02</v>
      </c>
      <c r="D5506" s="18">
        <v>2734141.67</v>
      </c>
      <c r="E5506" s="18">
        <v>455.84</v>
      </c>
      <c r="F5506" s="18">
        <v>41700.22</v>
      </c>
      <c r="G5506" s="18">
        <v>103258</v>
      </c>
      <c r="H5506" s="18">
        <f t="shared" si="136"/>
        <v>41609.22</v>
      </c>
      <c r="I5506" s="3"/>
    </row>
    <row r="5507" spans="1:9" s="4" customFormat="1" ht="20.25" customHeight="1" x14ac:dyDescent="0.55000000000000004">
      <c r="A5507" s="18">
        <v>24.711218599999999</v>
      </c>
      <c r="B5507" s="18">
        <v>34.778489800000003</v>
      </c>
      <c r="C5507" s="18">
        <v>679903.01</v>
      </c>
      <c r="D5507" s="18">
        <v>2734139.51</v>
      </c>
      <c r="E5507" s="18">
        <v>455.69</v>
      </c>
      <c r="F5507" s="18">
        <v>41709.97</v>
      </c>
      <c r="G5507" s="18">
        <v>103300</v>
      </c>
      <c r="H5507" s="18">
        <f t="shared" si="136"/>
        <v>41618.97</v>
      </c>
      <c r="I5507" s="3"/>
    </row>
    <row r="5508" spans="1:9" s="4" customFormat="1" ht="20.25" customHeight="1" x14ac:dyDescent="0.55000000000000004">
      <c r="A5508" s="18">
        <v>24.711199199999999</v>
      </c>
      <c r="B5508" s="18">
        <v>34.778508700000003</v>
      </c>
      <c r="C5508" s="18">
        <v>679904.95</v>
      </c>
      <c r="D5508" s="18">
        <v>2734137.38</v>
      </c>
      <c r="E5508" s="18">
        <v>455.58</v>
      </c>
      <c r="F5508" s="18">
        <v>41707.370000000003</v>
      </c>
      <c r="G5508" s="18">
        <v>103302</v>
      </c>
      <c r="H5508" s="18">
        <f t="shared" si="136"/>
        <v>41616.370000000003</v>
      </c>
      <c r="I5508" s="3"/>
    </row>
    <row r="5509" spans="1:9" s="4" customFormat="1" ht="20.25" customHeight="1" x14ac:dyDescent="0.55000000000000004">
      <c r="A5509" s="18">
        <v>24.711180299999999</v>
      </c>
      <c r="B5509" s="18">
        <v>34.778528600000001</v>
      </c>
      <c r="C5509" s="18">
        <v>679906.99</v>
      </c>
      <c r="D5509" s="18">
        <v>2734135.31</v>
      </c>
      <c r="E5509" s="18">
        <v>455.43</v>
      </c>
      <c r="F5509" s="18">
        <v>41708.629999999997</v>
      </c>
      <c r="G5509" s="18">
        <v>103304</v>
      </c>
      <c r="H5509" s="18">
        <f t="shared" si="136"/>
        <v>41617.629999999997</v>
      </c>
      <c r="I5509" s="3"/>
    </row>
    <row r="5510" spans="1:9" s="4" customFormat="1" ht="20.25" customHeight="1" x14ac:dyDescent="0.55000000000000004">
      <c r="A5510" s="18">
        <v>24.711163899999999</v>
      </c>
      <c r="B5510" s="18">
        <v>34.778552500000004</v>
      </c>
      <c r="C5510" s="18">
        <v>679909.43</v>
      </c>
      <c r="D5510" s="18">
        <v>2734133.53</v>
      </c>
      <c r="E5510" s="18">
        <v>455.22</v>
      </c>
      <c r="F5510" s="18">
        <v>41692.33</v>
      </c>
      <c r="G5510" s="18">
        <v>103306</v>
      </c>
      <c r="H5510" s="18">
        <f t="shared" si="136"/>
        <v>41601.33</v>
      </c>
      <c r="I5510" s="3"/>
    </row>
    <row r="5511" spans="1:9" s="4" customFormat="1" ht="20.25" customHeight="1" x14ac:dyDescent="0.55000000000000004">
      <c r="A5511" s="18">
        <v>24.711147799999999</v>
      </c>
      <c r="B5511" s="18">
        <v>34.778574999999996</v>
      </c>
      <c r="C5511" s="18">
        <v>679911.73</v>
      </c>
      <c r="D5511" s="18">
        <v>2734131.77</v>
      </c>
      <c r="E5511" s="18">
        <v>455.05</v>
      </c>
      <c r="F5511" s="18">
        <v>41706.910000000003</v>
      </c>
      <c r="G5511" s="18">
        <v>103308</v>
      </c>
      <c r="H5511" s="18">
        <f t="shared" si="136"/>
        <v>41615.910000000003</v>
      </c>
      <c r="I5511" s="3"/>
    </row>
    <row r="5512" spans="1:9" s="4" customFormat="1" ht="20.25" customHeight="1" x14ac:dyDescent="0.55000000000000004">
      <c r="A5512" s="18">
        <v>24.7111287</v>
      </c>
      <c r="B5512" s="18">
        <v>34.778594499999997</v>
      </c>
      <c r="C5512" s="18">
        <v>679913.74</v>
      </c>
      <c r="D5512" s="18">
        <v>2734129.69</v>
      </c>
      <c r="E5512" s="18">
        <v>454.93</v>
      </c>
      <c r="F5512" s="18">
        <v>41705.199999999997</v>
      </c>
      <c r="G5512" s="18">
        <v>103310</v>
      </c>
      <c r="H5512" s="18">
        <f t="shared" si="136"/>
        <v>41614.199999999997</v>
      </c>
      <c r="I5512" s="3"/>
    </row>
    <row r="5513" spans="1:9" s="4" customFormat="1" ht="20.25" customHeight="1" x14ac:dyDescent="0.55000000000000004">
      <c r="A5513" s="18">
        <v>24.711108200000002</v>
      </c>
      <c r="B5513" s="18">
        <v>34.778613999999997</v>
      </c>
      <c r="C5513" s="18">
        <v>679915.73</v>
      </c>
      <c r="D5513" s="18">
        <v>2734127.44</v>
      </c>
      <c r="E5513" s="18">
        <v>454.79</v>
      </c>
      <c r="F5513" s="18">
        <v>41707.01</v>
      </c>
      <c r="G5513" s="18">
        <v>103312</v>
      </c>
      <c r="H5513" s="18">
        <f t="shared" si="136"/>
        <v>41616.01</v>
      </c>
      <c r="I5513" s="3"/>
    </row>
    <row r="5514" spans="1:9" s="4" customFormat="1" ht="20.25" customHeight="1" x14ac:dyDescent="0.55000000000000004">
      <c r="A5514" s="18">
        <v>24.711088400000001</v>
      </c>
      <c r="B5514" s="18">
        <v>34.7786337</v>
      </c>
      <c r="C5514" s="18">
        <v>679917.76</v>
      </c>
      <c r="D5514" s="18">
        <v>2734125.28</v>
      </c>
      <c r="E5514" s="18">
        <v>454.69</v>
      </c>
      <c r="F5514" s="18">
        <v>41705.31</v>
      </c>
      <c r="G5514" s="18">
        <v>103314</v>
      </c>
      <c r="H5514" s="18">
        <f t="shared" si="136"/>
        <v>41614.31</v>
      </c>
      <c r="I5514" s="3"/>
    </row>
    <row r="5515" spans="1:9" s="4" customFormat="1" ht="20.25" customHeight="1" x14ac:dyDescent="0.55000000000000004">
      <c r="A5515" s="18">
        <v>24.711067400000001</v>
      </c>
      <c r="B5515" s="18">
        <v>34.778651400000001</v>
      </c>
      <c r="C5515" s="18">
        <v>679919.58</v>
      </c>
      <c r="D5515" s="18">
        <v>2734122.98</v>
      </c>
      <c r="E5515" s="18">
        <v>454.6</v>
      </c>
      <c r="F5515" s="18">
        <v>41705.339999999997</v>
      </c>
      <c r="G5515" s="18">
        <v>103316</v>
      </c>
      <c r="H5515" s="18">
        <f t="shared" si="136"/>
        <v>41614.339999999997</v>
      </c>
      <c r="I5515" s="3"/>
    </row>
    <row r="5516" spans="1:9" s="4" customFormat="1" ht="20.25" customHeight="1" x14ac:dyDescent="0.55000000000000004">
      <c r="A5516" s="18">
        <v>24.711048999999999</v>
      </c>
      <c r="B5516" s="18">
        <v>34.778669999999998</v>
      </c>
      <c r="C5516" s="18">
        <v>679921.48</v>
      </c>
      <c r="D5516" s="18">
        <v>2734120.95</v>
      </c>
      <c r="E5516" s="18">
        <v>454.32</v>
      </c>
      <c r="F5516" s="18">
        <v>41704.61</v>
      </c>
      <c r="G5516" s="18">
        <v>103318</v>
      </c>
      <c r="H5516" s="18">
        <f t="shared" si="136"/>
        <v>41613.61</v>
      </c>
      <c r="I5516" s="3"/>
    </row>
    <row r="5517" spans="1:9" s="4" customFormat="1" ht="20.25" customHeight="1" x14ac:dyDescent="0.55000000000000004">
      <c r="A5517" s="18">
        <v>24.711027000000001</v>
      </c>
      <c r="B5517" s="18">
        <v>34.778689700000001</v>
      </c>
      <c r="C5517" s="18">
        <v>679923.51</v>
      </c>
      <c r="D5517" s="18">
        <v>2734118.55</v>
      </c>
      <c r="E5517" s="18">
        <v>453.99</v>
      </c>
      <c r="F5517" s="18">
        <v>41701.79</v>
      </c>
      <c r="G5517" s="18">
        <v>103320</v>
      </c>
      <c r="H5517" s="18">
        <f t="shared" si="136"/>
        <v>41610.79</v>
      </c>
      <c r="I5517" s="3"/>
    </row>
    <row r="5518" spans="1:9" s="4" customFormat="1" ht="20.25" customHeight="1" x14ac:dyDescent="0.55000000000000004">
      <c r="A5518" s="18">
        <v>24.7110065</v>
      </c>
      <c r="B5518" s="18">
        <v>34.778707699999998</v>
      </c>
      <c r="C5518" s="18">
        <v>679925.36</v>
      </c>
      <c r="D5518" s="18">
        <v>2734116.29</v>
      </c>
      <c r="E5518" s="18">
        <v>453.47</v>
      </c>
      <c r="F5518" s="18">
        <v>41706.36</v>
      </c>
      <c r="G5518" s="18">
        <v>103322</v>
      </c>
      <c r="H5518" s="18">
        <f t="shared" si="136"/>
        <v>41615.360000000001</v>
      </c>
      <c r="I5518" s="3"/>
    </row>
    <row r="5519" spans="1:9" s="4" customFormat="1" ht="20.25" customHeight="1" x14ac:dyDescent="0.55000000000000004">
      <c r="A5519" s="18">
        <v>24.710986500000001</v>
      </c>
      <c r="B5519" s="18">
        <v>34.778728100000002</v>
      </c>
      <c r="C5519" s="18">
        <v>679927.46</v>
      </c>
      <c r="D5519" s="18">
        <v>2734114.11</v>
      </c>
      <c r="E5519" s="18">
        <v>453.15</v>
      </c>
      <c r="F5519" s="18">
        <v>41706.339999999997</v>
      </c>
      <c r="G5519" s="18">
        <v>103324</v>
      </c>
      <c r="H5519" s="18">
        <f t="shared" si="136"/>
        <v>41615.339999999997</v>
      </c>
      <c r="I5519" s="3"/>
    </row>
    <row r="5520" spans="1:9" s="4" customFormat="1" ht="20.25" customHeight="1" x14ac:dyDescent="0.55000000000000004">
      <c r="A5520" s="18">
        <v>24.710965600000002</v>
      </c>
      <c r="B5520" s="18">
        <v>34.778747199999998</v>
      </c>
      <c r="C5520" s="18">
        <v>679929.42</v>
      </c>
      <c r="D5520" s="18">
        <v>2734111.83</v>
      </c>
      <c r="E5520" s="18">
        <v>452.88</v>
      </c>
      <c r="F5520" s="18">
        <v>41706.39</v>
      </c>
      <c r="G5520" s="18">
        <v>103326</v>
      </c>
      <c r="H5520" s="18">
        <f t="shared" si="136"/>
        <v>41615.39</v>
      </c>
      <c r="I5520" s="3"/>
    </row>
    <row r="5521" spans="1:9" s="4" customFormat="1" ht="20.25" customHeight="1" x14ac:dyDescent="0.55000000000000004">
      <c r="A5521" s="18">
        <v>24.710940900000001</v>
      </c>
      <c r="B5521" s="18">
        <v>34.7787632</v>
      </c>
      <c r="C5521" s="18">
        <v>679931.08</v>
      </c>
      <c r="D5521" s="18">
        <v>2734109.1</v>
      </c>
      <c r="E5521" s="18">
        <v>452.59</v>
      </c>
      <c r="F5521" s="18">
        <v>41705.46</v>
      </c>
      <c r="G5521" s="18">
        <v>103328</v>
      </c>
      <c r="H5521" s="18">
        <f t="shared" si="136"/>
        <v>41614.46</v>
      </c>
      <c r="I5521" s="3"/>
    </row>
    <row r="5522" spans="1:9" s="4" customFormat="1" ht="20.25" customHeight="1" x14ac:dyDescent="0.55000000000000004">
      <c r="A5522" s="18">
        <v>24.710916099999999</v>
      </c>
      <c r="B5522" s="18">
        <v>34.7787766</v>
      </c>
      <c r="C5522" s="18">
        <v>679932.46</v>
      </c>
      <c r="D5522" s="18">
        <v>2734106.38</v>
      </c>
      <c r="E5522" s="18">
        <v>452.36</v>
      </c>
      <c r="F5522" s="18">
        <v>41705.589999999997</v>
      </c>
      <c r="G5522" s="18">
        <v>103330</v>
      </c>
      <c r="H5522" s="18">
        <f t="shared" si="136"/>
        <v>41614.589999999997</v>
      </c>
      <c r="I5522" s="3"/>
    </row>
    <row r="5523" spans="1:9" s="4" customFormat="1" ht="20.25" customHeight="1" x14ac:dyDescent="0.55000000000000004">
      <c r="A5523" s="18">
        <v>24.710892000000001</v>
      </c>
      <c r="B5523" s="18">
        <v>34.778790000000001</v>
      </c>
      <c r="C5523" s="18">
        <v>679933.86</v>
      </c>
      <c r="D5523" s="18">
        <v>2734103.72</v>
      </c>
      <c r="E5523" s="18">
        <v>452.06</v>
      </c>
      <c r="F5523" s="18">
        <v>41704.76</v>
      </c>
      <c r="G5523" s="18">
        <v>103332</v>
      </c>
      <c r="H5523" s="18">
        <f t="shared" si="136"/>
        <v>41613.760000000002</v>
      </c>
      <c r="I5523" s="3"/>
    </row>
    <row r="5524" spans="1:9" s="4" customFormat="1" ht="20.25" customHeight="1" x14ac:dyDescent="0.55000000000000004">
      <c r="A5524" s="18">
        <v>24.710867100000002</v>
      </c>
      <c r="B5524" s="18">
        <v>34.778803000000003</v>
      </c>
      <c r="C5524" s="18">
        <v>679935.21</v>
      </c>
      <c r="D5524" s="18">
        <v>2734100.99</v>
      </c>
      <c r="E5524" s="18">
        <v>451.81</v>
      </c>
      <c r="F5524" s="18">
        <v>41704.14</v>
      </c>
      <c r="G5524" s="18">
        <v>103334</v>
      </c>
      <c r="H5524" s="18">
        <f t="shared" si="136"/>
        <v>41613.14</v>
      </c>
      <c r="I5524" s="3"/>
    </row>
    <row r="5525" spans="1:9" s="4" customFormat="1" ht="20.25" customHeight="1" x14ac:dyDescent="0.55000000000000004">
      <c r="A5525" s="18">
        <v>24.710841800000001</v>
      </c>
      <c r="B5525" s="18">
        <v>34.778815299999998</v>
      </c>
      <c r="C5525" s="18">
        <v>679936.49</v>
      </c>
      <c r="D5525" s="18">
        <v>2734098.2</v>
      </c>
      <c r="E5525" s="18">
        <v>451.65</v>
      </c>
      <c r="F5525" s="18">
        <v>41703.67</v>
      </c>
      <c r="G5525" s="18">
        <v>103336</v>
      </c>
      <c r="H5525" s="18">
        <f t="shared" si="136"/>
        <v>41612.67</v>
      </c>
      <c r="I5525" s="3"/>
    </row>
    <row r="5526" spans="1:9" s="4" customFormat="1" ht="20.25" customHeight="1" x14ac:dyDescent="0.55000000000000004">
      <c r="A5526" s="18">
        <v>24.710816000000001</v>
      </c>
      <c r="B5526" s="18">
        <v>34.778823299999999</v>
      </c>
      <c r="C5526" s="18">
        <v>679937.33</v>
      </c>
      <c r="D5526" s="18">
        <v>2734095.35</v>
      </c>
      <c r="E5526" s="18">
        <v>451.62</v>
      </c>
      <c r="F5526" s="18">
        <v>41705.74</v>
      </c>
      <c r="G5526" s="18">
        <v>103338</v>
      </c>
      <c r="H5526" s="18">
        <f t="shared" si="136"/>
        <v>41614.74</v>
      </c>
      <c r="I5526" s="3"/>
    </row>
    <row r="5527" spans="1:9" s="4" customFormat="1" ht="20.25" customHeight="1" x14ac:dyDescent="0.55000000000000004">
      <c r="A5527" s="18">
        <v>24.7107904</v>
      </c>
      <c r="B5527" s="18">
        <v>34.778825099999999</v>
      </c>
      <c r="C5527" s="18">
        <v>679937.55</v>
      </c>
      <c r="D5527" s="18">
        <v>2734092.51</v>
      </c>
      <c r="E5527" s="18">
        <v>451.63</v>
      </c>
      <c r="F5527" s="18">
        <v>41703.83</v>
      </c>
      <c r="G5527" s="18">
        <v>103340</v>
      </c>
      <c r="H5527" s="18">
        <f t="shared" si="136"/>
        <v>41612.83</v>
      </c>
      <c r="I5527" s="3"/>
    </row>
    <row r="5528" spans="1:9" s="4" customFormat="1" ht="20.25" customHeight="1" x14ac:dyDescent="0.55000000000000004">
      <c r="A5528" s="18">
        <v>24.710764999999999</v>
      </c>
      <c r="B5528" s="18">
        <v>34.778830499999998</v>
      </c>
      <c r="C5528" s="18">
        <v>679938.13</v>
      </c>
      <c r="D5528" s="18">
        <v>2734089.71</v>
      </c>
      <c r="E5528" s="18">
        <v>451.56</v>
      </c>
      <c r="F5528" s="18">
        <v>41704.06</v>
      </c>
      <c r="G5528" s="18">
        <v>103342</v>
      </c>
      <c r="H5528" s="18">
        <f t="shared" si="136"/>
        <v>41613.06</v>
      </c>
      <c r="I5528" s="3"/>
    </row>
    <row r="5529" spans="1:9" s="4" customFormat="1" ht="20.25" customHeight="1" x14ac:dyDescent="0.55000000000000004">
      <c r="A5529" s="18">
        <v>24.7107393</v>
      </c>
      <c r="B5529" s="18">
        <v>34.778836900000002</v>
      </c>
      <c r="C5529" s="18">
        <v>679938.82</v>
      </c>
      <c r="D5529" s="18">
        <v>2734086.88</v>
      </c>
      <c r="E5529" s="18">
        <v>451.43</v>
      </c>
      <c r="F5529" s="18">
        <v>41704.54</v>
      </c>
      <c r="G5529" s="18">
        <v>103344</v>
      </c>
      <c r="H5529" s="18">
        <f t="shared" si="136"/>
        <v>41613.54</v>
      </c>
      <c r="I5529" s="3"/>
    </row>
    <row r="5530" spans="1:9" s="4" customFormat="1" ht="20.25" customHeight="1" x14ac:dyDescent="0.55000000000000004">
      <c r="A5530" s="18">
        <v>24.710715</v>
      </c>
      <c r="B5530" s="18">
        <v>34.778847200000001</v>
      </c>
      <c r="C5530" s="18">
        <v>679939.9</v>
      </c>
      <c r="D5530" s="18">
        <v>2734084.19</v>
      </c>
      <c r="E5530" s="18">
        <v>451.37</v>
      </c>
      <c r="F5530" s="18">
        <v>41704.01</v>
      </c>
      <c r="G5530" s="18">
        <v>103346</v>
      </c>
      <c r="H5530" s="18">
        <f t="shared" si="136"/>
        <v>41613.01</v>
      </c>
      <c r="I5530" s="3"/>
    </row>
    <row r="5531" spans="1:9" s="4" customFormat="1" ht="20.25" customHeight="1" x14ac:dyDescent="0.55000000000000004">
      <c r="A5531" s="18">
        <v>24.710689500000001</v>
      </c>
      <c r="B5531" s="18">
        <v>34.7788586</v>
      </c>
      <c r="C5531" s="18">
        <v>679941.09</v>
      </c>
      <c r="D5531" s="18">
        <v>2734081.39</v>
      </c>
      <c r="E5531" s="18">
        <v>451.28</v>
      </c>
      <c r="F5531" s="18">
        <v>41705.379999999997</v>
      </c>
      <c r="G5531" s="18">
        <v>103348</v>
      </c>
      <c r="H5531" s="18">
        <f t="shared" si="136"/>
        <v>41614.379999999997</v>
      </c>
      <c r="I5531" s="3"/>
    </row>
    <row r="5532" spans="1:9" s="4" customFormat="1" ht="20.25" customHeight="1" x14ac:dyDescent="0.55000000000000004">
      <c r="A5532" s="18">
        <v>24.710666400000001</v>
      </c>
      <c r="B5532" s="18">
        <v>34.7788702</v>
      </c>
      <c r="C5532" s="18">
        <v>679942.3</v>
      </c>
      <c r="D5532" s="18">
        <v>2734078.84</v>
      </c>
      <c r="E5532" s="18">
        <v>451.23</v>
      </c>
      <c r="F5532" s="18">
        <v>41704.019999999997</v>
      </c>
      <c r="G5532" s="18">
        <v>103350</v>
      </c>
      <c r="H5532" s="18">
        <f t="shared" si="136"/>
        <v>41613.019999999997</v>
      </c>
      <c r="I5532" s="3"/>
    </row>
    <row r="5533" spans="1:9" s="4" customFormat="1" ht="20.25" customHeight="1" x14ac:dyDescent="0.55000000000000004">
      <c r="A5533" s="18">
        <v>24.710648200000001</v>
      </c>
      <c r="B5533" s="18">
        <v>34.778885500000001</v>
      </c>
      <c r="C5533" s="18">
        <v>679943.87</v>
      </c>
      <c r="D5533" s="18">
        <v>2734076.84</v>
      </c>
      <c r="E5533" s="18">
        <v>451.14</v>
      </c>
      <c r="F5533" s="18">
        <v>41705.339999999997</v>
      </c>
      <c r="G5533" s="18">
        <v>103352</v>
      </c>
      <c r="H5533" s="18">
        <f t="shared" si="136"/>
        <v>41614.339999999997</v>
      </c>
      <c r="I5533" s="3"/>
    </row>
    <row r="5534" spans="1:9" s="4" customFormat="1" ht="20.25" customHeight="1" x14ac:dyDescent="0.55000000000000004">
      <c r="A5534" s="18">
        <v>24.710631899999999</v>
      </c>
      <c r="B5534" s="18">
        <v>34.778900499999999</v>
      </c>
      <c r="C5534" s="18">
        <v>679945.41</v>
      </c>
      <c r="D5534" s="18">
        <v>2734075.06</v>
      </c>
      <c r="E5534" s="18">
        <v>451.16</v>
      </c>
      <c r="F5534" s="18">
        <v>41706</v>
      </c>
      <c r="G5534" s="18">
        <v>103354</v>
      </c>
      <c r="H5534" s="18">
        <f t="shared" si="136"/>
        <v>41615</v>
      </c>
      <c r="I5534" s="3"/>
    </row>
    <row r="5535" spans="1:9" s="4" customFormat="1" ht="20.25" customHeight="1" x14ac:dyDescent="0.55000000000000004">
      <c r="A5535" s="18">
        <v>24.710616999999999</v>
      </c>
      <c r="B5535" s="18">
        <v>34.778916700000003</v>
      </c>
      <c r="C5535" s="18">
        <v>679947.07</v>
      </c>
      <c r="D5535" s="18">
        <v>2734073.44</v>
      </c>
      <c r="E5535" s="18">
        <v>451.16</v>
      </c>
      <c r="F5535" s="18">
        <v>41705.68</v>
      </c>
      <c r="G5535" s="18">
        <v>103356</v>
      </c>
      <c r="H5535" s="18">
        <f t="shared" si="136"/>
        <v>41614.68</v>
      </c>
      <c r="I5535" s="3"/>
    </row>
    <row r="5536" spans="1:9" s="4" customFormat="1" ht="20.25" customHeight="1" x14ac:dyDescent="0.55000000000000004">
      <c r="A5536" s="18">
        <v>24.710605399999999</v>
      </c>
      <c r="B5536" s="18">
        <v>34.778935699999998</v>
      </c>
      <c r="C5536" s="18">
        <v>679949.01</v>
      </c>
      <c r="D5536" s="18">
        <v>2734072.17</v>
      </c>
      <c r="E5536" s="18">
        <v>451.17</v>
      </c>
      <c r="F5536" s="18">
        <v>41705.449999999997</v>
      </c>
      <c r="G5536" s="18">
        <v>103358</v>
      </c>
      <c r="H5536" s="18">
        <f t="shared" si="136"/>
        <v>41614.449999999997</v>
      </c>
      <c r="I5536" s="3"/>
    </row>
    <row r="5537" spans="1:9" s="4" customFormat="1" ht="20.25" customHeight="1" x14ac:dyDescent="0.55000000000000004">
      <c r="A5537" s="18">
        <v>24.710592399999999</v>
      </c>
      <c r="B5537" s="18">
        <v>34.7789547</v>
      </c>
      <c r="C5537" s="18">
        <v>679950.95</v>
      </c>
      <c r="D5537" s="18">
        <v>2734070.76</v>
      </c>
      <c r="E5537" s="18">
        <v>451.18</v>
      </c>
      <c r="F5537" s="18">
        <v>41704.620000000003</v>
      </c>
      <c r="G5537" s="18">
        <v>103400</v>
      </c>
      <c r="H5537" s="18">
        <f t="shared" si="136"/>
        <v>41613.620000000003</v>
      </c>
      <c r="I5537" s="3"/>
    </row>
    <row r="5538" spans="1:9" s="4" customFormat="1" ht="20.25" customHeight="1" x14ac:dyDescent="0.55000000000000004">
      <c r="A5538" s="18">
        <v>24.7105769</v>
      </c>
      <c r="B5538" s="18">
        <v>34.778976499999999</v>
      </c>
      <c r="C5538" s="18">
        <v>679953.18</v>
      </c>
      <c r="D5538" s="18">
        <v>2734069.07</v>
      </c>
      <c r="E5538" s="18">
        <v>451.14</v>
      </c>
      <c r="F5538" s="18">
        <v>41706.230000000003</v>
      </c>
      <c r="G5538" s="18">
        <v>103402</v>
      </c>
      <c r="H5538" s="18">
        <f t="shared" si="136"/>
        <v>41615.230000000003</v>
      </c>
      <c r="I5538" s="3"/>
    </row>
    <row r="5539" spans="1:9" s="4" customFormat="1" ht="20.25" customHeight="1" x14ac:dyDescent="0.55000000000000004">
      <c r="A5539" s="18">
        <v>24.7105578</v>
      </c>
      <c r="B5539" s="18">
        <v>34.779001899999997</v>
      </c>
      <c r="C5539" s="18">
        <v>679955.77</v>
      </c>
      <c r="D5539" s="18">
        <v>2734066.99</v>
      </c>
      <c r="E5539" s="18">
        <v>450.81</v>
      </c>
      <c r="F5539" s="18">
        <v>41706.79</v>
      </c>
      <c r="G5539" s="18">
        <v>103404</v>
      </c>
      <c r="H5539" s="18">
        <f t="shared" si="136"/>
        <v>41615.79</v>
      </c>
      <c r="I5539" s="3"/>
    </row>
    <row r="5540" spans="1:9" s="4" customFormat="1" ht="20.25" customHeight="1" x14ac:dyDescent="0.55000000000000004">
      <c r="A5540" s="18">
        <v>24.7105417</v>
      </c>
      <c r="B5540" s="18">
        <v>34.779026700000003</v>
      </c>
      <c r="C5540" s="18">
        <v>679958.31</v>
      </c>
      <c r="D5540" s="18">
        <v>2734065.24</v>
      </c>
      <c r="E5540" s="18">
        <v>450.6</v>
      </c>
      <c r="F5540" s="18">
        <v>41707.160000000003</v>
      </c>
      <c r="G5540" s="18">
        <v>103406</v>
      </c>
      <c r="H5540" s="18">
        <f t="shared" si="136"/>
        <v>41616.160000000003</v>
      </c>
      <c r="I5540" s="3"/>
    </row>
    <row r="5541" spans="1:9" s="4" customFormat="1" ht="20.25" customHeight="1" x14ac:dyDescent="0.55000000000000004">
      <c r="A5541" s="18">
        <v>24.710526000000002</v>
      </c>
      <c r="B5541" s="18">
        <v>34.7790514</v>
      </c>
      <c r="C5541" s="18">
        <v>679960.83</v>
      </c>
      <c r="D5541" s="18">
        <v>2734063.53</v>
      </c>
      <c r="E5541" s="18">
        <v>450.61</v>
      </c>
      <c r="F5541" s="18">
        <v>41712.29</v>
      </c>
      <c r="G5541" s="18">
        <v>103408</v>
      </c>
      <c r="H5541" s="18">
        <f t="shared" si="136"/>
        <v>41621.29</v>
      </c>
      <c r="I5541" s="3"/>
    </row>
    <row r="5542" spans="1:9" s="4" customFormat="1" ht="20.25" customHeight="1" x14ac:dyDescent="0.55000000000000004">
      <c r="A5542" s="18">
        <v>24.710509299999998</v>
      </c>
      <c r="B5542" s="18">
        <v>34.779076699999997</v>
      </c>
      <c r="C5542" s="18">
        <v>679963.42</v>
      </c>
      <c r="D5542" s="18">
        <v>2734061.71</v>
      </c>
      <c r="E5542" s="18">
        <v>450.9</v>
      </c>
      <c r="F5542" s="18">
        <v>41711.230000000003</v>
      </c>
      <c r="G5542" s="18">
        <v>103410</v>
      </c>
      <c r="H5542" s="18">
        <f t="shared" si="136"/>
        <v>41620.230000000003</v>
      </c>
      <c r="I5542" s="3"/>
    </row>
    <row r="5543" spans="1:9" s="4" customFormat="1" ht="20.25" customHeight="1" x14ac:dyDescent="0.55000000000000004">
      <c r="A5543" s="18">
        <v>24.710494600000001</v>
      </c>
      <c r="B5543" s="18">
        <v>34.779101300000001</v>
      </c>
      <c r="C5543" s="18">
        <v>679965.93</v>
      </c>
      <c r="D5543" s="18">
        <v>2734060.12</v>
      </c>
      <c r="E5543" s="18">
        <v>450.97</v>
      </c>
      <c r="F5543" s="18">
        <v>41710.44</v>
      </c>
      <c r="G5543" s="18">
        <v>103412</v>
      </c>
      <c r="H5543" s="18">
        <f t="shared" si="136"/>
        <v>41619.440000000002</v>
      </c>
      <c r="I5543" s="3"/>
    </row>
    <row r="5544" spans="1:9" s="4" customFormat="1" ht="20.25" customHeight="1" x14ac:dyDescent="0.55000000000000004">
      <c r="A5544" s="18">
        <v>24.710481300000001</v>
      </c>
      <c r="B5544" s="18">
        <v>34.779127000000003</v>
      </c>
      <c r="C5544" s="18">
        <v>679968.54</v>
      </c>
      <c r="D5544" s="18">
        <v>2734058.68</v>
      </c>
      <c r="E5544" s="18">
        <v>451.12</v>
      </c>
      <c r="F5544" s="18">
        <v>41713.199999999997</v>
      </c>
      <c r="G5544" s="18">
        <v>103414</v>
      </c>
      <c r="H5544" s="18">
        <f t="shared" si="136"/>
        <v>41622.199999999997</v>
      </c>
      <c r="I5544" s="3"/>
    </row>
    <row r="5545" spans="1:9" s="4" customFormat="1" ht="20.25" customHeight="1" x14ac:dyDescent="0.55000000000000004">
      <c r="A5545" s="18">
        <v>24.710464399999999</v>
      </c>
      <c r="B5545" s="18">
        <v>34.779150000000001</v>
      </c>
      <c r="C5545" s="18">
        <v>679970.9</v>
      </c>
      <c r="D5545" s="18">
        <v>2734056.84</v>
      </c>
      <c r="E5545" s="18">
        <v>451.3</v>
      </c>
      <c r="F5545" s="18">
        <v>41714.269999999997</v>
      </c>
      <c r="G5545" s="18">
        <v>103416</v>
      </c>
      <c r="H5545" s="18">
        <f t="shared" si="136"/>
        <v>41623.269999999997</v>
      </c>
      <c r="I5545" s="3"/>
    </row>
    <row r="5546" spans="1:9" s="4" customFormat="1" ht="20.25" customHeight="1" x14ac:dyDescent="0.55000000000000004">
      <c r="A5546" s="18">
        <v>24.710443399999999</v>
      </c>
      <c r="B5546" s="18">
        <v>34.779167600000001</v>
      </c>
      <c r="C5546" s="18">
        <v>679972.71</v>
      </c>
      <c r="D5546" s="18">
        <v>2734054.53</v>
      </c>
      <c r="E5546" s="18">
        <v>451.52</v>
      </c>
      <c r="F5546" s="18">
        <v>41714.199999999997</v>
      </c>
      <c r="G5546" s="18">
        <v>103418</v>
      </c>
      <c r="H5546" s="18">
        <f t="shared" si="136"/>
        <v>41623.199999999997</v>
      </c>
      <c r="I5546" s="3"/>
    </row>
    <row r="5547" spans="1:9" s="4" customFormat="1" ht="20.25" customHeight="1" x14ac:dyDescent="0.55000000000000004">
      <c r="A5547" s="18">
        <v>24.710418600000001</v>
      </c>
      <c r="B5547" s="18">
        <v>34.779176</v>
      </c>
      <c r="C5547" s="18">
        <v>679973.59</v>
      </c>
      <c r="D5547" s="18">
        <v>2734051.8</v>
      </c>
      <c r="E5547" s="18">
        <v>451.71</v>
      </c>
      <c r="F5547" s="18">
        <v>41712.36</v>
      </c>
      <c r="G5547" s="18">
        <v>103420</v>
      </c>
      <c r="H5547" s="18">
        <f t="shared" si="136"/>
        <v>41621.360000000001</v>
      </c>
      <c r="I5547" s="3"/>
    </row>
    <row r="5548" spans="1:9" s="4" customFormat="1" ht="20.25" customHeight="1" x14ac:dyDescent="0.55000000000000004">
      <c r="A5548" s="18">
        <v>24.7103939</v>
      </c>
      <c r="B5548" s="18">
        <v>34.779176300000003</v>
      </c>
      <c r="C5548" s="18">
        <v>679973.66</v>
      </c>
      <c r="D5548" s="18">
        <v>2734049.07</v>
      </c>
      <c r="E5548" s="18">
        <v>451.88</v>
      </c>
      <c r="F5548" s="18">
        <v>41712.31</v>
      </c>
      <c r="G5548" s="18">
        <v>103422</v>
      </c>
      <c r="H5548" s="18">
        <f t="shared" si="136"/>
        <v>41621.31</v>
      </c>
      <c r="I5548" s="3"/>
    </row>
    <row r="5549" spans="1:9" s="4" customFormat="1" ht="20.25" customHeight="1" x14ac:dyDescent="0.55000000000000004">
      <c r="A5549" s="18">
        <v>24.7103681</v>
      </c>
      <c r="B5549" s="18">
        <v>34.779172799999998</v>
      </c>
      <c r="C5549" s="18">
        <v>679973.34</v>
      </c>
      <c r="D5549" s="18">
        <v>2734046.2</v>
      </c>
      <c r="E5549" s="18">
        <v>451.88</v>
      </c>
      <c r="F5549" s="18">
        <v>41707.370000000003</v>
      </c>
      <c r="G5549" s="18">
        <v>103424</v>
      </c>
      <c r="H5549" s="18">
        <f t="shared" si="136"/>
        <v>41616.370000000003</v>
      </c>
      <c r="I5549" s="3"/>
    </row>
    <row r="5550" spans="1:9" s="4" customFormat="1" ht="20.25" customHeight="1" x14ac:dyDescent="0.55000000000000004">
      <c r="A5550" s="18">
        <v>24.7103468</v>
      </c>
      <c r="B5550" s="18">
        <v>34.779163400000002</v>
      </c>
      <c r="C5550" s="18">
        <v>679972.42</v>
      </c>
      <c r="D5550" s="18">
        <v>2734043.83</v>
      </c>
      <c r="E5550" s="18">
        <v>452.06</v>
      </c>
      <c r="F5550" s="18">
        <v>41710.019999999997</v>
      </c>
      <c r="G5550" s="18">
        <v>103426</v>
      </c>
      <c r="H5550" s="18">
        <f t="shared" si="136"/>
        <v>41619.019999999997</v>
      </c>
      <c r="I5550" s="3"/>
    </row>
    <row r="5551" spans="1:9" s="4" customFormat="1" ht="20.25" customHeight="1" x14ac:dyDescent="0.55000000000000004">
      <c r="A5551" s="18">
        <v>24.710326299999998</v>
      </c>
      <c r="B5551" s="18">
        <v>34.779152400000001</v>
      </c>
      <c r="C5551" s="18">
        <v>679971.34</v>
      </c>
      <c r="D5551" s="18">
        <v>2734041.55</v>
      </c>
      <c r="E5551" s="18">
        <v>452.16</v>
      </c>
      <c r="F5551" s="18">
        <v>41709.870000000003</v>
      </c>
      <c r="G5551" s="18">
        <v>103428</v>
      </c>
      <c r="H5551" s="18">
        <f t="shared" si="136"/>
        <v>41618.870000000003</v>
      </c>
      <c r="I5551" s="3"/>
    </row>
    <row r="5552" spans="1:9" s="4" customFormat="1" ht="20.25" customHeight="1" x14ac:dyDescent="0.55000000000000004">
      <c r="A5552" s="18">
        <v>24.710303</v>
      </c>
      <c r="B5552" s="18">
        <v>34.779144199999998</v>
      </c>
      <c r="C5552" s="18">
        <v>679970.54</v>
      </c>
      <c r="D5552" s="18">
        <v>2734038.95</v>
      </c>
      <c r="E5552" s="18">
        <v>452.31</v>
      </c>
      <c r="F5552" s="18">
        <v>41703.81</v>
      </c>
      <c r="G5552" s="18">
        <v>103430</v>
      </c>
      <c r="H5552" s="18">
        <f t="shared" si="136"/>
        <v>41612.81</v>
      </c>
      <c r="I5552" s="3"/>
    </row>
    <row r="5553" spans="1:9" s="4" customFormat="1" ht="20.25" customHeight="1" x14ac:dyDescent="0.55000000000000004">
      <c r="A5553" s="18">
        <v>24.710278800000001</v>
      </c>
      <c r="B5553" s="18">
        <v>34.779135500000002</v>
      </c>
      <c r="C5553" s="18">
        <v>679969.69</v>
      </c>
      <c r="D5553" s="18">
        <v>2734036.26</v>
      </c>
      <c r="E5553" s="18">
        <v>452.54</v>
      </c>
      <c r="F5553" s="18">
        <v>41705.980000000003</v>
      </c>
      <c r="G5553" s="18">
        <v>103432</v>
      </c>
      <c r="H5553" s="18">
        <f t="shared" si="136"/>
        <v>41614.980000000003</v>
      </c>
      <c r="I5553" s="3"/>
    </row>
    <row r="5554" spans="1:9" s="4" customFormat="1" ht="20.25" customHeight="1" x14ac:dyDescent="0.55000000000000004">
      <c r="A5554" s="18">
        <v>24.710254200000001</v>
      </c>
      <c r="B5554" s="18">
        <v>34.779133100000003</v>
      </c>
      <c r="C5554" s="18">
        <v>679969.49</v>
      </c>
      <c r="D5554" s="18">
        <v>2734033.53</v>
      </c>
      <c r="E5554" s="18">
        <v>452.38</v>
      </c>
      <c r="F5554" s="18">
        <v>41709.19</v>
      </c>
      <c r="G5554" s="18">
        <v>103434</v>
      </c>
      <c r="H5554" s="18">
        <f t="shared" si="136"/>
        <v>41618.19</v>
      </c>
      <c r="I5554" s="3"/>
    </row>
    <row r="5555" spans="1:9" s="4" customFormat="1" ht="20.25" customHeight="1" x14ac:dyDescent="0.55000000000000004">
      <c r="A5555" s="18">
        <v>24.710227199999999</v>
      </c>
      <c r="B5555" s="18">
        <v>34.779134599999999</v>
      </c>
      <c r="C5555" s="18">
        <v>679969.68</v>
      </c>
      <c r="D5555" s="18">
        <v>2734030.55</v>
      </c>
      <c r="E5555" s="18">
        <v>452.23</v>
      </c>
      <c r="F5555" s="18">
        <v>41708.36</v>
      </c>
      <c r="G5555" s="18">
        <v>103436</v>
      </c>
      <c r="H5555" s="18">
        <f t="shared" si="136"/>
        <v>41617.360000000001</v>
      </c>
      <c r="I5555" s="3"/>
    </row>
    <row r="5556" spans="1:9" s="4" customFormat="1" ht="20.25" customHeight="1" x14ac:dyDescent="0.55000000000000004">
      <c r="A5556" s="18">
        <v>24.7102003</v>
      </c>
      <c r="B5556" s="18">
        <v>34.779140499999997</v>
      </c>
      <c r="C5556" s="18">
        <v>679970.31</v>
      </c>
      <c r="D5556" s="18">
        <v>2734027.57</v>
      </c>
      <c r="E5556" s="18">
        <v>452.25</v>
      </c>
      <c r="F5556" s="18">
        <v>41699.58</v>
      </c>
      <c r="G5556" s="18">
        <v>103438</v>
      </c>
      <c r="H5556" s="18">
        <f t="shared" si="136"/>
        <v>41608.58</v>
      </c>
      <c r="I5556" s="3"/>
    </row>
    <row r="5557" spans="1:9" s="4" customFormat="1" ht="20.25" customHeight="1" x14ac:dyDescent="0.55000000000000004">
      <c r="A5557" s="18">
        <v>24.7101753</v>
      </c>
      <c r="B5557" s="18">
        <v>34.779151800000001</v>
      </c>
      <c r="C5557" s="18">
        <v>679971.49</v>
      </c>
      <c r="D5557" s="18">
        <v>2734024.82</v>
      </c>
      <c r="E5557" s="18">
        <v>452.28</v>
      </c>
      <c r="F5557" s="18">
        <v>41710.269999999997</v>
      </c>
      <c r="G5557" s="18">
        <v>103440</v>
      </c>
      <c r="H5557" s="18">
        <f t="shared" si="136"/>
        <v>41619.269999999997</v>
      </c>
      <c r="I5557" s="3"/>
    </row>
    <row r="5558" spans="1:9" s="4" customFormat="1" ht="20.25" customHeight="1" x14ac:dyDescent="0.55000000000000004">
      <c r="A5558" s="18">
        <v>24.710152399999998</v>
      </c>
      <c r="B5558" s="18">
        <v>34.779167299999997</v>
      </c>
      <c r="C5558" s="18">
        <v>679973.1</v>
      </c>
      <c r="D5558" s="18">
        <v>2734022.31</v>
      </c>
      <c r="E5558" s="18">
        <v>452.28</v>
      </c>
      <c r="F5558" s="18">
        <v>41712.769999999997</v>
      </c>
      <c r="G5558" s="18">
        <v>103442</v>
      </c>
      <c r="H5558" s="18">
        <f t="shared" ref="H5558:H5596" si="137">SUM(F5558-91)</f>
        <v>41621.769999999997</v>
      </c>
      <c r="I5558" s="3"/>
    </row>
    <row r="5559" spans="1:9" s="4" customFormat="1" ht="20.25" customHeight="1" x14ac:dyDescent="0.55000000000000004">
      <c r="A5559" s="18">
        <v>24.710132099999999</v>
      </c>
      <c r="B5559" s="18">
        <v>34.779186000000003</v>
      </c>
      <c r="C5559" s="18">
        <v>679975.02</v>
      </c>
      <c r="D5559" s="18">
        <v>2734020.08</v>
      </c>
      <c r="E5559" s="18">
        <v>452.28</v>
      </c>
      <c r="F5559" s="18">
        <v>41712.07</v>
      </c>
      <c r="G5559" s="18">
        <v>103444</v>
      </c>
      <c r="H5559" s="18">
        <f t="shared" si="137"/>
        <v>41621.07</v>
      </c>
      <c r="I5559" s="3"/>
    </row>
    <row r="5560" spans="1:9" s="4" customFormat="1" ht="20.25" customHeight="1" x14ac:dyDescent="0.55000000000000004">
      <c r="A5560" s="18">
        <v>24.710117700000001</v>
      </c>
      <c r="B5560" s="18">
        <v>34.779209000000002</v>
      </c>
      <c r="C5560" s="18">
        <v>679977.36</v>
      </c>
      <c r="D5560" s="18">
        <v>2734018.52</v>
      </c>
      <c r="E5560" s="18">
        <v>452.26</v>
      </c>
      <c r="F5560" s="18">
        <v>41714.449999999997</v>
      </c>
      <c r="G5560" s="18">
        <v>103446</v>
      </c>
      <c r="H5560" s="18">
        <f t="shared" si="137"/>
        <v>41623.449999999997</v>
      </c>
      <c r="I5560" s="3"/>
    </row>
    <row r="5561" spans="1:9" s="4" customFormat="1" ht="20.25" customHeight="1" x14ac:dyDescent="0.55000000000000004">
      <c r="A5561" s="18">
        <v>24.7101033</v>
      </c>
      <c r="B5561" s="18">
        <v>34.7792344</v>
      </c>
      <c r="C5561" s="18">
        <v>679979.95</v>
      </c>
      <c r="D5561" s="18">
        <v>2734016.96</v>
      </c>
      <c r="E5561" s="18">
        <v>452.18</v>
      </c>
      <c r="F5561" s="18">
        <v>41712.629999999997</v>
      </c>
      <c r="G5561" s="18">
        <v>103448</v>
      </c>
      <c r="H5561" s="18">
        <f t="shared" si="137"/>
        <v>41621.629999999997</v>
      </c>
      <c r="I5561" s="3"/>
    </row>
    <row r="5562" spans="1:9" s="4" customFormat="1" ht="20.25" customHeight="1" x14ac:dyDescent="0.55000000000000004">
      <c r="A5562" s="18">
        <v>24.710090999999998</v>
      </c>
      <c r="B5562" s="18">
        <v>34.779260100000002</v>
      </c>
      <c r="C5562" s="18">
        <v>679982.57</v>
      </c>
      <c r="D5562" s="18">
        <v>2734015.62</v>
      </c>
      <c r="E5562" s="18">
        <v>452.16</v>
      </c>
      <c r="F5562" s="18">
        <v>41714.370000000003</v>
      </c>
      <c r="G5562" s="18">
        <v>103450</v>
      </c>
      <c r="H5562" s="18">
        <f t="shared" si="137"/>
        <v>41623.370000000003</v>
      </c>
      <c r="I5562" s="3"/>
    </row>
    <row r="5563" spans="1:9" s="4" customFormat="1" ht="20.25" customHeight="1" x14ac:dyDescent="0.55000000000000004">
      <c r="A5563" s="18">
        <v>24.710077200000001</v>
      </c>
      <c r="B5563" s="18">
        <v>34.779285700000003</v>
      </c>
      <c r="C5563" s="18">
        <v>679985.18</v>
      </c>
      <c r="D5563" s="18">
        <v>2734014.13</v>
      </c>
      <c r="E5563" s="18">
        <v>452.02</v>
      </c>
      <c r="F5563" s="18">
        <v>41730.300000000003</v>
      </c>
      <c r="G5563" s="18">
        <v>103452</v>
      </c>
      <c r="H5563" s="18">
        <f t="shared" si="137"/>
        <v>41639.300000000003</v>
      </c>
      <c r="I5563" s="3"/>
    </row>
    <row r="5564" spans="1:9" s="4" customFormat="1" ht="20.25" customHeight="1" x14ac:dyDescent="0.55000000000000004">
      <c r="A5564" s="18">
        <v>24.710069499999999</v>
      </c>
      <c r="B5564" s="18">
        <v>34.7793128</v>
      </c>
      <c r="C5564" s="18">
        <v>679987.94</v>
      </c>
      <c r="D5564" s="18">
        <v>2734013.31</v>
      </c>
      <c r="E5564" s="18">
        <v>451.94</v>
      </c>
      <c r="F5564" s="18">
        <v>41713.57</v>
      </c>
      <c r="G5564" s="18">
        <v>103454</v>
      </c>
      <c r="H5564" s="18">
        <f t="shared" si="137"/>
        <v>41622.57</v>
      </c>
      <c r="I5564" s="3"/>
    </row>
    <row r="5565" spans="1:9" s="4" customFormat="1" ht="20.25" customHeight="1" x14ac:dyDescent="0.55000000000000004">
      <c r="A5565" s="18">
        <v>24.710057500000001</v>
      </c>
      <c r="B5565" s="18">
        <v>34.779339899999997</v>
      </c>
      <c r="C5565" s="18">
        <v>679990.69</v>
      </c>
      <c r="D5565" s="18">
        <v>2734012.02</v>
      </c>
      <c r="E5565" s="18">
        <v>451.45</v>
      </c>
      <c r="F5565" s="18">
        <v>41711.24</v>
      </c>
      <c r="G5565" s="18">
        <v>103456</v>
      </c>
      <c r="H5565" s="18">
        <f t="shared" si="137"/>
        <v>41620.239999999998</v>
      </c>
      <c r="I5565" s="3"/>
    </row>
    <row r="5566" spans="1:9" s="4" customFormat="1" ht="20.25" customHeight="1" x14ac:dyDescent="0.55000000000000004">
      <c r="A5566" s="18">
        <v>24.710044</v>
      </c>
      <c r="B5566" s="18">
        <v>34.779363199999999</v>
      </c>
      <c r="C5566" s="18">
        <v>679993.07</v>
      </c>
      <c r="D5566" s="18">
        <v>2734010.56</v>
      </c>
      <c r="E5566" s="18">
        <v>450.87</v>
      </c>
      <c r="F5566" s="18">
        <v>41708.19</v>
      </c>
      <c r="G5566" s="18">
        <v>103458</v>
      </c>
      <c r="H5566" s="18">
        <f t="shared" si="137"/>
        <v>41617.19</v>
      </c>
      <c r="I5566" s="3"/>
    </row>
    <row r="5567" spans="1:9" s="4" customFormat="1" ht="20.25" customHeight="1" x14ac:dyDescent="0.55000000000000004">
      <c r="A5567" s="18">
        <v>24.710033200000002</v>
      </c>
      <c r="B5567" s="18">
        <v>34.779389799999997</v>
      </c>
      <c r="C5567" s="18">
        <v>679995.78</v>
      </c>
      <c r="D5567" s="18">
        <v>2734009.39</v>
      </c>
      <c r="E5567" s="18">
        <v>450.53</v>
      </c>
      <c r="F5567" s="18">
        <v>41714.11</v>
      </c>
      <c r="G5567" s="18">
        <v>103500</v>
      </c>
      <c r="H5567" s="18">
        <f t="shared" si="137"/>
        <v>41623.11</v>
      </c>
      <c r="I5567" s="3"/>
    </row>
    <row r="5568" spans="1:9" s="4" customFormat="1" ht="20.25" customHeight="1" x14ac:dyDescent="0.55000000000000004">
      <c r="A5568" s="18">
        <v>24.710024400000002</v>
      </c>
      <c r="B5568" s="18">
        <v>34.779416699999999</v>
      </c>
      <c r="C5568" s="18">
        <v>679998.51</v>
      </c>
      <c r="D5568" s="18">
        <v>2734008.45</v>
      </c>
      <c r="E5568" s="18">
        <v>450.52</v>
      </c>
      <c r="F5568" s="18">
        <v>41710.78</v>
      </c>
      <c r="G5568" s="18">
        <v>103502</v>
      </c>
      <c r="H5568" s="18">
        <f t="shared" si="137"/>
        <v>41619.78</v>
      </c>
      <c r="I5568" s="3"/>
    </row>
    <row r="5569" spans="1:9" s="4" customFormat="1" ht="20.25" customHeight="1" x14ac:dyDescent="0.55000000000000004">
      <c r="A5569" s="18">
        <v>24.710018000000002</v>
      </c>
      <c r="B5569" s="18">
        <v>34.779444699999999</v>
      </c>
      <c r="C5569" s="18">
        <v>680001.35</v>
      </c>
      <c r="D5569" s="18">
        <v>2734007.78</v>
      </c>
      <c r="E5569" s="18">
        <v>450.71</v>
      </c>
      <c r="F5569" s="18">
        <v>41709.760000000002</v>
      </c>
      <c r="G5569" s="18">
        <v>103504</v>
      </c>
      <c r="H5569" s="18">
        <f t="shared" si="137"/>
        <v>41618.76</v>
      </c>
      <c r="I5569" s="3"/>
    </row>
    <row r="5570" spans="1:9" s="4" customFormat="1" ht="20.25" customHeight="1" x14ac:dyDescent="0.55000000000000004">
      <c r="A5570" s="18">
        <v>24.7100133</v>
      </c>
      <c r="B5570" s="18">
        <v>34.779474200000003</v>
      </c>
      <c r="C5570" s="18">
        <v>680004.35</v>
      </c>
      <c r="D5570" s="18">
        <v>2734007.3</v>
      </c>
      <c r="E5570" s="18">
        <v>450.75</v>
      </c>
      <c r="F5570" s="18">
        <v>41708.129999999997</v>
      </c>
      <c r="G5570" s="18">
        <v>103506</v>
      </c>
      <c r="H5570" s="18">
        <f t="shared" si="137"/>
        <v>41617.129999999997</v>
      </c>
      <c r="I5570" s="3"/>
    </row>
    <row r="5571" spans="1:9" s="4" customFormat="1" ht="20.25" customHeight="1" x14ac:dyDescent="0.55000000000000004">
      <c r="A5571" s="18">
        <v>24.710010799999999</v>
      </c>
      <c r="B5571" s="18">
        <v>34.779504299999999</v>
      </c>
      <c r="C5571" s="18">
        <v>680007.39</v>
      </c>
      <c r="D5571" s="18">
        <v>2734007.06</v>
      </c>
      <c r="E5571" s="18">
        <v>451.05</v>
      </c>
      <c r="F5571" s="18">
        <v>41711.46</v>
      </c>
      <c r="G5571" s="18">
        <v>103508</v>
      </c>
      <c r="H5571" s="18">
        <f t="shared" si="137"/>
        <v>41620.46</v>
      </c>
      <c r="I5571" s="3"/>
    </row>
    <row r="5572" spans="1:9" s="4" customFormat="1" ht="20.25" customHeight="1" x14ac:dyDescent="0.55000000000000004">
      <c r="A5572" s="18">
        <v>24.7100106</v>
      </c>
      <c r="B5572" s="18">
        <v>34.779536100000001</v>
      </c>
      <c r="C5572" s="18">
        <v>680010.61</v>
      </c>
      <c r="D5572" s="18">
        <v>2734007.08</v>
      </c>
      <c r="E5572" s="18">
        <v>451.31</v>
      </c>
      <c r="F5572" s="18">
        <v>41716.6</v>
      </c>
      <c r="G5572" s="18">
        <v>103510</v>
      </c>
      <c r="H5572" s="18">
        <f t="shared" si="137"/>
        <v>41625.599999999999</v>
      </c>
      <c r="I5572" s="3"/>
    </row>
    <row r="5573" spans="1:9" s="4" customFormat="1" ht="20.25" customHeight="1" x14ac:dyDescent="0.55000000000000004">
      <c r="A5573" s="18">
        <v>24.710013199999999</v>
      </c>
      <c r="B5573" s="18">
        <v>34.7795676</v>
      </c>
      <c r="C5573" s="18">
        <v>680013.8</v>
      </c>
      <c r="D5573" s="18">
        <v>2734007.41</v>
      </c>
      <c r="E5573" s="18">
        <v>451.5</v>
      </c>
      <c r="F5573" s="18">
        <v>41715.919999999998</v>
      </c>
      <c r="G5573" s="18">
        <v>103512</v>
      </c>
      <c r="H5573" s="18">
        <f t="shared" si="137"/>
        <v>41624.92</v>
      </c>
      <c r="I5573" s="3"/>
    </row>
    <row r="5574" spans="1:9" s="4" customFormat="1" ht="20.25" customHeight="1" x14ac:dyDescent="0.55000000000000004">
      <c r="A5574" s="18">
        <v>24.710016100000001</v>
      </c>
      <c r="B5574" s="18">
        <v>34.779597799999998</v>
      </c>
      <c r="C5574" s="18">
        <v>680016.85</v>
      </c>
      <c r="D5574" s="18">
        <v>2734007.78</v>
      </c>
      <c r="E5574" s="18">
        <v>451.62</v>
      </c>
      <c r="F5574" s="18">
        <v>41711.03</v>
      </c>
      <c r="G5574" s="18">
        <v>103514</v>
      </c>
      <c r="H5574" s="18">
        <f t="shared" si="137"/>
        <v>41620.03</v>
      </c>
      <c r="I5574" s="3"/>
    </row>
    <row r="5575" spans="1:9" s="4" customFormat="1" ht="20.25" customHeight="1" x14ac:dyDescent="0.55000000000000004">
      <c r="A5575" s="18">
        <v>24.710020199999999</v>
      </c>
      <c r="B5575" s="18">
        <v>34.779629200000002</v>
      </c>
      <c r="C5575" s="18">
        <v>680020.02</v>
      </c>
      <c r="D5575" s="18">
        <v>2734008.26</v>
      </c>
      <c r="E5575" s="18">
        <v>451.65</v>
      </c>
      <c r="F5575" s="18">
        <v>41711.15</v>
      </c>
      <c r="G5575" s="18">
        <v>103516</v>
      </c>
      <c r="H5575" s="18">
        <f t="shared" si="137"/>
        <v>41620.15</v>
      </c>
      <c r="I5575" s="3"/>
    </row>
    <row r="5576" spans="1:9" s="4" customFormat="1" ht="20.25" customHeight="1" x14ac:dyDescent="0.55000000000000004">
      <c r="A5576" s="18">
        <v>24.710027799999999</v>
      </c>
      <c r="B5576" s="18">
        <v>34.779657100000001</v>
      </c>
      <c r="C5576" s="18">
        <v>680022.82</v>
      </c>
      <c r="D5576" s="18">
        <v>2734009.15</v>
      </c>
      <c r="E5576" s="18">
        <v>451.8</v>
      </c>
      <c r="F5576" s="18">
        <v>41710.22</v>
      </c>
      <c r="G5576" s="18">
        <v>103518</v>
      </c>
      <c r="H5576" s="18">
        <f t="shared" si="137"/>
        <v>41619.22</v>
      </c>
      <c r="I5576" s="3"/>
    </row>
    <row r="5577" spans="1:9" s="4" customFormat="1" ht="20.25" customHeight="1" x14ac:dyDescent="0.55000000000000004">
      <c r="A5577" s="18">
        <v>24.710035099999999</v>
      </c>
      <c r="B5577" s="18">
        <v>34.779685299999997</v>
      </c>
      <c r="C5577" s="18">
        <v>680025.67</v>
      </c>
      <c r="D5577" s="18">
        <v>2734009.99</v>
      </c>
      <c r="E5577" s="18">
        <v>451.67</v>
      </c>
      <c r="F5577" s="18">
        <v>41712.61</v>
      </c>
      <c r="G5577" s="18">
        <v>103520</v>
      </c>
      <c r="H5577" s="18">
        <f t="shared" si="137"/>
        <v>41621.61</v>
      </c>
      <c r="I5577" s="3"/>
    </row>
    <row r="5578" spans="1:9" s="4" customFormat="1" ht="20.25" customHeight="1" x14ac:dyDescent="0.55000000000000004">
      <c r="A5578" s="18">
        <v>24.710042399999999</v>
      </c>
      <c r="B5578" s="18">
        <v>34.779715600000003</v>
      </c>
      <c r="C5578" s="18">
        <v>680028.72</v>
      </c>
      <c r="D5578" s="18">
        <v>2734010.84</v>
      </c>
      <c r="E5578" s="18">
        <v>451.69</v>
      </c>
      <c r="F5578" s="18">
        <v>41711.14</v>
      </c>
      <c r="G5578" s="18">
        <v>103522</v>
      </c>
      <c r="H5578" s="18">
        <f t="shared" si="137"/>
        <v>41620.14</v>
      </c>
      <c r="I5578" s="3"/>
    </row>
    <row r="5579" spans="1:9" s="4" customFormat="1" ht="20.25" customHeight="1" x14ac:dyDescent="0.55000000000000004">
      <c r="A5579" s="18">
        <v>24.710046599999998</v>
      </c>
      <c r="B5579" s="18">
        <v>34.779745699999999</v>
      </c>
      <c r="C5579" s="18">
        <v>680031.77</v>
      </c>
      <c r="D5579" s="18">
        <v>2734011.35</v>
      </c>
      <c r="E5579" s="18">
        <v>451.68</v>
      </c>
      <c r="F5579" s="18">
        <v>41708.269999999997</v>
      </c>
      <c r="G5579" s="18">
        <v>103524</v>
      </c>
      <c r="H5579" s="18">
        <f t="shared" si="137"/>
        <v>41617.269999999997</v>
      </c>
      <c r="I5579" s="3"/>
    </row>
    <row r="5580" spans="1:9" s="4" customFormat="1" ht="20.25" customHeight="1" x14ac:dyDescent="0.55000000000000004">
      <c r="A5580" s="18">
        <v>24.710049300000001</v>
      </c>
      <c r="B5580" s="18">
        <v>34.779776200000001</v>
      </c>
      <c r="C5580" s="18">
        <v>680034.85</v>
      </c>
      <c r="D5580" s="18">
        <v>2734011.68</v>
      </c>
      <c r="E5580" s="18">
        <v>451.66</v>
      </c>
      <c r="F5580" s="18">
        <v>41708.92</v>
      </c>
      <c r="G5580" s="18">
        <v>103526</v>
      </c>
      <c r="H5580" s="18">
        <f t="shared" si="137"/>
        <v>41617.919999999998</v>
      </c>
      <c r="I5580" s="3"/>
    </row>
    <row r="5581" spans="1:9" s="4" customFormat="1" ht="20.25" customHeight="1" x14ac:dyDescent="0.55000000000000004">
      <c r="A5581" s="18">
        <v>24.7100522</v>
      </c>
      <c r="B5581" s="18">
        <v>34.779808799999998</v>
      </c>
      <c r="C5581" s="18">
        <v>680038.14</v>
      </c>
      <c r="D5581" s="18">
        <v>2734012.05</v>
      </c>
      <c r="E5581" s="18">
        <v>451.67</v>
      </c>
      <c r="F5581" s="18">
        <v>41707.129999999997</v>
      </c>
      <c r="G5581" s="18">
        <v>103528</v>
      </c>
      <c r="H5581" s="18">
        <f t="shared" si="137"/>
        <v>41616.129999999997</v>
      </c>
      <c r="I5581" s="3"/>
    </row>
    <row r="5582" spans="1:9" s="4" customFormat="1" ht="20.25" customHeight="1" x14ac:dyDescent="0.55000000000000004">
      <c r="A5582" s="18">
        <v>24.710054700000001</v>
      </c>
      <c r="B5582" s="18">
        <v>34.779839899999999</v>
      </c>
      <c r="C5582" s="18">
        <v>680041.29</v>
      </c>
      <c r="D5582" s="18">
        <v>2734012.36</v>
      </c>
      <c r="E5582" s="18">
        <v>451.59</v>
      </c>
      <c r="F5582" s="18">
        <v>41708.269999999997</v>
      </c>
      <c r="G5582" s="18">
        <v>103530</v>
      </c>
      <c r="H5582" s="18">
        <f t="shared" si="137"/>
        <v>41617.269999999997</v>
      </c>
      <c r="I5582" s="3"/>
    </row>
    <row r="5583" spans="1:9" s="4" customFormat="1" ht="20.25" customHeight="1" x14ac:dyDescent="0.55000000000000004">
      <c r="A5583" s="18">
        <v>24.7100525</v>
      </c>
      <c r="B5583" s="18">
        <v>34.779871300000003</v>
      </c>
      <c r="C5583" s="18">
        <v>680044.46</v>
      </c>
      <c r="D5583" s="18">
        <v>2734012.16</v>
      </c>
      <c r="E5583" s="18">
        <v>451.53</v>
      </c>
      <c r="F5583" s="18">
        <v>41707.11</v>
      </c>
      <c r="G5583" s="18">
        <v>103532</v>
      </c>
      <c r="H5583" s="18">
        <f t="shared" si="137"/>
        <v>41616.11</v>
      </c>
      <c r="I5583" s="3"/>
    </row>
    <row r="5584" spans="1:9" s="4" customFormat="1" ht="20.25" customHeight="1" x14ac:dyDescent="0.55000000000000004">
      <c r="A5584" s="18">
        <v>24.7100419</v>
      </c>
      <c r="B5584" s="18">
        <v>34.779898899999999</v>
      </c>
      <c r="C5584" s="18">
        <v>680047.28</v>
      </c>
      <c r="D5584" s="18">
        <v>2734011.02</v>
      </c>
      <c r="E5584" s="18">
        <v>451.58</v>
      </c>
      <c r="F5584" s="18">
        <v>41705.24</v>
      </c>
      <c r="G5584" s="18">
        <v>103534</v>
      </c>
      <c r="H5584" s="18">
        <f t="shared" si="137"/>
        <v>41614.239999999998</v>
      </c>
      <c r="I5584" s="3"/>
    </row>
    <row r="5585" spans="1:9" s="4" customFormat="1" ht="20.25" customHeight="1" x14ac:dyDescent="0.55000000000000004">
      <c r="A5585" s="18">
        <v>24.710030700000001</v>
      </c>
      <c r="B5585" s="18">
        <v>34.779925499999997</v>
      </c>
      <c r="C5585" s="18">
        <v>680049.98</v>
      </c>
      <c r="D5585" s="18">
        <v>2734009.82</v>
      </c>
      <c r="E5585" s="18">
        <v>451.56</v>
      </c>
      <c r="F5585" s="18">
        <v>41704.53</v>
      </c>
      <c r="G5585" s="18">
        <v>103536</v>
      </c>
      <c r="H5585" s="18">
        <f t="shared" si="137"/>
        <v>41613.53</v>
      </c>
      <c r="I5585" s="3"/>
    </row>
    <row r="5586" spans="1:9" s="4" customFormat="1" ht="20.25" customHeight="1" x14ac:dyDescent="0.55000000000000004">
      <c r="A5586" s="18">
        <v>24.7100218</v>
      </c>
      <c r="B5586" s="18">
        <v>34.779953300000003</v>
      </c>
      <c r="C5586" s="18">
        <v>680052.81</v>
      </c>
      <c r="D5586" s="18">
        <v>2734008.87</v>
      </c>
      <c r="E5586" s="18">
        <v>451.45</v>
      </c>
      <c r="F5586" s="18">
        <v>41704.870000000003</v>
      </c>
      <c r="G5586" s="18">
        <v>103538</v>
      </c>
      <c r="H5586" s="18">
        <f t="shared" si="137"/>
        <v>41613.870000000003</v>
      </c>
      <c r="I5586" s="3"/>
    </row>
    <row r="5587" spans="1:9" s="4" customFormat="1" ht="20.25" customHeight="1" x14ac:dyDescent="0.55000000000000004">
      <c r="A5587" s="18">
        <v>24.710008800000001</v>
      </c>
      <c r="B5587" s="18">
        <v>34.779980399999999</v>
      </c>
      <c r="C5587" s="18">
        <v>680055.56</v>
      </c>
      <c r="D5587" s="18">
        <v>2734007.47</v>
      </c>
      <c r="E5587" s="18">
        <v>451.37</v>
      </c>
      <c r="F5587" s="18">
        <v>41703.14</v>
      </c>
      <c r="G5587" s="18">
        <v>103540</v>
      </c>
      <c r="H5587" s="18">
        <f t="shared" si="137"/>
        <v>41612.14</v>
      </c>
      <c r="I5587" s="3"/>
    </row>
    <row r="5588" spans="1:9" s="4" customFormat="1" ht="20.25" customHeight="1" x14ac:dyDescent="0.55000000000000004">
      <c r="A5588" s="18">
        <v>24.709998500000001</v>
      </c>
      <c r="B5588" s="18">
        <v>34.780004499999997</v>
      </c>
      <c r="C5588" s="18">
        <v>680058.02</v>
      </c>
      <c r="D5588" s="18">
        <v>2734006.35</v>
      </c>
      <c r="E5588" s="18">
        <v>451.48</v>
      </c>
      <c r="F5588" s="18">
        <v>41703.5</v>
      </c>
      <c r="G5588" s="18">
        <v>103542</v>
      </c>
      <c r="H5588" s="18">
        <f t="shared" si="137"/>
        <v>41612.5</v>
      </c>
      <c r="I5588" s="3"/>
    </row>
    <row r="5589" spans="1:9" s="4" customFormat="1" ht="20.25" customHeight="1" x14ac:dyDescent="0.55000000000000004">
      <c r="A5589" s="18">
        <v>24.709987600000002</v>
      </c>
      <c r="B5589" s="18">
        <v>34.780029999999996</v>
      </c>
      <c r="C5589" s="18">
        <v>680060.61</v>
      </c>
      <c r="D5589" s="18">
        <v>2734005.18</v>
      </c>
      <c r="E5589" s="18">
        <v>451.39</v>
      </c>
      <c r="F5589" s="18">
        <v>41704.129999999997</v>
      </c>
      <c r="G5589" s="18">
        <v>103544</v>
      </c>
      <c r="H5589" s="18">
        <f t="shared" si="137"/>
        <v>41613.129999999997</v>
      </c>
      <c r="I5589" s="3"/>
    </row>
    <row r="5590" spans="1:9" s="4" customFormat="1" ht="20.25" customHeight="1" x14ac:dyDescent="0.55000000000000004">
      <c r="A5590" s="18">
        <v>24.709974899999999</v>
      </c>
      <c r="B5590" s="18">
        <v>34.7800558</v>
      </c>
      <c r="C5590" s="18">
        <v>680063.24</v>
      </c>
      <c r="D5590" s="18">
        <v>2734003.81</v>
      </c>
      <c r="E5590" s="18">
        <v>451.27</v>
      </c>
      <c r="F5590" s="18">
        <v>41704.550000000003</v>
      </c>
      <c r="G5590" s="18">
        <v>103546</v>
      </c>
      <c r="H5590" s="18">
        <f t="shared" si="137"/>
        <v>41613.550000000003</v>
      </c>
      <c r="I5590" s="3"/>
    </row>
    <row r="5591" spans="1:9" s="4" customFormat="1" ht="20.25" customHeight="1" x14ac:dyDescent="0.55000000000000004">
      <c r="A5591" s="18">
        <v>24.709956200000001</v>
      </c>
      <c r="B5591" s="18">
        <v>34.780074900000002</v>
      </c>
      <c r="C5591" s="18">
        <v>680065.2</v>
      </c>
      <c r="D5591" s="18">
        <v>2734001.76</v>
      </c>
      <c r="E5591" s="18">
        <v>451.24</v>
      </c>
      <c r="F5591" s="18">
        <v>41700.67</v>
      </c>
      <c r="G5591" s="18">
        <v>103548</v>
      </c>
      <c r="H5591" s="18">
        <f t="shared" si="137"/>
        <v>41609.67</v>
      </c>
      <c r="I5591" s="3"/>
    </row>
    <row r="5592" spans="1:9" s="4" customFormat="1" ht="20.25" customHeight="1" x14ac:dyDescent="0.55000000000000004">
      <c r="A5592" s="18">
        <v>24.709933700000001</v>
      </c>
      <c r="B5592" s="18">
        <v>34.780081600000003</v>
      </c>
      <c r="C5592" s="18">
        <v>680065.91</v>
      </c>
      <c r="D5592" s="18">
        <v>2733999.28</v>
      </c>
      <c r="E5592" s="18">
        <v>451.2</v>
      </c>
      <c r="F5592" s="18">
        <v>41703.46</v>
      </c>
      <c r="G5592" s="18">
        <v>103550</v>
      </c>
      <c r="H5592" s="18">
        <f t="shared" si="137"/>
        <v>41612.46</v>
      </c>
      <c r="I5592" s="3"/>
    </row>
    <row r="5593" spans="1:9" s="4" customFormat="1" ht="20.25" customHeight="1" x14ac:dyDescent="0.55000000000000004">
      <c r="A5593" s="18">
        <v>24.709909499999998</v>
      </c>
      <c r="B5593" s="18">
        <v>34.780085100000001</v>
      </c>
      <c r="C5593" s="18">
        <v>680066.3</v>
      </c>
      <c r="D5593" s="18">
        <v>2733996.6</v>
      </c>
      <c r="E5593" s="18">
        <v>451.02</v>
      </c>
      <c r="F5593" s="18">
        <v>41700.050000000003</v>
      </c>
      <c r="G5593" s="18">
        <v>103552</v>
      </c>
      <c r="H5593" s="18">
        <f t="shared" si="137"/>
        <v>41609.050000000003</v>
      </c>
      <c r="I5593" s="3"/>
    </row>
    <row r="5594" spans="1:9" s="4" customFormat="1" ht="20.25" customHeight="1" x14ac:dyDescent="0.55000000000000004">
      <c r="A5594" s="18">
        <v>24.709885799999999</v>
      </c>
      <c r="B5594" s="18">
        <v>34.780092699999997</v>
      </c>
      <c r="C5594" s="18">
        <v>680067.11</v>
      </c>
      <c r="D5594" s="18">
        <v>2733993.99</v>
      </c>
      <c r="E5594" s="18">
        <v>450.84</v>
      </c>
      <c r="F5594" s="18">
        <v>41702.800000000003</v>
      </c>
      <c r="G5594" s="18">
        <v>103554</v>
      </c>
      <c r="H5594" s="18">
        <f t="shared" si="137"/>
        <v>41611.800000000003</v>
      </c>
      <c r="I5594" s="3"/>
    </row>
    <row r="5595" spans="1:9" s="4" customFormat="1" ht="20.25" customHeight="1" x14ac:dyDescent="0.55000000000000004">
      <c r="A5595" s="18">
        <v>24.709861</v>
      </c>
      <c r="B5595" s="18">
        <v>34.780097099999999</v>
      </c>
      <c r="C5595" s="18">
        <v>680067.58</v>
      </c>
      <c r="D5595" s="18">
        <v>2733991.25</v>
      </c>
      <c r="E5595" s="18">
        <v>450.73</v>
      </c>
      <c r="F5595" s="18">
        <v>41704.44</v>
      </c>
      <c r="G5595" s="18">
        <v>103556</v>
      </c>
      <c r="H5595" s="18">
        <f t="shared" si="137"/>
        <v>41613.440000000002</v>
      </c>
      <c r="I5595" s="3"/>
    </row>
    <row r="5596" spans="1:9" s="4" customFormat="1" ht="20.25" customHeight="1" x14ac:dyDescent="0.55000000000000004">
      <c r="A5596" s="18">
        <v>24.709835399999999</v>
      </c>
      <c r="B5596" s="18">
        <v>34.7800984</v>
      </c>
      <c r="C5596" s="18">
        <v>680067.76</v>
      </c>
      <c r="D5596" s="18">
        <v>2733988.41</v>
      </c>
      <c r="E5596" s="18">
        <v>450.68</v>
      </c>
      <c r="F5596" s="18">
        <v>41702.28</v>
      </c>
      <c r="G5596" s="18">
        <v>103558</v>
      </c>
      <c r="H5596" s="18">
        <f t="shared" si="137"/>
        <v>41611.279999999999</v>
      </c>
      <c r="I5596" s="3"/>
    </row>
    <row r="5597" spans="1:9" s="4" customFormat="1" ht="20.25" customHeight="1" x14ac:dyDescent="0.55000000000000004">
      <c r="A5597" s="18">
        <v>24.7098099</v>
      </c>
      <c r="B5597" s="18">
        <v>34.780102499999998</v>
      </c>
      <c r="C5597" s="18">
        <v>680068.21</v>
      </c>
      <c r="D5597" s="18">
        <v>2733985.6</v>
      </c>
      <c r="E5597" s="18">
        <v>450.54</v>
      </c>
      <c r="F5597" s="18">
        <v>41699.54</v>
      </c>
      <c r="G5597" s="18">
        <v>103600</v>
      </c>
      <c r="H5597" s="18">
        <f>SUM(F5597-100)</f>
        <v>41599.54</v>
      </c>
      <c r="I5597" s="3"/>
    </row>
    <row r="5598" spans="1:9" s="4" customFormat="1" ht="20.25" customHeight="1" x14ac:dyDescent="0.55000000000000004">
      <c r="A5598" s="18">
        <v>24.709782400000002</v>
      </c>
      <c r="B5598" s="18">
        <v>34.780107899999997</v>
      </c>
      <c r="C5598" s="18">
        <v>680068.79</v>
      </c>
      <c r="D5598" s="18">
        <v>2733982.56</v>
      </c>
      <c r="E5598" s="18">
        <v>450.37</v>
      </c>
      <c r="F5598" s="18">
        <v>41717</v>
      </c>
      <c r="G5598" s="18">
        <v>103602</v>
      </c>
      <c r="H5598" s="18">
        <f t="shared" ref="H5598:H5661" si="138">SUM(F5598-100)</f>
        <v>41617</v>
      </c>
      <c r="I5598" s="3"/>
    </row>
    <row r="5599" spans="1:9" s="4" customFormat="1" ht="20.25" customHeight="1" x14ac:dyDescent="0.55000000000000004">
      <c r="A5599" s="18">
        <v>24.7097567</v>
      </c>
      <c r="B5599" s="18">
        <v>34.780106400000001</v>
      </c>
      <c r="C5599" s="18">
        <v>680068.68</v>
      </c>
      <c r="D5599" s="18">
        <v>2733979.71</v>
      </c>
      <c r="E5599" s="18">
        <v>450.34</v>
      </c>
      <c r="F5599" s="18">
        <v>41702.39</v>
      </c>
      <c r="G5599" s="18">
        <v>103604</v>
      </c>
      <c r="H5599" s="18">
        <f t="shared" si="138"/>
        <v>41602.39</v>
      </c>
      <c r="I5599" s="3"/>
    </row>
    <row r="5600" spans="1:9" s="4" customFormat="1" ht="20.25" customHeight="1" x14ac:dyDescent="0.55000000000000004">
      <c r="A5600" s="18">
        <v>24.709731000000001</v>
      </c>
      <c r="B5600" s="18">
        <v>34.780105200000001</v>
      </c>
      <c r="C5600" s="18">
        <v>680068.59</v>
      </c>
      <c r="D5600" s="18">
        <v>2733976.86</v>
      </c>
      <c r="E5600" s="18">
        <v>450.32</v>
      </c>
      <c r="F5600" s="18">
        <v>41702.550000000003</v>
      </c>
      <c r="G5600" s="18">
        <v>103606</v>
      </c>
      <c r="H5600" s="18">
        <f t="shared" si="138"/>
        <v>41602.550000000003</v>
      </c>
      <c r="I5600" s="3"/>
    </row>
    <row r="5601" spans="1:9" s="4" customFormat="1" ht="20.25" customHeight="1" x14ac:dyDescent="0.55000000000000004">
      <c r="A5601" s="18">
        <v>24.7097069</v>
      </c>
      <c r="B5601" s="18">
        <v>34.780113499999999</v>
      </c>
      <c r="C5601" s="18">
        <v>680069.46</v>
      </c>
      <c r="D5601" s="18">
        <v>2733974.2</v>
      </c>
      <c r="E5601" s="18">
        <v>450.24</v>
      </c>
      <c r="F5601" s="18">
        <v>41700.239999999998</v>
      </c>
      <c r="G5601" s="18">
        <v>103608</v>
      </c>
      <c r="H5601" s="18">
        <f t="shared" si="138"/>
        <v>41600.239999999998</v>
      </c>
      <c r="I5601" s="3"/>
    </row>
    <row r="5602" spans="1:9" s="4" customFormat="1" ht="20.25" customHeight="1" x14ac:dyDescent="0.55000000000000004">
      <c r="A5602" s="18">
        <v>24.709686900000001</v>
      </c>
      <c r="B5602" s="18">
        <v>34.780131099999998</v>
      </c>
      <c r="C5602" s="18">
        <v>680071.28</v>
      </c>
      <c r="D5602" s="18">
        <v>2733972.01</v>
      </c>
      <c r="E5602" s="18">
        <v>450.17</v>
      </c>
      <c r="F5602" s="18">
        <v>41700.089999999997</v>
      </c>
      <c r="G5602" s="18">
        <v>103610</v>
      </c>
      <c r="H5602" s="18">
        <f t="shared" si="138"/>
        <v>41600.089999999997</v>
      </c>
      <c r="I5602" s="3"/>
    </row>
    <row r="5603" spans="1:9" s="4" customFormat="1" ht="20.25" customHeight="1" x14ac:dyDescent="0.55000000000000004">
      <c r="A5603" s="18">
        <v>24.7096749</v>
      </c>
      <c r="B5603" s="18">
        <v>34.780157500000001</v>
      </c>
      <c r="C5603" s="18">
        <v>680073.96</v>
      </c>
      <c r="D5603" s="18">
        <v>2733970.71</v>
      </c>
      <c r="E5603" s="18">
        <v>450.23</v>
      </c>
      <c r="F5603" s="18">
        <v>41716.07</v>
      </c>
      <c r="G5603" s="18">
        <v>103612</v>
      </c>
      <c r="H5603" s="18">
        <f t="shared" si="138"/>
        <v>41616.07</v>
      </c>
      <c r="I5603" s="3"/>
    </row>
    <row r="5604" spans="1:9" s="4" customFormat="1" ht="20.25" customHeight="1" x14ac:dyDescent="0.55000000000000004">
      <c r="A5604" s="18">
        <v>24.7096613</v>
      </c>
      <c r="B5604" s="18">
        <v>34.780180799999997</v>
      </c>
      <c r="C5604" s="18">
        <v>680076.34</v>
      </c>
      <c r="D5604" s="18">
        <v>2733969.24</v>
      </c>
      <c r="E5604" s="18">
        <v>450.08</v>
      </c>
      <c r="F5604" s="18">
        <v>41699.32</v>
      </c>
      <c r="G5604" s="18">
        <v>103614</v>
      </c>
      <c r="H5604" s="18">
        <f t="shared" si="138"/>
        <v>41599.32</v>
      </c>
      <c r="I5604" s="3"/>
    </row>
    <row r="5605" spans="1:9" s="4" customFormat="1" ht="20.25" customHeight="1" x14ac:dyDescent="0.55000000000000004">
      <c r="A5605" s="18">
        <v>24.7096482</v>
      </c>
      <c r="B5605" s="18">
        <v>34.780205100000003</v>
      </c>
      <c r="C5605" s="18">
        <v>680078.82</v>
      </c>
      <c r="D5605" s="18">
        <v>2733967.83</v>
      </c>
      <c r="E5605" s="18">
        <v>449.85</v>
      </c>
      <c r="F5605" s="18">
        <v>41699.620000000003</v>
      </c>
      <c r="G5605" s="18">
        <v>103616</v>
      </c>
      <c r="H5605" s="18">
        <f t="shared" si="138"/>
        <v>41599.620000000003</v>
      </c>
      <c r="I5605" s="3"/>
    </row>
    <row r="5606" spans="1:9" s="4" customFormat="1" ht="20.25" customHeight="1" x14ac:dyDescent="0.55000000000000004">
      <c r="A5606" s="18">
        <v>24.709636499999998</v>
      </c>
      <c r="B5606" s="18">
        <v>34.7802285</v>
      </c>
      <c r="C5606" s="18">
        <v>680081.21</v>
      </c>
      <c r="D5606" s="18">
        <v>2733966.55</v>
      </c>
      <c r="E5606" s="18">
        <v>449.66</v>
      </c>
      <c r="F5606" s="18">
        <v>41686.300000000003</v>
      </c>
      <c r="G5606" s="18">
        <v>103618</v>
      </c>
      <c r="H5606" s="18">
        <f t="shared" si="138"/>
        <v>41586.300000000003</v>
      </c>
      <c r="I5606" s="3"/>
    </row>
    <row r="5607" spans="1:9" s="4" customFormat="1" ht="20.25" customHeight="1" x14ac:dyDescent="0.55000000000000004">
      <c r="A5607" s="18">
        <v>24.709618299999999</v>
      </c>
      <c r="B5607" s="18">
        <v>34.780249699999999</v>
      </c>
      <c r="C5607" s="18">
        <v>680083.38</v>
      </c>
      <c r="D5607" s="18">
        <v>2733964.56</v>
      </c>
      <c r="E5607" s="18">
        <v>449.38</v>
      </c>
      <c r="F5607" s="18">
        <v>41700.07</v>
      </c>
      <c r="G5607" s="18">
        <v>103620</v>
      </c>
      <c r="H5607" s="18">
        <f t="shared" si="138"/>
        <v>41600.07</v>
      </c>
      <c r="I5607" s="3"/>
    </row>
    <row r="5608" spans="1:9" s="4" customFormat="1" ht="20.25" customHeight="1" x14ac:dyDescent="0.55000000000000004">
      <c r="A5608" s="18">
        <v>24.709600200000001</v>
      </c>
      <c r="B5608" s="18">
        <v>34.7802723</v>
      </c>
      <c r="C5608" s="18">
        <v>680085.69</v>
      </c>
      <c r="D5608" s="18">
        <v>2733962.59</v>
      </c>
      <c r="E5608" s="18">
        <v>449.08</v>
      </c>
      <c r="F5608" s="18">
        <v>41695.050000000003</v>
      </c>
      <c r="G5608" s="18">
        <v>103622</v>
      </c>
      <c r="H5608" s="18">
        <f t="shared" si="138"/>
        <v>41595.050000000003</v>
      </c>
      <c r="I5608" s="3"/>
    </row>
    <row r="5609" spans="1:9" s="4" customFormat="1" ht="20.25" customHeight="1" x14ac:dyDescent="0.55000000000000004">
      <c r="A5609" s="18">
        <v>24.709585100000002</v>
      </c>
      <c r="B5609" s="18">
        <v>34.780296100000001</v>
      </c>
      <c r="C5609" s="18">
        <v>680088.12</v>
      </c>
      <c r="D5609" s="18">
        <v>2733960.96</v>
      </c>
      <c r="E5609" s="18">
        <v>449.04</v>
      </c>
      <c r="F5609" s="18">
        <v>41701.53</v>
      </c>
      <c r="G5609" s="18">
        <v>103624</v>
      </c>
      <c r="H5609" s="18">
        <f t="shared" si="138"/>
        <v>41601.53</v>
      </c>
      <c r="I5609" s="3"/>
    </row>
    <row r="5610" spans="1:9" s="4" customFormat="1" ht="20.25" customHeight="1" x14ac:dyDescent="0.55000000000000004">
      <c r="A5610" s="18">
        <v>24.709573899999999</v>
      </c>
      <c r="B5610" s="18">
        <v>34.780320500000002</v>
      </c>
      <c r="C5610" s="18">
        <v>680090.6</v>
      </c>
      <c r="D5610" s="18">
        <v>2733959.74</v>
      </c>
      <c r="E5610" s="18">
        <v>448.68</v>
      </c>
      <c r="F5610" s="18">
        <v>41713.54</v>
      </c>
      <c r="G5610" s="18">
        <v>103626</v>
      </c>
      <c r="H5610" s="18">
        <f t="shared" si="138"/>
        <v>41613.54</v>
      </c>
      <c r="I5610" s="3"/>
    </row>
    <row r="5611" spans="1:9" s="4" customFormat="1" ht="20.25" customHeight="1" x14ac:dyDescent="0.55000000000000004">
      <c r="A5611" s="18">
        <v>24.709568399999998</v>
      </c>
      <c r="B5611" s="18">
        <v>34.780346999999999</v>
      </c>
      <c r="C5611" s="18">
        <v>680093.29</v>
      </c>
      <c r="D5611" s="18">
        <v>2733959.17</v>
      </c>
      <c r="E5611" s="18">
        <v>448.47</v>
      </c>
      <c r="F5611" s="18">
        <v>41704.589999999997</v>
      </c>
      <c r="G5611" s="18">
        <v>103628</v>
      </c>
      <c r="H5611" s="18">
        <f t="shared" si="138"/>
        <v>41604.589999999997</v>
      </c>
      <c r="I5611" s="3"/>
    </row>
    <row r="5612" spans="1:9" s="4" customFormat="1" ht="20.25" customHeight="1" x14ac:dyDescent="0.55000000000000004">
      <c r="A5612" s="18">
        <v>24.709559599999999</v>
      </c>
      <c r="B5612" s="18">
        <v>34.780374000000002</v>
      </c>
      <c r="C5612" s="18">
        <v>680096.03</v>
      </c>
      <c r="D5612" s="18">
        <v>2733958.23</v>
      </c>
      <c r="E5612" s="18">
        <v>448.29</v>
      </c>
      <c r="F5612" s="18">
        <v>41701.699999999997</v>
      </c>
      <c r="G5612" s="18">
        <v>103630</v>
      </c>
      <c r="H5612" s="18">
        <f t="shared" si="138"/>
        <v>41601.699999999997</v>
      </c>
      <c r="I5612" s="3"/>
    </row>
    <row r="5613" spans="1:9" s="4" customFormat="1" ht="20.25" customHeight="1" x14ac:dyDescent="0.55000000000000004">
      <c r="A5613" s="18">
        <v>24.70955</v>
      </c>
      <c r="B5613" s="18">
        <v>34.7804</v>
      </c>
      <c r="C5613" s="18">
        <v>680098.68</v>
      </c>
      <c r="D5613" s="18">
        <v>2733957.2</v>
      </c>
      <c r="E5613" s="18">
        <v>448.05</v>
      </c>
      <c r="F5613" s="18">
        <v>41698.97</v>
      </c>
      <c r="G5613" s="18">
        <v>103632</v>
      </c>
      <c r="H5613" s="18">
        <f t="shared" si="138"/>
        <v>41598.97</v>
      </c>
      <c r="I5613" s="3"/>
    </row>
    <row r="5614" spans="1:9" s="4" customFormat="1" ht="20.25" customHeight="1" x14ac:dyDescent="0.55000000000000004">
      <c r="A5614" s="18">
        <v>24.709547700000002</v>
      </c>
      <c r="B5614" s="18">
        <v>34.780425700000002</v>
      </c>
      <c r="C5614" s="18">
        <v>680101.29</v>
      </c>
      <c r="D5614" s="18">
        <v>2733956.98</v>
      </c>
      <c r="E5614" s="18">
        <v>447.76</v>
      </c>
      <c r="F5614" s="18">
        <v>41702.9</v>
      </c>
      <c r="G5614" s="18">
        <v>103634</v>
      </c>
      <c r="H5614" s="18">
        <f t="shared" si="138"/>
        <v>41602.9</v>
      </c>
      <c r="I5614" s="3"/>
    </row>
    <row r="5615" spans="1:9" s="4" customFormat="1" ht="20.25" customHeight="1" x14ac:dyDescent="0.55000000000000004">
      <c r="A5615" s="18">
        <v>24.709545299999998</v>
      </c>
      <c r="B5615" s="18">
        <v>34.780451800000002</v>
      </c>
      <c r="C5615" s="18">
        <v>680103.92</v>
      </c>
      <c r="D5615" s="18">
        <v>2733956.74</v>
      </c>
      <c r="E5615" s="18">
        <v>447.45</v>
      </c>
      <c r="F5615" s="18">
        <v>41709.18</v>
      </c>
      <c r="G5615" s="18">
        <v>103636</v>
      </c>
      <c r="H5615" s="18">
        <f t="shared" si="138"/>
        <v>41609.18</v>
      </c>
      <c r="I5615" s="3"/>
    </row>
    <row r="5616" spans="1:9" s="4" customFormat="1" ht="20.25" customHeight="1" x14ac:dyDescent="0.55000000000000004">
      <c r="A5616" s="18">
        <v>24.709544600000001</v>
      </c>
      <c r="B5616" s="18">
        <v>34.7804802</v>
      </c>
      <c r="C5616" s="18">
        <v>680106.8</v>
      </c>
      <c r="D5616" s="18">
        <v>2733956.7</v>
      </c>
      <c r="E5616" s="18">
        <v>447.47</v>
      </c>
      <c r="F5616" s="18">
        <v>41705.11</v>
      </c>
      <c r="G5616" s="18">
        <v>103638</v>
      </c>
      <c r="H5616" s="18">
        <f t="shared" si="138"/>
        <v>41605.11</v>
      </c>
      <c r="I5616" s="3"/>
    </row>
    <row r="5617" spans="1:9" s="4" customFormat="1" ht="20.25" customHeight="1" x14ac:dyDescent="0.55000000000000004">
      <c r="A5617" s="18">
        <v>24.7095454</v>
      </c>
      <c r="B5617" s="18">
        <v>34.780509700000003</v>
      </c>
      <c r="C5617" s="18">
        <v>680109.79</v>
      </c>
      <c r="D5617" s="18">
        <v>2733956.84</v>
      </c>
      <c r="E5617" s="18">
        <v>447.55</v>
      </c>
      <c r="F5617" s="18">
        <v>41708.65</v>
      </c>
      <c r="G5617" s="18">
        <v>103640</v>
      </c>
      <c r="H5617" s="18">
        <f t="shared" si="138"/>
        <v>41608.65</v>
      </c>
      <c r="I5617" s="3"/>
    </row>
    <row r="5618" spans="1:9" s="4" customFormat="1" ht="20.25" customHeight="1" x14ac:dyDescent="0.55000000000000004">
      <c r="A5618" s="18">
        <v>24.709550499999999</v>
      </c>
      <c r="B5618" s="18">
        <v>34.780538300000003</v>
      </c>
      <c r="C5618" s="18">
        <v>680112.67</v>
      </c>
      <c r="D5618" s="18">
        <v>2733957.43</v>
      </c>
      <c r="E5618" s="18">
        <v>447.53</v>
      </c>
      <c r="F5618" s="18">
        <v>41709.03</v>
      </c>
      <c r="G5618" s="18">
        <v>103642</v>
      </c>
      <c r="H5618" s="18">
        <f t="shared" si="138"/>
        <v>41609.03</v>
      </c>
      <c r="I5618" s="3"/>
    </row>
    <row r="5619" spans="1:9" s="4" customFormat="1" ht="20.25" customHeight="1" x14ac:dyDescent="0.55000000000000004">
      <c r="A5619" s="18">
        <v>24.709546799999998</v>
      </c>
      <c r="B5619" s="18">
        <v>34.780565500000002</v>
      </c>
      <c r="C5619" s="18">
        <v>680115.43</v>
      </c>
      <c r="D5619" s="18">
        <v>2733957.06</v>
      </c>
      <c r="E5619" s="18">
        <v>447.53</v>
      </c>
      <c r="F5619" s="18">
        <v>41709.370000000003</v>
      </c>
      <c r="G5619" s="18">
        <v>103644</v>
      </c>
      <c r="H5619" s="18">
        <f t="shared" si="138"/>
        <v>41609.370000000003</v>
      </c>
      <c r="I5619" s="3"/>
    </row>
    <row r="5620" spans="1:9" s="4" customFormat="1" ht="20.25" customHeight="1" x14ac:dyDescent="0.55000000000000004">
      <c r="A5620" s="18">
        <v>24.7095433</v>
      </c>
      <c r="B5620" s="18">
        <v>34.780594800000003</v>
      </c>
      <c r="C5620" s="18">
        <v>680118.39</v>
      </c>
      <c r="D5620" s="18">
        <v>2733956.72</v>
      </c>
      <c r="E5620" s="18">
        <v>447.5</v>
      </c>
      <c r="F5620" s="18">
        <v>41708.120000000003</v>
      </c>
      <c r="G5620" s="18">
        <v>103646</v>
      </c>
      <c r="H5620" s="18">
        <f t="shared" si="138"/>
        <v>41608.120000000003</v>
      </c>
      <c r="I5620" s="3"/>
    </row>
    <row r="5621" spans="1:9" s="4" customFormat="1" ht="20.25" customHeight="1" x14ac:dyDescent="0.55000000000000004">
      <c r="A5621" s="18">
        <v>24.7095451</v>
      </c>
      <c r="B5621" s="18">
        <v>34.780622700000002</v>
      </c>
      <c r="C5621" s="18">
        <v>680121.22</v>
      </c>
      <c r="D5621" s="18">
        <v>2733956.95</v>
      </c>
      <c r="E5621" s="18">
        <v>447.64</v>
      </c>
      <c r="F5621" s="18">
        <v>41707.129999999997</v>
      </c>
      <c r="G5621" s="18">
        <v>103648</v>
      </c>
      <c r="H5621" s="18">
        <f t="shared" si="138"/>
        <v>41607.129999999997</v>
      </c>
      <c r="I5621" s="3"/>
    </row>
    <row r="5622" spans="1:9" s="4" customFormat="1" ht="20.25" customHeight="1" x14ac:dyDescent="0.55000000000000004">
      <c r="A5622" s="18">
        <v>24.709550700000001</v>
      </c>
      <c r="B5622" s="18">
        <v>34.780649099999998</v>
      </c>
      <c r="C5622" s="18">
        <v>680123.88</v>
      </c>
      <c r="D5622" s="18">
        <v>2733957.6</v>
      </c>
      <c r="E5622" s="18">
        <v>447.78</v>
      </c>
      <c r="F5622" s="18">
        <v>41707.71</v>
      </c>
      <c r="G5622" s="18">
        <v>103650</v>
      </c>
      <c r="H5622" s="18">
        <f t="shared" si="138"/>
        <v>41607.71</v>
      </c>
      <c r="I5622" s="3"/>
    </row>
    <row r="5623" spans="1:9" s="4" customFormat="1" ht="20.25" customHeight="1" x14ac:dyDescent="0.55000000000000004">
      <c r="A5623" s="18">
        <v>24.7095564</v>
      </c>
      <c r="B5623" s="18">
        <v>34.780677900000001</v>
      </c>
      <c r="C5623" s="18">
        <v>680126.79</v>
      </c>
      <c r="D5623" s="18">
        <v>2733958.28</v>
      </c>
      <c r="E5623" s="18">
        <v>447.86</v>
      </c>
      <c r="F5623" s="18">
        <v>41704.86</v>
      </c>
      <c r="G5623" s="18">
        <v>103652</v>
      </c>
      <c r="H5623" s="18">
        <f t="shared" si="138"/>
        <v>41604.86</v>
      </c>
      <c r="I5623" s="3"/>
    </row>
    <row r="5624" spans="1:9" s="4" customFormat="1" ht="20.25" customHeight="1" x14ac:dyDescent="0.55000000000000004">
      <c r="A5624" s="18">
        <v>24.709561099999998</v>
      </c>
      <c r="B5624" s="18">
        <v>34.780706100000003</v>
      </c>
      <c r="C5624" s="18">
        <v>680129.63</v>
      </c>
      <c r="D5624" s="18">
        <v>2733958.84</v>
      </c>
      <c r="E5624" s="18">
        <v>447.95</v>
      </c>
      <c r="F5624" s="18">
        <v>41707.81</v>
      </c>
      <c r="G5624" s="18">
        <v>103654</v>
      </c>
      <c r="H5624" s="18">
        <f t="shared" si="138"/>
        <v>41607.81</v>
      </c>
      <c r="I5624" s="3"/>
    </row>
    <row r="5625" spans="1:9" s="4" customFormat="1" ht="20.25" customHeight="1" x14ac:dyDescent="0.55000000000000004">
      <c r="A5625" s="18">
        <v>24.709565000000001</v>
      </c>
      <c r="B5625" s="18">
        <v>34.7807344</v>
      </c>
      <c r="C5625" s="18">
        <v>680132.5</v>
      </c>
      <c r="D5625" s="18">
        <v>2733959.3</v>
      </c>
      <c r="E5625" s="18">
        <v>447.99</v>
      </c>
      <c r="F5625" s="18">
        <v>41707.71</v>
      </c>
      <c r="G5625" s="18">
        <v>103656</v>
      </c>
      <c r="H5625" s="18">
        <f t="shared" si="138"/>
        <v>41607.71</v>
      </c>
      <c r="I5625" s="3"/>
    </row>
    <row r="5626" spans="1:9" s="4" customFormat="1" ht="20.25" customHeight="1" x14ac:dyDescent="0.55000000000000004">
      <c r="A5626" s="18">
        <v>24.7095707</v>
      </c>
      <c r="B5626" s="18">
        <v>34.780763499999999</v>
      </c>
      <c r="C5626" s="18">
        <v>680135.43</v>
      </c>
      <c r="D5626" s="18">
        <v>2733959.97</v>
      </c>
      <c r="E5626" s="18">
        <v>448.11</v>
      </c>
      <c r="F5626" s="18">
        <v>41709.129999999997</v>
      </c>
      <c r="G5626" s="18">
        <v>103658</v>
      </c>
      <c r="H5626" s="18">
        <f t="shared" si="138"/>
        <v>41609.129999999997</v>
      </c>
      <c r="I5626" s="3"/>
    </row>
    <row r="5627" spans="1:9" s="4" customFormat="1" ht="20.25" customHeight="1" x14ac:dyDescent="0.55000000000000004">
      <c r="A5627" s="18">
        <v>24.7095722</v>
      </c>
      <c r="B5627" s="18">
        <v>34.780791899999997</v>
      </c>
      <c r="C5627" s="18">
        <v>680138.3</v>
      </c>
      <c r="D5627" s="18">
        <v>2733960.17</v>
      </c>
      <c r="E5627" s="18">
        <v>448.05</v>
      </c>
      <c r="F5627" s="18">
        <v>41706.71</v>
      </c>
      <c r="G5627" s="18">
        <v>103700</v>
      </c>
      <c r="H5627" s="18">
        <f t="shared" si="138"/>
        <v>41606.71</v>
      </c>
      <c r="I5627" s="3"/>
    </row>
    <row r="5628" spans="1:9" s="4" customFormat="1" ht="20.25" customHeight="1" x14ac:dyDescent="0.55000000000000004">
      <c r="A5628" s="18">
        <v>24.709574400000001</v>
      </c>
      <c r="B5628" s="18">
        <v>34.780820300000002</v>
      </c>
      <c r="C5628" s="18">
        <v>680141.17</v>
      </c>
      <c r="D5628" s="18">
        <v>2733960.46</v>
      </c>
      <c r="E5628" s="18">
        <v>448.14</v>
      </c>
      <c r="F5628" s="18">
        <v>41707.699999999997</v>
      </c>
      <c r="G5628" s="18">
        <v>103702</v>
      </c>
      <c r="H5628" s="18">
        <f t="shared" si="138"/>
        <v>41607.699999999997</v>
      </c>
      <c r="I5628" s="3"/>
    </row>
    <row r="5629" spans="1:9" s="4" customFormat="1" ht="20.25" customHeight="1" x14ac:dyDescent="0.55000000000000004">
      <c r="A5629" s="18">
        <v>24.709579300000001</v>
      </c>
      <c r="B5629" s="18">
        <v>34.780848900000002</v>
      </c>
      <c r="C5629" s="18">
        <v>680144.06</v>
      </c>
      <c r="D5629" s="18">
        <v>2733961.04</v>
      </c>
      <c r="E5629" s="18">
        <v>448.16</v>
      </c>
      <c r="F5629" s="18">
        <v>41709.769999999997</v>
      </c>
      <c r="G5629" s="18">
        <v>103704</v>
      </c>
      <c r="H5629" s="18">
        <f t="shared" si="138"/>
        <v>41609.769999999997</v>
      </c>
      <c r="I5629" s="3"/>
    </row>
    <row r="5630" spans="1:9" s="4" customFormat="1" ht="20.25" customHeight="1" x14ac:dyDescent="0.55000000000000004">
      <c r="A5630" s="18">
        <v>24.709578700000002</v>
      </c>
      <c r="B5630" s="18">
        <v>34.7808791</v>
      </c>
      <c r="C5630" s="18">
        <v>680147.11</v>
      </c>
      <c r="D5630" s="18">
        <v>2733961.01</v>
      </c>
      <c r="E5630" s="18">
        <v>448.27</v>
      </c>
      <c r="F5630" s="18">
        <v>41708.47</v>
      </c>
      <c r="G5630" s="18">
        <v>103706</v>
      </c>
      <c r="H5630" s="18">
        <f t="shared" si="138"/>
        <v>41608.47</v>
      </c>
      <c r="I5630" s="3"/>
    </row>
    <row r="5631" spans="1:9" s="4" customFormat="1" ht="20.25" customHeight="1" x14ac:dyDescent="0.55000000000000004">
      <c r="A5631" s="18">
        <v>24.709580899999999</v>
      </c>
      <c r="B5631" s="18">
        <v>34.780907200000001</v>
      </c>
      <c r="C5631" s="18">
        <v>680149.95</v>
      </c>
      <c r="D5631" s="18">
        <v>2733961.29</v>
      </c>
      <c r="E5631" s="18">
        <v>448.18</v>
      </c>
      <c r="F5631" s="18">
        <v>41708.199999999997</v>
      </c>
      <c r="G5631" s="18">
        <v>103708</v>
      </c>
      <c r="H5631" s="18">
        <f t="shared" si="138"/>
        <v>41608.199999999997</v>
      </c>
      <c r="I5631" s="3"/>
    </row>
    <row r="5632" spans="1:9" s="4" customFormat="1" ht="20.25" customHeight="1" x14ac:dyDescent="0.55000000000000004">
      <c r="A5632" s="18">
        <v>24.7095859</v>
      </c>
      <c r="B5632" s="18">
        <v>34.780937199999997</v>
      </c>
      <c r="C5632" s="18">
        <v>680152.98</v>
      </c>
      <c r="D5632" s="18">
        <v>2733961.88</v>
      </c>
      <c r="E5632" s="18">
        <v>448.21</v>
      </c>
      <c r="F5632" s="18">
        <v>41709.5</v>
      </c>
      <c r="G5632" s="18">
        <v>103710</v>
      </c>
      <c r="H5632" s="18">
        <f t="shared" si="138"/>
        <v>41609.5</v>
      </c>
      <c r="I5632" s="3"/>
    </row>
    <row r="5633" spans="1:9" s="4" customFormat="1" ht="20.25" customHeight="1" x14ac:dyDescent="0.55000000000000004">
      <c r="A5633" s="18">
        <v>24.709591100000001</v>
      </c>
      <c r="B5633" s="18">
        <v>34.780965700000003</v>
      </c>
      <c r="C5633" s="18">
        <v>680155.85</v>
      </c>
      <c r="D5633" s="18">
        <v>2733962.49</v>
      </c>
      <c r="E5633" s="18">
        <v>448.23</v>
      </c>
      <c r="F5633" s="18">
        <v>41706.730000000003</v>
      </c>
      <c r="G5633" s="18">
        <v>103712</v>
      </c>
      <c r="H5633" s="18">
        <f t="shared" si="138"/>
        <v>41606.730000000003</v>
      </c>
      <c r="I5633" s="3"/>
    </row>
    <row r="5634" spans="1:9" s="4" customFormat="1" ht="20.25" customHeight="1" x14ac:dyDescent="0.55000000000000004">
      <c r="A5634" s="18">
        <v>24.709596900000001</v>
      </c>
      <c r="B5634" s="18">
        <v>34.780991999999998</v>
      </c>
      <c r="C5634" s="18">
        <v>680158.51</v>
      </c>
      <c r="D5634" s="18">
        <v>2733963.18</v>
      </c>
      <c r="E5634" s="18">
        <v>448.32</v>
      </c>
      <c r="F5634" s="18">
        <v>41704.400000000001</v>
      </c>
      <c r="G5634" s="18">
        <v>103714</v>
      </c>
      <c r="H5634" s="18">
        <f t="shared" si="138"/>
        <v>41604.400000000001</v>
      </c>
      <c r="I5634" s="3"/>
    </row>
    <row r="5635" spans="1:9" s="4" customFormat="1" ht="20.25" customHeight="1" x14ac:dyDescent="0.55000000000000004">
      <c r="A5635" s="18">
        <v>24.709603600000001</v>
      </c>
      <c r="B5635" s="18">
        <v>34.781017499999997</v>
      </c>
      <c r="C5635" s="18">
        <v>680161.08</v>
      </c>
      <c r="D5635" s="18">
        <v>2733963.95</v>
      </c>
      <c r="E5635" s="18">
        <v>448.31</v>
      </c>
      <c r="F5635" s="18">
        <v>41706.129999999997</v>
      </c>
      <c r="G5635" s="18">
        <v>103716</v>
      </c>
      <c r="H5635" s="18">
        <f t="shared" si="138"/>
        <v>41606.129999999997</v>
      </c>
      <c r="I5635" s="3"/>
    </row>
    <row r="5636" spans="1:9" s="4" customFormat="1" ht="20.25" customHeight="1" x14ac:dyDescent="0.55000000000000004">
      <c r="A5636" s="18">
        <v>24.709611800000001</v>
      </c>
      <c r="B5636" s="18">
        <v>34.781043799999999</v>
      </c>
      <c r="C5636" s="18">
        <v>680163.73</v>
      </c>
      <c r="D5636" s="18">
        <v>2733964.89</v>
      </c>
      <c r="E5636" s="18">
        <v>448.24</v>
      </c>
      <c r="F5636" s="18">
        <v>41706.67</v>
      </c>
      <c r="G5636" s="18">
        <v>103718</v>
      </c>
      <c r="H5636" s="18">
        <f t="shared" si="138"/>
        <v>41606.67</v>
      </c>
      <c r="I5636" s="3"/>
    </row>
    <row r="5637" spans="1:9" s="4" customFormat="1" ht="20.25" customHeight="1" x14ac:dyDescent="0.55000000000000004">
      <c r="A5637" s="18">
        <v>24.709622499999998</v>
      </c>
      <c r="B5637" s="18">
        <v>34.781070200000002</v>
      </c>
      <c r="C5637" s="18">
        <v>680166.38</v>
      </c>
      <c r="D5637" s="18">
        <v>2733966.12</v>
      </c>
      <c r="E5637" s="18">
        <v>448.24</v>
      </c>
      <c r="F5637" s="18">
        <v>41709.19</v>
      </c>
      <c r="G5637" s="18">
        <v>103720</v>
      </c>
      <c r="H5637" s="18">
        <f t="shared" si="138"/>
        <v>41609.19</v>
      </c>
      <c r="I5637" s="3"/>
    </row>
    <row r="5638" spans="1:9" s="4" customFormat="1" ht="20.25" customHeight="1" x14ac:dyDescent="0.55000000000000004">
      <c r="A5638" s="18">
        <v>24.709630700000002</v>
      </c>
      <c r="B5638" s="18">
        <v>34.781097799999998</v>
      </c>
      <c r="C5638" s="18">
        <v>680169.17</v>
      </c>
      <c r="D5638" s="18">
        <v>2733967.05</v>
      </c>
      <c r="E5638" s="18">
        <v>448.23</v>
      </c>
      <c r="F5638" s="18">
        <v>41705.68</v>
      </c>
      <c r="G5638" s="18">
        <v>103722</v>
      </c>
      <c r="H5638" s="18">
        <f t="shared" si="138"/>
        <v>41605.68</v>
      </c>
      <c r="I5638" s="3"/>
    </row>
    <row r="5639" spans="1:9" s="4" customFormat="1" ht="20.25" customHeight="1" x14ac:dyDescent="0.55000000000000004">
      <c r="A5639" s="18">
        <v>24.709638900000002</v>
      </c>
      <c r="B5639" s="18">
        <v>34.781123899999997</v>
      </c>
      <c r="C5639" s="18">
        <v>680171.8</v>
      </c>
      <c r="D5639" s="18">
        <v>2733968.01</v>
      </c>
      <c r="E5639" s="18">
        <v>448.18</v>
      </c>
      <c r="F5639" s="18">
        <v>41702.300000000003</v>
      </c>
      <c r="G5639" s="18">
        <v>103724</v>
      </c>
      <c r="H5639" s="18">
        <f t="shared" si="138"/>
        <v>41602.300000000003</v>
      </c>
      <c r="I5639" s="3"/>
    </row>
    <row r="5640" spans="1:9" s="4" customFormat="1" ht="20.25" customHeight="1" x14ac:dyDescent="0.55000000000000004">
      <c r="A5640" s="18">
        <v>24.709644300000001</v>
      </c>
      <c r="B5640" s="18">
        <v>34.781151700000002</v>
      </c>
      <c r="C5640" s="18">
        <v>680174.6</v>
      </c>
      <c r="D5640" s="18">
        <v>2733968.64</v>
      </c>
      <c r="E5640" s="18">
        <v>448.12</v>
      </c>
      <c r="F5640" s="18">
        <v>41700.949999999997</v>
      </c>
      <c r="G5640" s="18">
        <v>103726</v>
      </c>
      <c r="H5640" s="18">
        <f t="shared" si="138"/>
        <v>41600.949999999997</v>
      </c>
      <c r="I5640" s="3"/>
    </row>
    <row r="5641" spans="1:9" s="4" customFormat="1" ht="20.25" customHeight="1" x14ac:dyDescent="0.55000000000000004">
      <c r="A5641" s="18">
        <v>24.709645500000001</v>
      </c>
      <c r="B5641" s="18">
        <v>34.781179999999999</v>
      </c>
      <c r="C5641" s="18">
        <v>680177.46</v>
      </c>
      <c r="D5641" s="18">
        <v>2733968.81</v>
      </c>
      <c r="E5641" s="18">
        <v>447.78</v>
      </c>
      <c r="F5641" s="18">
        <v>41716.519999999997</v>
      </c>
      <c r="G5641" s="18">
        <v>103728</v>
      </c>
      <c r="H5641" s="18">
        <f t="shared" si="138"/>
        <v>41616.519999999997</v>
      </c>
      <c r="I5641" s="3"/>
    </row>
    <row r="5642" spans="1:9" s="4" customFormat="1" ht="20.25" customHeight="1" x14ac:dyDescent="0.55000000000000004">
      <c r="A5642" s="18">
        <v>24.709646899999999</v>
      </c>
      <c r="B5642" s="18">
        <v>34.781207500000001</v>
      </c>
      <c r="C5642" s="18">
        <v>680180.25</v>
      </c>
      <c r="D5642" s="18">
        <v>2733969</v>
      </c>
      <c r="E5642" s="18">
        <v>447.59</v>
      </c>
      <c r="F5642" s="18">
        <v>41703.370000000003</v>
      </c>
      <c r="G5642" s="18">
        <v>103730</v>
      </c>
      <c r="H5642" s="18">
        <f t="shared" si="138"/>
        <v>41603.370000000003</v>
      </c>
      <c r="I5642" s="3"/>
    </row>
    <row r="5643" spans="1:9" s="4" customFormat="1" ht="20.25" customHeight="1" x14ac:dyDescent="0.55000000000000004">
      <c r="A5643" s="18">
        <v>24.709648300000001</v>
      </c>
      <c r="B5643" s="18">
        <v>34.781234499999997</v>
      </c>
      <c r="C5643" s="18">
        <v>680182.97</v>
      </c>
      <c r="D5643" s="18">
        <v>2733969.19</v>
      </c>
      <c r="E5643" s="18">
        <v>447.48</v>
      </c>
      <c r="F5643" s="18">
        <v>41703.24</v>
      </c>
      <c r="G5643" s="18">
        <v>103732</v>
      </c>
      <c r="H5643" s="18">
        <f t="shared" si="138"/>
        <v>41603.24</v>
      </c>
      <c r="I5643" s="3"/>
    </row>
    <row r="5644" spans="1:9" s="4" customFormat="1" ht="20.25" customHeight="1" x14ac:dyDescent="0.55000000000000004">
      <c r="A5644" s="18">
        <v>24.709648000000001</v>
      </c>
      <c r="B5644" s="18">
        <v>34.7812628</v>
      </c>
      <c r="C5644" s="18">
        <v>680185.84</v>
      </c>
      <c r="D5644" s="18">
        <v>2733969.19</v>
      </c>
      <c r="E5644" s="18">
        <v>447.34</v>
      </c>
      <c r="F5644" s="18">
        <v>41700.959999999999</v>
      </c>
      <c r="G5644" s="18">
        <v>103734</v>
      </c>
      <c r="H5644" s="18">
        <f t="shared" si="138"/>
        <v>41600.959999999999</v>
      </c>
      <c r="I5644" s="3"/>
    </row>
    <row r="5645" spans="1:9" s="4" customFormat="1" ht="20.25" customHeight="1" x14ac:dyDescent="0.55000000000000004">
      <c r="A5645" s="18">
        <v>24.709648999999999</v>
      </c>
      <c r="B5645" s="18">
        <v>34.781291199999998</v>
      </c>
      <c r="C5645" s="18">
        <v>680188.71</v>
      </c>
      <c r="D5645" s="18">
        <v>2733969.34</v>
      </c>
      <c r="E5645" s="18">
        <v>447.13</v>
      </c>
      <c r="F5645" s="18">
        <v>41699.980000000003</v>
      </c>
      <c r="G5645" s="18">
        <v>103736</v>
      </c>
      <c r="H5645" s="18">
        <f t="shared" si="138"/>
        <v>41599.980000000003</v>
      </c>
      <c r="I5645" s="3"/>
    </row>
    <row r="5646" spans="1:9" s="4" customFormat="1" ht="20.25" customHeight="1" x14ac:dyDescent="0.55000000000000004">
      <c r="A5646" s="18">
        <v>24.709651000000001</v>
      </c>
      <c r="B5646" s="18">
        <v>34.781319199999999</v>
      </c>
      <c r="C5646" s="18">
        <v>680191.53</v>
      </c>
      <c r="D5646" s="18">
        <v>2733969.6</v>
      </c>
      <c r="E5646" s="18">
        <v>446.89</v>
      </c>
      <c r="F5646" s="18">
        <v>41702.26</v>
      </c>
      <c r="G5646" s="18">
        <v>103738</v>
      </c>
      <c r="H5646" s="18">
        <f t="shared" si="138"/>
        <v>41602.26</v>
      </c>
      <c r="I5646" s="3"/>
    </row>
    <row r="5647" spans="1:9" s="4" customFormat="1" ht="20.25" customHeight="1" x14ac:dyDescent="0.55000000000000004">
      <c r="A5647" s="18">
        <v>24.709650199999999</v>
      </c>
      <c r="B5647" s="18">
        <v>34.781348899999998</v>
      </c>
      <c r="C5647" s="18">
        <v>680194.55</v>
      </c>
      <c r="D5647" s="18">
        <v>2733969.55</v>
      </c>
      <c r="E5647" s="18">
        <v>446.71</v>
      </c>
      <c r="F5647" s="18">
        <v>41697.14</v>
      </c>
      <c r="G5647" s="18">
        <v>103740</v>
      </c>
      <c r="H5647" s="18">
        <f t="shared" si="138"/>
        <v>41597.14</v>
      </c>
      <c r="I5647" s="3"/>
    </row>
    <row r="5648" spans="1:9" s="4" customFormat="1" ht="20.25" customHeight="1" x14ac:dyDescent="0.55000000000000004">
      <c r="A5648" s="18">
        <v>24.709649299999999</v>
      </c>
      <c r="B5648" s="18">
        <v>34.781376999999999</v>
      </c>
      <c r="C5648" s="18">
        <v>680197.39</v>
      </c>
      <c r="D5648" s="18">
        <v>2733969.49</v>
      </c>
      <c r="E5648" s="18">
        <v>446.59</v>
      </c>
      <c r="F5648" s="18">
        <v>41703.15</v>
      </c>
      <c r="G5648" s="18">
        <v>103742</v>
      </c>
      <c r="H5648" s="18">
        <f t="shared" si="138"/>
        <v>41603.15</v>
      </c>
      <c r="I5648" s="3"/>
    </row>
    <row r="5649" spans="1:9" s="4" customFormat="1" ht="20.25" customHeight="1" x14ac:dyDescent="0.55000000000000004">
      <c r="A5649" s="18">
        <v>24.709642899999999</v>
      </c>
      <c r="B5649" s="18">
        <v>34.7814044</v>
      </c>
      <c r="C5649" s="18">
        <v>680200.17</v>
      </c>
      <c r="D5649" s="18">
        <v>2733968.81</v>
      </c>
      <c r="E5649" s="18">
        <v>446.6</v>
      </c>
      <c r="F5649" s="18">
        <v>41701.269999999997</v>
      </c>
      <c r="G5649" s="18">
        <v>103744</v>
      </c>
      <c r="H5649" s="18">
        <f t="shared" si="138"/>
        <v>41601.269999999997</v>
      </c>
      <c r="I5649" s="3"/>
    </row>
    <row r="5650" spans="1:9" s="4" customFormat="1" ht="20.25" customHeight="1" x14ac:dyDescent="0.55000000000000004">
      <c r="A5650" s="18">
        <v>24.709638300000002</v>
      </c>
      <c r="B5650" s="18">
        <v>34.781429500000002</v>
      </c>
      <c r="C5650" s="18">
        <v>680202.72</v>
      </c>
      <c r="D5650" s="18">
        <v>2733968.33</v>
      </c>
      <c r="E5650" s="18">
        <v>446.44</v>
      </c>
      <c r="F5650" s="18">
        <v>41702.379999999997</v>
      </c>
      <c r="G5650" s="18">
        <v>103746</v>
      </c>
      <c r="H5650" s="18">
        <f t="shared" si="138"/>
        <v>41602.379999999997</v>
      </c>
      <c r="I5650" s="3"/>
    </row>
    <row r="5651" spans="1:9" s="4" customFormat="1" ht="20.25" customHeight="1" x14ac:dyDescent="0.55000000000000004">
      <c r="A5651" s="18">
        <v>24.709632899999999</v>
      </c>
      <c r="B5651" s="18">
        <v>34.781455700000002</v>
      </c>
      <c r="C5651" s="18">
        <v>680205.37</v>
      </c>
      <c r="D5651" s="18">
        <v>2733967.77</v>
      </c>
      <c r="E5651" s="18">
        <v>446.43</v>
      </c>
      <c r="F5651" s="18">
        <v>41702.01</v>
      </c>
      <c r="G5651" s="18">
        <v>103748</v>
      </c>
      <c r="H5651" s="18">
        <f t="shared" si="138"/>
        <v>41602.01</v>
      </c>
      <c r="I5651" s="3"/>
    </row>
    <row r="5652" spans="1:9" s="4" customFormat="1" ht="20.25" customHeight="1" x14ac:dyDescent="0.55000000000000004">
      <c r="A5652" s="18">
        <v>24.709623700000002</v>
      </c>
      <c r="B5652" s="18">
        <v>34.781479599999997</v>
      </c>
      <c r="C5652" s="18">
        <v>680207.8</v>
      </c>
      <c r="D5652" s="18">
        <v>2733966.78</v>
      </c>
      <c r="E5652" s="18">
        <v>446.36</v>
      </c>
      <c r="F5652" s="18">
        <v>41701.300000000003</v>
      </c>
      <c r="G5652" s="18">
        <v>103750</v>
      </c>
      <c r="H5652" s="18">
        <f t="shared" si="138"/>
        <v>41601.300000000003</v>
      </c>
      <c r="I5652" s="3"/>
    </row>
    <row r="5653" spans="1:9" s="4" customFormat="1" ht="20.25" customHeight="1" x14ac:dyDescent="0.55000000000000004">
      <c r="A5653" s="18">
        <v>24.7096065</v>
      </c>
      <c r="B5653" s="18">
        <v>34.781500000000001</v>
      </c>
      <c r="C5653" s="18">
        <v>680209.89</v>
      </c>
      <c r="D5653" s="18">
        <v>2733964.91</v>
      </c>
      <c r="E5653" s="18">
        <v>446.24</v>
      </c>
      <c r="F5653" s="18">
        <v>41701.67</v>
      </c>
      <c r="G5653" s="18">
        <v>103752</v>
      </c>
      <c r="H5653" s="18">
        <f t="shared" si="138"/>
        <v>41601.67</v>
      </c>
      <c r="I5653" s="3"/>
    </row>
    <row r="5654" spans="1:9" s="4" customFormat="1" ht="20.25" customHeight="1" x14ac:dyDescent="0.55000000000000004">
      <c r="A5654" s="18">
        <v>24.709591400000001</v>
      </c>
      <c r="B5654" s="18">
        <v>34.781522500000001</v>
      </c>
      <c r="C5654" s="18">
        <v>680212.2</v>
      </c>
      <c r="D5654" s="18">
        <v>2733963.27</v>
      </c>
      <c r="E5654" s="18">
        <v>446.06</v>
      </c>
      <c r="F5654" s="18">
        <v>41703.94</v>
      </c>
      <c r="G5654" s="18">
        <v>103754</v>
      </c>
      <c r="H5654" s="18">
        <f t="shared" si="138"/>
        <v>41603.94</v>
      </c>
      <c r="I5654" s="3"/>
    </row>
    <row r="5655" spans="1:9" s="4" customFormat="1" ht="20.25" customHeight="1" x14ac:dyDescent="0.55000000000000004">
      <c r="A5655" s="18">
        <v>24.709574199999999</v>
      </c>
      <c r="B5655" s="18">
        <v>34.781544599999997</v>
      </c>
      <c r="C5655" s="18">
        <v>680214.45</v>
      </c>
      <c r="D5655" s="18">
        <v>2733961.39</v>
      </c>
      <c r="E5655" s="18">
        <v>446</v>
      </c>
      <c r="F5655" s="18">
        <v>41692.980000000003</v>
      </c>
      <c r="G5655" s="18">
        <v>103756</v>
      </c>
      <c r="H5655" s="18">
        <f t="shared" si="138"/>
        <v>41592.980000000003</v>
      </c>
      <c r="I5655" s="3"/>
    </row>
    <row r="5656" spans="1:9" s="4" customFormat="1" ht="20.25" customHeight="1" x14ac:dyDescent="0.55000000000000004">
      <c r="A5656" s="18">
        <v>24.7095521</v>
      </c>
      <c r="B5656" s="18">
        <v>34.781564899999999</v>
      </c>
      <c r="C5656" s="18">
        <v>680216.54</v>
      </c>
      <c r="D5656" s="18">
        <v>2733958.96</v>
      </c>
      <c r="E5656" s="18">
        <v>445.94</v>
      </c>
      <c r="F5656" s="18">
        <v>41691.94</v>
      </c>
      <c r="G5656" s="18">
        <v>103758</v>
      </c>
      <c r="H5656" s="18">
        <f t="shared" si="138"/>
        <v>41591.94</v>
      </c>
      <c r="I5656" s="3"/>
    </row>
    <row r="5657" spans="1:9" s="4" customFormat="1" ht="20.25" customHeight="1" x14ac:dyDescent="0.55000000000000004">
      <c r="A5657" s="18">
        <v>24.709528899999999</v>
      </c>
      <c r="B5657" s="18">
        <v>34.781579299999997</v>
      </c>
      <c r="C5657" s="18">
        <v>680218.03</v>
      </c>
      <c r="D5657" s="18">
        <v>2733956.42</v>
      </c>
      <c r="E5657" s="18">
        <v>446.07</v>
      </c>
      <c r="F5657" s="18">
        <v>41694.5</v>
      </c>
      <c r="G5657" s="18">
        <v>103800</v>
      </c>
      <c r="H5657" s="18">
        <f t="shared" si="138"/>
        <v>41594.5</v>
      </c>
      <c r="I5657" s="3"/>
    </row>
    <row r="5658" spans="1:9" s="4" customFormat="1" ht="20.25" customHeight="1" x14ac:dyDescent="0.55000000000000004">
      <c r="A5658" s="18">
        <v>24.709505199999999</v>
      </c>
      <c r="B5658" s="18">
        <v>34.781592600000003</v>
      </c>
      <c r="C5658" s="18">
        <v>680219.41</v>
      </c>
      <c r="D5658" s="18">
        <v>2733953.81</v>
      </c>
      <c r="E5658" s="18">
        <v>446.05</v>
      </c>
      <c r="F5658" s="18">
        <v>41703.480000000003</v>
      </c>
      <c r="G5658" s="18">
        <v>103802</v>
      </c>
      <c r="H5658" s="18">
        <f t="shared" si="138"/>
        <v>41603.480000000003</v>
      </c>
      <c r="I5658" s="3"/>
    </row>
    <row r="5659" spans="1:9" s="4" customFormat="1" ht="20.25" customHeight="1" x14ac:dyDescent="0.55000000000000004">
      <c r="A5659" s="18">
        <v>24.709480200000002</v>
      </c>
      <c r="B5659" s="18">
        <v>34.781601999999999</v>
      </c>
      <c r="C5659" s="18">
        <v>680220.4</v>
      </c>
      <c r="D5659" s="18">
        <v>2733951.05</v>
      </c>
      <c r="E5659" s="18">
        <v>445.92</v>
      </c>
      <c r="F5659" s="18">
        <v>41695.300000000003</v>
      </c>
      <c r="G5659" s="18">
        <v>103804</v>
      </c>
      <c r="H5659" s="18">
        <f t="shared" si="138"/>
        <v>41595.300000000003</v>
      </c>
      <c r="I5659" s="3"/>
    </row>
    <row r="5660" spans="1:9" s="4" customFormat="1" ht="20.25" customHeight="1" x14ac:dyDescent="0.55000000000000004">
      <c r="A5660" s="18">
        <v>24.709453199999999</v>
      </c>
      <c r="B5660" s="18">
        <v>34.781608200000001</v>
      </c>
      <c r="C5660" s="18">
        <v>680221.06</v>
      </c>
      <c r="D5660" s="18">
        <v>2733948.07</v>
      </c>
      <c r="E5660" s="18">
        <v>445.8</v>
      </c>
      <c r="F5660" s="18">
        <v>41696.61</v>
      </c>
      <c r="G5660" s="18">
        <v>103806</v>
      </c>
      <c r="H5660" s="18">
        <f t="shared" si="138"/>
        <v>41596.61</v>
      </c>
      <c r="I5660" s="3"/>
    </row>
    <row r="5661" spans="1:9" s="4" customFormat="1" ht="20.25" customHeight="1" x14ac:dyDescent="0.55000000000000004">
      <c r="A5661" s="18">
        <v>24.709426700000002</v>
      </c>
      <c r="B5661" s="18">
        <v>34.781609099999997</v>
      </c>
      <c r="C5661" s="18">
        <v>680221.19</v>
      </c>
      <c r="D5661" s="18">
        <v>2733945.14</v>
      </c>
      <c r="E5661" s="18">
        <v>445.63</v>
      </c>
      <c r="F5661" s="18">
        <v>41699.85</v>
      </c>
      <c r="G5661" s="18">
        <v>103808</v>
      </c>
      <c r="H5661" s="18">
        <f t="shared" si="138"/>
        <v>41599.85</v>
      </c>
      <c r="I5661" s="3"/>
    </row>
    <row r="5662" spans="1:9" s="4" customFormat="1" ht="20.25" customHeight="1" x14ac:dyDescent="0.55000000000000004">
      <c r="A5662" s="18">
        <v>24.709401</v>
      </c>
      <c r="B5662" s="18">
        <v>34.7816136</v>
      </c>
      <c r="C5662" s="18">
        <v>680221.68</v>
      </c>
      <c r="D5662" s="18">
        <v>2733942.3</v>
      </c>
      <c r="E5662" s="18">
        <v>445.55</v>
      </c>
      <c r="F5662" s="18">
        <v>41699.599999999999</v>
      </c>
      <c r="G5662" s="18">
        <v>103810</v>
      </c>
      <c r="H5662" s="18">
        <f t="shared" ref="H5662:H5725" si="139">SUM(F5662-100)</f>
        <v>41599.599999999999</v>
      </c>
      <c r="I5662" s="3"/>
    </row>
    <row r="5663" spans="1:9" s="4" customFormat="1" ht="20.25" customHeight="1" x14ac:dyDescent="0.55000000000000004">
      <c r="A5663" s="18">
        <v>24.709376599999999</v>
      </c>
      <c r="B5663" s="18">
        <v>34.781613100000001</v>
      </c>
      <c r="C5663" s="18">
        <v>680221.67</v>
      </c>
      <c r="D5663" s="18">
        <v>2733939.59</v>
      </c>
      <c r="E5663" s="18">
        <v>445.42</v>
      </c>
      <c r="F5663" s="18">
        <v>41703.46</v>
      </c>
      <c r="G5663" s="18">
        <v>103812</v>
      </c>
      <c r="H5663" s="18">
        <f t="shared" si="139"/>
        <v>41603.46</v>
      </c>
      <c r="I5663" s="3"/>
    </row>
    <row r="5664" spans="1:9" s="4" customFormat="1" ht="20.25" customHeight="1" x14ac:dyDescent="0.55000000000000004">
      <c r="A5664" s="18">
        <v>24.709350199999999</v>
      </c>
      <c r="B5664" s="18">
        <v>34.781610000000001</v>
      </c>
      <c r="C5664" s="18">
        <v>680221.4</v>
      </c>
      <c r="D5664" s="18">
        <v>2733936.67</v>
      </c>
      <c r="E5664" s="18">
        <v>445.28</v>
      </c>
      <c r="F5664" s="18">
        <v>41697.599999999999</v>
      </c>
      <c r="G5664" s="18">
        <v>103814</v>
      </c>
      <c r="H5664" s="18">
        <f t="shared" si="139"/>
        <v>41597.599999999999</v>
      </c>
      <c r="I5664" s="3"/>
    </row>
    <row r="5665" spans="1:9" s="4" customFormat="1" ht="20.25" customHeight="1" x14ac:dyDescent="0.55000000000000004">
      <c r="A5665" s="18">
        <v>24.7093232</v>
      </c>
      <c r="B5665" s="18">
        <v>34.7816081</v>
      </c>
      <c r="C5665" s="18">
        <v>680221.24</v>
      </c>
      <c r="D5665" s="18">
        <v>2733933.67</v>
      </c>
      <c r="E5665" s="18">
        <v>445.23</v>
      </c>
      <c r="F5665" s="18">
        <v>41696.28</v>
      </c>
      <c r="G5665" s="18">
        <v>103816</v>
      </c>
      <c r="H5665" s="18">
        <f t="shared" si="139"/>
        <v>41596.28</v>
      </c>
      <c r="I5665" s="3"/>
    </row>
    <row r="5666" spans="1:9" s="4" customFormat="1" ht="20.25" customHeight="1" x14ac:dyDescent="0.55000000000000004">
      <c r="A5666" s="18">
        <v>24.709296599999998</v>
      </c>
      <c r="B5666" s="18">
        <v>34.781607800000003</v>
      </c>
      <c r="C5666" s="18">
        <v>680221.25</v>
      </c>
      <c r="D5666" s="18">
        <v>2733930.73</v>
      </c>
      <c r="E5666" s="18">
        <v>445.17</v>
      </c>
      <c r="F5666" s="18">
        <v>41695.699999999997</v>
      </c>
      <c r="G5666" s="18">
        <v>103818</v>
      </c>
      <c r="H5666" s="18">
        <f t="shared" si="139"/>
        <v>41595.699999999997</v>
      </c>
      <c r="I5666" s="3"/>
    </row>
    <row r="5667" spans="1:9" s="4" customFormat="1" ht="20.25" customHeight="1" x14ac:dyDescent="0.55000000000000004">
      <c r="A5667" s="18">
        <v>24.7092688</v>
      </c>
      <c r="B5667" s="18">
        <v>34.781605599999999</v>
      </c>
      <c r="C5667" s="18">
        <v>680221.06</v>
      </c>
      <c r="D5667" s="18">
        <v>2733927.64</v>
      </c>
      <c r="E5667" s="18">
        <v>445.06</v>
      </c>
      <c r="F5667" s="18">
        <v>41697.730000000003</v>
      </c>
      <c r="G5667" s="18">
        <v>103820</v>
      </c>
      <c r="H5667" s="18">
        <f t="shared" si="139"/>
        <v>41597.730000000003</v>
      </c>
      <c r="I5667" s="3"/>
    </row>
    <row r="5668" spans="1:9" s="4" customFormat="1" ht="20.25" customHeight="1" x14ac:dyDescent="0.55000000000000004">
      <c r="A5668" s="18">
        <v>24.7092408</v>
      </c>
      <c r="B5668" s="18">
        <v>34.7816002</v>
      </c>
      <c r="C5668" s="18">
        <v>680220.56</v>
      </c>
      <c r="D5668" s="18">
        <v>2733924.54</v>
      </c>
      <c r="E5668" s="18">
        <v>445.05</v>
      </c>
      <c r="F5668" s="18">
        <v>41695.519999999997</v>
      </c>
      <c r="G5668" s="18">
        <v>103822</v>
      </c>
      <c r="H5668" s="18">
        <f t="shared" si="139"/>
        <v>41595.519999999997</v>
      </c>
      <c r="I5668" s="3"/>
    </row>
    <row r="5669" spans="1:9" s="4" customFormat="1" ht="20.25" customHeight="1" x14ac:dyDescent="0.55000000000000004">
      <c r="A5669" s="18">
        <v>24.709215799999999</v>
      </c>
      <c r="B5669" s="18">
        <v>34.781596100000002</v>
      </c>
      <c r="C5669" s="18">
        <v>680220.18</v>
      </c>
      <c r="D5669" s="18">
        <v>2733921.76</v>
      </c>
      <c r="E5669" s="18">
        <v>445</v>
      </c>
      <c r="F5669" s="18">
        <v>41696.339999999997</v>
      </c>
      <c r="G5669" s="18">
        <v>103824</v>
      </c>
      <c r="H5669" s="18">
        <f t="shared" si="139"/>
        <v>41596.339999999997</v>
      </c>
      <c r="I5669" s="3"/>
    </row>
    <row r="5670" spans="1:9" s="4" customFormat="1" ht="20.25" customHeight="1" x14ac:dyDescent="0.55000000000000004">
      <c r="A5670" s="18">
        <v>24.709189200000001</v>
      </c>
      <c r="B5670" s="18">
        <v>34.781590399999999</v>
      </c>
      <c r="C5670" s="18">
        <v>680219.64</v>
      </c>
      <c r="D5670" s="18">
        <v>2733918.81</v>
      </c>
      <c r="E5670" s="18">
        <v>444.83</v>
      </c>
      <c r="F5670" s="18">
        <v>41695.17</v>
      </c>
      <c r="G5670" s="18">
        <v>103826</v>
      </c>
      <c r="H5670" s="18">
        <f t="shared" si="139"/>
        <v>41595.17</v>
      </c>
      <c r="I5670" s="3"/>
    </row>
    <row r="5671" spans="1:9" s="4" customFormat="1" ht="20.25" customHeight="1" x14ac:dyDescent="0.55000000000000004">
      <c r="A5671" s="18">
        <v>24.7091621</v>
      </c>
      <c r="B5671" s="18">
        <v>34.781588599999999</v>
      </c>
      <c r="C5671" s="18">
        <v>680219.5</v>
      </c>
      <c r="D5671" s="18">
        <v>2733915.8</v>
      </c>
      <c r="E5671" s="18">
        <v>444.66</v>
      </c>
      <c r="F5671" s="18">
        <v>41694.85</v>
      </c>
      <c r="G5671" s="18">
        <v>103828</v>
      </c>
      <c r="H5671" s="18">
        <f t="shared" si="139"/>
        <v>41594.85</v>
      </c>
      <c r="I5671" s="3"/>
    </row>
    <row r="5672" spans="1:9" s="4" customFormat="1" ht="20.25" customHeight="1" x14ac:dyDescent="0.55000000000000004">
      <c r="A5672" s="18">
        <v>24.7091365</v>
      </c>
      <c r="B5672" s="18">
        <v>34.781584600000002</v>
      </c>
      <c r="C5672" s="18">
        <v>680219.13</v>
      </c>
      <c r="D5672" s="18">
        <v>2733912.97</v>
      </c>
      <c r="E5672" s="18">
        <v>444.53</v>
      </c>
      <c r="F5672" s="18">
        <v>41696.870000000003</v>
      </c>
      <c r="G5672" s="18">
        <v>103830</v>
      </c>
      <c r="H5672" s="18">
        <f t="shared" si="139"/>
        <v>41596.870000000003</v>
      </c>
      <c r="I5672" s="3"/>
    </row>
    <row r="5673" spans="1:9" s="4" customFormat="1" ht="20.25" customHeight="1" x14ac:dyDescent="0.55000000000000004">
      <c r="A5673" s="18">
        <v>24.709110299999999</v>
      </c>
      <c r="B5673" s="18">
        <v>34.781576100000002</v>
      </c>
      <c r="C5673" s="18">
        <v>680218.31</v>
      </c>
      <c r="D5673" s="18">
        <v>2733910.05</v>
      </c>
      <c r="E5673" s="18">
        <v>444.29</v>
      </c>
      <c r="F5673" s="18">
        <v>41704.400000000001</v>
      </c>
      <c r="G5673" s="18">
        <v>103832</v>
      </c>
      <c r="H5673" s="18">
        <f t="shared" si="139"/>
        <v>41604.400000000001</v>
      </c>
      <c r="I5673" s="3"/>
    </row>
    <row r="5674" spans="1:9" s="4" customFormat="1" ht="20.25" customHeight="1" x14ac:dyDescent="0.55000000000000004">
      <c r="A5674" s="18">
        <v>24.709083</v>
      </c>
      <c r="B5674" s="18">
        <v>34.781571900000003</v>
      </c>
      <c r="C5674" s="18">
        <v>680217.93</v>
      </c>
      <c r="D5674" s="18">
        <v>2733907.01</v>
      </c>
      <c r="E5674" s="18">
        <v>444.16</v>
      </c>
      <c r="F5674" s="18">
        <v>41694.21</v>
      </c>
      <c r="G5674" s="18">
        <v>103834</v>
      </c>
      <c r="H5674" s="18">
        <f t="shared" si="139"/>
        <v>41594.21</v>
      </c>
      <c r="I5674" s="3"/>
    </row>
    <row r="5675" spans="1:9" s="4" customFormat="1" ht="20.25" customHeight="1" x14ac:dyDescent="0.55000000000000004">
      <c r="A5675" s="18">
        <v>24.709056400000001</v>
      </c>
      <c r="B5675" s="18">
        <v>34.781566499999997</v>
      </c>
      <c r="C5675" s="18">
        <v>680217.42</v>
      </c>
      <c r="D5675" s="18">
        <v>2733904.07</v>
      </c>
      <c r="E5675" s="18">
        <v>444.17</v>
      </c>
      <c r="F5675" s="18">
        <v>41697.49</v>
      </c>
      <c r="G5675" s="18">
        <v>103836</v>
      </c>
      <c r="H5675" s="18">
        <f t="shared" si="139"/>
        <v>41597.49</v>
      </c>
      <c r="I5675" s="3"/>
    </row>
    <row r="5676" spans="1:9" s="4" customFormat="1" ht="20.25" customHeight="1" x14ac:dyDescent="0.55000000000000004">
      <c r="A5676" s="18">
        <v>24.709031</v>
      </c>
      <c r="B5676" s="18">
        <v>34.781557999999997</v>
      </c>
      <c r="C5676" s="18">
        <v>680216.6</v>
      </c>
      <c r="D5676" s="18">
        <v>2733901.24</v>
      </c>
      <c r="E5676" s="18">
        <v>444.13</v>
      </c>
      <c r="F5676" s="18">
        <v>41687.67</v>
      </c>
      <c r="G5676" s="18">
        <v>103838</v>
      </c>
      <c r="H5676" s="18">
        <f t="shared" si="139"/>
        <v>41587.67</v>
      </c>
      <c r="I5676" s="3"/>
    </row>
    <row r="5677" spans="1:9" s="4" customFormat="1" ht="20.25" customHeight="1" x14ac:dyDescent="0.55000000000000004">
      <c r="A5677" s="18">
        <v>24.709006200000001</v>
      </c>
      <c r="B5677" s="18">
        <v>34.781549900000002</v>
      </c>
      <c r="C5677" s="18">
        <v>680215.8</v>
      </c>
      <c r="D5677" s="18">
        <v>2733898.48</v>
      </c>
      <c r="E5677" s="18">
        <v>444.09</v>
      </c>
      <c r="F5677" s="18">
        <v>41692.65</v>
      </c>
      <c r="G5677" s="18">
        <v>103840</v>
      </c>
      <c r="H5677" s="18">
        <f t="shared" si="139"/>
        <v>41592.65</v>
      </c>
      <c r="I5677" s="3"/>
    </row>
    <row r="5678" spans="1:9" s="4" customFormat="1" ht="20.25" customHeight="1" x14ac:dyDescent="0.55000000000000004">
      <c r="A5678" s="18">
        <v>24.7089818</v>
      </c>
      <c r="B5678" s="18">
        <v>34.781543499999998</v>
      </c>
      <c r="C5678" s="18">
        <v>680215.19</v>
      </c>
      <c r="D5678" s="18">
        <v>2733895.77</v>
      </c>
      <c r="E5678" s="18">
        <v>443.99</v>
      </c>
      <c r="F5678" s="18">
        <v>41693.42</v>
      </c>
      <c r="G5678" s="18">
        <v>103842</v>
      </c>
      <c r="H5678" s="18">
        <f t="shared" si="139"/>
        <v>41593.42</v>
      </c>
      <c r="I5678" s="3"/>
    </row>
    <row r="5679" spans="1:9" s="4" customFormat="1" ht="20.25" customHeight="1" x14ac:dyDescent="0.55000000000000004">
      <c r="A5679" s="18">
        <v>24.708958200000001</v>
      </c>
      <c r="B5679" s="18">
        <v>34.7815406</v>
      </c>
      <c r="C5679" s="18">
        <v>680214.94</v>
      </c>
      <c r="D5679" s="18">
        <v>2733893.15</v>
      </c>
      <c r="E5679" s="18">
        <v>443.92</v>
      </c>
      <c r="F5679" s="18">
        <v>41695.46</v>
      </c>
      <c r="G5679" s="18">
        <v>103844</v>
      </c>
      <c r="H5679" s="18">
        <f t="shared" si="139"/>
        <v>41595.46</v>
      </c>
      <c r="I5679" s="3"/>
    </row>
    <row r="5680" spans="1:9" s="4" customFormat="1" ht="20.25" customHeight="1" x14ac:dyDescent="0.55000000000000004">
      <c r="A5680" s="18">
        <v>24.708933600000002</v>
      </c>
      <c r="B5680" s="18">
        <v>34.781540100000001</v>
      </c>
      <c r="C5680" s="18">
        <v>680214.92</v>
      </c>
      <c r="D5680" s="18">
        <v>2733890.43</v>
      </c>
      <c r="E5680" s="18">
        <v>443.94</v>
      </c>
      <c r="F5680" s="18">
        <v>41694.870000000003</v>
      </c>
      <c r="G5680" s="18">
        <v>103846</v>
      </c>
      <c r="H5680" s="18">
        <f t="shared" si="139"/>
        <v>41594.870000000003</v>
      </c>
      <c r="I5680" s="3"/>
    </row>
    <row r="5681" spans="1:9" s="4" customFormat="1" ht="20.25" customHeight="1" x14ac:dyDescent="0.55000000000000004">
      <c r="A5681" s="18">
        <v>24.708908999999998</v>
      </c>
      <c r="B5681" s="18">
        <v>34.781543200000002</v>
      </c>
      <c r="C5681" s="18">
        <v>680215.27</v>
      </c>
      <c r="D5681" s="18">
        <v>2733887.7</v>
      </c>
      <c r="E5681" s="18">
        <v>443.94</v>
      </c>
      <c r="F5681" s="18">
        <v>41694.01</v>
      </c>
      <c r="G5681" s="18">
        <v>103848</v>
      </c>
      <c r="H5681" s="18">
        <f t="shared" si="139"/>
        <v>41594.01</v>
      </c>
      <c r="I5681" s="3"/>
    </row>
    <row r="5682" spans="1:9" s="4" customFormat="1" ht="20.25" customHeight="1" x14ac:dyDescent="0.55000000000000004">
      <c r="A5682" s="18">
        <v>24.7088827</v>
      </c>
      <c r="B5682" s="18">
        <v>34.7815394</v>
      </c>
      <c r="C5682" s="18">
        <v>680214.93</v>
      </c>
      <c r="D5682" s="18">
        <v>2733884.79</v>
      </c>
      <c r="E5682" s="18">
        <v>443.9</v>
      </c>
      <c r="F5682" s="18">
        <v>41695.61</v>
      </c>
      <c r="G5682" s="18">
        <v>103850</v>
      </c>
      <c r="H5682" s="18">
        <f t="shared" si="139"/>
        <v>41595.61</v>
      </c>
      <c r="I5682" s="3"/>
    </row>
    <row r="5683" spans="1:9" s="4" customFormat="1" ht="20.25" customHeight="1" x14ac:dyDescent="0.55000000000000004">
      <c r="A5683" s="18">
        <v>24.708857299999998</v>
      </c>
      <c r="B5683" s="18">
        <v>34.781532499999997</v>
      </c>
      <c r="C5683" s="18">
        <v>680214.26</v>
      </c>
      <c r="D5683" s="18">
        <v>2733881.97</v>
      </c>
      <c r="E5683" s="18">
        <v>443.83</v>
      </c>
      <c r="F5683" s="18">
        <v>41694.25</v>
      </c>
      <c r="G5683" s="18">
        <v>103852</v>
      </c>
      <c r="H5683" s="18">
        <f t="shared" si="139"/>
        <v>41594.25</v>
      </c>
      <c r="I5683" s="3"/>
    </row>
    <row r="5684" spans="1:9" s="4" customFormat="1" ht="20.25" customHeight="1" x14ac:dyDescent="0.55000000000000004">
      <c r="A5684" s="18">
        <v>24.708833899999998</v>
      </c>
      <c r="B5684" s="18">
        <v>34.78152</v>
      </c>
      <c r="C5684" s="18">
        <v>680213.03</v>
      </c>
      <c r="D5684" s="18">
        <v>2733879.36</v>
      </c>
      <c r="E5684" s="18">
        <v>443.77</v>
      </c>
      <c r="F5684" s="18">
        <v>41696.22</v>
      </c>
      <c r="G5684" s="18">
        <v>103854</v>
      </c>
      <c r="H5684" s="18">
        <f t="shared" si="139"/>
        <v>41596.22</v>
      </c>
      <c r="I5684" s="3"/>
    </row>
    <row r="5685" spans="1:9" s="4" customFormat="1" ht="20.25" customHeight="1" x14ac:dyDescent="0.55000000000000004">
      <c r="A5685" s="18">
        <v>24.708809500000001</v>
      </c>
      <c r="B5685" s="18">
        <v>34.781511199999997</v>
      </c>
      <c r="C5685" s="18">
        <v>680212.18</v>
      </c>
      <c r="D5685" s="18">
        <v>2733876.65</v>
      </c>
      <c r="E5685" s="18">
        <v>443.75</v>
      </c>
      <c r="F5685" s="18">
        <v>41695.629999999997</v>
      </c>
      <c r="G5685" s="18">
        <v>103856</v>
      </c>
      <c r="H5685" s="18">
        <f t="shared" si="139"/>
        <v>41595.629999999997</v>
      </c>
      <c r="I5685" s="3"/>
    </row>
    <row r="5686" spans="1:9" s="4" customFormat="1" ht="20.25" customHeight="1" x14ac:dyDescent="0.55000000000000004">
      <c r="A5686" s="18">
        <v>24.708784399999999</v>
      </c>
      <c r="B5686" s="18">
        <v>34.781514700000002</v>
      </c>
      <c r="C5686" s="18">
        <v>680212.57</v>
      </c>
      <c r="D5686" s="18">
        <v>2733873.87</v>
      </c>
      <c r="E5686" s="18">
        <v>443.68</v>
      </c>
      <c r="F5686" s="18">
        <v>41696.69</v>
      </c>
      <c r="G5686" s="18">
        <v>103858</v>
      </c>
      <c r="H5686" s="18">
        <f t="shared" si="139"/>
        <v>41596.69</v>
      </c>
      <c r="I5686" s="3"/>
    </row>
    <row r="5687" spans="1:9" s="4" customFormat="1" ht="20.25" customHeight="1" x14ac:dyDescent="0.55000000000000004">
      <c r="A5687" s="18">
        <v>24.708765100000001</v>
      </c>
      <c r="B5687" s="18">
        <v>34.781529399999997</v>
      </c>
      <c r="C5687" s="18">
        <v>680214.08</v>
      </c>
      <c r="D5687" s="18">
        <v>2733871.75</v>
      </c>
      <c r="E5687" s="18">
        <v>443.66</v>
      </c>
      <c r="F5687" s="18">
        <v>41705.9</v>
      </c>
      <c r="G5687" s="18">
        <v>103900</v>
      </c>
      <c r="H5687" s="18">
        <f t="shared" si="139"/>
        <v>41605.9</v>
      </c>
      <c r="I5687" s="3"/>
    </row>
    <row r="5688" spans="1:9" s="4" customFormat="1" ht="20.25" customHeight="1" x14ac:dyDescent="0.55000000000000004">
      <c r="A5688" s="18">
        <v>24.708741400000001</v>
      </c>
      <c r="B5688" s="18">
        <v>34.781535699999999</v>
      </c>
      <c r="C5688" s="18">
        <v>680214.76</v>
      </c>
      <c r="D5688" s="18">
        <v>2733869.13</v>
      </c>
      <c r="E5688" s="18">
        <v>443.68</v>
      </c>
      <c r="F5688" s="18">
        <v>41707.360000000001</v>
      </c>
      <c r="G5688" s="18">
        <v>103902</v>
      </c>
      <c r="H5688" s="18">
        <f t="shared" si="139"/>
        <v>41607.360000000001</v>
      </c>
      <c r="I5688" s="3"/>
    </row>
    <row r="5689" spans="1:9" s="4" customFormat="1" ht="20.25" customHeight="1" x14ac:dyDescent="0.55000000000000004">
      <c r="A5689" s="18">
        <v>24.708717799999999</v>
      </c>
      <c r="B5689" s="18">
        <v>34.781541900000001</v>
      </c>
      <c r="C5689" s="18">
        <v>680215.42</v>
      </c>
      <c r="D5689" s="18">
        <v>2733866.53</v>
      </c>
      <c r="E5689" s="18">
        <v>443.81</v>
      </c>
      <c r="F5689" s="18">
        <v>41693.629999999997</v>
      </c>
      <c r="G5689" s="18">
        <v>103904</v>
      </c>
      <c r="H5689" s="18">
        <f t="shared" si="139"/>
        <v>41593.629999999997</v>
      </c>
      <c r="I5689" s="3"/>
    </row>
    <row r="5690" spans="1:9" s="4" customFormat="1" ht="20.25" customHeight="1" x14ac:dyDescent="0.55000000000000004">
      <c r="A5690" s="18">
        <v>24.708694000000001</v>
      </c>
      <c r="B5690" s="18">
        <v>34.781552699999999</v>
      </c>
      <c r="C5690" s="18">
        <v>680216.54</v>
      </c>
      <c r="D5690" s="18">
        <v>2733863.9</v>
      </c>
      <c r="E5690" s="18">
        <v>443.73</v>
      </c>
      <c r="F5690" s="18">
        <v>41697.24</v>
      </c>
      <c r="G5690" s="18">
        <v>103906</v>
      </c>
      <c r="H5690" s="18">
        <f t="shared" si="139"/>
        <v>41597.24</v>
      </c>
      <c r="I5690" s="3"/>
    </row>
    <row r="5691" spans="1:9" s="4" customFormat="1" ht="20.25" customHeight="1" x14ac:dyDescent="0.55000000000000004">
      <c r="A5691" s="18">
        <v>24.708670000000001</v>
      </c>
      <c r="B5691" s="18">
        <v>34.781563599999998</v>
      </c>
      <c r="C5691" s="18">
        <v>680217.67</v>
      </c>
      <c r="D5691" s="18">
        <v>2733861.27</v>
      </c>
      <c r="E5691" s="18">
        <v>443.59</v>
      </c>
      <c r="F5691" s="18">
        <v>41699.97</v>
      </c>
      <c r="G5691" s="18">
        <v>103908</v>
      </c>
      <c r="H5691" s="18">
        <f t="shared" si="139"/>
        <v>41599.97</v>
      </c>
      <c r="I5691" s="3"/>
    </row>
    <row r="5692" spans="1:9" s="4" customFormat="1" ht="20.25" customHeight="1" x14ac:dyDescent="0.55000000000000004">
      <c r="A5692" s="18">
        <v>24.708646999999999</v>
      </c>
      <c r="B5692" s="18">
        <v>34.781574800000001</v>
      </c>
      <c r="C5692" s="18">
        <v>680218.84</v>
      </c>
      <c r="D5692" s="18">
        <v>2733858.73</v>
      </c>
      <c r="E5692" s="18">
        <v>443.38</v>
      </c>
      <c r="F5692" s="18">
        <v>41698.81</v>
      </c>
      <c r="G5692" s="18">
        <v>103910</v>
      </c>
      <c r="H5692" s="18">
        <f t="shared" si="139"/>
        <v>41598.81</v>
      </c>
      <c r="I5692" s="3"/>
    </row>
    <row r="5693" spans="1:9" s="4" customFormat="1" ht="20.25" customHeight="1" x14ac:dyDescent="0.55000000000000004">
      <c r="A5693" s="18">
        <v>24.708624400000001</v>
      </c>
      <c r="B5693" s="18">
        <v>34.781590700000002</v>
      </c>
      <c r="C5693" s="18">
        <v>680220.49</v>
      </c>
      <c r="D5693" s="18">
        <v>2733856.25</v>
      </c>
      <c r="E5693" s="18">
        <v>443.18</v>
      </c>
      <c r="F5693" s="18">
        <v>41700.339999999997</v>
      </c>
      <c r="G5693" s="18">
        <v>103912</v>
      </c>
      <c r="H5693" s="18">
        <f t="shared" si="139"/>
        <v>41600.339999999997</v>
      </c>
      <c r="I5693" s="3"/>
    </row>
    <row r="5694" spans="1:9" s="4" customFormat="1" ht="20.25" customHeight="1" x14ac:dyDescent="0.55000000000000004">
      <c r="A5694" s="18">
        <v>24.708603700000001</v>
      </c>
      <c r="B5694" s="18">
        <v>34.781610200000003</v>
      </c>
      <c r="C5694" s="18">
        <v>680222.49</v>
      </c>
      <c r="D5694" s="18">
        <v>2733853.99</v>
      </c>
      <c r="E5694" s="18">
        <v>442.79</v>
      </c>
      <c r="F5694" s="18">
        <v>41698.47</v>
      </c>
      <c r="G5694" s="18">
        <v>103914</v>
      </c>
      <c r="H5694" s="18">
        <f t="shared" si="139"/>
        <v>41598.47</v>
      </c>
      <c r="I5694" s="3"/>
    </row>
    <row r="5695" spans="1:9" s="4" customFormat="1" ht="20.25" customHeight="1" x14ac:dyDescent="0.55000000000000004">
      <c r="A5695" s="18">
        <v>24.708582700000001</v>
      </c>
      <c r="B5695" s="18">
        <v>34.781629000000002</v>
      </c>
      <c r="C5695" s="18">
        <v>680224.42</v>
      </c>
      <c r="D5695" s="18">
        <v>2733851.68</v>
      </c>
      <c r="E5695" s="18">
        <v>442.64</v>
      </c>
      <c r="F5695" s="18">
        <v>41700.43</v>
      </c>
      <c r="G5695" s="18">
        <v>103916</v>
      </c>
      <c r="H5695" s="18">
        <f t="shared" si="139"/>
        <v>41600.43</v>
      </c>
      <c r="I5695" s="3"/>
    </row>
    <row r="5696" spans="1:9" s="4" customFormat="1" ht="20.25" customHeight="1" x14ac:dyDescent="0.55000000000000004">
      <c r="A5696" s="18">
        <v>24.708561599999999</v>
      </c>
      <c r="B5696" s="18">
        <v>34.781646799999997</v>
      </c>
      <c r="C5696" s="18">
        <v>680226.25</v>
      </c>
      <c r="D5696" s="18">
        <v>2733849.36</v>
      </c>
      <c r="E5696" s="18">
        <v>442.51</v>
      </c>
      <c r="F5696" s="18">
        <v>41697.75</v>
      </c>
      <c r="G5696" s="18">
        <v>103918</v>
      </c>
      <c r="H5696" s="18">
        <f t="shared" si="139"/>
        <v>41597.75</v>
      </c>
      <c r="I5696" s="3"/>
    </row>
    <row r="5697" spans="1:9" s="4" customFormat="1" ht="20.25" customHeight="1" x14ac:dyDescent="0.55000000000000004">
      <c r="A5697" s="18">
        <v>24.7085425</v>
      </c>
      <c r="B5697" s="18">
        <v>34.781663999999999</v>
      </c>
      <c r="C5697" s="18">
        <v>680228.02</v>
      </c>
      <c r="D5697" s="18">
        <v>2733847.27</v>
      </c>
      <c r="E5697" s="18">
        <v>442.42</v>
      </c>
      <c r="F5697" s="18">
        <v>41701.279999999999</v>
      </c>
      <c r="G5697" s="18">
        <v>103920</v>
      </c>
      <c r="H5697" s="18">
        <f t="shared" si="139"/>
        <v>41601.279999999999</v>
      </c>
      <c r="I5697" s="3"/>
    </row>
    <row r="5698" spans="1:9" s="4" customFormat="1" ht="20.25" customHeight="1" x14ac:dyDescent="0.55000000000000004">
      <c r="A5698" s="18">
        <v>24.708524600000001</v>
      </c>
      <c r="B5698" s="18">
        <v>34.781680999999999</v>
      </c>
      <c r="C5698" s="18">
        <v>680229.76</v>
      </c>
      <c r="D5698" s="18">
        <v>2733845.31</v>
      </c>
      <c r="E5698" s="18">
        <v>442.27</v>
      </c>
      <c r="F5698" s="18">
        <v>41704.9</v>
      </c>
      <c r="G5698" s="18">
        <v>103922</v>
      </c>
      <c r="H5698" s="18">
        <f t="shared" si="139"/>
        <v>41604.9</v>
      </c>
      <c r="I5698" s="3"/>
    </row>
    <row r="5699" spans="1:9" s="4" customFormat="1" ht="20.25" customHeight="1" x14ac:dyDescent="0.55000000000000004">
      <c r="A5699" s="18">
        <v>24.708506700000001</v>
      </c>
      <c r="B5699" s="18">
        <v>34.781699699999997</v>
      </c>
      <c r="C5699" s="18">
        <v>680231.68</v>
      </c>
      <c r="D5699" s="18">
        <v>2733843.35</v>
      </c>
      <c r="E5699" s="18">
        <v>442.12</v>
      </c>
      <c r="F5699" s="18">
        <v>41697.47</v>
      </c>
      <c r="G5699" s="18">
        <v>103924</v>
      </c>
      <c r="H5699" s="18">
        <f t="shared" si="139"/>
        <v>41597.47</v>
      </c>
      <c r="I5699" s="3"/>
    </row>
    <row r="5700" spans="1:9" s="4" customFormat="1" ht="20.25" customHeight="1" x14ac:dyDescent="0.55000000000000004">
      <c r="A5700" s="18">
        <v>24.708490300000001</v>
      </c>
      <c r="B5700" s="18">
        <v>34.781720200000002</v>
      </c>
      <c r="C5700" s="18">
        <v>680233.78</v>
      </c>
      <c r="D5700" s="18">
        <v>2733841.57</v>
      </c>
      <c r="E5700" s="18">
        <v>441.87</v>
      </c>
      <c r="F5700" s="18">
        <v>41698.620000000003</v>
      </c>
      <c r="G5700" s="18">
        <v>103926</v>
      </c>
      <c r="H5700" s="18">
        <f t="shared" si="139"/>
        <v>41598.620000000003</v>
      </c>
      <c r="I5700" s="3"/>
    </row>
    <row r="5701" spans="1:9" s="4" customFormat="1" ht="20.25" customHeight="1" x14ac:dyDescent="0.55000000000000004">
      <c r="A5701" s="18">
        <v>24.708472199999999</v>
      </c>
      <c r="B5701" s="18">
        <v>34.781741699999998</v>
      </c>
      <c r="C5701" s="18">
        <v>680235.99</v>
      </c>
      <c r="D5701" s="18">
        <v>2733839.59</v>
      </c>
      <c r="E5701" s="18">
        <v>441.78</v>
      </c>
      <c r="F5701" s="18">
        <v>41698.31</v>
      </c>
      <c r="G5701" s="18">
        <v>103928</v>
      </c>
      <c r="H5701" s="18">
        <f t="shared" si="139"/>
        <v>41598.31</v>
      </c>
      <c r="I5701" s="3"/>
    </row>
    <row r="5702" spans="1:9" s="4" customFormat="1" ht="20.25" customHeight="1" x14ac:dyDescent="0.55000000000000004">
      <c r="A5702" s="18">
        <v>24.708454400000001</v>
      </c>
      <c r="B5702" s="18">
        <v>34.7817632</v>
      </c>
      <c r="C5702" s="18">
        <v>680238.18</v>
      </c>
      <c r="D5702" s="18">
        <v>2733837.65</v>
      </c>
      <c r="E5702" s="18">
        <v>441.69</v>
      </c>
      <c r="F5702" s="18">
        <v>41695.69</v>
      </c>
      <c r="G5702" s="18">
        <v>103930</v>
      </c>
      <c r="H5702" s="18">
        <f t="shared" si="139"/>
        <v>41595.69</v>
      </c>
      <c r="I5702" s="3"/>
    </row>
    <row r="5703" spans="1:9" s="4" customFormat="1" ht="20.25" customHeight="1" x14ac:dyDescent="0.55000000000000004">
      <c r="A5703" s="18">
        <v>24.708439200000001</v>
      </c>
      <c r="B5703" s="18">
        <v>34.781785800000002</v>
      </c>
      <c r="C5703" s="18">
        <v>680240.49</v>
      </c>
      <c r="D5703" s="18">
        <v>2733835.99</v>
      </c>
      <c r="E5703" s="18">
        <v>441.6</v>
      </c>
      <c r="F5703" s="18">
        <v>41693.129999999997</v>
      </c>
      <c r="G5703" s="18">
        <v>103932</v>
      </c>
      <c r="H5703" s="18">
        <f t="shared" si="139"/>
        <v>41593.129999999997</v>
      </c>
      <c r="I5703" s="3"/>
    </row>
    <row r="5704" spans="1:9" s="4" customFormat="1" ht="20.25" customHeight="1" x14ac:dyDescent="0.55000000000000004">
      <c r="A5704" s="18">
        <v>24.708428699999999</v>
      </c>
      <c r="B5704" s="18">
        <v>34.781808900000001</v>
      </c>
      <c r="C5704" s="18">
        <v>680242.85</v>
      </c>
      <c r="D5704" s="18">
        <v>2733834.86</v>
      </c>
      <c r="E5704" s="18">
        <v>441.43</v>
      </c>
      <c r="F5704" s="18">
        <v>41695.85</v>
      </c>
      <c r="G5704" s="18">
        <v>103934</v>
      </c>
      <c r="H5704" s="18">
        <f t="shared" si="139"/>
        <v>41595.85</v>
      </c>
      <c r="I5704" s="3"/>
    </row>
    <row r="5705" spans="1:9" s="4" customFormat="1" ht="20.25" customHeight="1" x14ac:dyDescent="0.55000000000000004">
      <c r="A5705" s="18">
        <v>24.708421399999999</v>
      </c>
      <c r="B5705" s="18">
        <v>34.781833599999999</v>
      </c>
      <c r="C5705" s="18">
        <v>680245.36</v>
      </c>
      <c r="D5705" s="18">
        <v>2733834.08</v>
      </c>
      <c r="E5705" s="18">
        <v>441.24</v>
      </c>
      <c r="F5705" s="18">
        <v>41692.559999999998</v>
      </c>
      <c r="G5705" s="18">
        <v>103936</v>
      </c>
      <c r="H5705" s="18">
        <f t="shared" si="139"/>
        <v>41592.559999999998</v>
      </c>
      <c r="I5705" s="3"/>
    </row>
    <row r="5706" spans="1:9" s="4" customFormat="1" ht="20.25" customHeight="1" x14ac:dyDescent="0.55000000000000004">
      <c r="A5706" s="18">
        <v>24.7084209</v>
      </c>
      <c r="B5706" s="18">
        <v>34.781860799999997</v>
      </c>
      <c r="C5706" s="18">
        <v>680248.11</v>
      </c>
      <c r="D5706" s="18">
        <v>2733834.06</v>
      </c>
      <c r="E5706" s="18">
        <v>441.14</v>
      </c>
      <c r="F5706" s="18">
        <v>41695.61</v>
      </c>
      <c r="G5706" s="18">
        <v>103938</v>
      </c>
      <c r="H5706" s="18">
        <f t="shared" si="139"/>
        <v>41595.61</v>
      </c>
      <c r="I5706" s="3"/>
    </row>
    <row r="5707" spans="1:9" s="4" customFormat="1" ht="20.25" customHeight="1" x14ac:dyDescent="0.55000000000000004">
      <c r="A5707" s="18">
        <v>24.708420799999999</v>
      </c>
      <c r="B5707" s="18">
        <v>34.781886299999996</v>
      </c>
      <c r="C5707" s="18">
        <v>680250.69</v>
      </c>
      <c r="D5707" s="18">
        <v>2733834.08</v>
      </c>
      <c r="E5707" s="18">
        <v>440.99</v>
      </c>
      <c r="F5707" s="18">
        <v>41693.74</v>
      </c>
      <c r="G5707" s="18">
        <v>103940</v>
      </c>
      <c r="H5707" s="18">
        <f t="shared" si="139"/>
        <v>41593.74</v>
      </c>
      <c r="I5707" s="3"/>
    </row>
    <row r="5708" spans="1:9" s="4" customFormat="1" ht="20.25" customHeight="1" x14ac:dyDescent="0.55000000000000004">
      <c r="A5708" s="18">
        <v>24.708422599999999</v>
      </c>
      <c r="B5708" s="18">
        <v>34.781913199999998</v>
      </c>
      <c r="C5708" s="18">
        <v>680253.4</v>
      </c>
      <c r="D5708" s="18">
        <v>2733834.32</v>
      </c>
      <c r="E5708" s="18">
        <v>440.78</v>
      </c>
      <c r="F5708" s="18">
        <v>41689.18</v>
      </c>
      <c r="G5708" s="18">
        <v>103942</v>
      </c>
      <c r="H5708" s="18">
        <f t="shared" si="139"/>
        <v>41589.18</v>
      </c>
      <c r="I5708" s="3"/>
    </row>
    <row r="5709" spans="1:9" s="4" customFormat="1" ht="20.25" customHeight="1" x14ac:dyDescent="0.55000000000000004">
      <c r="A5709" s="18">
        <v>24.708424999999998</v>
      </c>
      <c r="B5709" s="18">
        <v>34.781936799999997</v>
      </c>
      <c r="C5709" s="18">
        <v>680255.79</v>
      </c>
      <c r="D5709" s="18">
        <v>2733834.62</v>
      </c>
      <c r="E5709" s="18">
        <v>440.6</v>
      </c>
      <c r="F5709" s="18">
        <v>41690.76</v>
      </c>
      <c r="G5709" s="18">
        <v>103944</v>
      </c>
      <c r="H5709" s="18">
        <f t="shared" si="139"/>
        <v>41590.76</v>
      </c>
      <c r="I5709" s="3"/>
    </row>
    <row r="5710" spans="1:9" s="4" customFormat="1" ht="20.25" customHeight="1" x14ac:dyDescent="0.55000000000000004">
      <c r="A5710" s="18">
        <v>24.708429800000001</v>
      </c>
      <c r="B5710" s="18">
        <v>34.781960499999997</v>
      </c>
      <c r="C5710" s="18">
        <v>680258.18</v>
      </c>
      <c r="D5710" s="18">
        <v>2733835.18</v>
      </c>
      <c r="E5710" s="18">
        <v>440.53</v>
      </c>
      <c r="F5710" s="18">
        <v>41691.65</v>
      </c>
      <c r="G5710" s="18">
        <v>103946</v>
      </c>
      <c r="H5710" s="18">
        <f t="shared" si="139"/>
        <v>41591.65</v>
      </c>
      <c r="I5710" s="3"/>
    </row>
    <row r="5711" spans="1:9" s="4" customFormat="1" ht="20.25" customHeight="1" x14ac:dyDescent="0.55000000000000004">
      <c r="A5711" s="18">
        <v>24.708439299999998</v>
      </c>
      <c r="B5711" s="18">
        <v>34.7819845</v>
      </c>
      <c r="C5711" s="18">
        <v>680260.59</v>
      </c>
      <c r="D5711" s="18">
        <v>2733836.27</v>
      </c>
      <c r="E5711" s="18">
        <v>440.47</v>
      </c>
      <c r="F5711" s="18">
        <v>41691.83</v>
      </c>
      <c r="G5711" s="18">
        <v>103948</v>
      </c>
      <c r="H5711" s="18">
        <f t="shared" si="139"/>
        <v>41591.83</v>
      </c>
      <c r="I5711" s="3"/>
    </row>
    <row r="5712" spans="1:9" s="4" customFormat="1" ht="20.25" customHeight="1" x14ac:dyDescent="0.55000000000000004">
      <c r="A5712" s="18">
        <v>24.708452300000001</v>
      </c>
      <c r="B5712" s="18">
        <v>34.782011199999999</v>
      </c>
      <c r="C5712" s="18">
        <v>680263.28</v>
      </c>
      <c r="D5712" s="18">
        <v>2733837.74</v>
      </c>
      <c r="E5712" s="18">
        <v>441.02</v>
      </c>
      <c r="F5712" s="18">
        <v>41690.46</v>
      </c>
      <c r="G5712" s="18">
        <v>103950</v>
      </c>
      <c r="H5712" s="18">
        <f t="shared" si="139"/>
        <v>41590.46</v>
      </c>
      <c r="I5712" s="3"/>
    </row>
    <row r="5713" spans="1:9" s="4" customFormat="1" ht="20.25" customHeight="1" x14ac:dyDescent="0.55000000000000004">
      <c r="A5713" s="18">
        <v>24.708456000000002</v>
      </c>
      <c r="B5713" s="18">
        <v>34.782038900000003</v>
      </c>
      <c r="C5713" s="18">
        <v>680266.08</v>
      </c>
      <c r="D5713" s="18">
        <v>2733838.19</v>
      </c>
      <c r="E5713" s="18">
        <v>441.44</v>
      </c>
      <c r="F5713" s="18">
        <v>41691.83</v>
      </c>
      <c r="G5713" s="18">
        <v>103952</v>
      </c>
      <c r="H5713" s="18">
        <f t="shared" si="139"/>
        <v>41591.83</v>
      </c>
      <c r="I5713" s="3"/>
    </row>
    <row r="5714" spans="1:9" s="4" customFormat="1" ht="20.25" customHeight="1" x14ac:dyDescent="0.55000000000000004">
      <c r="A5714" s="18">
        <v>24.7084498</v>
      </c>
      <c r="B5714" s="18">
        <v>34.782065199999998</v>
      </c>
      <c r="C5714" s="18">
        <v>680268.74</v>
      </c>
      <c r="D5714" s="18">
        <v>2733837.53</v>
      </c>
      <c r="E5714" s="18">
        <v>441.45</v>
      </c>
      <c r="F5714" s="18">
        <v>41690.129999999997</v>
      </c>
      <c r="G5714" s="18">
        <v>103954</v>
      </c>
      <c r="H5714" s="18">
        <f t="shared" si="139"/>
        <v>41590.129999999997</v>
      </c>
      <c r="I5714" s="3"/>
    </row>
    <row r="5715" spans="1:9" s="4" customFormat="1" ht="20.25" customHeight="1" x14ac:dyDescent="0.55000000000000004">
      <c r="A5715" s="18">
        <v>24.708445099999999</v>
      </c>
      <c r="B5715" s="18">
        <v>34.782091200000004</v>
      </c>
      <c r="C5715" s="18">
        <v>680271.39</v>
      </c>
      <c r="D5715" s="18">
        <v>2733837.05</v>
      </c>
      <c r="E5715" s="18">
        <v>441.39</v>
      </c>
      <c r="F5715" s="18">
        <v>41687.54</v>
      </c>
      <c r="G5715" s="18">
        <v>103956</v>
      </c>
      <c r="H5715" s="18">
        <f t="shared" si="139"/>
        <v>41587.54</v>
      </c>
      <c r="I5715" s="3"/>
    </row>
    <row r="5716" spans="1:9" s="4" customFormat="1" ht="20.25" customHeight="1" x14ac:dyDescent="0.55000000000000004">
      <c r="A5716" s="18">
        <v>24.7084388</v>
      </c>
      <c r="B5716" s="18">
        <v>34.7821183</v>
      </c>
      <c r="C5716" s="18">
        <v>680274.14</v>
      </c>
      <c r="D5716" s="18">
        <v>2733836.39</v>
      </c>
      <c r="E5716" s="18">
        <v>441.41</v>
      </c>
      <c r="F5716" s="18">
        <v>41693.83</v>
      </c>
      <c r="G5716" s="18">
        <v>103958</v>
      </c>
      <c r="H5716" s="18">
        <f t="shared" si="139"/>
        <v>41593.83</v>
      </c>
      <c r="I5716" s="3"/>
    </row>
    <row r="5717" spans="1:9" s="4" customFormat="1" ht="20.25" customHeight="1" x14ac:dyDescent="0.55000000000000004">
      <c r="A5717" s="18">
        <v>24.7084315</v>
      </c>
      <c r="B5717" s="18">
        <v>34.782146400000002</v>
      </c>
      <c r="C5717" s="18">
        <v>680276.98</v>
      </c>
      <c r="D5717" s="18">
        <v>2733835.61</v>
      </c>
      <c r="E5717" s="18">
        <v>441.44</v>
      </c>
      <c r="F5717" s="18">
        <v>41688.61</v>
      </c>
      <c r="G5717" s="18">
        <v>104000</v>
      </c>
      <c r="H5717" s="18">
        <f t="shared" si="139"/>
        <v>41588.61</v>
      </c>
      <c r="I5717" s="3"/>
    </row>
    <row r="5718" spans="1:9" s="4" customFormat="1" ht="20.25" customHeight="1" x14ac:dyDescent="0.55000000000000004">
      <c r="A5718" s="18">
        <v>24.70843</v>
      </c>
      <c r="B5718" s="18">
        <v>34.782175799999997</v>
      </c>
      <c r="C5718" s="18">
        <v>680279.97</v>
      </c>
      <c r="D5718" s="18">
        <v>2733835.48</v>
      </c>
      <c r="E5718" s="18">
        <v>441.42</v>
      </c>
      <c r="F5718" s="18">
        <v>41688.17</v>
      </c>
      <c r="G5718" s="18">
        <v>104002</v>
      </c>
      <c r="H5718" s="18">
        <f t="shared" si="139"/>
        <v>41588.17</v>
      </c>
      <c r="I5718" s="3"/>
    </row>
    <row r="5719" spans="1:9" s="4" customFormat="1" ht="20.25" customHeight="1" x14ac:dyDescent="0.55000000000000004">
      <c r="A5719" s="18">
        <v>24.708421399999999</v>
      </c>
      <c r="B5719" s="18">
        <v>34.782202400000003</v>
      </c>
      <c r="C5719" s="18">
        <v>680282.67</v>
      </c>
      <c r="D5719" s="18">
        <v>2733834.57</v>
      </c>
      <c r="E5719" s="18">
        <v>441.29</v>
      </c>
      <c r="F5719" s="18">
        <v>41690.699999999997</v>
      </c>
      <c r="G5719" s="18">
        <v>104004</v>
      </c>
      <c r="H5719" s="18">
        <f t="shared" si="139"/>
        <v>41590.699999999997</v>
      </c>
      <c r="I5719" s="3"/>
    </row>
    <row r="5720" spans="1:9" s="4" customFormat="1" ht="20.25" customHeight="1" x14ac:dyDescent="0.55000000000000004">
      <c r="A5720" s="18">
        <v>24.708402400000001</v>
      </c>
      <c r="B5720" s="18">
        <v>34.782224300000003</v>
      </c>
      <c r="C5720" s="18">
        <v>680284.91</v>
      </c>
      <c r="D5720" s="18">
        <v>2733832.49</v>
      </c>
      <c r="E5720" s="18">
        <v>441.32</v>
      </c>
      <c r="F5720" s="18">
        <v>41691.24</v>
      </c>
      <c r="G5720" s="18">
        <v>104006</v>
      </c>
      <c r="H5720" s="18">
        <f t="shared" si="139"/>
        <v>41591.24</v>
      </c>
      <c r="I5720" s="3"/>
    </row>
    <row r="5721" spans="1:9" s="4" customFormat="1" ht="20.25" customHeight="1" x14ac:dyDescent="0.55000000000000004">
      <c r="A5721" s="18">
        <v>24.708384299999999</v>
      </c>
      <c r="B5721" s="18">
        <v>34.782243600000001</v>
      </c>
      <c r="C5721" s="18">
        <v>680286.89</v>
      </c>
      <c r="D5721" s="18">
        <v>2733830.51</v>
      </c>
      <c r="E5721" s="18">
        <v>441.34</v>
      </c>
      <c r="F5721" s="18">
        <v>41694.120000000003</v>
      </c>
      <c r="G5721" s="18">
        <v>104008</v>
      </c>
      <c r="H5721" s="18">
        <f t="shared" si="139"/>
        <v>41594.120000000003</v>
      </c>
      <c r="I5721" s="3"/>
    </row>
    <row r="5722" spans="1:9" s="4" customFormat="1" ht="20.25" customHeight="1" x14ac:dyDescent="0.55000000000000004">
      <c r="A5722" s="18">
        <v>24.708365400000002</v>
      </c>
      <c r="B5722" s="18">
        <v>34.782263299999997</v>
      </c>
      <c r="C5722" s="18">
        <v>680288.91</v>
      </c>
      <c r="D5722" s="18">
        <v>2733828.44</v>
      </c>
      <c r="E5722" s="18">
        <v>441.49</v>
      </c>
      <c r="F5722" s="18">
        <v>41694.6</v>
      </c>
      <c r="G5722" s="18">
        <v>104010</v>
      </c>
      <c r="H5722" s="18">
        <f t="shared" si="139"/>
        <v>41594.6</v>
      </c>
      <c r="I5722" s="3"/>
    </row>
    <row r="5723" spans="1:9" s="4" customFormat="1" ht="20.25" customHeight="1" x14ac:dyDescent="0.55000000000000004">
      <c r="A5723" s="18">
        <v>24.708345699999999</v>
      </c>
      <c r="B5723" s="18">
        <v>34.782283499999998</v>
      </c>
      <c r="C5723" s="18">
        <v>680290.98</v>
      </c>
      <c r="D5723" s="18">
        <v>2733826.29</v>
      </c>
      <c r="E5723" s="18">
        <v>441.6</v>
      </c>
      <c r="F5723" s="18">
        <v>41696.11</v>
      </c>
      <c r="G5723" s="18">
        <v>104012</v>
      </c>
      <c r="H5723" s="18">
        <f t="shared" si="139"/>
        <v>41596.11</v>
      </c>
      <c r="I5723" s="3"/>
    </row>
    <row r="5724" spans="1:9" s="4" customFormat="1" ht="20.25" customHeight="1" x14ac:dyDescent="0.55000000000000004">
      <c r="A5724" s="18">
        <v>24.708333100000001</v>
      </c>
      <c r="B5724" s="18">
        <v>34.782307199999998</v>
      </c>
      <c r="C5724" s="18">
        <v>680293.4</v>
      </c>
      <c r="D5724" s="18">
        <v>2733824.93</v>
      </c>
      <c r="E5724" s="18">
        <v>441.81</v>
      </c>
      <c r="F5724" s="18">
        <v>41697.410000000003</v>
      </c>
      <c r="G5724" s="18">
        <v>104014</v>
      </c>
      <c r="H5724" s="18">
        <f t="shared" si="139"/>
        <v>41597.410000000003</v>
      </c>
      <c r="I5724" s="3"/>
    </row>
    <row r="5725" spans="1:9" s="4" customFormat="1" ht="20.25" customHeight="1" x14ac:dyDescent="0.55000000000000004">
      <c r="A5725" s="18">
        <v>24.7083224</v>
      </c>
      <c r="B5725" s="18">
        <v>34.782332599999997</v>
      </c>
      <c r="C5725" s="18">
        <v>680295.99</v>
      </c>
      <c r="D5725" s="18">
        <v>2733823.78</v>
      </c>
      <c r="E5725" s="18">
        <v>442.06</v>
      </c>
      <c r="F5725" s="18">
        <v>41696.44</v>
      </c>
      <c r="G5725" s="18">
        <v>104016</v>
      </c>
      <c r="H5725" s="18">
        <f t="shared" si="139"/>
        <v>41596.44</v>
      </c>
      <c r="I5725" s="3"/>
    </row>
    <row r="5726" spans="1:9" s="4" customFormat="1" ht="20.25" customHeight="1" x14ac:dyDescent="0.55000000000000004">
      <c r="A5726" s="18">
        <v>24.708314300000001</v>
      </c>
      <c r="B5726" s="18">
        <v>34.782361100000003</v>
      </c>
      <c r="C5726" s="18">
        <v>680298.88</v>
      </c>
      <c r="D5726" s="18">
        <v>2733822.92</v>
      </c>
      <c r="E5726" s="18">
        <v>442.09</v>
      </c>
      <c r="F5726" s="18">
        <v>41694.400000000001</v>
      </c>
      <c r="G5726" s="18">
        <v>104018</v>
      </c>
      <c r="H5726" s="18">
        <f t="shared" ref="H5726:H5776" si="140">SUM(F5726-100)</f>
        <v>41594.400000000001</v>
      </c>
      <c r="I5726" s="3"/>
    </row>
    <row r="5727" spans="1:9" s="4" customFormat="1" ht="20.25" customHeight="1" x14ac:dyDescent="0.55000000000000004">
      <c r="A5727" s="18">
        <v>24.708305899999999</v>
      </c>
      <c r="B5727" s="18">
        <v>34.782388500000003</v>
      </c>
      <c r="C5727" s="18">
        <v>680301.66</v>
      </c>
      <c r="D5727" s="18">
        <v>2733822.02</v>
      </c>
      <c r="E5727" s="18">
        <v>442.08</v>
      </c>
      <c r="F5727" s="18">
        <v>41701.599999999999</v>
      </c>
      <c r="G5727" s="18">
        <v>104020</v>
      </c>
      <c r="H5727" s="18">
        <f t="shared" si="140"/>
        <v>41601.599999999999</v>
      </c>
      <c r="I5727" s="3"/>
    </row>
    <row r="5728" spans="1:9" s="4" customFormat="1" ht="20.25" customHeight="1" x14ac:dyDescent="0.55000000000000004">
      <c r="A5728" s="18">
        <v>24.708296000000001</v>
      </c>
      <c r="B5728" s="18">
        <v>34.782415299999997</v>
      </c>
      <c r="C5728" s="18">
        <v>680304.39</v>
      </c>
      <c r="D5728" s="18">
        <v>2733820.96</v>
      </c>
      <c r="E5728" s="18">
        <v>441.88</v>
      </c>
      <c r="F5728" s="18">
        <v>41698.78</v>
      </c>
      <c r="G5728" s="18">
        <v>104022</v>
      </c>
      <c r="H5728" s="18">
        <f t="shared" si="140"/>
        <v>41598.78</v>
      </c>
      <c r="I5728" s="3"/>
    </row>
    <row r="5729" spans="1:9" s="4" customFormat="1" ht="20.25" customHeight="1" x14ac:dyDescent="0.55000000000000004">
      <c r="A5729" s="18">
        <v>24.708288799999998</v>
      </c>
      <c r="B5729" s="18">
        <v>34.782443700000002</v>
      </c>
      <c r="C5729" s="18">
        <v>680307.28</v>
      </c>
      <c r="D5729" s="18">
        <v>2733820.2</v>
      </c>
      <c r="E5729" s="18">
        <v>441.81</v>
      </c>
      <c r="F5729" s="18">
        <v>41697.269999999997</v>
      </c>
      <c r="G5729" s="18">
        <v>104024</v>
      </c>
      <c r="H5729" s="18">
        <f t="shared" si="140"/>
        <v>41597.269999999997</v>
      </c>
      <c r="I5729" s="3"/>
    </row>
    <row r="5730" spans="1:9" s="4" customFormat="1" ht="20.25" customHeight="1" x14ac:dyDescent="0.55000000000000004">
      <c r="A5730" s="18">
        <v>24.708284299999999</v>
      </c>
      <c r="B5730" s="18">
        <v>34.782472300000002</v>
      </c>
      <c r="C5730" s="18">
        <v>680310.17</v>
      </c>
      <c r="D5730" s="18">
        <v>2733819.74</v>
      </c>
      <c r="E5730" s="18">
        <v>441.9</v>
      </c>
      <c r="F5730" s="18">
        <v>41701.730000000003</v>
      </c>
      <c r="G5730" s="18">
        <v>104026</v>
      </c>
      <c r="H5730" s="18">
        <f t="shared" si="140"/>
        <v>41601.730000000003</v>
      </c>
      <c r="I5730" s="3"/>
    </row>
    <row r="5731" spans="1:9" s="4" customFormat="1" ht="20.25" customHeight="1" x14ac:dyDescent="0.55000000000000004">
      <c r="A5731" s="18">
        <v>24.708274500000002</v>
      </c>
      <c r="B5731" s="18">
        <v>34.7824995</v>
      </c>
      <c r="C5731" s="18">
        <v>680312.94</v>
      </c>
      <c r="D5731" s="18">
        <v>2733818.69</v>
      </c>
      <c r="E5731" s="18">
        <v>442.06</v>
      </c>
      <c r="F5731" s="18">
        <v>41698.78</v>
      </c>
      <c r="G5731" s="18">
        <v>104028</v>
      </c>
      <c r="H5731" s="18">
        <f t="shared" si="140"/>
        <v>41598.78</v>
      </c>
      <c r="I5731" s="3"/>
    </row>
    <row r="5732" spans="1:9" s="4" customFormat="1" ht="20.25" customHeight="1" x14ac:dyDescent="0.55000000000000004">
      <c r="A5732" s="18">
        <v>24.708267200000002</v>
      </c>
      <c r="B5732" s="18">
        <v>34.782526699999998</v>
      </c>
      <c r="C5732" s="18">
        <v>680315.7</v>
      </c>
      <c r="D5732" s="18">
        <v>2733817.91</v>
      </c>
      <c r="E5732" s="18">
        <v>442.25</v>
      </c>
      <c r="F5732" s="18">
        <v>41699.730000000003</v>
      </c>
      <c r="G5732" s="18">
        <v>104030</v>
      </c>
      <c r="H5732" s="18">
        <f t="shared" si="140"/>
        <v>41599.730000000003</v>
      </c>
      <c r="I5732" s="3"/>
    </row>
    <row r="5733" spans="1:9" s="4" customFormat="1" ht="20.25" customHeight="1" x14ac:dyDescent="0.55000000000000004">
      <c r="A5733" s="18">
        <v>24.7082543</v>
      </c>
      <c r="B5733" s="18">
        <v>34.782551400000003</v>
      </c>
      <c r="C5733" s="18">
        <v>680318.22</v>
      </c>
      <c r="D5733" s="18">
        <v>2733816.53</v>
      </c>
      <c r="E5733" s="18">
        <v>442.42</v>
      </c>
      <c r="F5733" s="18">
        <v>41700.49</v>
      </c>
      <c r="G5733" s="18">
        <v>104032</v>
      </c>
      <c r="H5733" s="18">
        <f t="shared" si="140"/>
        <v>41600.49</v>
      </c>
      <c r="I5733" s="3"/>
    </row>
    <row r="5734" spans="1:9" s="4" customFormat="1" ht="20.25" customHeight="1" x14ac:dyDescent="0.55000000000000004">
      <c r="A5734" s="18">
        <v>24.708240799999999</v>
      </c>
      <c r="B5734" s="18">
        <v>34.7825761</v>
      </c>
      <c r="C5734" s="18">
        <v>680320.74</v>
      </c>
      <c r="D5734" s="18">
        <v>2733815.06</v>
      </c>
      <c r="E5734" s="18">
        <v>442.51</v>
      </c>
      <c r="F5734" s="18">
        <v>41703</v>
      </c>
      <c r="G5734" s="18">
        <v>104034</v>
      </c>
      <c r="H5734" s="18">
        <f t="shared" si="140"/>
        <v>41603</v>
      </c>
      <c r="I5734" s="3"/>
    </row>
    <row r="5735" spans="1:9" s="4" customFormat="1" ht="20.25" customHeight="1" x14ac:dyDescent="0.55000000000000004">
      <c r="A5735" s="18">
        <v>24.708224600000001</v>
      </c>
      <c r="B5735" s="18">
        <v>34.782599300000001</v>
      </c>
      <c r="C5735" s="18">
        <v>680323.11</v>
      </c>
      <c r="D5735" s="18">
        <v>2733813.3</v>
      </c>
      <c r="E5735" s="18">
        <v>442.53</v>
      </c>
      <c r="F5735" s="18">
        <v>41700.9</v>
      </c>
      <c r="G5735" s="18">
        <v>104036</v>
      </c>
      <c r="H5735" s="18">
        <f t="shared" si="140"/>
        <v>41600.9</v>
      </c>
      <c r="I5735" s="3"/>
    </row>
    <row r="5736" spans="1:9" s="4" customFormat="1" ht="20.25" customHeight="1" x14ac:dyDescent="0.55000000000000004">
      <c r="A5736" s="18">
        <v>24.708208599999999</v>
      </c>
      <c r="B5736" s="18">
        <v>34.782622000000003</v>
      </c>
      <c r="C5736" s="18">
        <v>680325.43</v>
      </c>
      <c r="D5736" s="18">
        <v>2733811.55</v>
      </c>
      <c r="E5736" s="18">
        <v>442.68</v>
      </c>
      <c r="F5736" s="18">
        <v>41701.61</v>
      </c>
      <c r="G5736" s="18">
        <v>104038</v>
      </c>
      <c r="H5736" s="18">
        <f t="shared" si="140"/>
        <v>41601.61</v>
      </c>
      <c r="I5736" s="3"/>
    </row>
    <row r="5737" spans="1:9" s="4" customFormat="1" ht="20.25" customHeight="1" x14ac:dyDescent="0.55000000000000004">
      <c r="A5737" s="18">
        <v>24.708192700000001</v>
      </c>
      <c r="B5737" s="18">
        <v>34.782640899999997</v>
      </c>
      <c r="C5737" s="18">
        <v>680327.37</v>
      </c>
      <c r="D5737" s="18">
        <v>2733809.82</v>
      </c>
      <c r="E5737" s="18">
        <v>442.84</v>
      </c>
      <c r="F5737" s="18">
        <v>41699.730000000003</v>
      </c>
      <c r="G5737" s="18">
        <v>104040</v>
      </c>
      <c r="H5737" s="18">
        <f t="shared" si="140"/>
        <v>41599.730000000003</v>
      </c>
      <c r="I5737" s="3"/>
    </row>
    <row r="5738" spans="1:9" s="4" customFormat="1" ht="20.25" customHeight="1" x14ac:dyDescent="0.55000000000000004">
      <c r="A5738" s="18">
        <v>24.708173599999999</v>
      </c>
      <c r="B5738" s="18">
        <v>34.782660800000002</v>
      </c>
      <c r="C5738" s="18">
        <v>680329.4</v>
      </c>
      <c r="D5738" s="18">
        <v>2733807.72</v>
      </c>
      <c r="E5738" s="18">
        <v>442.94</v>
      </c>
      <c r="F5738" s="18">
        <v>41699.68</v>
      </c>
      <c r="G5738" s="18">
        <v>104042</v>
      </c>
      <c r="H5738" s="18">
        <f t="shared" si="140"/>
        <v>41599.68</v>
      </c>
      <c r="I5738" s="3"/>
    </row>
    <row r="5739" spans="1:9" s="4" customFormat="1" ht="20.25" customHeight="1" x14ac:dyDescent="0.55000000000000004">
      <c r="A5739" s="18">
        <v>24.7081537</v>
      </c>
      <c r="B5739" s="18">
        <v>34.782677999999997</v>
      </c>
      <c r="C5739" s="18">
        <v>680331.17</v>
      </c>
      <c r="D5739" s="18">
        <v>2733805.54</v>
      </c>
      <c r="E5739" s="18">
        <v>443.06</v>
      </c>
      <c r="F5739" s="18">
        <v>41698.089999999997</v>
      </c>
      <c r="G5739" s="18">
        <v>104044</v>
      </c>
      <c r="H5739" s="18">
        <f t="shared" si="140"/>
        <v>41598.089999999997</v>
      </c>
      <c r="I5739" s="3"/>
    </row>
    <row r="5740" spans="1:9" s="4" customFormat="1" ht="20.25" customHeight="1" x14ac:dyDescent="0.55000000000000004">
      <c r="A5740" s="18">
        <v>24.708134399999999</v>
      </c>
      <c r="B5740" s="18">
        <v>34.782695500000003</v>
      </c>
      <c r="C5740" s="18">
        <v>680332.97</v>
      </c>
      <c r="D5740" s="18">
        <v>2733803.43</v>
      </c>
      <c r="E5740" s="18">
        <v>443.12</v>
      </c>
      <c r="F5740" s="18">
        <v>41698.57</v>
      </c>
      <c r="G5740" s="18">
        <v>104046</v>
      </c>
      <c r="H5740" s="18">
        <f t="shared" si="140"/>
        <v>41598.57</v>
      </c>
      <c r="I5740" s="3"/>
    </row>
    <row r="5741" spans="1:9" s="4" customFormat="1" ht="20.25" customHeight="1" x14ac:dyDescent="0.55000000000000004">
      <c r="A5741" s="18">
        <v>24.708111599999999</v>
      </c>
      <c r="B5741" s="18">
        <v>34.782708399999997</v>
      </c>
      <c r="C5741" s="18">
        <v>680334.31</v>
      </c>
      <c r="D5741" s="18">
        <v>2733800.92</v>
      </c>
      <c r="E5741" s="18">
        <v>443.32</v>
      </c>
      <c r="F5741" s="18">
        <v>41697.72</v>
      </c>
      <c r="G5741" s="18">
        <v>104048</v>
      </c>
      <c r="H5741" s="18">
        <f t="shared" si="140"/>
        <v>41597.72</v>
      </c>
      <c r="I5741" s="3"/>
    </row>
    <row r="5742" spans="1:9" s="4" customFormat="1" ht="20.25" customHeight="1" x14ac:dyDescent="0.55000000000000004">
      <c r="A5742" s="18">
        <v>24.708092400000002</v>
      </c>
      <c r="B5742" s="18">
        <v>34.782723400000002</v>
      </c>
      <c r="C5742" s="18">
        <v>680335.86</v>
      </c>
      <c r="D5742" s="18">
        <v>2733798.82</v>
      </c>
      <c r="E5742" s="18">
        <v>443.47</v>
      </c>
      <c r="F5742" s="18">
        <v>41697.879999999997</v>
      </c>
      <c r="G5742" s="18">
        <v>104050</v>
      </c>
      <c r="H5742" s="18">
        <f t="shared" si="140"/>
        <v>41597.879999999997</v>
      </c>
      <c r="I5742" s="3"/>
    </row>
    <row r="5743" spans="1:9" s="4" customFormat="1" ht="20.25" customHeight="1" x14ac:dyDescent="0.55000000000000004">
      <c r="A5743" s="18">
        <v>24.708075300000001</v>
      </c>
      <c r="B5743" s="18">
        <v>34.7827409</v>
      </c>
      <c r="C5743" s="18">
        <v>680337.65</v>
      </c>
      <c r="D5743" s="18">
        <v>2733796.95</v>
      </c>
      <c r="E5743" s="18">
        <v>443.57</v>
      </c>
      <c r="F5743" s="18">
        <v>41698.76</v>
      </c>
      <c r="G5743" s="18">
        <v>104052</v>
      </c>
      <c r="H5743" s="18">
        <f t="shared" si="140"/>
        <v>41598.76</v>
      </c>
      <c r="I5743" s="3"/>
    </row>
    <row r="5744" spans="1:9" s="4" customFormat="1" ht="20.25" customHeight="1" x14ac:dyDescent="0.55000000000000004">
      <c r="A5744" s="18">
        <v>24.708057400000001</v>
      </c>
      <c r="B5744" s="18">
        <v>34.782759800000001</v>
      </c>
      <c r="C5744" s="18">
        <v>680339.59</v>
      </c>
      <c r="D5744" s="18">
        <v>2733794.99</v>
      </c>
      <c r="E5744" s="18">
        <v>443.64</v>
      </c>
      <c r="F5744" s="18">
        <v>41700.550000000003</v>
      </c>
      <c r="G5744" s="18">
        <v>104054</v>
      </c>
      <c r="H5744" s="18">
        <f t="shared" si="140"/>
        <v>41600.550000000003</v>
      </c>
      <c r="I5744" s="3"/>
    </row>
    <row r="5745" spans="1:9" s="4" customFormat="1" ht="20.25" customHeight="1" x14ac:dyDescent="0.55000000000000004">
      <c r="A5745" s="18">
        <v>24.7080372</v>
      </c>
      <c r="B5745" s="18">
        <v>34.7827737</v>
      </c>
      <c r="C5745" s="18">
        <v>680341.02</v>
      </c>
      <c r="D5745" s="18">
        <v>2733792.76</v>
      </c>
      <c r="E5745" s="18">
        <v>443.74</v>
      </c>
      <c r="F5745" s="18">
        <v>41697.480000000003</v>
      </c>
      <c r="G5745" s="18">
        <v>104056</v>
      </c>
      <c r="H5745" s="18">
        <f t="shared" si="140"/>
        <v>41597.480000000003</v>
      </c>
      <c r="I5745" s="3"/>
    </row>
    <row r="5746" spans="1:9" s="4" customFormat="1" ht="20.25" customHeight="1" x14ac:dyDescent="0.55000000000000004">
      <c r="A5746" s="18">
        <v>24.708017099999999</v>
      </c>
      <c r="B5746" s="18">
        <v>34.782785099999998</v>
      </c>
      <c r="C5746" s="18">
        <v>680342.21</v>
      </c>
      <c r="D5746" s="18">
        <v>2733790.56</v>
      </c>
      <c r="E5746" s="18">
        <v>443.62</v>
      </c>
      <c r="F5746" s="18">
        <v>41701.61</v>
      </c>
      <c r="G5746" s="18">
        <v>104058</v>
      </c>
      <c r="H5746" s="18">
        <f t="shared" si="140"/>
        <v>41601.61</v>
      </c>
      <c r="I5746" s="3"/>
    </row>
    <row r="5747" spans="1:9" s="4" customFormat="1" ht="20.25" customHeight="1" x14ac:dyDescent="0.55000000000000004">
      <c r="A5747" s="18">
        <v>24.707993500000001</v>
      </c>
      <c r="B5747" s="18">
        <v>34.782795399999998</v>
      </c>
      <c r="C5747" s="18">
        <v>680343.29</v>
      </c>
      <c r="D5747" s="18">
        <v>2733787.95</v>
      </c>
      <c r="E5747" s="18">
        <v>443.38</v>
      </c>
      <c r="F5747" s="18">
        <v>41697.46</v>
      </c>
      <c r="G5747" s="18">
        <v>104100</v>
      </c>
      <c r="H5747" s="18">
        <f t="shared" si="140"/>
        <v>41597.46</v>
      </c>
      <c r="I5747" s="3"/>
    </row>
    <row r="5748" spans="1:9" s="4" customFormat="1" ht="20.25" customHeight="1" x14ac:dyDescent="0.55000000000000004">
      <c r="A5748" s="18">
        <v>24.707968000000001</v>
      </c>
      <c r="B5748" s="18">
        <v>34.782799799999999</v>
      </c>
      <c r="C5748" s="18">
        <v>680343.76</v>
      </c>
      <c r="D5748" s="18">
        <v>2733785.14</v>
      </c>
      <c r="E5748" s="18">
        <v>443.15</v>
      </c>
      <c r="F5748" s="18">
        <v>41697.199999999997</v>
      </c>
      <c r="G5748" s="18">
        <v>104102</v>
      </c>
      <c r="H5748" s="18">
        <f t="shared" si="140"/>
        <v>41597.199999999997</v>
      </c>
      <c r="I5748" s="3"/>
    </row>
    <row r="5749" spans="1:9" s="4" customFormat="1" ht="20.25" customHeight="1" x14ac:dyDescent="0.55000000000000004">
      <c r="A5749" s="18">
        <v>24.7079427</v>
      </c>
      <c r="B5749" s="18">
        <v>34.782802599999997</v>
      </c>
      <c r="C5749" s="18">
        <v>680344.09</v>
      </c>
      <c r="D5749" s="18">
        <v>2733782.34</v>
      </c>
      <c r="E5749" s="18">
        <v>442.91</v>
      </c>
      <c r="F5749" s="18">
        <v>41696.26</v>
      </c>
      <c r="G5749" s="18">
        <v>104104</v>
      </c>
      <c r="H5749" s="18">
        <f t="shared" si="140"/>
        <v>41596.26</v>
      </c>
      <c r="I5749" s="3"/>
    </row>
    <row r="5750" spans="1:9" s="4" customFormat="1" ht="20.25" customHeight="1" x14ac:dyDescent="0.55000000000000004">
      <c r="A5750" s="18">
        <v>24.707918299999999</v>
      </c>
      <c r="B5750" s="18">
        <v>34.782809299999997</v>
      </c>
      <c r="C5750" s="18">
        <v>680344.8</v>
      </c>
      <c r="D5750" s="18">
        <v>2733779.65</v>
      </c>
      <c r="E5750" s="18">
        <v>442.53</v>
      </c>
      <c r="F5750" s="18">
        <v>41697.39</v>
      </c>
      <c r="G5750" s="18">
        <v>104106</v>
      </c>
      <c r="H5750" s="18">
        <f t="shared" si="140"/>
        <v>41597.39</v>
      </c>
      <c r="I5750" s="3"/>
    </row>
    <row r="5751" spans="1:9" s="4" customFormat="1" ht="20.25" customHeight="1" x14ac:dyDescent="0.55000000000000004">
      <c r="A5751" s="18">
        <v>24.7078937</v>
      </c>
      <c r="B5751" s="18">
        <v>34.782811899999999</v>
      </c>
      <c r="C5751" s="18">
        <v>680345.1</v>
      </c>
      <c r="D5751" s="18">
        <v>2733776.93</v>
      </c>
      <c r="E5751" s="18">
        <v>442.19</v>
      </c>
      <c r="F5751" s="18">
        <v>41697.74</v>
      </c>
      <c r="G5751" s="18">
        <v>104108</v>
      </c>
      <c r="H5751" s="18">
        <f t="shared" si="140"/>
        <v>41597.74</v>
      </c>
      <c r="I5751" s="3"/>
    </row>
    <row r="5752" spans="1:9" s="4" customFormat="1" ht="20.25" customHeight="1" x14ac:dyDescent="0.55000000000000004">
      <c r="A5752" s="18">
        <v>24.7078697</v>
      </c>
      <c r="B5752" s="18">
        <v>34.782807499999997</v>
      </c>
      <c r="C5752" s="18">
        <v>680344.68</v>
      </c>
      <c r="D5752" s="18">
        <v>2733774.26</v>
      </c>
      <c r="E5752" s="18">
        <v>441.89</v>
      </c>
      <c r="F5752" s="18">
        <v>41697.040000000001</v>
      </c>
      <c r="G5752" s="18">
        <v>104110</v>
      </c>
      <c r="H5752" s="18">
        <f t="shared" si="140"/>
        <v>41597.040000000001</v>
      </c>
      <c r="I5752" s="3"/>
    </row>
    <row r="5753" spans="1:9" s="4" customFormat="1" ht="20.25" customHeight="1" x14ac:dyDescent="0.55000000000000004">
      <c r="A5753" s="18">
        <v>24.707845299999999</v>
      </c>
      <c r="B5753" s="18">
        <v>34.782812800000002</v>
      </c>
      <c r="C5753" s="18">
        <v>680345.26</v>
      </c>
      <c r="D5753" s="18">
        <v>2733771.57</v>
      </c>
      <c r="E5753" s="18">
        <v>441.65</v>
      </c>
      <c r="F5753" s="18">
        <v>41696.81</v>
      </c>
      <c r="G5753" s="18">
        <v>104112</v>
      </c>
      <c r="H5753" s="18">
        <f t="shared" si="140"/>
        <v>41596.81</v>
      </c>
      <c r="I5753" s="3"/>
    </row>
    <row r="5754" spans="1:9" s="4" customFormat="1" ht="20.25" customHeight="1" x14ac:dyDescent="0.55000000000000004">
      <c r="A5754" s="18">
        <v>24.7078244</v>
      </c>
      <c r="B5754" s="18">
        <v>34.782826100000001</v>
      </c>
      <c r="C5754" s="18">
        <v>680346.63</v>
      </c>
      <c r="D5754" s="18">
        <v>2733769.27</v>
      </c>
      <c r="E5754" s="18">
        <v>441.47</v>
      </c>
      <c r="F5754" s="18">
        <v>41697.21</v>
      </c>
      <c r="G5754" s="18">
        <v>104114</v>
      </c>
      <c r="H5754" s="18">
        <f t="shared" si="140"/>
        <v>41597.21</v>
      </c>
      <c r="I5754" s="3"/>
    </row>
    <row r="5755" spans="1:9" s="4" customFormat="1" ht="20.25" customHeight="1" x14ac:dyDescent="0.55000000000000004">
      <c r="A5755" s="18">
        <v>24.707804400000001</v>
      </c>
      <c r="B5755" s="18">
        <v>34.782840700000001</v>
      </c>
      <c r="C5755" s="18">
        <v>680348.14</v>
      </c>
      <c r="D5755" s="18">
        <v>2733767.07</v>
      </c>
      <c r="E5755" s="18">
        <v>441.37</v>
      </c>
      <c r="F5755" s="18">
        <v>41696.26</v>
      </c>
      <c r="G5755" s="18">
        <v>104116</v>
      </c>
      <c r="H5755" s="18">
        <f t="shared" si="140"/>
        <v>41596.26</v>
      </c>
      <c r="I5755" s="3"/>
    </row>
    <row r="5756" spans="1:9" s="4" customFormat="1" ht="20.25" customHeight="1" x14ac:dyDescent="0.55000000000000004">
      <c r="A5756" s="18">
        <v>24.7077843</v>
      </c>
      <c r="B5756" s="18">
        <v>34.782855499999997</v>
      </c>
      <c r="C5756" s="18">
        <v>680349.67</v>
      </c>
      <c r="D5756" s="18">
        <v>2733764.86</v>
      </c>
      <c r="E5756" s="18">
        <v>441.25</v>
      </c>
      <c r="F5756" s="18">
        <v>41694.370000000003</v>
      </c>
      <c r="G5756" s="18">
        <v>104118</v>
      </c>
      <c r="H5756" s="18">
        <f t="shared" si="140"/>
        <v>41594.370000000003</v>
      </c>
      <c r="I5756" s="3"/>
    </row>
    <row r="5757" spans="1:9" s="4" customFormat="1" ht="20.25" customHeight="1" x14ac:dyDescent="0.55000000000000004">
      <c r="A5757" s="18">
        <v>24.707761699999999</v>
      </c>
      <c r="B5757" s="18">
        <v>34.7828686</v>
      </c>
      <c r="C5757" s="18">
        <v>680351.02</v>
      </c>
      <c r="D5757" s="18">
        <v>2733762.38</v>
      </c>
      <c r="E5757" s="18">
        <v>440.99</v>
      </c>
      <c r="F5757" s="18">
        <v>41696</v>
      </c>
      <c r="G5757" s="18">
        <v>104120</v>
      </c>
      <c r="H5757" s="18">
        <f t="shared" si="140"/>
        <v>41596</v>
      </c>
      <c r="I5757" s="3"/>
    </row>
    <row r="5758" spans="1:9" s="4" customFormat="1" ht="20.25" customHeight="1" x14ac:dyDescent="0.55000000000000004">
      <c r="A5758" s="18">
        <v>24.7077384</v>
      </c>
      <c r="B5758" s="18">
        <v>34.782880400000003</v>
      </c>
      <c r="C5758" s="18">
        <v>680352.26</v>
      </c>
      <c r="D5758" s="18">
        <v>2733759.81</v>
      </c>
      <c r="E5758" s="18">
        <v>440.9</v>
      </c>
      <c r="F5758" s="18">
        <v>41695.660000000003</v>
      </c>
      <c r="G5758" s="18">
        <v>104122</v>
      </c>
      <c r="H5758" s="18">
        <f t="shared" si="140"/>
        <v>41595.660000000003</v>
      </c>
      <c r="I5758" s="3"/>
    </row>
    <row r="5759" spans="1:9" s="4" customFormat="1" ht="20.25" customHeight="1" x14ac:dyDescent="0.55000000000000004">
      <c r="A5759" s="18">
        <v>24.707716099999999</v>
      </c>
      <c r="B5759" s="18">
        <v>34.782893299999998</v>
      </c>
      <c r="C5759" s="18">
        <v>680353.59</v>
      </c>
      <c r="D5759" s="18">
        <v>2733757.36</v>
      </c>
      <c r="E5759" s="18">
        <v>440.86</v>
      </c>
      <c r="F5759" s="18">
        <v>41697.01</v>
      </c>
      <c r="G5759" s="18">
        <v>104124</v>
      </c>
      <c r="H5759" s="18">
        <f t="shared" si="140"/>
        <v>41597.01</v>
      </c>
      <c r="I5759" s="3"/>
    </row>
    <row r="5760" spans="1:9" s="4" customFormat="1" ht="20.25" customHeight="1" x14ac:dyDescent="0.55000000000000004">
      <c r="A5760" s="18">
        <v>24.7076925</v>
      </c>
      <c r="B5760" s="18">
        <v>34.782905200000002</v>
      </c>
      <c r="C5760" s="18">
        <v>680354.83</v>
      </c>
      <c r="D5760" s="18">
        <v>2733754.77</v>
      </c>
      <c r="E5760" s="18">
        <v>440.85</v>
      </c>
      <c r="F5760" s="18">
        <v>41697.050000000003</v>
      </c>
      <c r="G5760" s="18">
        <v>104126</v>
      </c>
      <c r="H5760" s="18">
        <f t="shared" si="140"/>
        <v>41597.050000000003</v>
      </c>
      <c r="I5760" s="3"/>
    </row>
    <row r="5761" spans="1:9" s="4" customFormat="1" ht="20.25" customHeight="1" x14ac:dyDescent="0.55000000000000004">
      <c r="A5761" s="18">
        <v>24.707667499999999</v>
      </c>
      <c r="B5761" s="18">
        <v>34.782916899999996</v>
      </c>
      <c r="C5761" s="18">
        <v>680356.05</v>
      </c>
      <c r="D5761" s="18">
        <v>2733752.01</v>
      </c>
      <c r="E5761" s="18">
        <v>440.92</v>
      </c>
      <c r="F5761" s="18">
        <v>41695.919999999998</v>
      </c>
      <c r="G5761" s="18">
        <v>104128</v>
      </c>
      <c r="H5761" s="18">
        <f t="shared" si="140"/>
        <v>41595.919999999998</v>
      </c>
      <c r="I5761" s="3"/>
    </row>
    <row r="5762" spans="1:9" s="4" customFormat="1" ht="20.25" customHeight="1" x14ac:dyDescent="0.55000000000000004">
      <c r="A5762" s="18">
        <v>24.707645500000002</v>
      </c>
      <c r="B5762" s="18">
        <v>34.7829257</v>
      </c>
      <c r="C5762" s="18">
        <v>680356.97</v>
      </c>
      <c r="D5762" s="18">
        <v>2733749.58</v>
      </c>
      <c r="E5762" s="18">
        <v>441.06</v>
      </c>
      <c r="F5762" s="18">
        <v>41695.660000000003</v>
      </c>
      <c r="G5762" s="18">
        <v>104130</v>
      </c>
      <c r="H5762" s="18">
        <f t="shared" si="140"/>
        <v>41595.660000000003</v>
      </c>
      <c r="I5762" s="3"/>
    </row>
    <row r="5763" spans="1:9" s="4" customFormat="1" ht="20.25" customHeight="1" x14ac:dyDescent="0.55000000000000004">
      <c r="A5763" s="18">
        <v>24.707622700000002</v>
      </c>
      <c r="B5763" s="18">
        <v>34.782933300000003</v>
      </c>
      <c r="C5763" s="18">
        <v>680357.77</v>
      </c>
      <c r="D5763" s="18">
        <v>2733747.07</v>
      </c>
      <c r="E5763" s="18">
        <v>441.14</v>
      </c>
      <c r="F5763" s="18">
        <v>41697.519999999997</v>
      </c>
      <c r="G5763" s="18">
        <v>104132</v>
      </c>
      <c r="H5763" s="18">
        <f t="shared" si="140"/>
        <v>41597.519999999997</v>
      </c>
      <c r="I5763" s="3"/>
    </row>
    <row r="5764" spans="1:9" s="4" customFormat="1" ht="20.25" customHeight="1" x14ac:dyDescent="0.55000000000000004">
      <c r="A5764" s="18">
        <v>24.707601</v>
      </c>
      <c r="B5764" s="18">
        <v>34.782943199999998</v>
      </c>
      <c r="C5764" s="18">
        <v>680358.81</v>
      </c>
      <c r="D5764" s="18">
        <v>2733744.68</v>
      </c>
      <c r="E5764" s="18">
        <v>441.34</v>
      </c>
      <c r="F5764" s="18">
        <v>41694.71</v>
      </c>
      <c r="G5764" s="18">
        <v>104134</v>
      </c>
      <c r="H5764" s="18">
        <f t="shared" si="140"/>
        <v>41594.71</v>
      </c>
      <c r="I5764" s="3"/>
    </row>
    <row r="5765" spans="1:9" s="4" customFormat="1" ht="20.25" customHeight="1" x14ac:dyDescent="0.55000000000000004">
      <c r="A5765" s="18">
        <v>24.7075782</v>
      </c>
      <c r="B5765" s="18">
        <v>34.782952799999997</v>
      </c>
      <c r="C5765" s="18">
        <v>680359.81</v>
      </c>
      <c r="D5765" s="18">
        <v>2733742.17</v>
      </c>
      <c r="E5765" s="18">
        <v>441.42</v>
      </c>
      <c r="F5765" s="18">
        <v>41695.22</v>
      </c>
      <c r="G5765" s="18">
        <v>104136</v>
      </c>
      <c r="H5765" s="18">
        <f t="shared" si="140"/>
        <v>41595.22</v>
      </c>
      <c r="I5765" s="3"/>
    </row>
    <row r="5766" spans="1:9" s="4" customFormat="1" ht="20.25" customHeight="1" x14ac:dyDescent="0.55000000000000004">
      <c r="A5766" s="18">
        <v>24.707553300000001</v>
      </c>
      <c r="B5766" s="18">
        <v>34.782960600000003</v>
      </c>
      <c r="C5766" s="18">
        <v>680360.64</v>
      </c>
      <c r="D5766" s="18">
        <v>2733739.42</v>
      </c>
      <c r="E5766" s="18">
        <v>441.49</v>
      </c>
      <c r="F5766" s="18">
        <v>41692.36</v>
      </c>
      <c r="G5766" s="18">
        <v>104138</v>
      </c>
      <c r="H5766" s="18">
        <f t="shared" si="140"/>
        <v>41592.36</v>
      </c>
      <c r="I5766" s="3"/>
    </row>
    <row r="5767" spans="1:9" s="4" customFormat="1" ht="20.25" customHeight="1" x14ac:dyDescent="0.55000000000000004">
      <c r="A5767" s="18">
        <v>24.707531100000001</v>
      </c>
      <c r="B5767" s="18">
        <v>34.7829677</v>
      </c>
      <c r="C5767" s="18">
        <v>680361.39</v>
      </c>
      <c r="D5767" s="18">
        <v>2733736.97</v>
      </c>
      <c r="E5767" s="18">
        <v>441.65</v>
      </c>
      <c r="F5767" s="18">
        <v>41693.96</v>
      </c>
      <c r="G5767" s="18">
        <v>104140</v>
      </c>
      <c r="H5767" s="18">
        <f t="shared" si="140"/>
        <v>41593.96</v>
      </c>
      <c r="I5767" s="3"/>
    </row>
    <row r="5768" spans="1:9" s="4" customFormat="1" ht="20.25" customHeight="1" x14ac:dyDescent="0.55000000000000004">
      <c r="A5768" s="18">
        <v>24.7075073</v>
      </c>
      <c r="B5768" s="18">
        <v>34.782974299999999</v>
      </c>
      <c r="C5768" s="18">
        <v>680362.08</v>
      </c>
      <c r="D5768" s="18">
        <v>2733734.34</v>
      </c>
      <c r="E5768" s="18">
        <v>441.68</v>
      </c>
      <c r="F5768" s="18">
        <v>41695.629999999997</v>
      </c>
      <c r="G5768" s="18">
        <v>104142</v>
      </c>
      <c r="H5768" s="18">
        <f t="shared" si="140"/>
        <v>41595.629999999997</v>
      </c>
      <c r="I5768" s="3"/>
    </row>
    <row r="5769" spans="1:9" s="4" customFormat="1" ht="20.25" customHeight="1" x14ac:dyDescent="0.55000000000000004">
      <c r="A5769" s="18">
        <v>24.707483700000001</v>
      </c>
      <c r="B5769" s="18">
        <v>34.782976599999998</v>
      </c>
      <c r="C5769" s="18">
        <v>680362.35</v>
      </c>
      <c r="D5769" s="18">
        <v>2733731.72</v>
      </c>
      <c r="E5769" s="18">
        <v>441.63</v>
      </c>
      <c r="F5769" s="18">
        <v>41692.54</v>
      </c>
      <c r="G5769" s="18">
        <v>104144</v>
      </c>
      <c r="H5769" s="18">
        <f t="shared" si="140"/>
        <v>41592.54</v>
      </c>
      <c r="I5769" s="3"/>
    </row>
    <row r="5770" spans="1:9" s="4" customFormat="1" ht="20.25" customHeight="1" x14ac:dyDescent="0.55000000000000004">
      <c r="A5770" s="18">
        <v>24.707459700000001</v>
      </c>
      <c r="B5770" s="18">
        <v>34.782978300000003</v>
      </c>
      <c r="C5770" s="18">
        <v>680362.56</v>
      </c>
      <c r="D5770" s="18">
        <v>2733729.07</v>
      </c>
      <c r="E5770" s="18">
        <v>441.57</v>
      </c>
      <c r="F5770" s="18">
        <v>41692.44</v>
      </c>
      <c r="G5770" s="18">
        <v>104146</v>
      </c>
      <c r="H5770" s="18">
        <f t="shared" si="140"/>
        <v>41592.44</v>
      </c>
      <c r="I5770" s="3"/>
    </row>
    <row r="5771" spans="1:9" s="4" customFormat="1" ht="20.25" customHeight="1" x14ac:dyDescent="0.55000000000000004">
      <c r="A5771" s="18">
        <v>24.707440500000001</v>
      </c>
      <c r="B5771" s="18">
        <v>34.782988099999997</v>
      </c>
      <c r="C5771" s="18">
        <v>680363.57</v>
      </c>
      <c r="D5771" s="18">
        <v>2733726.96</v>
      </c>
      <c r="E5771" s="18">
        <v>441.63</v>
      </c>
      <c r="F5771" s="18">
        <v>41692.050000000003</v>
      </c>
      <c r="G5771" s="18">
        <v>104148</v>
      </c>
      <c r="H5771" s="18">
        <f t="shared" si="140"/>
        <v>41592.050000000003</v>
      </c>
      <c r="I5771" s="3"/>
    </row>
    <row r="5772" spans="1:9" s="4" customFormat="1" ht="20.25" customHeight="1" x14ac:dyDescent="0.55000000000000004">
      <c r="A5772" s="18">
        <v>24.707426300000002</v>
      </c>
      <c r="B5772" s="18">
        <v>34.783003800000003</v>
      </c>
      <c r="C5772" s="18">
        <v>680365.18</v>
      </c>
      <c r="D5772" s="18">
        <v>2733725.41</v>
      </c>
      <c r="E5772" s="18">
        <v>441.61</v>
      </c>
      <c r="F5772" s="18">
        <v>41692.639999999999</v>
      </c>
      <c r="G5772" s="18">
        <v>104150</v>
      </c>
      <c r="H5772" s="18">
        <f t="shared" si="140"/>
        <v>41592.639999999999</v>
      </c>
      <c r="I5772" s="3"/>
    </row>
    <row r="5773" spans="1:9" s="4" customFormat="1" ht="20.25" customHeight="1" x14ac:dyDescent="0.55000000000000004">
      <c r="A5773" s="18">
        <v>24.707415900000001</v>
      </c>
      <c r="B5773" s="18">
        <v>34.783020100000002</v>
      </c>
      <c r="C5773" s="18">
        <v>680366.85</v>
      </c>
      <c r="D5773" s="18">
        <v>2733724.27</v>
      </c>
      <c r="E5773" s="18">
        <v>441.63</v>
      </c>
      <c r="F5773" s="18">
        <v>41691.620000000003</v>
      </c>
      <c r="G5773" s="18">
        <v>104152</v>
      </c>
      <c r="H5773" s="18">
        <f t="shared" si="140"/>
        <v>41591.620000000003</v>
      </c>
      <c r="I5773" s="3"/>
    </row>
    <row r="5774" spans="1:9" s="4" customFormat="1" ht="20.25" customHeight="1" x14ac:dyDescent="0.55000000000000004">
      <c r="A5774" s="18">
        <v>24.707410200000002</v>
      </c>
      <c r="B5774" s="18">
        <v>34.783037100000001</v>
      </c>
      <c r="C5774" s="18">
        <v>680368.58</v>
      </c>
      <c r="D5774" s="18">
        <v>2733723.66</v>
      </c>
      <c r="E5774" s="18">
        <v>441.69</v>
      </c>
      <c r="F5774" s="18">
        <v>41691.769999999997</v>
      </c>
      <c r="G5774" s="18">
        <v>104154</v>
      </c>
      <c r="H5774" s="18">
        <f t="shared" si="140"/>
        <v>41591.769999999997</v>
      </c>
      <c r="I5774" s="3"/>
    </row>
    <row r="5775" spans="1:9" s="4" customFormat="1" ht="20.25" customHeight="1" x14ac:dyDescent="0.55000000000000004">
      <c r="A5775" s="18">
        <v>24.707404499999999</v>
      </c>
      <c r="B5775" s="18">
        <v>34.783045799999996</v>
      </c>
      <c r="C5775" s="18">
        <v>680369.47</v>
      </c>
      <c r="D5775" s="18">
        <v>2733723.05</v>
      </c>
      <c r="E5775" s="18">
        <v>441.73</v>
      </c>
      <c r="F5775" s="18">
        <v>41693.589999999997</v>
      </c>
      <c r="G5775" s="18">
        <v>104156</v>
      </c>
      <c r="H5775" s="18">
        <f t="shared" si="140"/>
        <v>41593.589999999997</v>
      </c>
      <c r="I5775" s="3"/>
    </row>
    <row r="5776" spans="1:9" s="4" customFormat="1" ht="20.25" customHeight="1" x14ac:dyDescent="0.55000000000000004">
      <c r="A5776" s="18">
        <v>24.7074058</v>
      </c>
      <c r="B5776" s="18">
        <v>34.783044799999999</v>
      </c>
      <c r="C5776" s="18">
        <v>680369.36</v>
      </c>
      <c r="D5776" s="18">
        <v>2733723.2</v>
      </c>
      <c r="E5776" s="18">
        <v>441.79</v>
      </c>
      <c r="F5776" s="18">
        <v>41693.46</v>
      </c>
      <c r="G5776" s="18">
        <v>104158</v>
      </c>
      <c r="H5776" s="18">
        <f t="shared" si="140"/>
        <v>41593.46</v>
      </c>
      <c r="I5776" s="3"/>
    </row>
    <row r="5777" spans="1:9" s="4" customFormat="1" ht="20.25" customHeight="1" x14ac:dyDescent="0.55000000000000004">
      <c r="A5777" s="18">
        <v>24.713839499999999</v>
      </c>
      <c r="B5777" s="18">
        <v>34.775430900000003</v>
      </c>
      <c r="C5777" s="18">
        <v>679589.77</v>
      </c>
      <c r="D5777" s="18">
        <v>2734425.77</v>
      </c>
      <c r="E5777" s="18">
        <v>468.91</v>
      </c>
      <c r="F5777" s="18">
        <v>41664.21</v>
      </c>
      <c r="G5777" s="18">
        <v>110202</v>
      </c>
      <c r="H5777" s="18">
        <f>SUM(F5777-115)</f>
        <v>41549.21</v>
      </c>
      <c r="I5777" s="3"/>
    </row>
    <row r="5778" spans="1:9" s="4" customFormat="1" ht="20.25" customHeight="1" x14ac:dyDescent="0.55000000000000004">
      <c r="A5778" s="18">
        <v>24.713851900000002</v>
      </c>
      <c r="B5778" s="18">
        <v>34.775410600000001</v>
      </c>
      <c r="C5778" s="18">
        <v>679587.69</v>
      </c>
      <c r="D5778" s="18">
        <v>2734427.12</v>
      </c>
      <c r="E5778" s="18">
        <v>468.95</v>
      </c>
      <c r="F5778" s="18">
        <v>41667.93</v>
      </c>
      <c r="G5778" s="18">
        <v>110204</v>
      </c>
      <c r="H5778" s="18">
        <f t="shared" ref="H5778:H5841" si="141">SUM(F5778-115)</f>
        <v>41552.93</v>
      </c>
      <c r="I5778" s="3"/>
    </row>
    <row r="5779" spans="1:9" s="4" customFormat="1" ht="20.25" customHeight="1" x14ac:dyDescent="0.55000000000000004">
      <c r="A5779" s="18">
        <v>24.713867199999999</v>
      </c>
      <c r="B5779" s="18">
        <v>34.775392099999998</v>
      </c>
      <c r="C5779" s="18">
        <v>679585.79</v>
      </c>
      <c r="D5779" s="18">
        <v>2734428.8</v>
      </c>
      <c r="E5779" s="18">
        <v>468.97</v>
      </c>
      <c r="F5779" s="18">
        <v>41670.35</v>
      </c>
      <c r="G5779" s="18">
        <v>110206</v>
      </c>
      <c r="H5779" s="18">
        <f t="shared" si="141"/>
        <v>41555.35</v>
      </c>
      <c r="I5779" s="3"/>
    </row>
    <row r="5780" spans="1:9" s="4" customFormat="1" ht="20.25" customHeight="1" x14ac:dyDescent="0.55000000000000004">
      <c r="A5780" s="18">
        <v>24.7138843</v>
      </c>
      <c r="B5780" s="18">
        <v>34.775380400000003</v>
      </c>
      <c r="C5780" s="18">
        <v>679584.59</v>
      </c>
      <c r="D5780" s="18">
        <v>2734430.68</v>
      </c>
      <c r="E5780" s="18">
        <v>468.98</v>
      </c>
      <c r="F5780" s="18">
        <v>41672.83</v>
      </c>
      <c r="G5780" s="18">
        <v>110208</v>
      </c>
      <c r="H5780" s="18">
        <f t="shared" si="141"/>
        <v>41557.83</v>
      </c>
      <c r="I5780" s="3"/>
    </row>
    <row r="5781" spans="1:9" s="4" customFormat="1" ht="20.25" customHeight="1" x14ac:dyDescent="0.55000000000000004">
      <c r="A5781" s="18">
        <v>24.713902300000001</v>
      </c>
      <c r="B5781" s="18">
        <v>34.775360800000001</v>
      </c>
      <c r="C5781" s="18">
        <v>679582.58</v>
      </c>
      <c r="D5781" s="18">
        <v>2734432.64</v>
      </c>
      <c r="E5781" s="18">
        <v>469.02</v>
      </c>
      <c r="F5781" s="18">
        <v>41671.01</v>
      </c>
      <c r="G5781" s="18">
        <v>110210</v>
      </c>
      <c r="H5781" s="18">
        <f t="shared" si="141"/>
        <v>41556.01</v>
      </c>
      <c r="I5781" s="3"/>
    </row>
    <row r="5782" spans="1:9" s="4" customFormat="1" ht="20.25" customHeight="1" x14ac:dyDescent="0.55000000000000004">
      <c r="A5782" s="18">
        <v>24.713916000000001</v>
      </c>
      <c r="B5782" s="18">
        <v>34.775339099999997</v>
      </c>
      <c r="C5782" s="18">
        <v>679580.36</v>
      </c>
      <c r="D5782" s="18">
        <v>2734434.13</v>
      </c>
      <c r="E5782" s="18">
        <v>469.03</v>
      </c>
      <c r="F5782" s="18">
        <v>41671.599999999999</v>
      </c>
      <c r="G5782" s="18">
        <v>110212</v>
      </c>
      <c r="H5782" s="18">
        <f t="shared" si="141"/>
        <v>41556.6</v>
      </c>
      <c r="I5782" s="3"/>
    </row>
    <row r="5783" spans="1:9" s="4" customFormat="1" ht="20.25" customHeight="1" x14ac:dyDescent="0.55000000000000004">
      <c r="A5783" s="18">
        <v>24.7139317</v>
      </c>
      <c r="B5783" s="18">
        <v>34.775316400000001</v>
      </c>
      <c r="C5783" s="18">
        <v>679578.04</v>
      </c>
      <c r="D5783" s="18">
        <v>2734435.84</v>
      </c>
      <c r="E5783" s="18">
        <v>469.08</v>
      </c>
      <c r="F5783" s="18">
        <v>41678.65</v>
      </c>
      <c r="G5783" s="18">
        <v>110214</v>
      </c>
      <c r="H5783" s="18">
        <f t="shared" si="141"/>
        <v>41563.65</v>
      </c>
      <c r="I5783" s="3"/>
    </row>
    <row r="5784" spans="1:9" s="4" customFormat="1" ht="20.25" customHeight="1" x14ac:dyDescent="0.55000000000000004">
      <c r="A5784" s="18">
        <v>24.713950000000001</v>
      </c>
      <c r="B5784" s="18">
        <v>34.775297399999999</v>
      </c>
      <c r="C5784" s="18">
        <v>679576.09</v>
      </c>
      <c r="D5784" s="18">
        <v>2734437.85</v>
      </c>
      <c r="E5784" s="18">
        <v>469.25</v>
      </c>
      <c r="F5784" s="18">
        <v>41671.660000000003</v>
      </c>
      <c r="G5784" s="18">
        <v>110216</v>
      </c>
      <c r="H5784" s="18">
        <f t="shared" si="141"/>
        <v>41556.660000000003</v>
      </c>
      <c r="I5784" s="3"/>
    </row>
    <row r="5785" spans="1:9" s="4" customFormat="1" ht="20.25" customHeight="1" x14ac:dyDescent="0.55000000000000004">
      <c r="A5785" s="18">
        <v>24.713968399999999</v>
      </c>
      <c r="B5785" s="18">
        <v>34.775276699999999</v>
      </c>
      <c r="C5785" s="18">
        <v>679573.97</v>
      </c>
      <c r="D5785" s="18">
        <v>2734439.85</v>
      </c>
      <c r="E5785" s="18">
        <v>469.29</v>
      </c>
      <c r="F5785" s="18">
        <v>41672.26</v>
      </c>
      <c r="G5785" s="18">
        <v>110218</v>
      </c>
      <c r="H5785" s="18">
        <f t="shared" si="141"/>
        <v>41557.26</v>
      </c>
      <c r="I5785" s="3"/>
    </row>
    <row r="5786" spans="1:9" s="4" customFormat="1" ht="20.25" customHeight="1" x14ac:dyDescent="0.55000000000000004">
      <c r="A5786" s="18">
        <v>24.713986500000001</v>
      </c>
      <c r="B5786" s="18">
        <v>34.775254400000001</v>
      </c>
      <c r="C5786" s="18">
        <v>679571.7</v>
      </c>
      <c r="D5786" s="18">
        <v>2734441.83</v>
      </c>
      <c r="E5786" s="18">
        <v>469.32</v>
      </c>
      <c r="F5786" s="18">
        <v>41671.71</v>
      </c>
      <c r="G5786" s="18">
        <v>110220</v>
      </c>
      <c r="H5786" s="18">
        <f t="shared" si="141"/>
        <v>41556.71</v>
      </c>
      <c r="I5786" s="3"/>
    </row>
    <row r="5787" spans="1:9" s="4" customFormat="1" ht="20.25" customHeight="1" x14ac:dyDescent="0.55000000000000004">
      <c r="A5787" s="18">
        <v>24.7140038</v>
      </c>
      <c r="B5787" s="18">
        <v>34.775233800000002</v>
      </c>
      <c r="C5787" s="18">
        <v>679569.59</v>
      </c>
      <c r="D5787" s="18">
        <v>2734443.72</v>
      </c>
      <c r="E5787" s="18">
        <v>469.35</v>
      </c>
      <c r="F5787" s="18">
        <v>41672.26</v>
      </c>
      <c r="G5787" s="18">
        <v>110222</v>
      </c>
      <c r="H5787" s="18">
        <f t="shared" si="141"/>
        <v>41557.26</v>
      </c>
      <c r="I5787" s="3"/>
    </row>
    <row r="5788" spans="1:9" s="4" customFormat="1" ht="20.25" customHeight="1" x14ac:dyDescent="0.55000000000000004">
      <c r="A5788" s="18">
        <v>24.714020699999999</v>
      </c>
      <c r="B5788" s="18">
        <v>34.775211900000002</v>
      </c>
      <c r="C5788" s="18">
        <v>679567.34</v>
      </c>
      <c r="D5788" s="18">
        <v>2734445.57</v>
      </c>
      <c r="E5788" s="18">
        <v>469.35</v>
      </c>
      <c r="F5788" s="18">
        <v>41672.949999999997</v>
      </c>
      <c r="G5788" s="18">
        <v>110224</v>
      </c>
      <c r="H5788" s="18">
        <f t="shared" si="141"/>
        <v>41557.949999999997</v>
      </c>
      <c r="I5788" s="3"/>
    </row>
    <row r="5789" spans="1:9" s="4" customFormat="1" ht="20.25" customHeight="1" x14ac:dyDescent="0.55000000000000004">
      <c r="A5789" s="18">
        <v>24.714040399999998</v>
      </c>
      <c r="B5789" s="18">
        <v>34.775190899999998</v>
      </c>
      <c r="C5789" s="18">
        <v>679565.19</v>
      </c>
      <c r="D5789" s="18">
        <v>2734447.72</v>
      </c>
      <c r="E5789" s="18">
        <v>469.38</v>
      </c>
      <c r="F5789" s="18">
        <v>41673.160000000003</v>
      </c>
      <c r="G5789" s="18">
        <v>110226</v>
      </c>
      <c r="H5789" s="18">
        <f t="shared" si="141"/>
        <v>41558.160000000003</v>
      </c>
      <c r="I5789" s="3"/>
    </row>
    <row r="5790" spans="1:9" s="4" customFormat="1" ht="20.25" customHeight="1" x14ac:dyDescent="0.55000000000000004">
      <c r="A5790" s="18">
        <v>24.714058300000001</v>
      </c>
      <c r="B5790" s="18">
        <v>34.775171200000003</v>
      </c>
      <c r="C5790" s="18">
        <v>679563.17</v>
      </c>
      <c r="D5790" s="18">
        <v>2734449.67</v>
      </c>
      <c r="E5790" s="18">
        <v>469.45</v>
      </c>
      <c r="F5790" s="18">
        <v>41676.269999999997</v>
      </c>
      <c r="G5790" s="18">
        <v>110228</v>
      </c>
      <c r="H5790" s="18">
        <f t="shared" si="141"/>
        <v>41561.269999999997</v>
      </c>
      <c r="I5790" s="3"/>
    </row>
    <row r="5791" spans="1:9" s="4" customFormat="1" ht="20.25" customHeight="1" x14ac:dyDescent="0.55000000000000004">
      <c r="A5791" s="18">
        <v>24.714077</v>
      </c>
      <c r="B5791" s="18">
        <v>34.7751527</v>
      </c>
      <c r="C5791" s="18">
        <v>679561.27</v>
      </c>
      <c r="D5791" s="18">
        <v>2734451.72</v>
      </c>
      <c r="E5791" s="18">
        <v>469.53</v>
      </c>
      <c r="F5791" s="18">
        <v>41676.080000000002</v>
      </c>
      <c r="G5791" s="18">
        <v>110230</v>
      </c>
      <c r="H5791" s="18">
        <f t="shared" si="141"/>
        <v>41561.08</v>
      </c>
      <c r="I5791" s="3"/>
    </row>
    <row r="5792" spans="1:9" s="4" customFormat="1" ht="20.25" customHeight="1" x14ac:dyDescent="0.55000000000000004">
      <c r="A5792" s="18">
        <v>24.714095799999999</v>
      </c>
      <c r="B5792" s="18">
        <v>34.775133199999999</v>
      </c>
      <c r="C5792" s="18">
        <v>679559.28</v>
      </c>
      <c r="D5792" s="18">
        <v>2734453.77</v>
      </c>
      <c r="E5792" s="18">
        <v>469.53</v>
      </c>
      <c r="F5792" s="18">
        <v>41675</v>
      </c>
      <c r="G5792" s="18">
        <v>110232</v>
      </c>
      <c r="H5792" s="18">
        <f t="shared" si="141"/>
        <v>41560</v>
      </c>
      <c r="I5792" s="3"/>
    </row>
    <row r="5793" spans="1:9" s="4" customFormat="1" ht="20.25" customHeight="1" x14ac:dyDescent="0.55000000000000004">
      <c r="A5793" s="18">
        <v>24.714113399999999</v>
      </c>
      <c r="B5793" s="18">
        <v>34.775112499999999</v>
      </c>
      <c r="C5793" s="18">
        <v>679557.15</v>
      </c>
      <c r="D5793" s="18">
        <v>2734455.7</v>
      </c>
      <c r="E5793" s="18">
        <v>469.57</v>
      </c>
      <c r="F5793" s="18">
        <v>41676.639999999999</v>
      </c>
      <c r="G5793" s="18">
        <v>110234</v>
      </c>
      <c r="H5793" s="18">
        <f t="shared" si="141"/>
        <v>41561.64</v>
      </c>
      <c r="I5793" s="3"/>
    </row>
    <row r="5794" spans="1:9" s="4" customFormat="1" ht="20.25" customHeight="1" x14ac:dyDescent="0.55000000000000004">
      <c r="A5794" s="18">
        <v>24.714127600000001</v>
      </c>
      <c r="B5794" s="18">
        <v>34.775089999999999</v>
      </c>
      <c r="C5794" s="18">
        <v>679554.86</v>
      </c>
      <c r="D5794" s="18">
        <v>2734457.24</v>
      </c>
      <c r="E5794" s="18">
        <v>469.68</v>
      </c>
      <c r="F5794" s="18">
        <v>41677.120000000003</v>
      </c>
      <c r="G5794" s="18">
        <v>110236</v>
      </c>
      <c r="H5794" s="18">
        <f t="shared" si="141"/>
        <v>41562.120000000003</v>
      </c>
      <c r="I5794" s="3"/>
    </row>
    <row r="5795" spans="1:9" s="4" customFormat="1" ht="20.25" customHeight="1" x14ac:dyDescent="0.55000000000000004">
      <c r="A5795" s="18">
        <v>24.7141418</v>
      </c>
      <c r="B5795" s="18">
        <v>34.775066600000002</v>
      </c>
      <c r="C5795" s="18">
        <v>679552.47</v>
      </c>
      <c r="D5795" s="18">
        <v>2734458.78</v>
      </c>
      <c r="E5795" s="18">
        <v>469.73</v>
      </c>
      <c r="F5795" s="18">
        <v>41680.050000000003</v>
      </c>
      <c r="G5795" s="18">
        <v>110238</v>
      </c>
      <c r="H5795" s="18">
        <f t="shared" si="141"/>
        <v>41565.050000000003</v>
      </c>
      <c r="I5795" s="3"/>
    </row>
    <row r="5796" spans="1:9" s="4" customFormat="1" ht="20.25" customHeight="1" x14ac:dyDescent="0.55000000000000004">
      <c r="A5796" s="18">
        <v>24.7141606</v>
      </c>
      <c r="B5796" s="18">
        <v>34.775048699999999</v>
      </c>
      <c r="C5796" s="18">
        <v>679550.63</v>
      </c>
      <c r="D5796" s="18">
        <v>2734460.84</v>
      </c>
      <c r="E5796" s="18">
        <v>469.8</v>
      </c>
      <c r="F5796" s="18">
        <v>41674.18</v>
      </c>
      <c r="G5796" s="18">
        <v>110240</v>
      </c>
      <c r="H5796" s="18">
        <f t="shared" si="141"/>
        <v>41559.18</v>
      </c>
      <c r="I5796" s="3"/>
    </row>
    <row r="5797" spans="1:9" s="4" customFormat="1" ht="20.25" customHeight="1" x14ac:dyDescent="0.55000000000000004">
      <c r="A5797" s="18">
        <v>24.714180200000001</v>
      </c>
      <c r="B5797" s="18">
        <v>34.775029500000002</v>
      </c>
      <c r="C5797" s="18">
        <v>679548.66</v>
      </c>
      <c r="D5797" s="18">
        <v>2734462.99</v>
      </c>
      <c r="E5797" s="18">
        <v>469.86</v>
      </c>
      <c r="F5797" s="18">
        <v>41674.71</v>
      </c>
      <c r="G5797" s="18">
        <v>110242</v>
      </c>
      <c r="H5797" s="18">
        <f t="shared" si="141"/>
        <v>41559.71</v>
      </c>
      <c r="I5797" s="3"/>
    </row>
    <row r="5798" spans="1:9" s="4" customFormat="1" ht="20.25" customHeight="1" x14ac:dyDescent="0.55000000000000004">
      <c r="A5798" s="18">
        <v>24.714200099999999</v>
      </c>
      <c r="B5798" s="18">
        <v>34.7750105</v>
      </c>
      <c r="C5798" s="18">
        <v>679546.71</v>
      </c>
      <c r="D5798" s="18">
        <v>2734465.17</v>
      </c>
      <c r="E5798" s="18">
        <v>469.85</v>
      </c>
      <c r="F5798" s="18">
        <v>41675.4</v>
      </c>
      <c r="G5798" s="18">
        <v>110244</v>
      </c>
      <c r="H5798" s="18">
        <f t="shared" si="141"/>
        <v>41560.400000000001</v>
      </c>
      <c r="I5798" s="3"/>
    </row>
    <row r="5799" spans="1:9" s="4" customFormat="1" ht="20.25" customHeight="1" x14ac:dyDescent="0.55000000000000004">
      <c r="A5799" s="18">
        <v>24.7142166</v>
      </c>
      <c r="B5799" s="18">
        <v>34.774990799999998</v>
      </c>
      <c r="C5799" s="18">
        <v>679544.69</v>
      </c>
      <c r="D5799" s="18">
        <v>2734466.96</v>
      </c>
      <c r="E5799" s="18">
        <v>469.98</v>
      </c>
      <c r="F5799" s="18">
        <v>41679.33</v>
      </c>
      <c r="G5799" s="18">
        <v>110246</v>
      </c>
      <c r="H5799" s="18">
        <f t="shared" si="141"/>
        <v>41564.33</v>
      </c>
      <c r="I5799" s="3"/>
    </row>
    <row r="5800" spans="1:9" s="4" customFormat="1" ht="20.25" customHeight="1" x14ac:dyDescent="0.55000000000000004">
      <c r="A5800" s="18">
        <v>24.714231900000001</v>
      </c>
      <c r="B5800" s="18">
        <v>34.774970099999997</v>
      </c>
      <c r="C5800" s="18">
        <v>679542.58</v>
      </c>
      <c r="D5800" s="18">
        <v>2734468.63</v>
      </c>
      <c r="E5800" s="18">
        <v>469.99</v>
      </c>
      <c r="F5800" s="18">
        <v>41678.97</v>
      </c>
      <c r="G5800" s="18">
        <v>110248</v>
      </c>
      <c r="H5800" s="18">
        <f t="shared" si="141"/>
        <v>41563.97</v>
      </c>
      <c r="I5800" s="3"/>
    </row>
    <row r="5801" spans="1:9" s="4" customFormat="1" ht="20.25" customHeight="1" x14ac:dyDescent="0.55000000000000004">
      <c r="A5801" s="18">
        <v>24.714246299999999</v>
      </c>
      <c r="B5801" s="18">
        <v>34.774946900000003</v>
      </c>
      <c r="C5801" s="18">
        <v>679540.21</v>
      </c>
      <c r="D5801" s="18">
        <v>2734470.2</v>
      </c>
      <c r="E5801" s="18">
        <v>470.04</v>
      </c>
      <c r="F5801" s="18">
        <v>41678.6</v>
      </c>
      <c r="G5801" s="18">
        <v>110250</v>
      </c>
      <c r="H5801" s="18">
        <f t="shared" si="141"/>
        <v>41563.599999999999</v>
      </c>
      <c r="I5801" s="3"/>
    </row>
    <row r="5802" spans="1:9" s="4" customFormat="1" ht="20.25" customHeight="1" x14ac:dyDescent="0.55000000000000004">
      <c r="A5802" s="18">
        <v>24.714263500000001</v>
      </c>
      <c r="B5802" s="18">
        <v>34.774926299999997</v>
      </c>
      <c r="C5802" s="18">
        <v>679538.1</v>
      </c>
      <c r="D5802" s="18">
        <v>2734472.08</v>
      </c>
      <c r="E5802" s="18">
        <v>470</v>
      </c>
      <c r="F5802" s="18">
        <v>41679.93</v>
      </c>
      <c r="G5802" s="18">
        <v>110252</v>
      </c>
      <c r="H5802" s="18">
        <f t="shared" si="141"/>
        <v>41564.93</v>
      </c>
      <c r="I5802" s="3"/>
    </row>
    <row r="5803" spans="1:9" s="4" customFormat="1" ht="20.25" customHeight="1" x14ac:dyDescent="0.55000000000000004">
      <c r="A5803" s="18">
        <v>24.714280500000001</v>
      </c>
      <c r="B5803" s="18">
        <v>34.7749053</v>
      </c>
      <c r="C5803" s="18">
        <v>679535.95</v>
      </c>
      <c r="D5803" s="18">
        <v>2734473.93</v>
      </c>
      <c r="E5803" s="18">
        <v>469.98</v>
      </c>
      <c r="F5803" s="18">
        <v>41679.360000000001</v>
      </c>
      <c r="G5803" s="18">
        <v>110254</v>
      </c>
      <c r="H5803" s="18">
        <f t="shared" si="141"/>
        <v>41564.36</v>
      </c>
      <c r="I5803" s="3"/>
    </row>
    <row r="5804" spans="1:9" s="4" customFormat="1" ht="20.25" customHeight="1" x14ac:dyDescent="0.55000000000000004">
      <c r="A5804" s="18">
        <v>24.7142959</v>
      </c>
      <c r="B5804" s="18">
        <v>34.774885099999999</v>
      </c>
      <c r="C5804" s="18">
        <v>679533.88</v>
      </c>
      <c r="D5804" s="18">
        <v>2734475.61</v>
      </c>
      <c r="E5804" s="18">
        <v>470.05</v>
      </c>
      <c r="F5804" s="18">
        <v>41679.29</v>
      </c>
      <c r="G5804" s="18">
        <v>110256</v>
      </c>
      <c r="H5804" s="18">
        <f t="shared" si="141"/>
        <v>41564.29</v>
      </c>
      <c r="I5804" s="3"/>
    </row>
    <row r="5805" spans="1:9" s="4" customFormat="1" ht="20.25" customHeight="1" x14ac:dyDescent="0.55000000000000004">
      <c r="A5805" s="18">
        <v>24.714308899999999</v>
      </c>
      <c r="B5805" s="18">
        <v>34.774862300000002</v>
      </c>
      <c r="C5805" s="18">
        <v>679531.56</v>
      </c>
      <c r="D5805" s="18">
        <v>2734477.03</v>
      </c>
      <c r="E5805" s="18">
        <v>470.24</v>
      </c>
      <c r="F5805" s="18">
        <v>41675.25</v>
      </c>
      <c r="G5805" s="18">
        <v>110258</v>
      </c>
      <c r="H5805" s="18">
        <f t="shared" si="141"/>
        <v>41560.25</v>
      </c>
      <c r="I5805" s="3"/>
    </row>
    <row r="5806" spans="1:9" s="4" customFormat="1" ht="20.25" customHeight="1" x14ac:dyDescent="0.55000000000000004">
      <c r="A5806" s="18">
        <v>24.714323700000001</v>
      </c>
      <c r="B5806" s="18">
        <v>34.774841100000003</v>
      </c>
      <c r="C5806" s="18">
        <v>679529.4</v>
      </c>
      <c r="D5806" s="18">
        <v>2734478.63</v>
      </c>
      <c r="E5806" s="18">
        <v>470.28</v>
      </c>
      <c r="F5806" s="18">
        <v>41676.07</v>
      </c>
      <c r="G5806" s="18">
        <v>110300</v>
      </c>
      <c r="H5806" s="18">
        <f t="shared" si="141"/>
        <v>41561.07</v>
      </c>
      <c r="I5806" s="3"/>
    </row>
    <row r="5807" spans="1:9" s="4" customFormat="1" ht="20.25" customHeight="1" x14ac:dyDescent="0.55000000000000004">
      <c r="A5807" s="18">
        <v>24.714338699999999</v>
      </c>
      <c r="B5807" s="18">
        <v>34.774819000000001</v>
      </c>
      <c r="C5807" s="18">
        <v>679527.13</v>
      </c>
      <c r="D5807" s="18">
        <v>2734480.26</v>
      </c>
      <c r="E5807" s="18">
        <v>470.37</v>
      </c>
      <c r="F5807" s="18">
        <v>41676.46</v>
      </c>
      <c r="G5807" s="18">
        <v>110302</v>
      </c>
      <c r="H5807" s="18">
        <f t="shared" si="141"/>
        <v>41561.46</v>
      </c>
      <c r="I5807" s="3"/>
    </row>
    <row r="5808" spans="1:9" s="4" customFormat="1" ht="20.25" customHeight="1" x14ac:dyDescent="0.55000000000000004">
      <c r="A5808" s="18">
        <v>24.7143549</v>
      </c>
      <c r="B5808" s="18">
        <v>34.774797599999999</v>
      </c>
      <c r="C5808" s="18">
        <v>679524.95</v>
      </c>
      <c r="D5808" s="18">
        <v>2734482.03</v>
      </c>
      <c r="E5808" s="18">
        <v>470.42</v>
      </c>
      <c r="F5808" s="18">
        <v>41678.050000000003</v>
      </c>
      <c r="G5808" s="18">
        <v>110304</v>
      </c>
      <c r="H5808" s="18">
        <f t="shared" si="141"/>
        <v>41563.050000000003</v>
      </c>
      <c r="I5808" s="3"/>
    </row>
    <row r="5809" spans="1:9" s="4" customFormat="1" ht="20.25" customHeight="1" x14ac:dyDescent="0.55000000000000004">
      <c r="A5809" s="18">
        <v>24.714373800000001</v>
      </c>
      <c r="B5809" s="18">
        <v>34.774779600000002</v>
      </c>
      <c r="C5809" s="18">
        <v>679523.1</v>
      </c>
      <c r="D5809" s="18">
        <v>2734484.11</v>
      </c>
      <c r="E5809" s="18">
        <v>470.39</v>
      </c>
      <c r="F5809" s="18">
        <v>41677.35</v>
      </c>
      <c r="G5809" s="18">
        <v>110306</v>
      </c>
      <c r="H5809" s="18">
        <f t="shared" si="141"/>
        <v>41562.35</v>
      </c>
      <c r="I5809" s="3"/>
    </row>
    <row r="5810" spans="1:9" s="4" customFormat="1" ht="20.25" customHeight="1" x14ac:dyDescent="0.55000000000000004">
      <c r="A5810" s="18">
        <v>24.714397200000001</v>
      </c>
      <c r="B5810" s="18">
        <v>34.774762299999999</v>
      </c>
      <c r="C5810" s="18">
        <v>679521.31</v>
      </c>
      <c r="D5810" s="18">
        <v>2734486.68</v>
      </c>
      <c r="E5810" s="18">
        <v>470.44</v>
      </c>
      <c r="F5810" s="18">
        <v>41678.61</v>
      </c>
      <c r="G5810" s="18">
        <v>110308</v>
      </c>
      <c r="H5810" s="18">
        <f t="shared" si="141"/>
        <v>41563.61</v>
      </c>
      <c r="I5810" s="3"/>
    </row>
    <row r="5811" spans="1:9" s="4" customFormat="1" ht="20.25" customHeight="1" x14ac:dyDescent="0.55000000000000004">
      <c r="A5811" s="18">
        <v>24.7144178</v>
      </c>
      <c r="B5811" s="18">
        <v>34.774747900000001</v>
      </c>
      <c r="C5811" s="18">
        <v>679519.83</v>
      </c>
      <c r="D5811" s="18">
        <v>2734488.94</v>
      </c>
      <c r="E5811" s="18">
        <v>470.64</v>
      </c>
      <c r="F5811" s="18">
        <v>41678.04</v>
      </c>
      <c r="G5811" s="18">
        <v>110310</v>
      </c>
      <c r="H5811" s="18">
        <f t="shared" si="141"/>
        <v>41563.040000000001</v>
      </c>
      <c r="I5811" s="3"/>
    </row>
    <row r="5812" spans="1:9" s="4" customFormat="1" ht="20.25" customHeight="1" x14ac:dyDescent="0.55000000000000004">
      <c r="A5812" s="18">
        <v>24.714435600000002</v>
      </c>
      <c r="B5812" s="18">
        <v>34.774728400000001</v>
      </c>
      <c r="C5812" s="18">
        <v>679517.83</v>
      </c>
      <c r="D5812" s="18">
        <v>2734490.89</v>
      </c>
      <c r="E5812" s="18">
        <v>470.28</v>
      </c>
      <c r="F5812" s="18">
        <v>41677.410000000003</v>
      </c>
      <c r="G5812" s="18">
        <v>110312</v>
      </c>
      <c r="H5812" s="18">
        <f t="shared" si="141"/>
        <v>41562.410000000003</v>
      </c>
      <c r="I5812" s="3"/>
    </row>
    <row r="5813" spans="1:9" s="4" customFormat="1" ht="20.25" customHeight="1" x14ac:dyDescent="0.55000000000000004">
      <c r="A5813" s="18">
        <v>24.7144543</v>
      </c>
      <c r="B5813" s="18">
        <v>34.774715399999998</v>
      </c>
      <c r="C5813" s="18">
        <v>679516.49</v>
      </c>
      <c r="D5813" s="18">
        <v>2734492.94</v>
      </c>
      <c r="E5813" s="18">
        <v>470.24</v>
      </c>
      <c r="F5813" s="18">
        <v>41680.879999999997</v>
      </c>
      <c r="G5813" s="18">
        <v>110314</v>
      </c>
      <c r="H5813" s="18">
        <f t="shared" si="141"/>
        <v>41565.879999999997</v>
      </c>
      <c r="I5813" s="3"/>
    </row>
    <row r="5814" spans="1:9" s="4" customFormat="1" ht="20.25" customHeight="1" x14ac:dyDescent="0.55000000000000004">
      <c r="A5814" s="18">
        <v>24.714473399999999</v>
      </c>
      <c r="B5814" s="18">
        <v>34.7747046</v>
      </c>
      <c r="C5814" s="18">
        <v>679515.37</v>
      </c>
      <c r="D5814" s="18">
        <v>2734495.04</v>
      </c>
      <c r="E5814" s="18">
        <v>470.19</v>
      </c>
      <c r="F5814" s="18">
        <v>41676.97</v>
      </c>
      <c r="G5814" s="18">
        <v>110316</v>
      </c>
      <c r="H5814" s="18">
        <f t="shared" si="141"/>
        <v>41561.97</v>
      </c>
      <c r="I5814" s="3"/>
    </row>
    <row r="5815" spans="1:9" s="4" customFormat="1" ht="20.25" customHeight="1" x14ac:dyDescent="0.55000000000000004">
      <c r="A5815" s="18">
        <v>24.714492100000001</v>
      </c>
      <c r="B5815" s="18">
        <v>34.774690499999998</v>
      </c>
      <c r="C5815" s="18">
        <v>679513.92</v>
      </c>
      <c r="D5815" s="18">
        <v>2734497.09</v>
      </c>
      <c r="E5815" s="18">
        <v>470.24</v>
      </c>
      <c r="F5815" s="18">
        <v>41678.39</v>
      </c>
      <c r="G5815" s="18">
        <v>110318</v>
      </c>
      <c r="H5815" s="18">
        <f t="shared" si="141"/>
        <v>41563.39</v>
      </c>
      <c r="I5815" s="3"/>
    </row>
    <row r="5816" spans="1:9" s="4" customFormat="1" ht="20.25" customHeight="1" x14ac:dyDescent="0.55000000000000004">
      <c r="A5816" s="18">
        <v>24.714508500000001</v>
      </c>
      <c r="B5816" s="18">
        <v>34.774673800000002</v>
      </c>
      <c r="C5816" s="18">
        <v>679512.21</v>
      </c>
      <c r="D5816" s="18">
        <v>2734498.88</v>
      </c>
      <c r="E5816" s="18">
        <v>470.23</v>
      </c>
      <c r="F5816" s="18">
        <v>41678.89</v>
      </c>
      <c r="G5816" s="18">
        <v>110320</v>
      </c>
      <c r="H5816" s="18">
        <f t="shared" si="141"/>
        <v>41563.89</v>
      </c>
      <c r="I5816" s="3"/>
    </row>
    <row r="5817" spans="1:9" s="4" customFormat="1" ht="20.25" customHeight="1" x14ac:dyDescent="0.55000000000000004">
      <c r="A5817" s="18">
        <v>24.714527100000002</v>
      </c>
      <c r="B5817" s="18">
        <v>34.774659900000003</v>
      </c>
      <c r="C5817" s="18">
        <v>679510.77</v>
      </c>
      <c r="D5817" s="18">
        <v>2734500.92</v>
      </c>
      <c r="E5817" s="18">
        <v>470.09</v>
      </c>
      <c r="F5817" s="18">
        <v>41683.49</v>
      </c>
      <c r="G5817" s="18">
        <v>110322</v>
      </c>
      <c r="H5817" s="18">
        <f t="shared" si="141"/>
        <v>41568.49</v>
      </c>
      <c r="I5817" s="3"/>
    </row>
    <row r="5818" spans="1:9" s="4" customFormat="1" ht="20.25" customHeight="1" x14ac:dyDescent="0.55000000000000004">
      <c r="A5818" s="18">
        <v>24.714544499999999</v>
      </c>
      <c r="B5818" s="18">
        <v>34.774645499999998</v>
      </c>
      <c r="C5818" s="18">
        <v>679509.28</v>
      </c>
      <c r="D5818" s="18">
        <v>2734502.83</v>
      </c>
      <c r="E5818" s="18">
        <v>470.09</v>
      </c>
      <c r="F5818" s="18">
        <v>41684.629999999997</v>
      </c>
      <c r="G5818" s="18">
        <v>110324</v>
      </c>
      <c r="H5818" s="18">
        <f t="shared" si="141"/>
        <v>41569.629999999997</v>
      </c>
      <c r="I5818" s="3"/>
    </row>
    <row r="5819" spans="1:9" s="4" customFormat="1" ht="20.25" customHeight="1" x14ac:dyDescent="0.55000000000000004">
      <c r="A5819" s="18">
        <v>24.7145619</v>
      </c>
      <c r="B5819" s="18">
        <v>34.774630899999998</v>
      </c>
      <c r="C5819" s="18">
        <v>679507.79</v>
      </c>
      <c r="D5819" s="18">
        <v>2734504.74</v>
      </c>
      <c r="E5819" s="18">
        <v>470.16</v>
      </c>
      <c r="F5819" s="18">
        <v>41681.72</v>
      </c>
      <c r="G5819" s="18">
        <v>110326</v>
      </c>
      <c r="H5819" s="18">
        <f t="shared" si="141"/>
        <v>41566.720000000001</v>
      </c>
      <c r="I5819" s="3"/>
    </row>
    <row r="5820" spans="1:9" s="4" customFormat="1" ht="20.25" customHeight="1" x14ac:dyDescent="0.55000000000000004">
      <c r="A5820" s="18">
        <v>24.7145808</v>
      </c>
      <c r="B5820" s="18">
        <v>34.774614499999998</v>
      </c>
      <c r="C5820" s="18">
        <v>679506.1</v>
      </c>
      <c r="D5820" s="18">
        <v>2734506.82</v>
      </c>
      <c r="E5820" s="18">
        <v>470.35</v>
      </c>
      <c r="F5820" s="18">
        <v>41682.47</v>
      </c>
      <c r="G5820" s="18">
        <v>110328</v>
      </c>
      <c r="H5820" s="18">
        <f t="shared" si="141"/>
        <v>41567.47</v>
      </c>
      <c r="I5820" s="3"/>
    </row>
    <row r="5821" spans="1:9" s="4" customFormat="1" ht="20.25" customHeight="1" x14ac:dyDescent="0.55000000000000004">
      <c r="A5821" s="18">
        <v>24.7145954</v>
      </c>
      <c r="B5821" s="18">
        <v>34.774598699999999</v>
      </c>
      <c r="C5821" s="18">
        <v>679504.48</v>
      </c>
      <c r="D5821" s="18">
        <v>2734508.41</v>
      </c>
      <c r="E5821" s="18">
        <v>470.5</v>
      </c>
      <c r="F5821" s="18">
        <v>41682.11</v>
      </c>
      <c r="G5821" s="18">
        <v>110330</v>
      </c>
      <c r="H5821" s="18">
        <f t="shared" si="141"/>
        <v>41567.11</v>
      </c>
      <c r="I5821" s="3"/>
    </row>
    <row r="5822" spans="1:9" s="4" customFormat="1" ht="20.25" customHeight="1" x14ac:dyDescent="0.55000000000000004">
      <c r="A5822" s="18">
        <v>24.714610499999999</v>
      </c>
      <c r="B5822" s="18">
        <v>34.774584599999997</v>
      </c>
      <c r="C5822" s="18">
        <v>679503.04</v>
      </c>
      <c r="D5822" s="18">
        <v>2734510.07</v>
      </c>
      <c r="E5822" s="18">
        <v>470.74</v>
      </c>
      <c r="F5822" s="18">
        <v>41682.089999999997</v>
      </c>
      <c r="G5822" s="18">
        <v>110332</v>
      </c>
      <c r="H5822" s="18">
        <f t="shared" si="141"/>
        <v>41567.089999999997</v>
      </c>
      <c r="I5822" s="3"/>
    </row>
    <row r="5823" spans="1:9" s="4" customFormat="1" ht="20.25" customHeight="1" x14ac:dyDescent="0.55000000000000004">
      <c r="A5823" s="18">
        <v>24.714620400000001</v>
      </c>
      <c r="B5823" s="18">
        <v>34.774569700000001</v>
      </c>
      <c r="C5823" s="18">
        <v>679501.51</v>
      </c>
      <c r="D5823" s="18">
        <v>2734511.14</v>
      </c>
      <c r="E5823" s="18">
        <v>470.98</v>
      </c>
      <c r="F5823" s="18">
        <v>41681.760000000002</v>
      </c>
      <c r="G5823" s="18">
        <v>110334</v>
      </c>
      <c r="H5823" s="18">
        <f t="shared" si="141"/>
        <v>41566.76</v>
      </c>
      <c r="I5823" s="3"/>
    </row>
    <row r="5824" spans="1:9" s="4" customFormat="1" ht="20.25" customHeight="1" x14ac:dyDescent="0.55000000000000004">
      <c r="A5824" s="18">
        <v>24.714630799999998</v>
      </c>
      <c r="B5824" s="18">
        <v>34.774552900000003</v>
      </c>
      <c r="C5824" s="18">
        <v>679499.79</v>
      </c>
      <c r="D5824" s="18">
        <v>2734512.27</v>
      </c>
      <c r="E5824" s="18">
        <v>471.23</v>
      </c>
      <c r="F5824" s="18">
        <v>41681.07</v>
      </c>
      <c r="G5824" s="18">
        <v>110336</v>
      </c>
      <c r="H5824" s="18">
        <f t="shared" si="141"/>
        <v>41566.07</v>
      </c>
      <c r="I5824" s="3"/>
    </row>
    <row r="5825" spans="1:9" s="4" customFormat="1" ht="20.25" customHeight="1" x14ac:dyDescent="0.55000000000000004">
      <c r="A5825" s="18">
        <v>24.714642099999999</v>
      </c>
      <c r="B5825" s="18">
        <v>34.774532899999997</v>
      </c>
      <c r="C5825" s="18">
        <v>679497.75</v>
      </c>
      <c r="D5825" s="18">
        <v>2734513.5</v>
      </c>
      <c r="E5825" s="18">
        <v>471.4</v>
      </c>
      <c r="F5825" s="18">
        <v>41683.42</v>
      </c>
      <c r="G5825" s="18">
        <v>110338</v>
      </c>
      <c r="H5825" s="18">
        <f t="shared" si="141"/>
        <v>41568.42</v>
      </c>
      <c r="I5825" s="3"/>
    </row>
    <row r="5826" spans="1:9" s="4" customFormat="1" ht="20.25" customHeight="1" x14ac:dyDescent="0.55000000000000004">
      <c r="A5826" s="18">
        <v>24.714656099999999</v>
      </c>
      <c r="B5826" s="18">
        <v>34.774521700000001</v>
      </c>
      <c r="C5826" s="18">
        <v>679496.6</v>
      </c>
      <c r="D5826" s="18">
        <v>2734515.03</v>
      </c>
      <c r="E5826" s="18">
        <v>471.77</v>
      </c>
      <c r="F5826" s="18">
        <v>41681.54</v>
      </c>
      <c r="G5826" s="18">
        <v>110340</v>
      </c>
      <c r="H5826" s="18">
        <f t="shared" si="141"/>
        <v>41566.54</v>
      </c>
      <c r="I5826" s="3"/>
    </row>
    <row r="5827" spans="1:9" s="4" customFormat="1" ht="20.25" customHeight="1" x14ac:dyDescent="0.55000000000000004">
      <c r="A5827" s="18">
        <v>24.714671899999999</v>
      </c>
      <c r="B5827" s="18">
        <v>34.774509999999999</v>
      </c>
      <c r="C5827" s="18">
        <v>679495.4</v>
      </c>
      <c r="D5827" s="18">
        <v>2734516.77</v>
      </c>
      <c r="E5827" s="18">
        <v>471.93</v>
      </c>
      <c r="F5827" s="18">
        <v>41684.67</v>
      </c>
      <c r="G5827" s="18">
        <v>110342</v>
      </c>
      <c r="H5827" s="18">
        <f t="shared" si="141"/>
        <v>41569.67</v>
      </c>
      <c r="I5827" s="3"/>
    </row>
    <row r="5828" spans="1:9" s="4" customFormat="1" ht="20.25" customHeight="1" x14ac:dyDescent="0.55000000000000004">
      <c r="A5828" s="18">
        <v>24.7146854</v>
      </c>
      <c r="B5828" s="18">
        <v>34.7745003</v>
      </c>
      <c r="C5828" s="18">
        <v>679494.4</v>
      </c>
      <c r="D5828" s="18">
        <v>2734518.25</v>
      </c>
      <c r="E5828" s="18">
        <v>472.05</v>
      </c>
      <c r="F5828" s="18">
        <v>41681.040000000001</v>
      </c>
      <c r="G5828" s="18">
        <v>110344</v>
      </c>
      <c r="H5828" s="18">
        <f t="shared" si="141"/>
        <v>41566.04</v>
      </c>
      <c r="I5828" s="3"/>
    </row>
    <row r="5829" spans="1:9" s="4" customFormat="1" ht="20.25" customHeight="1" x14ac:dyDescent="0.55000000000000004">
      <c r="A5829" s="18">
        <v>24.714686400000001</v>
      </c>
      <c r="B5829" s="18">
        <v>34.774497199999999</v>
      </c>
      <c r="C5829" s="18">
        <v>679494.08</v>
      </c>
      <c r="D5829" s="18">
        <v>2734518.36</v>
      </c>
      <c r="E5829" s="18">
        <v>472.06</v>
      </c>
      <c r="F5829" s="18">
        <v>41686.46</v>
      </c>
      <c r="G5829" s="18">
        <v>110346</v>
      </c>
      <c r="H5829" s="18">
        <f t="shared" si="141"/>
        <v>41571.46</v>
      </c>
      <c r="I5829" s="3"/>
    </row>
    <row r="5830" spans="1:9" s="4" customFormat="1" ht="20.25" customHeight="1" x14ac:dyDescent="0.55000000000000004">
      <c r="A5830" s="18">
        <v>24.7146884</v>
      </c>
      <c r="B5830" s="18">
        <v>34.774495100000003</v>
      </c>
      <c r="C5830" s="18">
        <v>679493.86</v>
      </c>
      <c r="D5830" s="18">
        <v>2734518.57</v>
      </c>
      <c r="E5830" s="18">
        <v>472.06</v>
      </c>
      <c r="F5830" s="18">
        <v>41685.53</v>
      </c>
      <c r="G5830" s="18">
        <v>110348</v>
      </c>
      <c r="H5830" s="18">
        <f t="shared" si="141"/>
        <v>41570.53</v>
      </c>
      <c r="I5830" s="3"/>
    </row>
    <row r="5831" spans="1:9" s="4" customFormat="1" ht="20.25" customHeight="1" x14ac:dyDescent="0.55000000000000004">
      <c r="A5831" s="18">
        <v>24.714687900000001</v>
      </c>
      <c r="B5831" s="18">
        <v>34.7744973</v>
      </c>
      <c r="C5831" s="18">
        <v>679494.09</v>
      </c>
      <c r="D5831" s="18">
        <v>2734518.52</v>
      </c>
      <c r="E5831" s="18">
        <v>472.12</v>
      </c>
      <c r="F5831" s="18">
        <v>41686.160000000003</v>
      </c>
      <c r="G5831" s="18">
        <v>110350</v>
      </c>
      <c r="H5831" s="18">
        <f t="shared" si="141"/>
        <v>41571.160000000003</v>
      </c>
      <c r="I5831" s="3"/>
    </row>
    <row r="5832" spans="1:9" s="4" customFormat="1" ht="20.25" customHeight="1" x14ac:dyDescent="0.55000000000000004">
      <c r="A5832" s="18">
        <v>24.7146954</v>
      </c>
      <c r="B5832" s="18">
        <v>34.774492600000002</v>
      </c>
      <c r="C5832" s="18">
        <v>679493.6</v>
      </c>
      <c r="D5832" s="18">
        <v>2734519.35</v>
      </c>
      <c r="E5832" s="18">
        <v>472.07</v>
      </c>
      <c r="F5832" s="18">
        <v>41685.32</v>
      </c>
      <c r="G5832" s="18">
        <v>110352</v>
      </c>
      <c r="H5832" s="18">
        <f t="shared" si="141"/>
        <v>41570.32</v>
      </c>
      <c r="I5832" s="3"/>
    </row>
    <row r="5833" spans="1:9" s="4" customFormat="1" ht="20.25" customHeight="1" x14ac:dyDescent="0.55000000000000004">
      <c r="A5833" s="18">
        <v>24.714714600000001</v>
      </c>
      <c r="B5833" s="18">
        <v>34.774479300000003</v>
      </c>
      <c r="C5833" s="18">
        <v>679492.23</v>
      </c>
      <c r="D5833" s="18">
        <v>2734521.46</v>
      </c>
      <c r="E5833" s="18">
        <v>472.11</v>
      </c>
      <c r="F5833" s="18">
        <v>41682.06</v>
      </c>
      <c r="G5833" s="18">
        <v>110354</v>
      </c>
      <c r="H5833" s="18">
        <f t="shared" si="141"/>
        <v>41567.06</v>
      </c>
      <c r="I5833" s="3"/>
    </row>
    <row r="5834" spans="1:9" s="4" customFormat="1" ht="20.25" customHeight="1" x14ac:dyDescent="0.55000000000000004">
      <c r="A5834" s="18">
        <v>24.714736299999998</v>
      </c>
      <c r="B5834" s="18">
        <v>34.774471499999997</v>
      </c>
      <c r="C5834" s="18">
        <v>679491.41</v>
      </c>
      <c r="D5834" s="18">
        <v>2734523.85</v>
      </c>
      <c r="E5834" s="18">
        <v>472.21</v>
      </c>
      <c r="F5834" s="18">
        <v>41681.26</v>
      </c>
      <c r="G5834" s="18">
        <v>110356</v>
      </c>
      <c r="H5834" s="18">
        <f t="shared" si="141"/>
        <v>41566.26</v>
      </c>
      <c r="I5834" s="3"/>
    </row>
    <row r="5835" spans="1:9" s="4" customFormat="1" ht="20.25" customHeight="1" x14ac:dyDescent="0.55000000000000004">
      <c r="A5835" s="18">
        <v>24.7147571</v>
      </c>
      <c r="B5835" s="18">
        <v>34.774461799999997</v>
      </c>
      <c r="C5835" s="18">
        <v>679490.4</v>
      </c>
      <c r="D5835" s="18">
        <v>2734526.14</v>
      </c>
      <c r="E5835" s="18">
        <v>472.43</v>
      </c>
      <c r="F5835" s="18">
        <v>41681.58</v>
      </c>
      <c r="G5835" s="18">
        <v>110358</v>
      </c>
      <c r="H5835" s="18">
        <f t="shared" si="141"/>
        <v>41566.58</v>
      </c>
      <c r="I5835" s="3"/>
    </row>
    <row r="5836" spans="1:9" s="4" customFormat="1" ht="20.25" customHeight="1" x14ac:dyDescent="0.55000000000000004">
      <c r="A5836" s="18">
        <v>24.7147763</v>
      </c>
      <c r="B5836" s="18">
        <v>34.774450899999998</v>
      </c>
      <c r="C5836" s="18">
        <v>679489.26</v>
      </c>
      <c r="D5836" s="18">
        <v>2734528.25</v>
      </c>
      <c r="E5836" s="18">
        <v>472.59</v>
      </c>
      <c r="F5836" s="18">
        <v>41681.9</v>
      </c>
      <c r="G5836" s="18">
        <v>110400</v>
      </c>
      <c r="H5836" s="18">
        <f t="shared" si="141"/>
        <v>41566.9</v>
      </c>
      <c r="I5836" s="3"/>
    </row>
    <row r="5837" spans="1:9" s="4" customFormat="1" ht="20.25" customHeight="1" x14ac:dyDescent="0.55000000000000004">
      <c r="A5837" s="18">
        <v>24.714796400000001</v>
      </c>
      <c r="B5837" s="18">
        <v>34.7744407</v>
      </c>
      <c r="C5837" s="18">
        <v>679488.21</v>
      </c>
      <c r="D5837" s="18">
        <v>2734530.46</v>
      </c>
      <c r="E5837" s="18">
        <v>472.73</v>
      </c>
      <c r="F5837" s="18">
        <v>41682.97</v>
      </c>
      <c r="G5837" s="18">
        <v>110402</v>
      </c>
      <c r="H5837" s="18">
        <f t="shared" si="141"/>
        <v>41567.97</v>
      </c>
      <c r="I5837" s="3"/>
    </row>
    <row r="5838" spans="1:9" s="4" customFormat="1" ht="20.25" customHeight="1" x14ac:dyDescent="0.55000000000000004">
      <c r="A5838" s="18">
        <v>24.714814100000002</v>
      </c>
      <c r="B5838" s="18">
        <v>34.774432300000001</v>
      </c>
      <c r="C5838" s="18">
        <v>679487.33</v>
      </c>
      <c r="D5838" s="18">
        <v>2734532.41</v>
      </c>
      <c r="E5838" s="18">
        <v>472.89</v>
      </c>
      <c r="F5838" s="18">
        <v>41682.519999999997</v>
      </c>
      <c r="G5838" s="18">
        <v>110404</v>
      </c>
      <c r="H5838" s="18">
        <f t="shared" si="141"/>
        <v>41567.519999999997</v>
      </c>
      <c r="I5838" s="3"/>
    </row>
    <row r="5839" spans="1:9" s="4" customFormat="1" ht="20.25" customHeight="1" x14ac:dyDescent="0.55000000000000004">
      <c r="A5839" s="18">
        <v>24.714826500000001</v>
      </c>
      <c r="B5839" s="18">
        <v>34.7744231</v>
      </c>
      <c r="C5839" s="18">
        <v>679486.38</v>
      </c>
      <c r="D5839" s="18">
        <v>2734533.77</v>
      </c>
      <c r="E5839" s="18">
        <v>473.15</v>
      </c>
      <c r="F5839" s="18">
        <v>41682.550000000003</v>
      </c>
      <c r="G5839" s="18">
        <v>110406</v>
      </c>
      <c r="H5839" s="18">
        <f t="shared" si="141"/>
        <v>41567.550000000003</v>
      </c>
      <c r="I5839" s="3"/>
    </row>
    <row r="5840" spans="1:9" s="4" customFormat="1" ht="20.25" customHeight="1" x14ac:dyDescent="0.55000000000000004">
      <c r="A5840" s="18">
        <v>24.714827400000001</v>
      </c>
      <c r="B5840" s="18">
        <v>34.774423900000002</v>
      </c>
      <c r="C5840" s="18">
        <v>679486.46</v>
      </c>
      <c r="D5840" s="18">
        <v>2734533.88</v>
      </c>
      <c r="E5840" s="18">
        <v>473.19</v>
      </c>
      <c r="F5840" s="18">
        <v>41683.29</v>
      </c>
      <c r="G5840" s="18">
        <v>110408</v>
      </c>
      <c r="H5840" s="18">
        <f t="shared" si="141"/>
        <v>41568.29</v>
      </c>
      <c r="I5840" s="3"/>
    </row>
    <row r="5841" spans="1:9" s="4" customFormat="1" ht="20.25" customHeight="1" x14ac:dyDescent="0.55000000000000004">
      <c r="A5841" s="18">
        <v>24.714828499999999</v>
      </c>
      <c r="B5841" s="18">
        <v>34.774423200000001</v>
      </c>
      <c r="C5841" s="18">
        <v>679486.39</v>
      </c>
      <c r="D5841" s="18">
        <v>2734534</v>
      </c>
      <c r="E5841" s="18">
        <v>473.22</v>
      </c>
      <c r="F5841" s="18">
        <v>41684.78</v>
      </c>
      <c r="G5841" s="18">
        <v>110410</v>
      </c>
      <c r="H5841" s="18">
        <f t="shared" si="141"/>
        <v>41569.78</v>
      </c>
      <c r="I5841" s="3"/>
    </row>
    <row r="5842" spans="1:9" s="4" customFormat="1" ht="20.25" customHeight="1" x14ac:dyDescent="0.55000000000000004">
      <c r="A5842" s="18">
        <v>24.714828000000001</v>
      </c>
      <c r="B5842" s="18">
        <v>34.774421500000003</v>
      </c>
      <c r="C5842" s="18">
        <v>679486.22</v>
      </c>
      <c r="D5842" s="18">
        <v>2734533.94</v>
      </c>
      <c r="E5842" s="18">
        <v>473.23</v>
      </c>
      <c r="F5842" s="18">
        <v>41690.239999999998</v>
      </c>
      <c r="G5842" s="18">
        <v>110412</v>
      </c>
      <c r="H5842" s="18">
        <f t="shared" ref="H5842:H5905" si="142">SUM(F5842-115)</f>
        <v>41575.24</v>
      </c>
      <c r="I5842" s="3"/>
    </row>
    <row r="5843" spans="1:9" s="4" customFormat="1" ht="20.25" customHeight="1" x14ac:dyDescent="0.55000000000000004">
      <c r="A5843" s="18">
        <v>24.714826200000001</v>
      </c>
      <c r="B5843" s="18">
        <v>34.774421699999998</v>
      </c>
      <c r="C5843" s="18">
        <v>679486.25</v>
      </c>
      <c r="D5843" s="18">
        <v>2734533.75</v>
      </c>
      <c r="E5843" s="18">
        <v>473.02</v>
      </c>
      <c r="F5843" s="18">
        <v>41684.629999999997</v>
      </c>
      <c r="G5843" s="18">
        <v>110414</v>
      </c>
      <c r="H5843" s="18">
        <f t="shared" si="142"/>
        <v>41569.629999999997</v>
      </c>
      <c r="I5843" s="3"/>
    </row>
    <row r="5844" spans="1:9" s="4" customFormat="1" ht="20.25" customHeight="1" x14ac:dyDescent="0.55000000000000004">
      <c r="A5844" s="18">
        <v>24.714823500000001</v>
      </c>
      <c r="B5844" s="18">
        <v>34.774422000000001</v>
      </c>
      <c r="C5844" s="18">
        <v>679486.28</v>
      </c>
      <c r="D5844" s="18">
        <v>2734533.45</v>
      </c>
      <c r="E5844" s="18">
        <v>472.88</v>
      </c>
      <c r="F5844" s="18">
        <v>41678.400000000001</v>
      </c>
      <c r="G5844" s="18">
        <v>110416</v>
      </c>
      <c r="H5844" s="18">
        <f t="shared" si="142"/>
        <v>41563.4</v>
      </c>
      <c r="I5844" s="3"/>
    </row>
    <row r="5845" spans="1:9" s="4" customFormat="1" ht="20.25" customHeight="1" x14ac:dyDescent="0.55000000000000004">
      <c r="A5845" s="18">
        <v>24.714821600000001</v>
      </c>
      <c r="B5845" s="18">
        <v>34.774421699999998</v>
      </c>
      <c r="C5845" s="18">
        <v>679486.25</v>
      </c>
      <c r="D5845" s="18">
        <v>2734533.24</v>
      </c>
      <c r="E5845" s="18">
        <v>472.72</v>
      </c>
      <c r="F5845" s="18">
        <v>41684.04</v>
      </c>
      <c r="G5845" s="18">
        <v>110418</v>
      </c>
      <c r="H5845" s="18">
        <f t="shared" si="142"/>
        <v>41569.040000000001</v>
      </c>
      <c r="I5845" s="3"/>
    </row>
    <row r="5846" spans="1:9" s="4" customFormat="1" ht="20.25" customHeight="1" x14ac:dyDescent="0.55000000000000004">
      <c r="A5846" s="18">
        <v>24.714821100000002</v>
      </c>
      <c r="B5846" s="18">
        <v>34.774424000000003</v>
      </c>
      <c r="C5846" s="18">
        <v>679486.48</v>
      </c>
      <c r="D5846" s="18">
        <v>2734533.19</v>
      </c>
      <c r="E5846" s="18">
        <v>472.61</v>
      </c>
      <c r="F5846" s="18">
        <v>41682.300000000003</v>
      </c>
      <c r="G5846" s="18">
        <v>110420</v>
      </c>
      <c r="H5846" s="18">
        <f t="shared" si="142"/>
        <v>41567.300000000003</v>
      </c>
      <c r="I5846" s="3"/>
    </row>
    <row r="5847" spans="1:9" s="4" customFormat="1" ht="20.25" customHeight="1" x14ac:dyDescent="0.55000000000000004">
      <c r="A5847" s="18">
        <v>24.714822399999999</v>
      </c>
      <c r="B5847" s="18">
        <v>34.774415699999999</v>
      </c>
      <c r="C5847" s="18">
        <v>679485.65</v>
      </c>
      <c r="D5847" s="18">
        <v>2734533.32</v>
      </c>
      <c r="E5847" s="18">
        <v>472.42</v>
      </c>
      <c r="F5847" s="18">
        <v>41683.81</v>
      </c>
      <c r="G5847" s="18">
        <v>110422</v>
      </c>
      <c r="H5847" s="18">
        <f t="shared" si="142"/>
        <v>41568.81</v>
      </c>
      <c r="I5847" s="3"/>
    </row>
    <row r="5848" spans="1:9" s="4" customFormat="1" ht="20.25" customHeight="1" x14ac:dyDescent="0.55000000000000004">
      <c r="A5848" s="18">
        <v>24.714821600000001</v>
      </c>
      <c r="B5848" s="18">
        <v>34.774415900000001</v>
      </c>
      <c r="C5848" s="18">
        <v>679485.66</v>
      </c>
      <c r="D5848" s="18">
        <v>2734533.22</v>
      </c>
      <c r="E5848" s="18">
        <v>472.36</v>
      </c>
      <c r="F5848" s="18">
        <v>41685.980000000003</v>
      </c>
      <c r="G5848" s="18">
        <v>110424</v>
      </c>
      <c r="H5848" s="18">
        <f t="shared" si="142"/>
        <v>41570.980000000003</v>
      </c>
      <c r="I5848" s="3"/>
    </row>
    <row r="5849" spans="1:9" s="4" customFormat="1" ht="20.25" customHeight="1" x14ac:dyDescent="0.55000000000000004">
      <c r="A5849" s="18">
        <v>24.714821799999999</v>
      </c>
      <c r="B5849" s="18">
        <v>34.774408800000003</v>
      </c>
      <c r="C5849" s="18">
        <v>679484.94</v>
      </c>
      <c r="D5849" s="18">
        <v>2734533.24</v>
      </c>
      <c r="E5849" s="18">
        <v>472.22</v>
      </c>
      <c r="F5849" s="18">
        <v>41686.21</v>
      </c>
      <c r="G5849" s="18">
        <v>110426</v>
      </c>
      <c r="H5849" s="18">
        <f t="shared" si="142"/>
        <v>41571.21</v>
      </c>
      <c r="I5849" s="3"/>
    </row>
    <row r="5850" spans="1:9" s="4" customFormat="1" ht="20.25" customHeight="1" x14ac:dyDescent="0.55000000000000004">
      <c r="A5850" s="18">
        <v>24.714826200000001</v>
      </c>
      <c r="B5850" s="18">
        <v>34.774387300000001</v>
      </c>
      <c r="C5850" s="18">
        <v>679482.76</v>
      </c>
      <c r="D5850" s="18">
        <v>2734533.7</v>
      </c>
      <c r="E5850" s="18">
        <v>471.73</v>
      </c>
      <c r="F5850" s="18">
        <v>41685.279999999999</v>
      </c>
      <c r="G5850" s="18">
        <v>110428</v>
      </c>
      <c r="H5850" s="18">
        <f t="shared" si="142"/>
        <v>41570.28</v>
      </c>
      <c r="I5850" s="3"/>
    </row>
    <row r="5851" spans="1:9" s="4" customFormat="1" ht="20.25" customHeight="1" x14ac:dyDescent="0.55000000000000004">
      <c r="A5851" s="18">
        <v>24.714836900000002</v>
      </c>
      <c r="B5851" s="18">
        <v>34.774369200000002</v>
      </c>
      <c r="C5851" s="18">
        <v>679480.92</v>
      </c>
      <c r="D5851" s="18">
        <v>2734534.86</v>
      </c>
      <c r="E5851" s="18">
        <v>471.69</v>
      </c>
      <c r="F5851" s="18">
        <v>41686.410000000003</v>
      </c>
      <c r="G5851" s="18">
        <v>110430</v>
      </c>
      <c r="H5851" s="18">
        <f t="shared" si="142"/>
        <v>41571.410000000003</v>
      </c>
      <c r="I5851" s="3"/>
    </row>
    <row r="5852" spans="1:9" s="4" customFormat="1" ht="20.25" customHeight="1" x14ac:dyDescent="0.55000000000000004">
      <c r="A5852" s="18">
        <v>24.7148474</v>
      </c>
      <c r="B5852" s="18">
        <v>34.7743556</v>
      </c>
      <c r="C5852" s="18">
        <v>679479.52</v>
      </c>
      <c r="D5852" s="18">
        <v>2734536.01</v>
      </c>
      <c r="E5852" s="18">
        <v>471.59</v>
      </c>
      <c r="F5852" s="18">
        <v>41686.550000000003</v>
      </c>
      <c r="G5852" s="18">
        <v>110432</v>
      </c>
      <c r="H5852" s="18">
        <f t="shared" si="142"/>
        <v>41571.550000000003</v>
      </c>
      <c r="I5852" s="3"/>
    </row>
    <row r="5853" spans="1:9" s="4" customFormat="1" ht="20.25" customHeight="1" x14ac:dyDescent="0.55000000000000004">
      <c r="A5853" s="18">
        <v>24.7148504</v>
      </c>
      <c r="B5853" s="18">
        <v>34.774348199999999</v>
      </c>
      <c r="C5853" s="18">
        <v>679478.78</v>
      </c>
      <c r="D5853" s="18">
        <v>2734536.33</v>
      </c>
      <c r="E5853" s="18">
        <v>471.65</v>
      </c>
      <c r="F5853" s="18">
        <v>41685.21</v>
      </c>
      <c r="G5853" s="18">
        <v>110434</v>
      </c>
      <c r="H5853" s="18">
        <f t="shared" si="142"/>
        <v>41570.21</v>
      </c>
      <c r="I5853" s="3"/>
    </row>
    <row r="5854" spans="1:9" s="4" customFormat="1" ht="20.25" customHeight="1" x14ac:dyDescent="0.55000000000000004">
      <c r="A5854" s="18">
        <v>24.714851599999999</v>
      </c>
      <c r="B5854" s="18">
        <v>34.774348099999997</v>
      </c>
      <c r="C5854" s="18">
        <v>679478.76</v>
      </c>
      <c r="D5854" s="18">
        <v>2734536.46</v>
      </c>
      <c r="E5854" s="18">
        <v>471.72</v>
      </c>
      <c r="F5854" s="18">
        <v>41686.400000000001</v>
      </c>
      <c r="G5854" s="18">
        <v>110436</v>
      </c>
      <c r="H5854" s="18">
        <f t="shared" si="142"/>
        <v>41571.4</v>
      </c>
      <c r="I5854" s="3"/>
    </row>
    <row r="5855" spans="1:9" s="4" customFormat="1" ht="20.25" customHeight="1" x14ac:dyDescent="0.55000000000000004">
      <c r="A5855" s="18">
        <v>24.714851500000002</v>
      </c>
      <c r="B5855" s="18">
        <v>34.774347800000001</v>
      </c>
      <c r="C5855" s="18">
        <v>679478.73</v>
      </c>
      <c r="D5855" s="18">
        <v>2734536.45</v>
      </c>
      <c r="E5855" s="18">
        <v>471.76</v>
      </c>
      <c r="F5855" s="18">
        <v>41686.29</v>
      </c>
      <c r="G5855" s="18">
        <v>110438</v>
      </c>
      <c r="H5855" s="18">
        <f t="shared" si="142"/>
        <v>41571.29</v>
      </c>
      <c r="I5855" s="3"/>
    </row>
    <row r="5856" spans="1:9" s="4" customFormat="1" ht="20.25" customHeight="1" x14ac:dyDescent="0.55000000000000004">
      <c r="A5856" s="18">
        <v>24.714850599999998</v>
      </c>
      <c r="B5856" s="18">
        <v>34.774344499999998</v>
      </c>
      <c r="C5856" s="18">
        <v>679478.39</v>
      </c>
      <c r="D5856" s="18">
        <v>2734536.35</v>
      </c>
      <c r="E5856" s="18">
        <v>471.7</v>
      </c>
      <c r="F5856" s="18">
        <v>41688.93</v>
      </c>
      <c r="G5856" s="18">
        <v>110440</v>
      </c>
      <c r="H5856" s="18">
        <f t="shared" si="142"/>
        <v>41573.93</v>
      </c>
      <c r="I5856" s="3"/>
    </row>
    <row r="5857" spans="1:9" s="4" customFormat="1" ht="20.25" customHeight="1" x14ac:dyDescent="0.55000000000000004">
      <c r="A5857" s="18">
        <v>24.714853699999999</v>
      </c>
      <c r="B5857" s="18">
        <v>34.774327800000002</v>
      </c>
      <c r="C5857" s="18">
        <v>679476.7</v>
      </c>
      <c r="D5857" s="18">
        <v>2734536.66</v>
      </c>
      <c r="E5857" s="18">
        <v>471.46</v>
      </c>
      <c r="F5857" s="18">
        <v>41689.85</v>
      </c>
      <c r="G5857" s="18">
        <v>110442</v>
      </c>
      <c r="H5857" s="18">
        <f t="shared" si="142"/>
        <v>41574.85</v>
      </c>
      <c r="I5857" s="3"/>
    </row>
    <row r="5858" spans="1:9" s="4" customFormat="1" ht="20.25" customHeight="1" x14ac:dyDescent="0.55000000000000004">
      <c r="A5858" s="18">
        <v>24.714862700000001</v>
      </c>
      <c r="B5858" s="18">
        <v>34.7743076</v>
      </c>
      <c r="C5858" s="18">
        <v>679474.64</v>
      </c>
      <c r="D5858" s="18">
        <v>2734537.64</v>
      </c>
      <c r="E5858" s="18">
        <v>471.12</v>
      </c>
      <c r="F5858" s="18">
        <v>41685.71</v>
      </c>
      <c r="G5858" s="18">
        <v>110444</v>
      </c>
      <c r="H5858" s="18">
        <f t="shared" si="142"/>
        <v>41570.71</v>
      </c>
      <c r="I5858" s="3"/>
    </row>
    <row r="5859" spans="1:9" s="4" customFormat="1" ht="20.25" customHeight="1" x14ac:dyDescent="0.55000000000000004">
      <c r="A5859" s="18">
        <v>24.714873799999999</v>
      </c>
      <c r="B5859" s="18">
        <v>34.774284799999997</v>
      </c>
      <c r="C5859" s="18">
        <v>679472.32</v>
      </c>
      <c r="D5859" s="18">
        <v>2734538.84</v>
      </c>
      <c r="E5859" s="18">
        <v>470.71</v>
      </c>
      <c r="F5859" s="18">
        <v>41686.839999999997</v>
      </c>
      <c r="G5859" s="18">
        <v>110446</v>
      </c>
      <c r="H5859" s="18">
        <f t="shared" si="142"/>
        <v>41571.839999999997</v>
      </c>
      <c r="I5859" s="3"/>
    </row>
    <row r="5860" spans="1:9" s="4" customFormat="1" ht="20.25" customHeight="1" x14ac:dyDescent="0.55000000000000004">
      <c r="A5860" s="18">
        <v>24.7148884</v>
      </c>
      <c r="B5860" s="18">
        <v>34.774261500000001</v>
      </c>
      <c r="C5860" s="18">
        <v>679469.95</v>
      </c>
      <c r="D5860" s="18">
        <v>2734540.42</v>
      </c>
      <c r="E5860" s="18">
        <v>470.37</v>
      </c>
      <c r="F5860" s="18">
        <v>41687.69</v>
      </c>
      <c r="G5860" s="18">
        <v>110448</v>
      </c>
      <c r="H5860" s="18">
        <f t="shared" si="142"/>
        <v>41572.69</v>
      </c>
      <c r="I5860" s="3"/>
    </row>
    <row r="5861" spans="1:9" s="4" customFormat="1" ht="20.25" customHeight="1" x14ac:dyDescent="0.55000000000000004">
      <c r="A5861" s="18">
        <v>24.7149055</v>
      </c>
      <c r="B5861" s="18">
        <v>34.774242299999997</v>
      </c>
      <c r="C5861" s="18">
        <v>679467.98</v>
      </c>
      <c r="D5861" s="18">
        <v>2734542.29</v>
      </c>
      <c r="E5861" s="18">
        <v>470.28</v>
      </c>
      <c r="F5861" s="18">
        <v>41690.42</v>
      </c>
      <c r="G5861" s="18">
        <v>110450</v>
      </c>
      <c r="H5861" s="18">
        <f t="shared" si="142"/>
        <v>41575.42</v>
      </c>
      <c r="I5861" s="3"/>
    </row>
    <row r="5862" spans="1:9" s="4" customFormat="1" ht="20.25" customHeight="1" x14ac:dyDescent="0.55000000000000004">
      <c r="A5862" s="18">
        <v>24.7149234</v>
      </c>
      <c r="B5862" s="18">
        <v>34.7742261</v>
      </c>
      <c r="C5862" s="18">
        <v>679466.31</v>
      </c>
      <c r="D5862" s="18">
        <v>2734544.25</v>
      </c>
      <c r="E5862" s="18">
        <v>470.06</v>
      </c>
      <c r="F5862" s="18">
        <v>41691.480000000003</v>
      </c>
      <c r="G5862" s="18">
        <v>110452</v>
      </c>
      <c r="H5862" s="18">
        <f t="shared" si="142"/>
        <v>41576.480000000003</v>
      </c>
      <c r="I5862" s="3"/>
    </row>
    <row r="5863" spans="1:9" s="4" customFormat="1" ht="20.25" customHeight="1" x14ac:dyDescent="0.55000000000000004">
      <c r="A5863" s="18">
        <v>24.714942300000001</v>
      </c>
      <c r="B5863" s="18">
        <v>34.774212200000001</v>
      </c>
      <c r="C5863" s="18">
        <v>679464.88</v>
      </c>
      <c r="D5863" s="18">
        <v>2734546.32</v>
      </c>
      <c r="E5863" s="18">
        <v>469.87</v>
      </c>
      <c r="F5863" s="18">
        <v>41693.360000000001</v>
      </c>
      <c r="G5863" s="18">
        <v>110454</v>
      </c>
      <c r="H5863" s="18">
        <f t="shared" si="142"/>
        <v>41578.36</v>
      </c>
      <c r="I5863" s="3"/>
    </row>
    <row r="5864" spans="1:9" s="4" customFormat="1" ht="20.25" customHeight="1" x14ac:dyDescent="0.55000000000000004">
      <c r="A5864" s="18">
        <v>24.714960900000001</v>
      </c>
      <c r="B5864" s="18">
        <v>34.774196000000003</v>
      </c>
      <c r="C5864" s="18">
        <v>679463.21</v>
      </c>
      <c r="D5864" s="18">
        <v>2734548.36</v>
      </c>
      <c r="E5864" s="18">
        <v>469.73</v>
      </c>
      <c r="F5864" s="18">
        <v>41692.78</v>
      </c>
      <c r="G5864" s="18">
        <v>110456</v>
      </c>
      <c r="H5864" s="18">
        <f t="shared" si="142"/>
        <v>41577.78</v>
      </c>
      <c r="I5864" s="3"/>
    </row>
    <row r="5865" spans="1:9" s="4" customFormat="1" ht="20.25" customHeight="1" x14ac:dyDescent="0.55000000000000004">
      <c r="A5865" s="18">
        <v>24.714981099999999</v>
      </c>
      <c r="B5865" s="18">
        <v>34.774180700000002</v>
      </c>
      <c r="C5865" s="18">
        <v>679461.63</v>
      </c>
      <c r="D5865" s="18">
        <v>2734550.58</v>
      </c>
      <c r="E5865" s="18">
        <v>469.57</v>
      </c>
      <c r="F5865" s="18">
        <v>41689.94</v>
      </c>
      <c r="G5865" s="18">
        <v>110458</v>
      </c>
      <c r="H5865" s="18">
        <f t="shared" si="142"/>
        <v>41574.94</v>
      </c>
      <c r="I5865" s="3"/>
    </row>
    <row r="5866" spans="1:9" s="4" customFormat="1" ht="20.25" customHeight="1" x14ac:dyDescent="0.55000000000000004">
      <c r="A5866" s="18">
        <v>24.715001600000001</v>
      </c>
      <c r="B5866" s="18">
        <v>34.774165799999999</v>
      </c>
      <c r="C5866" s="18">
        <v>679460.1</v>
      </c>
      <c r="D5866" s="18">
        <v>2734552.83</v>
      </c>
      <c r="E5866" s="18">
        <v>469.3</v>
      </c>
      <c r="F5866" s="18">
        <v>41688.43</v>
      </c>
      <c r="G5866" s="18">
        <v>110500</v>
      </c>
      <c r="H5866" s="18">
        <f t="shared" si="142"/>
        <v>41573.43</v>
      </c>
      <c r="I5866" s="3"/>
    </row>
    <row r="5867" spans="1:9" s="4" customFormat="1" ht="20.25" customHeight="1" x14ac:dyDescent="0.55000000000000004">
      <c r="A5867" s="18">
        <v>24.7150222</v>
      </c>
      <c r="B5867" s="18">
        <v>34.7741495</v>
      </c>
      <c r="C5867" s="18">
        <v>679458.42</v>
      </c>
      <c r="D5867" s="18">
        <v>2734555.1</v>
      </c>
      <c r="E5867" s="18">
        <v>468.98</v>
      </c>
      <c r="F5867" s="18">
        <v>41689.67</v>
      </c>
      <c r="G5867" s="18">
        <v>110502</v>
      </c>
      <c r="H5867" s="18">
        <f t="shared" si="142"/>
        <v>41574.67</v>
      </c>
      <c r="I5867" s="3"/>
    </row>
    <row r="5868" spans="1:9" s="4" customFormat="1" ht="20.25" customHeight="1" x14ac:dyDescent="0.55000000000000004">
      <c r="A5868" s="18">
        <v>24.715041899999999</v>
      </c>
      <c r="B5868" s="18">
        <v>34.774134199999999</v>
      </c>
      <c r="C5868" s="18">
        <v>679456.85</v>
      </c>
      <c r="D5868" s="18">
        <v>2734557.25</v>
      </c>
      <c r="E5868" s="18">
        <v>468.67</v>
      </c>
      <c r="F5868" s="18">
        <v>41690.269999999997</v>
      </c>
      <c r="G5868" s="18">
        <v>110504</v>
      </c>
      <c r="H5868" s="18">
        <f t="shared" si="142"/>
        <v>41575.269999999997</v>
      </c>
      <c r="I5868" s="3"/>
    </row>
    <row r="5869" spans="1:9" s="4" customFormat="1" ht="20.25" customHeight="1" x14ac:dyDescent="0.55000000000000004">
      <c r="A5869" s="18">
        <v>24.715060300000001</v>
      </c>
      <c r="B5869" s="18">
        <v>34.774116399999997</v>
      </c>
      <c r="C5869" s="18">
        <v>679455.02</v>
      </c>
      <c r="D5869" s="18">
        <v>2734559.27</v>
      </c>
      <c r="E5869" s="18">
        <v>468.47</v>
      </c>
      <c r="F5869" s="18">
        <v>41690.21</v>
      </c>
      <c r="G5869" s="18">
        <v>110506</v>
      </c>
      <c r="H5869" s="18">
        <f t="shared" si="142"/>
        <v>41575.21</v>
      </c>
      <c r="I5869" s="3"/>
    </row>
    <row r="5870" spans="1:9" s="4" customFormat="1" ht="20.25" customHeight="1" x14ac:dyDescent="0.55000000000000004">
      <c r="A5870" s="18">
        <v>24.715082800000001</v>
      </c>
      <c r="B5870" s="18">
        <v>34.774101000000002</v>
      </c>
      <c r="C5870" s="18">
        <v>679453.43</v>
      </c>
      <c r="D5870" s="18">
        <v>2734561.75</v>
      </c>
      <c r="E5870" s="18">
        <v>468.11</v>
      </c>
      <c r="F5870" s="18">
        <v>41691.49</v>
      </c>
      <c r="G5870" s="18">
        <v>110508</v>
      </c>
      <c r="H5870" s="18">
        <f t="shared" si="142"/>
        <v>41576.49</v>
      </c>
      <c r="I5870" s="3"/>
    </row>
    <row r="5871" spans="1:9" s="4" customFormat="1" ht="20.25" customHeight="1" x14ac:dyDescent="0.55000000000000004">
      <c r="A5871" s="18">
        <v>24.715103800000001</v>
      </c>
      <c r="B5871" s="18">
        <v>34.774087899999998</v>
      </c>
      <c r="C5871" s="18">
        <v>679452.07</v>
      </c>
      <c r="D5871" s="18">
        <v>2734564.06</v>
      </c>
      <c r="E5871" s="18">
        <v>468.06</v>
      </c>
      <c r="F5871" s="18">
        <v>41690.660000000003</v>
      </c>
      <c r="G5871" s="18">
        <v>110510</v>
      </c>
      <c r="H5871" s="18">
        <f t="shared" si="142"/>
        <v>41575.660000000003</v>
      </c>
      <c r="I5871" s="3"/>
    </row>
    <row r="5872" spans="1:9" s="4" customFormat="1" ht="20.25" customHeight="1" x14ac:dyDescent="0.55000000000000004">
      <c r="A5872" s="18">
        <v>24.715125199999999</v>
      </c>
      <c r="B5872" s="18">
        <v>34.774074300000002</v>
      </c>
      <c r="C5872" s="18">
        <v>679450.67</v>
      </c>
      <c r="D5872" s="18">
        <v>2734566.41</v>
      </c>
      <c r="E5872" s="18">
        <v>467.79</v>
      </c>
      <c r="F5872" s="18">
        <v>41691.07</v>
      </c>
      <c r="G5872" s="18">
        <v>110512</v>
      </c>
      <c r="H5872" s="18">
        <f t="shared" si="142"/>
        <v>41576.07</v>
      </c>
      <c r="I5872" s="3"/>
    </row>
    <row r="5873" spans="1:9" s="4" customFormat="1" ht="20.25" customHeight="1" x14ac:dyDescent="0.55000000000000004">
      <c r="A5873" s="18">
        <v>24.715146900000001</v>
      </c>
      <c r="B5873" s="18">
        <v>34.774060200000001</v>
      </c>
      <c r="C5873" s="18">
        <v>679449.21</v>
      </c>
      <c r="D5873" s="18">
        <v>2734568.79</v>
      </c>
      <c r="E5873" s="18">
        <v>467.55</v>
      </c>
      <c r="F5873" s="18">
        <v>41691.31</v>
      </c>
      <c r="G5873" s="18">
        <v>110514</v>
      </c>
      <c r="H5873" s="18">
        <f t="shared" si="142"/>
        <v>41576.31</v>
      </c>
      <c r="I5873" s="3"/>
    </row>
    <row r="5874" spans="1:9" s="4" customFormat="1" ht="20.25" customHeight="1" x14ac:dyDescent="0.55000000000000004">
      <c r="A5874" s="18">
        <v>24.715165200000001</v>
      </c>
      <c r="B5874" s="18">
        <v>34.774043800000001</v>
      </c>
      <c r="C5874" s="18">
        <v>679447.52</v>
      </c>
      <c r="D5874" s="18">
        <v>2734570.8</v>
      </c>
      <c r="E5874" s="18">
        <v>467.28</v>
      </c>
      <c r="F5874" s="18">
        <v>41691.360000000001</v>
      </c>
      <c r="G5874" s="18">
        <v>110516</v>
      </c>
      <c r="H5874" s="18">
        <f t="shared" si="142"/>
        <v>41576.36</v>
      </c>
      <c r="I5874" s="3"/>
    </row>
    <row r="5875" spans="1:9" s="4" customFormat="1" ht="20.25" customHeight="1" x14ac:dyDescent="0.55000000000000004">
      <c r="A5875" s="18">
        <v>24.715184300000001</v>
      </c>
      <c r="B5875" s="18">
        <v>34.7740267</v>
      </c>
      <c r="C5875" s="18">
        <v>679445.77</v>
      </c>
      <c r="D5875" s="18">
        <v>2734572.89</v>
      </c>
      <c r="E5875" s="18">
        <v>466.94</v>
      </c>
      <c r="F5875" s="18">
        <v>41693.15</v>
      </c>
      <c r="G5875" s="18">
        <v>110518</v>
      </c>
      <c r="H5875" s="18">
        <f t="shared" si="142"/>
        <v>41578.15</v>
      </c>
      <c r="I5875" s="3"/>
    </row>
    <row r="5876" spans="1:9" s="4" customFormat="1" ht="20.25" customHeight="1" x14ac:dyDescent="0.55000000000000004">
      <c r="A5876" s="18">
        <v>24.7152019</v>
      </c>
      <c r="B5876" s="18">
        <v>34.774009900000003</v>
      </c>
      <c r="C5876" s="18">
        <v>679444.04</v>
      </c>
      <c r="D5876" s="18">
        <v>2734574.82</v>
      </c>
      <c r="E5876" s="18">
        <v>466.85</v>
      </c>
      <c r="F5876" s="18">
        <v>41692.46</v>
      </c>
      <c r="G5876" s="18">
        <v>110520</v>
      </c>
      <c r="H5876" s="18">
        <f t="shared" si="142"/>
        <v>41577.46</v>
      </c>
      <c r="I5876" s="3"/>
    </row>
    <row r="5877" spans="1:9" s="4" customFormat="1" ht="20.25" customHeight="1" x14ac:dyDescent="0.55000000000000004">
      <c r="A5877" s="18">
        <v>24.7152174</v>
      </c>
      <c r="B5877" s="18">
        <v>34.773989899999997</v>
      </c>
      <c r="C5877" s="18">
        <v>679442</v>
      </c>
      <c r="D5877" s="18">
        <v>2734576.5</v>
      </c>
      <c r="E5877" s="18">
        <v>466.66</v>
      </c>
      <c r="F5877" s="18">
        <v>41691.9</v>
      </c>
      <c r="G5877" s="18">
        <v>110522</v>
      </c>
      <c r="H5877" s="18">
        <f t="shared" si="142"/>
        <v>41576.9</v>
      </c>
      <c r="I5877" s="3"/>
    </row>
    <row r="5878" spans="1:9" s="4" customFormat="1" ht="20.25" customHeight="1" x14ac:dyDescent="0.55000000000000004">
      <c r="A5878" s="18">
        <v>24.7152314</v>
      </c>
      <c r="B5878" s="18">
        <v>34.773966399999999</v>
      </c>
      <c r="C5878" s="18">
        <v>679439.6</v>
      </c>
      <c r="D5878" s="18">
        <v>2734578.02</v>
      </c>
      <c r="E5878" s="18">
        <v>466.36</v>
      </c>
      <c r="F5878" s="18">
        <v>41692.629999999997</v>
      </c>
      <c r="G5878" s="18">
        <v>110524</v>
      </c>
      <c r="H5878" s="18">
        <f t="shared" si="142"/>
        <v>41577.629999999997</v>
      </c>
      <c r="I5878" s="3"/>
    </row>
    <row r="5879" spans="1:9" s="4" customFormat="1" ht="20.25" customHeight="1" x14ac:dyDescent="0.55000000000000004">
      <c r="A5879" s="18">
        <v>24.7152441</v>
      </c>
      <c r="B5879" s="18">
        <v>34.773943600000003</v>
      </c>
      <c r="C5879" s="18">
        <v>679437.27</v>
      </c>
      <c r="D5879" s="18">
        <v>2734579.41</v>
      </c>
      <c r="E5879" s="18">
        <v>466.06</v>
      </c>
      <c r="F5879" s="18">
        <v>41692.82</v>
      </c>
      <c r="G5879" s="18">
        <v>110526</v>
      </c>
      <c r="H5879" s="18">
        <f t="shared" si="142"/>
        <v>41577.82</v>
      </c>
      <c r="I5879" s="3"/>
    </row>
    <row r="5880" spans="1:9" s="4" customFormat="1" ht="20.25" customHeight="1" x14ac:dyDescent="0.55000000000000004">
      <c r="A5880" s="18">
        <v>24.715260000000001</v>
      </c>
      <c r="B5880" s="18">
        <v>34.773922900000002</v>
      </c>
      <c r="C5880" s="18">
        <v>679435.16</v>
      </c>
      <c r="D5880" s="18">
        <v>2734581.14</v>
      </c>
      <c r="E5880" s="18">
        <v>465.87</v>
      </c>
      <c r="F5880" s="18">
        <v>41692.49</v>
      </c>
      <c r="G5880" s="18">
        <v>110528</v>
      </c>
      <c r="H5880" s="18">
        <f t="shared" si="142"/>
        <v>41577.49</v>
      </c>
      <c r="I5880" s="3"/>
    </row>
    <row r="5881" spans="1:9" s="4" customFormat="1" ht="20.25" customHeight="1" x14ac:dyDescent="0.55000000000000004">
      <c r="A5881" s="18">
        <v>24.7152748</v>
      </c>
      <c r="B5881" s="18">
        <v>34.773901000000002</v>
      </c>
      <c r="C5881" s="18">
        <v>679432.92</v>
      </c>
      <c r="D5881" s="18">
        <v>2734582.74</v>
      </c>
      <c r="E5881" s="18">
        <v>465.64</v>
      </c>
      <c r="F5881" s="18">
        <v>41691.699999999997</v>
      </c>
      <c r="G5881" s="18">
        <v>110530</v>
      </c>
      <c r="H5881" s="18">
        <f t="shared" si="142"/>
        <v>41576.699999999997</v>
      </c>
      <c r="I5881" s="3"/>
    </row>
    <row r="5882" spans="1:9" s="4" customFormat="1" ht="20.25" customHeight="1" x14ac:dyDescent="0.55000000000000004">
      <c r="A5882" s="18">
        <v>24.715285399999999</v>
      </c>
      <c r="B5882" s="18">
        <v>34.773876600000001</v>
      </c>
      <c r="C5882" s="18">
        <v>679430.44</v>
      </c>
      <c r="D5882" s="18">
        <v>2734583.89</v>
      </c>
      <c r="E5882" s="18">
        <v>465.4</v>
      </c>
      <c r="F5882" s="18">
        <v>41691.26</v>
      </c>
      <c r="G5882" s="18">
        <v>110532</v>
      </c>
      <c r="H5882" s="18">
        <f t="shared" si="142"/>
        <v>41576.26</v>
      </c>
      <c r="I5882" s="3"/>
    </row>
    <row r="5883" spans="1:9" s="4" customFormat="1" ht="20.25" customHeight="1" x14ac:dyDescent="0.55000000000000004">
      <c r="A5883" s="18">
        <v>24.715292000000002</v>
      </c>
      <c r="B5883" s="18">
        <v>34.773850699999997</v>
      </c>
      <c r="C5883" s="18">
        <v>679427.8</v>
      </c>
      <c r="D5883" s="18">
        <v>2734584.59</v>
      </c>
      <c r="E5883" s="18">
        <v>465.1</v>
      </c>
      <c r="F5883" s="18">
        <v>41690.76</v>
      </c>
      <c r="G5883" s="18">
        <v>110534</v>
      </c>
      <c r="H5883" s="18">
        <f t="shared" si="142"/>
        <v>41575.760000000002</v>
      </c>
      <c r="I5883" s="3"/>
    </row>
    <row r="5884" spans="1:9" s="4" customFormat="1" ht="20.25" customHeight="1" x14ac:dyDescent="0.55000000000000004">
      <c r="A5884" s="18">
        <v>24.7152995</v>
      </c>
      <c r="B5884" s="18">
        <v>34.7738242</v>
      </c>
      <c r="C5884" s="18">
        <v>679425.11</v>
      </c>
      <c r="D5884" s="18">
        <v>2734585.38</v>
      </c>
      <c r="E5884" s="18">
        <v>464.78</v>
      </c>
      <c r="F5884" s="18">
        <v>41692.410000000003</v>
      </c>
      <c r="G5884" s="18">
        <v>110536</v>
      </c>
      <c r="H5884" s="18">
        <f t="shared" si="142"/>
        <v>41577.410000000003</v>
      </c>
      <c r="I5884" s="3"/>
    </row>
    <row r="5885" spans="1:9" s="4" customFormat="1" ht="20.25" customHeight="1" x14ac:dyDescent="0.55000000000000004">
      <c r="A5885" s="18">
        <v>24.715307599999999</v>
      </c>
      <c r="B5885" s="18">
        <v>34.773798900000003</v>
      </c>
      <c r="C5885" s="18">
        <v>679422.54</v>
      </c>
      <c r="D5885" s="18">
        <v>2734586.25</v>
      </c>
      <c r="E5885" s="18">
        <v>464.48</v>
      </c>
      <c r="F5885" s="18">
        <v>41692.19</v>
      </c>
      <c r="G5885" s="18">
        <v>110538</v>
      </c>
      <c r="H5885" s="18">
        <f t="shared" si="142"/>
        <v>41577.19</v>
      </c>
      <c r="I5885" s="3"/>
    </row>
    <row r="5886" spans="1:9" s="4" customFormat="1" ht="20.25" customHeight="1" x14ac:dyDescent="0.55000000000000004">
      <c r="A5886" s="18">
        <v>24.715315199999999</v>
      </c>
      <c r="B5886" s="18">
        <v>34.773783999999999</v>
      </c>
      <c r="C5886" s="18">
        <v>679421.02</v>
      </c>
      <c r="D5886" s="18">
        <v>2734587.07</v>
      </c>
      <c r="E5886" s="18">
        <v>464.26</v>
      </c>
      <c r="F5886" s="18">
        <v>41695.24</v>
      </c>
      <c r="G5886" s="18">
        <v>110540</v>
      </c>
      <c r="H5886" s="18">
        <f t="shared" si="142"/>
        <v>41580.239999999998</v>
      </c>
      <c r="I5886" s="3"/>
    </row>
    <row r="5887" spans="1:9" s="4" customFormat="1" ht="20.25" customHeight="1" x14ac:dyDescent="0.55000000000000004">
      <c r="A5887" s="18">
        <v>24.715329400000002</v>
      </c>
      <c r="B5887" s="18">
        <v>34.773774500000002</v>
      </c>
      <c r="C5887" s="18">
        <v>679420.05</v>
      </c>
      <c r="D5887" s="18">
        <v>2734588.63</v>
      </c>
      <c r="E5887" s="18">
        <v>464.12</v>
      </c>
      <c r="F5887" s="18">
        <v>41691.800000000003</v>
      </c>
      <c r="G5887" s="18">
        <v>110542</v>
      </c>
      <c r="H5887" s="18">
        <f t="shared" si="142"/>
        <v>41576.800000000003</v>
      </c>
      <c r="I5887" s="3"/>
    </row>
    <row r="5888" spans="1:9" s="4" customFormat="1" ht="20.25" customHeight="1" x14ac:dyDescent="0.55000000000000004">
      <c r="A5888" s="18">
        <v>24.7153432</v>
      </c>
      <c r="B5888" s="18">
        <v>34.7737634</v>
      </c>
      <c r="C5888" s="18">
        <v>679418.89</v>
      </c>
      <c r="D5888" s="18">
        <v>2734590.14</v>
      </c>
      <c r="E5888" s="18">
        <v>463.79</v>
      </c>
      <c r="F5888" s="18">
        <v>41691.85</v>
      </c>
      <c r="G5888" s="18">
        <v>110544</v>
      </c>
      <c r="H5888" s="18">
        <f t="shared" si="142"/>
        <v>41576.85</v>
      </c>
      <c r="I5888" s="3"/>
    </row>
    <row r="5889" spans="1:9" s="4" customFormat="1" ht="20.25" customHeight="1" x14ac:dyDescent="0.55000000000000004">
      <c r="A5889" s="18">
        <v>24.715359200000002</v>
      </c>
      <c r="B5889" s="18">
        <v>34.773746899999999</v>
      </c>
      <c r="C5889" s="18">
        <v>679417.21</v>
      </c>
      <c r="D5889" s="18">
        <v>2734591.9</v>
      </c>
      <c r="E5889" s="18">
        <v>463.51</v>
      </c>
      <c r="F5889" s="18">
        <v>41691.29</v>
      </c>
      <c r="G5889" s="18">
        <v>110546</v>
      </c>
      <c r="H5889" s="18">
        <f t="shared" si="142"/>
        <v>41576.29</v>
      </c>
      <c r="I5889" s="3"/>
    </row>
    <row r="5890" spans="1:9" s="4" customFormat="1" ht="20.25" customHeight="1" x14ac:dyDescent="0.55000000000000004">
      <c r="A5890" s="18">
        <v>24.715365299999998</v>
      </c>
      <c r="B5890" s="18">
        <v>34.773723400000002</v>
      </c>
      <c r="C5890" s="18">
        <v>679414.82</v>
      </c>
      <c r="D5890" s="18">
        <v>2734592.54</v>
      </c>
      <c r="E5890" s="18">
        <v>463.63</v>
      </c>
      <c r="F5890" s="18">
        <v>41695.21</v>
      </c>
      <c r="G5890" s="18">
        <v>110548</v>
      </c>
      <c r="H5890" s="18">
        <f t="shared" si="142"/>
        <v>41580.21</v>
      </c>
      <c r="I5890" s="3"/>
    </row>
    <row r="5891" spans="1:9" s="4" customFormat="1" ht="20.25" customHeight="1" x14ac:dyDescent="0.55000000000000004">
      <c r="A5891" s="18">
        <v>24.715372599999998</v>
      </c>
      <c r="B5891" s="18">
        <v>34.773700499999997</v>
      </c>
      <c r="C5891" s="18">
        <v>679412.49</v>
      </c>
      <c r="D5891" s="18">
        <v>2734593.31</v>
      </c>
      <c r="E5891" s="18">
        <v>463.5</v>
      </c>
      <c r="F5891" s="18">
        <v>41696.31</v>
      </c>
      <c r="G5891" s="18">
        <v>110550</v>
      </c>
      <c r="H5891" s="18">
        <f t="shared" si="142"/>
        <v>41581.31</v>
      </c>
      <c r="I5891" s="3"/>
    </row>
    <row r="5892" spans="1:9" s="4" customFormat="1" ht="20.25" customHeight="1" x14ac:dyDescent="0.55000000000000004">
      <c r="A5892" s="18">
        <v>24.715384700000001</v>
      </c>
      <c r="B5892" s="18">
        <v>34.773680300000002</v>
      </c>
      <c r="C5892" s="18">
        <v>679410.43</v>
      </c>
      <c r="D5892" s="18">
        <v>2734594.63</v>
      </c>
      <c r="E5892" s="18">
        <v>463.27</v>
      </c>
      <c r="F5892" s="18">
        <v>41696.080000000002</v>
      </c>
      <c r="G5892" s="18">
        <v>110552</v>
      </c>
      <c r="H5892" s="18">
        <f t="shared" si="142"/>
        <v>41581.08</v>
      </c>
      <c r="I5892" s="3"/>
    </row>
    <row r="5893" spans="1:9" s="4" customFormat="1" ht="20.25" customHeight="1" x14ac:dyDescent="0.55000000000000004">
      <c r="A5893" s="18">
        <v>24.7153934</v>
      </c>
      <c r="B5893" s="18">
        <v>34.773665200000003</v>
      </c>
      <c r="C5893" s="18">
        <v>679408.89</v>
      </c>
      <c r="D5893" s="18">
        <v>2734595.58</v>
      </c>
      <c r="E5893" s="18">
        <v>463.06</v>
      </c>
      <c r="F5893" s="18">
        <v>41692.31</v>
      </c>
      <c r="G5893" s="18">
        <v>110554</v>
      </c>
      <c r="H5893" s="18">
        <f t="shared" si="142"/>
        <v>41577.31</v>
      </c>
      <c r="I5893" s="3"/>
    </row>
    <row r="5894" spans="1:9" s="4" customFormat="1" ht="20.25" customHeight="1" x14ac:dyDescent="0.55000000000000004">
      <c r="A5894" s="18">
        <v>24.7154007</v>
      </c>
      <c r="B5894" s="18">
        <v>34.7736473</v>
      </c>
      <c r="C5894" s="18">
        <v>679407.07</v>
      </c>
      <c r="D5894" s="18">
        <v>2734596.36</v>
      </c>
      <c r="E5894" s="18">
        <v>462.68</v>
      </c>
      <c r="F5894" s="18">
        <v>41693.019999999997</v>
      </c>
      <c r="G5894" s="18">
        <v>110556</v>
      </c>
      <c r="H5894" s="18">
        <f t="shared" si="142"/>
        <v>41578.019999999997</v>
      </c>
      <c r="I5894" s="3"/>
    </row>
    <row r="5895" spans="1:9" s="4" customFormat="1" ht="20.25" customHeight="1" x14ac:dyDescent="0.55000000000000004">
      <c r="A5895" s="18">
        <v>24.715408100000001</v>
      </c>
      <c r="B5895" s="18">
        <v>34.773624699999999</v>
      </c>
      <c r="C5895" s="18">
        <v>679404.77</v>
      </c>
      <c r="D5895" s="18">
        <v>2734597.14</v>
      </c>
      <c r="E5895" s="18">
        <v>462.36</v>
      </c>
      <c r="F5895" s="18">
        <v>41693.72</v>
      </c>
      <c r="G5895" s="18">
        <v>110558</v>
      </c>
      <c r="H5895" s="18">
        <f t="shared" si="142"/>
        <v>41578.720000000001</v>
      </c>
      <c r="I5895" s="3"/>
    </row>
    <row r="5896" spans="1:9" s="4" customFormat="1" ht="20.25" customHeight="1" x14ac:dyDescent="0.55000000000000004">
      <c r="A5896" s="18">
        <v>24.715418199999998</v>
      </c>
      <c r="B5896" s="18">
        <v>34.773600199999997</v>
      </c>
      <c r="C5896" s="18">
        <v>679402.28</v>
      </c>
      <c r="D5896" s="18">
        <v>2734598.24</v>
      </c>
      <c r="E5896" s="18">
        <v>462.08</v>
      </c>
      <c r="F5896" s="18">
        <v>41694.17</v>
      </c>
      <c r="G5896" s="18">
        <v>110600</v>
      </c>
      <c r="H5896" s="18">
        <f t="shared" si="142"/>
        <v>41579.17</v>
      </c>
      <c r="I5896" s="3"/>
    </row>
    <row r="5897" spans="1:9" s="4" customFormat="1" ht="20.25" customHeight="1" x14ac:dyDescent="0.55000000000000004">
      <c r="A5897" s="18">
        <v>24.715426900000001</v>
      </c>
      <c r="B5897" s="18">
        <v>34.773575399999999</v>
      </c>
      <c r="C5897" s="18">
        <v>679399.76</v>
      </c>
      <c r="D5897" s="18">
        <v>2734599.17</v>
      </c>
      <c r="E5897" s="18">
        <v>461.79</v>
      </c>
      <c r="F5897" s="18">
        <v>41694.85</v>
      </c>
      <c r="G5897" s="18">
        <v>110602</v>
      </c>
      <c r="H5897" s="18">
        <f t="shared" si="142"/>
        <v>41579.85</v>
      </c>
      <c r="I5897" s="3"/>
    </row>
    <row r="5898" spans="1:9" s="4" customFormat="1" ht="20.25" customHeight="1" x14ac:dyDescent="0.55000000000000004">
      <c r="A5898" s="18">
        <v>24.715436799999999</v>
      </c>
      <c r="B5898" s="18">
        <v>34.7735518</v>
      </c>
      <c r="C5898" s="18">
        <v>679397.36</v>
      </c>
      <c r="D5898" s="18">
        <v>2734600.23</v>
      </c>
      <c r="E5898" s="18">
        <v>461.47</v>
      </c>
      <c r="F5898" s="18">
        <v>41694.42</v>
      </c>
      <c r="G5898" s="18">
        <v>110604</v>
      </c>
      <c r="H5898" s="18">
        <f t="shared" si="142"/>
        <v>41579.42</v>
      </c>
      <c r="I5898" s="3"/>
    </row>
    <row r="5899" spans="1:9" s="4" customFormat="1" ht="20.25" customHeight="1" x14ac:dyDescent="0.55000000000000004">
      <c r="A5899" s="18">
        <v>24.715448500000001</v>
      </c>
      <c r="B5899" s="18">
        <v>34.773528800000001</v>
      </c>
      <c r="C5899" s="18">
        <v>679395.01</v>
      </c>
      <c r="D5899" s="18">
        <v>2734601.5</v>
      </c>
      <c r="E5899" s="18">
        <v>461.14</v>
      </c>
      <c r="F5899" s="18">
        <v>41695.14</v>
      </c>
      <c r="G5899" s="18">
        <v>110606</v>
      </c>
      <c r="H5899" s="18">
        <f t="shared" si="142"/>
        <v>41580.14</v>
      </c>
      <c r="I5899" s="3"/>
    </row>
    <row r="5900" spans="1:9" s="4" customFormat="1" ht="20.25" customHeight="1" x14ac:dyDescent="0.55000000000000004">
      <c r="A5900" s="18">
        <v>24.7154585</v>
      </c>
      <c r="B5900" s="18">
        <v>34.773505100000001</v>
      </c>
      <c r="C5900" s="18">
        <v>679392.6</v>
      </c>
      <c r="D5900" s="18">
        <v>2734602.58</v>
      </c>
      <c r="E5900" s="18">
        <v>460.75</v>
      </c>
      <c r="F5900" s="18">
        <v>41696.089999999997</v>
      </c>
      <c r="G5900" s="18">
        <v>110608</v>
      </c>
      <c r="H5900" s="18">
        <f t="shared" si="142"/>
        <v>41581.089999999997</v>
      </c>
      <c r="I5900" s="3"/>
    </row>
    <row r="5901" spans="1:9" s="4" customFormat="1" ht="20.25" customHeight="1" x14ac:dyDescent="0.55000000000000004">
      <c r="A5901" s="18">
        <v>24.715470400000001</v>
      </c>
      <c r="B5901" s="18">
        <v>34.773484500000002</v>
      </c>
      <c r="C5901" s="18">
        <v>679390.5</v>
      </c>
      <c r="D5901" s="18">
        <v>2734603.87</v>
      </c>
      <c r="E5901" s="18">
        <v>460.46</v>
      </c>
      <c r="F5901" s="18">
        <v>41695.18</v>
      </c>
      <c r="G5901" s="18">
        <v>110610</v>
      </c>
      <c r="H5901" s="18">
        <f t="shared" si="142"/>
        <v>41580.18</v>
      </c>
      <c r="I5901" s="3"/>
    </row>
    <row r="5902" spans="1:9" s="4" customFormat="1" ht="20.25" customHeight="1" x14ac:dyDescent="0.55000000000000004">
      <c r="A5902" s="18">
        <v>24.715487299999999</v>
      </c>
      <c r="B5902" s="18">
        <v>34.773465700000003</v>
      </c>
      <c r="C5902" s="18">
        <v>679388.57</v>
      </c>
      <c r="D5902" s="18">
        <v>2734605.72</v>
      </c>
      <c r="E5902" s="18">
        <v>460.17</v>
      </c>
      <c r="F5902" s="18">
        <v>41693.25</v>
      </c>
      <c r="G5902" s="18">
        <v>110612</v>
      </c>
      <c r="H5902" s="18">
        <f t="shared" si="142"/>
        <v>41578.25</v>
      </c>
      <c r="I5902" s="3"/>
    </row>
    <row r="5903" spans="1:9" s="4" customFormat="1" ht="20.25" customHeight="1" x14ac:dyDescent="0.55000000000000004">
      <c r="A5903" s="18">
        <v>24.715505799999999</v>
      </c>
      <c r="B5903" s="18">
        <v>34.773449399999997</v>
      </c>
      <c r="C5903" s="18">
        <v>679386.9</v>
      </c>
      <c r="D5903" s="18">
        <v>2734607.74</v>
      </c>
      <c r="E5903" s="18">
        <v>460</v>
      </c>
      <c r="F5903" s="18">
        <v>41691.379999999997</v>
      </c>
      <c r="G5903" s="18">
        <v>110614</v>
      </c>
      <c r="H5903" s="18">
        <f t="shared" si="142"/>
        <v>41576.379999999997</v>
      </c>
      <c r="I5903" s="3"/>
    </row>
    <row r="5904" spans="1:9" s="4" customFormat="1" ht="20.25" customHeight="1" x14ac:dyDescent="0.55000000000000004">
      <c r="A5904" s="18">
        <v>24.715519499999999</v>
      </c>
      <c r="B5904" s="18">
        <v>34.773429800000002</v>
      </c>
      <c r="C5904" s="18">
        <v>679384.89</v>
      </c>
      <c r="D5904" s="18">
        <v>2734609.24</v>
      </c>
      <c r="E5904" s="18">
        <v>459.8</v>
      </c>
      <c r="F5904" s="18">
        <v>41695.160000000003</v>
      </c>
      <c r="G5904" s="18">
        <v>110616</v>
      </c>
      <c r="H5904" s="18">
        <f t="shared" si="142"/>
        <v>41580.160000000003</v>
      </c>
      <c r="I5904" s="3"/>
    </row>
    <row r="5905" spans="1:9" s="4" customFormat="1" ht="20.25" customHeight="1" x14ac:dyDescent="0.55000000000000004">
      <c r="A5905" s="18">
        <v>24.715527300000002</v>
      </c>
      <c r="B5905" s="18">
        <v>34.773408199999999</v>
      </c>
      <c r="C5905" s="18">
        <v>679382.69</v>
      </c>
      <c r="D5905" s="18">
        <v>2734610.07</v>
      </c>
      <c r="E5905" s="18">
        <v>459.62</v>
      </c>
      <c r="F5905" s="18">
        <v>41693.69</v>
      </c>
      <c r="G5905" s="18">
        <v>110618</v>
      </c>
      <c r="H5905" s="18">
        <f t="shared" si="142"/>
        <v>41578.69</v>
      </c>
      <c r="I5905" s="3"/>
    </row>
    <row r="5906" spans="1:9" s="4" customFormat="1" ht="20.25" customHeight="1" x14ac:dyDescent="0.55000000000000004">
      <c r="A5906" s="18">
        <v>24.7155399</v>
      </c>
      <c r="B5906" s="18">
        <v>34.773395499999999</v>
      </c>
      <c r="C5906" s="18">
        <v>679381.4</v>
      </c>
      <c r="D5906" s="18">
        <v>2734611.45</v>
      </c>
      <c r="E5906" s="18">
        <v>459.69</v>
      </c>
      <c r="F5906" s="18">
        <v>41693.67</v>
      </c>
      <c r="G5906" s="18">
        <v>110620</v>
      </c>
      <c r="H5906" s="18">
        <f t="shared" ref="H5906:H5969" si="143">SUM(F5906-115)</f>
        <v>41578.67</v>
      </c>
      <c r="I5906" s="3"/>
    </row>
    <row r="5907" spans="1:9" s="4" customFormat="1" ht="20.25" customHeight="1" x14ac:dyDescent="0.55000000000000004">
      <c r="A5907" s="18">
        <v>24.715550499999999</v>
      </c>
      <c r="B5907" s="18">
        <v>34.773377000000004</v>
      </c>
      <c r="C5907" s="18">
        <v>679379.51</v>
      </c>
      <c r="D5907" s="18">
        <v>2734612.6</v>
      </c>
      <c r="E5907" s="18">
        <v>459.86</v>
      </c>
      <c r="F5907" s="18">
        <v>41695.01</v>
      </c>
      <c r="G5907" s="18">
        <v>110622</v>
      </c>
      <c r="H5907" s="18">
        <f t="shared" si="143"/>
        <v>41580.01</v>
      </c>
      <c r="I5907" s="3"/>
    </row>
    <row r="5908" spans="1:9" s="4" customFormat="1" ht="20.25" customHeight="1" x14ac:dyDescent="0.55000000000000004">
      <c r="A5908" s="18">
        <v>24.71556</v>
      </c>
      <c r="B5908" s="18">
        <v>34.773365400000003</v>
      </c>
      <c r="C5908" s="18">
        <v>679378.32</v>
      </c>
      <c r="D5908" s="18">
        <v>2734613.63</v>
      </c>
      <c r="E5908" s="18">
        <v>460.23</v>
      </c>
      <c r="F5908" s="18">
        <v>41697.29</v>
      </c>
      <c r="G5908" s="18">
        <v>110624</v>
      </c>
      <c r="H5908" s="18">
        <f t="shared" si="143"/>
        <v>41582.29</v>
      </c>
      <c r="I5908" s="3"/>
    </row>
    <row r="5909" spans="1:9" s="4" customFormat="1" ht="20.25" customHeight="1" x14ac:dyDescent="0.55000000000000004">
      <c r="A5909" s="18">
        <v>24.715569599999998</v>
      </c>
      <c r="B5909" s="18">
        <v>34.773348300000002</v>
      </c>
      <c r="C5909" s="18">
        <v>679376.58</v>
      </c>
      <c r="D5909" s="18">
        <v>2734614.67</v>
      </c>
      <c r="E5909" s="18">
        <v>460.23</v>
      </c>
      <c r="F5909" s="18">
        <v>41695.910000000003</v>
      </c>
      <c r="G5909" s="18">
        <v>110626</v>
      </c>
      <c r="H5909" s="18">
        <f t="shared" si="143"/>
        <v>41580.910000000003</v>
      </c>
      <c r="I5909" s="3"/>
    </row>
    <row r="5910" spans="1:9" s="4" customFormat="1" ht="20.25" customHeight="1" x14ac:dyDescent="0.55000000000000004">
      <c r="A5910" s="18">
        <v>24.7155819</v>
      </c>
      <c r="B5910" s="18">
        <v>34.773331499999998</v>
      </c>
      <c r="C5910" s="18">
        <v>679374.86</v>
      </c>
      <c r="D5910" s="18">
        <v>2734616.02</v>
      </c>
      <c r="E5910" s="18">
        <v>460.22</v>
      </c>
      <c r="F5910" s="18">
        <v>41694.07</v>
      </c>
      <c r="G5910" s="18">
        <v>110628</v>
      </c>
      <c r="H5910" s="18">
        <f t="shared" si="143"/>
        <v>41579.07</v>
      </c>
      <c r="I5910" s="3"/>
    </row>
    <row r="5911" spans="1:9" s="4" customFormat="1" ht="20.25" customHeight="1" x14ac:dyDescent="0.55000000000000004">
      <c r="A5911" s="18">
        <v>24.715596900000001</v>
      </c>
      <c r="B5911" s="18">
        <v>34.773314800000001</v>
      </c>
      <c r="C5911" s="18">
        <v>679373.15</v>
      </c>
      <c r="D5911" s="18">
        <v>2734617.66</v>
      </c>
      <c r="E5911" s="18">
        <v>460.06</v>
      </c>
      <c r="F5911" s="18">
        <v>41695.129999999997</v>
      </c>
      <c r="G5911" s="18">
        <v>110630</v>
      </c>
      <c r="H5911" s="18">
        <f t="shared" si="143"/>
        <v>41580.129999999997</v>
      </c>
      <c r="I5911" s="3"/>
    </row>
    <row r="5912" spans="1:9" s="4" customFormat="1" ht="20.25" customHeight="1" x14ac:dyDescent="0.55000000000000004">
      <c r="A5912" s="18">
        <v>24.715613300000001</v>
      </c>
      <c r="B5912" s="18">
        <v>34.773298099999998</v>
      </c>
      <c r="C5912" s="18">
        <v>679371.44</v>
      </c>
      <c r="D5912" s="18">
        <v>2734619.45</v>
      </c>
      <c r="E5912" s="18">
        <v>460.41</v>
      </c>
      <c r="F5912" s="18">
        <v>41696.400000000001</v>
      </c>
      <c r="G5912" s="18">
        <v>110632</v>
      </c>
      <c r="H5912" s="18">
        <f t="shared" si="143"/>
        <v>41581.4</v>
      </c>
      <c r="I5912" s="3"/>
    </row>
    <row r="5913" spans="1:9" s="4" customFormat="1" ht="20.25" customHeight="1" x14ac:dyDescent="0.55000000000000004">
      <c r="A5913" s="18">
        <v>24.7156208</v>
      </c>
      <c r="B5913" s="18">
        <v>34.7732855</v>
      </c>
      <c r="C5913" s="18">
        <v>679370.15</v>
      </c>
      <c r="D5913" s="18">
        <v>2734620.27</v>
      </c>
      <c r="E5913" s="18">
        <v>460.8</v>
      </c>
      <c r="F5913" s="18">
        <v>41695.81</v>
      </c>
      <c r="G5913" s="18">
        <v>110634</v>
      </c>
      <c r="H5913" s="18">
        <f t="shared" si="143"/>
        <v>41580.81</v>
      </c>
      <c r="I5913" s="3"/>
    </row>
    <row r="5914" spans="1:9" s="4" customFormat="1" ht="20.25" customHeight="1" x14ac:dyDescent="0.55000000000000004">
      <c r="A5914" s="18">
        <v>24.715629700000001</v>
      </c>
      <c r="B5914" s="18">
        <v>34.773267400000002</v>
      </c>
      <c r="C5914" s="18">
        <v>679368.3</v>
      </c>
      <c r="D5914" s="18">
        <v>2734621.23</v>
      </c>
      <c r="E5914" s="18">
        <v>460.77</v>
      </c>
      <c r="F5914" s="18">
        <v>41693.629999999997</v>
      </c>
      <c r="G5914" s="18">
        <v>110636</v>
      </c>
      <c r="H5914" s="18">
        <f t="shared" si="143"/>
        <v>41578.629999999997</v>
      </c>
      <c r="I5914" s="3"/>
    </row>
    <row r="5915" spans="1:9" s="4" customFormat="1" ht="20.25" customHeight="1" x14ac:dyDescent="0.55000000000000004">
      <c r="A5915" s="18">
        <v>24.715634300000001</v>
      </c>
      <c r="B5915" s="18">
        <v>34.773250900000001</v>
      </c>
      <c r="C5915" s="18">
        <v>679366.63</v>
      </c>
      <c r="D5915" s="18">
        <v>2734621.72</v>
      </c>
      <c r="E5915" s="18">
        <v>460.74</v>
      </c>
      <c r="F5915" s="18">
        <v>41700.93</v>
      </c>
      <c r="G5915" s="18">
        <v>110638</v>
      </c>
      <c r="H5915" s="18">
        <f t="shared" si="143"/>
        <v>41585.93</v>
      </c>
      <c r="I5915" s="3"/>
    </row>
    <row r="5916" spans="1:9" s="4" customFormat="1" ht="20.25" customHeight="1" x14ac:dyDescent="0.55000000000000004">
      <c r="A5916" s="18">
        <v>24.7156342</v>
      </c>
      <c r="B5916" s="18">
        <v>34.773251500000001</v>
      </c>
      <c r="C5916" s="18">
        <v>679366.69</v>
      </c>
      <c r="D5916" s="18">
        <v>2734621.7</v>
      </c>
      <c r="E5916" s="18">
        <v>460.78</v>
      </c>
      <c r="F5916" s="18">
        <v>41698.550000000003</v>
      </c>
      <c r="G5916" s="18">
        <v>110640</v>
      </c>
      <c r="H5916" s="18">
        <f t="shared" si="143"/>
        <v>41583.550000000003</v>
      </c>
      <c r="I5916" s="3"/>
    </row>
    <row r="5917" spans="1:9" s="4" customFormat="1" ht="20.25" customHeight="1" x14ac:dyDescent="0.55000000000000004">
      <c r="A5917" s="18">
        <v>24.7156339</v>
      </c>
      <c r="B5917" s="18">
        <v>34.773251100000003</v>
      </c>
      <c r="C5917" s="18">
        <v>679366.65</v>
      </c>
      <c r="D5917" s="18">
        <v>2734621.67</v>
      </c>
      <c r="E5917" s="18">
        <v>460.81</v>
      </c>
      <c r="F5917" s="18">
        <v>41698.620000000003</v>
      </c>
      <c r="G5917" s="18">
        <v>110642</v>
      </c>
      <c r="H5917" s="18">
        <f t="shared" si="143"/>
        <v>41583.620000000003</v>
      </c>
      <c r="I5917" s="3"/>
    </row>
    <row r="5918" spans="1:9" s="4" customFormat="1" ht="20.25" customHeight="1" x14ac:dyDescent="0.55000000000000004">
      <c r="A5918" s="18">
        <v>24.715634099999999</v>
      </c>
      <c r="B5918" s="18">
        <v>34.773250300000001</v>
      </c>
      <c r="C5918" s="18">
        <v>679366.57</v>
      </c>
      <c r="D5918" s="18">
        <v>2734621.69</v>
      </c>
      <c r="E5918" s="18">
        <v>460.85</v>
      </c>
      <c r="F5918" s="18">
        <v>41701.06</v>
      </c>
      <c r="G5918" s="18">
        <v>110644</v>
      </c>
      <c r="H5918" s="18">
        <f t="shared" si="143"/>
        <v>41586.06</v>
      </c>
      <c r="I5918" s="3"/>
    </row>
    <row r="5919" spans="1:9" s="4" customFormat="1" ht="20.25" customHeight="1" x14ac:dyDescent="0.55000000000000004">
      <c r="A5919" s="18">
        <v>24.715634099999999</v>
      </c>
      <c r="B5919" s="18">
        <v>34.773250300000001</v>
      </c>
      <c r="C5919" s="18">
        <v>679366.57</v>
      </c>
      <c r="D5919" s="18">
        <v>2734621.69</v>
      </c>
      <c r="E5919" s="18">
        <v>460.9</v>
      </c>
      <c r="F5919" s="18">
        <v>41701.589999999997</v>
      </c>
      <c r="G5919" s="18">
        <v>110646</v>
      </c>
      <c r="H5919" s="18">
        <f t="shared" si="143"/>
        <v>41586.589999999997</v>
      </c>
      <c r="I5919" s="3"/>
    </row>
    <row r="5920" spans="1:9" s="4" customFormat="1" ht="20.25" customHeight="1" x14ac:dyDescent="0.55000000000000004">
      <c r="A5920" s="18">
        <v>24.715634099999999</v>
      </c>
      <c r="B5920" s="18">
        <v>34.773250500000003</v>
      </c>
      <c r="C5920" s="18">
        <v>679366.59</v>
      </c>
      <c r="D5920" s="18">
        <v>2734621.69</v>
      </c>
      <c r="E5920" s="18">
        <v>460.94</v>
      </c>
      <c r="F5920" s="18">
        <v>41709.699999999997</v>
      </c>
      <c r="G5920" s="18">
        <v>110648</v>
      </c>
      <c r="H5920" s="18">
        <f t="shared" si="143"/>
        <v>41594.699999999997</v>
      </c>
      <c r="I5920" s="3"/>
    </row>
    <row r="5921" spans="1:9" s="4" customFormat="1" ht="20.25" customHeight="1" x14ac:dyDescent="0.55000000000000004">
      <c r="A5921" s="18">
        <v>24.715634900000001</v>
      </c>
      <c r="B5921" s="18">
        <v>34.773250099999998</v>
      </c>
      <c r="C5921" s="18">
        <v>679366.55</v>
      </c>
      <c r="D5921" s="18">
        <v>2734621.78</v>
      </c>
      <c r="E5921" s="18">
        <v>461.02</v>
      </c>
      <c r="F5921" s="18">
        <v>41708.910000000003</v>
      </c>
      <c r="G5921" s="18">
        <v>110650</v>
      </c>
      <c r="H5921" s="18">
        <f t="shared" si="143"/>
        <v>41593.910000000003</v>
      </c>
      <c r="I5921" s="3"/>
    </row>
    <row r="5922" spans="1:9" s="4" customFormat="1" ht="20.25" customHeight="1" x14ac:dyDescent="0.55000000000000004">
      <c r="A5922" s="18">
        <v>24.7156378</v>
      </c>
      <c r="B5922" s="18">
        <v>34.773239199999999</v>
      </c>
      <c r="C5922" s="18">
        <v>679365.44</v>
      </c>
      <c r="D5922" s="18">
        <v>2734622.08</v>
      </c>
      <c r="E5922" s="18">
        <v>460.89</v>
      </c>
      <c r="F5922" s="18">
        <v>41704.01</v>
      </c>
      <c r="G5922" s="18">
        <v>110652</v>
      </c>
      <c r="H5922" s="18">
        <f t="shared" si="143"/>
        <v>41589.01</v>
      </c>
      <c r="I5922" s="3"/>
    </row>
    <row r="5923" spans="1:9" s="4" customFormat="1" ht="20.25" customHeight="1" x14ac:dyDescent="0.55000000000000004">
      <c r="A5923" s="18">
        <v>24.7156485</v>
      </c>
      <c r="B5923" s="18">
        <v>34.773218800000002</v>
      </c>
      <c r="C5923" s="18">
        <v>679363.37</v>
      </c>
      <c r="D5923" s="18">
        <v>2734623.24</v>
      </c>
      <c r="E5923" s="18">
        <v>460.84</v>
      </c>
      <c r="F5923" s="18">
        <v>41696.559999999998</v>
      </c>
      <c r="G5923" s="18">
        <v>110654</v>
      </c>
      <c r="H5923" s="18">
        <f t="shared" si="143"/>
        <v>41581.56</v>
      </c>
      <c r="I5923" s="3"/>
    </row>
    <row r="5924" spans="1:9" s="4" customFormat="1" ht="20.25" customHeight="1" x14ac:dyDescent="0.55000000000000004">
      <c r="A5924" s="18">
        <v>24.715658699999999</v>
      </c>
      <c r="B5924" s="18">
        <v>34.773198200000003</v>
      </c>
      <c r="C5924" s="18">
        <v>679361.26</v>
      </c>
      <c r="D5924" s="18">
        <v>2734624.35</v>
      </c>
      <c r="E5924" s="18">
        <v>460.82</v>
      </c>
      <c r="F5924" s="18">
        <v>41695.040000000001</v>
      </c>
      <c r="G5924" s="18">
        <v>110656</v>
      </c>
      <c r="H5924" s="18">
        <f t="shared" si="143"/>
        <v>41580.04</v>
      </c>
      <c r="I5924" s="3"/>
    </row>
    <row r="5925" spans="1:9" s="4" customFormat="1" ht="20.25" customHeight="1" x14ac:dyDescent="0.55000000000000004">
      <c r="A5925" s="18">
        <v>24.715666299999999</v>
      </c>
      <c r="B5925" s="18">
        <v>34.773176399999997</v>
      </c>
      <c r="C5925" s="18">
        <v>679359.05</v>
      </c>
      <c r="D5925" s="18">
        <v>2734625.16</v>
      </c>
      <c r="E5925" s="18">
        <v>460.65</v>
      </c>
      <c r="F5925" s="18">
        <v>41693.49</v>
      </c>
      <c r="G5925" s="18">
        <v>110658</v>
      </c>
      <c r="H5925" s="18">
        <f t="shared" si="143"/>
        <v>41578.49</v>
      </c>
      <c r="I5925" s="3"/>
    </row>
    <row r="5926" spans="1:9" s="4" customFormat="1" ht="20.25" customHeight="1" x14ac:dyDescent="0.55000000000000004">
      <c r="A5926" s="18">
        <v>24.715675900000001</v>
      </c>
      <c r="B5926" s="18">
        <v>34.773153100000002</v>
      </c>
      <c r="C5926" s="18">
        <v>679356.67</v>
      </c>
      <c r="D5926" s="18">
        <v>2734626.19</v>
      </c>
      <c r="E5926" s="18">
        <v>460.63</v>
      </c>
      <c r="F5926" s="18">
        <v>41694.559999999998</v>
      </c>
      <c r="G5926" s="18">
        <v>110700</v>
      </c>
      <c r="H5926" s="18">
        <f t="shared" si="143"/>
        <v>41579.56</v>
      </c>
      <c r="I5926" s="3"/>
    </row>
    <row r="5927" spans="1:9" s="4" customFormat="1" ht="20.25" customHeight="1" x14ac:dyDescent="0.55000000000000004">
      <c r="A5927" s="18">
        <v>24.715684</v>
      </c>
      <c r="B5927" s="18">
        <v>34.7731323</v>
      </c>
      <c r="C5927" s="18">
        <v>679354.56</v>
      </c>
      <c r="D5927" s="18">
        <v>2734627.07</v>
      </c>
      <c r="E5927" s="18">
        <v>460.61</v>
      </c>
      <c r="F5927" s="18">
        <v>41696.36</v>
      </c>
      <c r="G5927" s="18">
        <v>110702</v>
      </c>
      <c r="H5927" s="18">
        <f t="shared" si="143"/>
        <v>41581.360000000001</v>
      </c>
      <c r="I5927" s="3"/>
    </row>
    <row r="5928" spans="1:9" s="4" customFormat="1" ht="20.25" customHeight="1" x14ac:dyDescent="0.55000000000000004">
      <c r="A5928" s="18">
        <v>24.715692099999998</v>
      </c>
      <c r="B5928" s="18">
        <v>34.773113000000002</v>
      </c>
      <c r="C5928" s="18">
        <v>679352.59</v>
      </c>
      <c r="D5928" s="18">
        <v>2734627.93</v>
      </c>
      <c r="E5928" s="18">
        <v>460.43</v>
      </c>
      <c r="F5928" s="18">
        <v>41691.410000000003</v>
      </c>
      <c r="G5928" s="18">
        <v>110704</v>
      </c>
      <c r="H5928" s="18">
        <f t="shared" si="143"/>
        <v>41576.410000000003</v>
      </c>
      <c r="I5928" s="3"/>
    </row>
    <row r="5929" spans="1:9" s="4" customFormat="1" ht="20.25" customHeight="1" x14ac:dyDescent="0.55000000000000004">
      <c r="A5929" s="18">
        <v>24.715694800000001</v>
      </c>
      <c r="B5929" s="18">
        <v>34.773089499999998</v>
      </c>
      <c r="C5929" s="18">
        <v>679350.21</v>
      </c>
      <c r="D5929" s="18">
        <v>2734628.2</v>
      </c>
      <c r="E5929" s="18">
        <v>460.04</v>
      </c>
      <c r="F5929" s="18">
        <v>41694.15</v>
      </c>
      <c r="G5929" s="18">
        <v>110706</v>
      </c>
      <c r="H5929" s="18">
        <f t="shared" si="143"/>
        <v>41579.15</v>
      </c>
      <c r="I5929" s="3"/>
    </row>
    <row r="5930" spans="1:9" s="4" customFormat="1" ht="20.25" customHeight="1" x14ac:dyDescent="0.55000000000000004">
      <c r="A5930" s="18">
        <v>24.7156971</v>
      </c>
      <c r="B5930" s="18">
        <v>34.773066300000004</v>
      </c>
      <c r="C5930" s="18">
        <v>679347.87</v>
      </c>
      <c r="D5930" s="18">
        <v>2734628.43</v>
      </c>
      <c r="E5930" s="18">
        <v>459.44</v>
      </c>
      <c r="F5930" s="18">
        <v>41692.46</v>
      </c>
      <c r="G5930" s="18">
        <v>110708</v>
      </c>
      <c r="H5930" s="18">
        <f t="shared" si="143"/>
        <v>41577.46</v>
      </c>
      <c r="I5930" s="3"/>
    </row>
    <row r="5931" spans="1:9" s="4" customFormat="1" ht="20.25" customHeight="1" x14ac:dyDescent="0.55000000000000004">
      <c r="A5931" s="18">
        <v>24.7156959</v>
      </c>
      <c r="B5931" s="18">
        <v>34.773040299999998</v>
      </c>
      <c r="C5931" s="18">
        <v>679345.23</v>
      </c>
      <c r="D5931" s="18">
        <v>2734628.26</v>
      </c>
      <c r="E5931" s="18">
        <v>459.19</v>
      </c>
      <c r="F5931" s="18">
        <v>41697.97</v>
      </c>
      <c r="G5931" s="18">
        <v>110710</v>
      </c>
      <c r="H5931" s="18">
        <f t="shared" si="143"/>
        <v>41582.97</v>
      </c>
      <c r="I5931" s="3"/>
    </row>
    <row r="5932" spans="1:9" s="4" customFormat="1" ht="20.25" customHeight="1" x14ac:dyDescent="0.55000000000000004">
      <c r="A5932" s="18">
        <v>24.715706300000001</v>
      </c>
      <c r="B5932" s="18">
        <v>34.773017199999998</v>
      </c>
      <c r="C5932" s="18">
        <v>679342.88</v>
      </c>
      <c r="D5932" s="18">
        <v>2734629.38</v>
      </c>
      <c r="E5932" s="18">
        <v>458.96</v>
      </c>
      <c r="F5932" s="18">
        <v>41699.269999999997</v>
      </c>
      <c r="G5932" s="18">
        <v>110712</v>
      </c>
      <c r="H5932" s="18">
        <f t="shared" si="143"/>
        <v>41584.269999999997</v>
      </c>
      <c r="I5932" s="3"/>
    </row>
    <row r="5933" spans="1:9" s="4" customFormat="1" ht="20.25" customHeight="1" x14ac:dyDescent="0.55000000000000004">
      <c r="A5933" s="18">
        <v>24.715719799999999</v>
      </c>
      <c r="B5933" s="18">
        <v>34.772997799999999</v>
      </c>
      <c r="C5933" s="18">
        <v>679340.9</v>
      </c>
      <c r="D5933" s="18">
        <v>2734630.85</v>
      </c>
      <c r="E5933" s="18">
        <v>458.91</v>
      </c>
      <c r="F5933" s="18">
        <v>41697.47</v>
      </c>
      <c r="G5933" s="18">
        <v>110714</v>
      </c>
      <c r="H5933" s="18">
        <f t="shared" si="143"/>
        <v>41582.47</v>
      </c>
      <c r="I5933" s="3"/>
    </row>
    <row r="5934" spans="1:9" s="4" customFormat="1" ht="20.25" customHeight="1" x14ac:dyDescent="0.55000000000000004">
      <c r="A5934" s="18">
        <v>24.715741399999999</v>
      </c>
      <c r="B5934" s="18">
        <v>34.772986600000003</v>
      </c>
      <c r="C5934" s="18">
        <v>679339.73</v>
      </c>
      <c r="D5934" s="18">
        <v>2734633.23</v>
      </c>
      <c r="E5934" s="18">
        <v>459.01</v>
      </c>
      <c r="F5934" s="18">
        <v>41696.44</v>
      </c>
      <c r="G5934" s="18">
        <v>110716</v>
      </c>
      <c r="H5934" s="18">
        <f t="shared" si="143"/>
        <v>41581.440000000002</v>
      </c>
      <c r="I5934" s="3"/>
    </row>
    <row r="5935" spans="1:9" s="4" customFormat="1" ht="20.25" customHeight="1" x14ac:dyDescent="0.55000000000000004">
      <c r="A5935" s="18">
        <v>24.715763200000001</v>
      </c>
      <c r="B5935" s="18">
        <v>34.772979499999998</v>
      </c>
      <c r="C5935" s="18">
        <v>679338.99</v>
      </c>
      <c r="D5935" s="18">
        <v>2734635.63</v>
      </c>
      <c r="E5935" s="18">
        <v>459.01</v>
      </c>
      <c r="F5935" s="18">
        <v>41696.019999999997</v>
      </c>
      <c r="G5935" s="18">
        <v>110718</v>
      </c>
      <c r="H5935" s="18">
        <f t="shared" si="143"/>
        <v>41581.019999999997</v>
      </c>
      <c r="I5935" s="3"/>
    </row>
    <row r="5936" spans="1:9" s="4" customFormat="1" ht="20.25" customHeight="1" x14ac:dyDescent="0.55000000000000004">
      <c r="A5936" s="18">
        <v>24.715784200000002</v>
      </c>
      <c r="B5936" s="18">
        <v>34.7729681</v>
      </c>
      <c r="C5936" s="18">
        <v>679337.8</v>
      </c>
      <c r="D5936" s="18">
        <v>2734637.95</v>
      </c>
      <c r="E5936" s="18">
        <v>459.17</v>
      </c>
      <c r="F5936" s="18">
        <v>41696.870000000003</v>
      </c>
      <c r="G5936" s="18">
        <v>110720</v>
      </c>
      <c r="H5936" s="18">
        <f t="shared" si="143"/>
        <v>41581.870000000003</v>
      </c>
      <c r="I5936" s="3"/>
    </row>
    <row r="5937" spans="1:9" s="4" customFormat="1" ht="20.25" customHeight="1" x14ac:dyDescent="0.55000000000000004">
      <c r="A5937" s="18">
        <v>24.715803999999999</v>
      </c>
      <c r="B5937" s="18">
        <v>34.772956899999997</v>
      </c>
      <c r="C5937" s="18">
        <v>679336.64</v>
      </c>
      <c r="D5937" s="18">
        <v>2734640.13</v>
      </c>
      <c r="E5937" s="18">
        <v>459.24</v>
      </c>
      <c r="F5937" s="18">
        <v>41695.78</v>
      </c>
      <c r="G5937" s="18">
        <v>110722</v>
      </c>
      <c r="H5937" s="18">
        <f t="shared" si="143"/>
        <v>41580.78</v>
      </c>
      <c r="I5937" s="3"/>
    </row>
    <row r="5938" spans="1:9" s="4" customFormat="1" ht="20.25" customHeight="1" x14ac:dyDescent="0.55000000000000004">
      <c r="A5938" s="18">
        <v>24.7158233</v>
      </c>
      <c r="B5938" s="18">
        <v>34.772943300000001</v>
      </c>
      <c r="C5938" s="18">
        <v>679335.24</v>
      </c>
      <c r="D5938" s="18">
        <v>2734642.25</v>
      </c>
      <c r="E5938" s="18">
        <v>459.2</v>
      </c>
      <c r="F5938" s="18">
        <v>41695.9</v>
      </c>
      <c r="G5938" s="18">
        <v>110724</v>
      </c>
      <c r="H5938" s="18">
        <f t="shared" si="143"/>
        <v>41580.9</v>
      </c>
      <c r="I5938" s="3"/>
    </row>
    <row r="5939" spans="1:9" s="4" customFormat="1" ht="20.25" customHeight="1" x14ac:dyDescent="0.55000000000000004">
      <c r="A5939" s="18">
        <v>24.715839800000001</v>
      </c>
      <c r="B5939" s="18">
        <v>34.772926699999999</v>
      </c>
      <c r="C5939" s="18">
        <v>679333.54</v>
      </c>
      <c r="D5939" s="18">
        <v>2734644.05</v>
      </c>
      <c r="E5939" s="18">
        <v>459.33</v>
      </c>
      <c r="F5939" s="18">
        <v>41694.39</v>
      </c>
      <c r="G5939" s="18">
        <v>110726</v>
      </c>
      <c r="H5939" s="18">
        <f t="shared" si="143"/>
        <v>41579.39</v>
      </c>
      <c r="I5939" s="3"/>
    </row>
    <row r="5940" spans="1:9" s="4" customFormat="1" ht="20.25" customHeight="1" x14ac:dyDescent="0.55000000000000004">
      <c r="A5940" s="18">
        <v>24.715851900000001</v>
      </c>
      <c r="B5940" s="18">
        <v>34.772904400000002</v>
      </c>
      <c r="C5940" s="18">
        <v>679331.27</v>
      </c>
      <c r="D5940" s="18">
        <v>2734645.36</v>
      </c>
      <c r="E5940" s="18">
        <v>459.52</v>
      </c>
      <c r="F5940" s="18">
        <v>41694.800000000003</v>
      </c>
      <c r="G5940" s="18">
        <v>110728</v>
      </c>
      <c r="H5940" s="18">
        <f t="shared" si="143"/>
        <v>41579.800000000003</v>
      </c>
      <c r="I5940" s="3"/>
    </row>
    <row r="5941" spans="1:9" s="4" customFormat="1" ht="20.25" customHeight="1" x14ac:dyDescent="0.55000000000000004">
      <c r="A5941" s="18">
        <v>24.715865600000001</v>
      </c>
      <c r="B5941" s="18">
        <v>34.7728872</v>
      </c>
      <c r="C5941" s="18">
        <v>679329.5</v>
      </c>
      <c r="D5941" s="18">
        <v>2734646.85</v>
      </c>
      <c r="E5941" s="18">
        <v>459.89</v>
      </c>
      <c r="F5941" s="18">
        <v>41696.42</v>
      </c>
      <c r="G5941" s="18">
        <v>110730</v>
      </c>
      <c r="H5941" s="18">
        <f t="shared" si="143"/>
        <v>41581.42</v>
      </c>
      <c r="I5941" s="3"/>
    </row>
    <row r="5942" spans="1:9" s="4" customFormat="1" ht="20.25" customHeight="1" x14ac:dyDescent="0.55000000000000004">
      <c r="A5942" s="18">
        <v>24.715879600000001</v>
      </c>
      <c r="B5942" s="18">
        <v>34.772866800000003</v>
      </c>
      <c r="C5942" s="18">
        <v>679327.42</v>
      </c>
      <c r="D5942" s="18">
        <v>2734648.38</v>
      </c>
      <c r="E5942" s="18">
        <v>460.06</v>
      </c>
      <c r="F5942" s="18">
        <v>41695.49</v>
      </c>
      <c r="G5942" s="18">
        <v>110732</v>
      </c>
      <c r="H5942" s="18">
        <f t="shared" si="143"/>
        <v>41580.49</v>
      </c>
      <c r="I5942" s="3"/>
    </row>
    <row r="5943" spans="1:9" s="4" customFormat="1" ht="20.25" customHeight="1" x14ac:dyDescent="0.55000000000000004">
      <c r="A5943" s="18">
        <v>24.715890099999999</v>
      </c>
      <c r="B5943" s="18">
        <v>34.772843700000003</v>
      </c>
      <c r="C5943" s="18">
        <v>679325.06</v>
      </c>
      <c r="D5943" s="18">
        <v>2734649.51</v>
      </c>
      <c r="E5943" s="18">
        <v>460.15</v>
      </c>
      <c r="F5943" s="18">
        <v>41696.11</v>
      </c>
      <c r="G5943" s="18">
        <v>110734</v>
      </c>
      <c r="H5943" s="18">
        <f t="shared" si="143"/>
        <v>41581.11</v>
      </c>
      <c r="I5943" s="3"/>
    </row>
    <row r="5944" spans="1:9" s="4" customFormat="1" ht="20.25" customHeight="1" x14ac:dyDescent="0.55000000000000004">
      <c r="A5944" s="18">
        <v>24.715900900000001</v>
      </c>
      <c r="B5944" s="18">
        <v>34.772821499999999</v>
      </c>
      <c r="C5944" s="18">
        <v>679322.8</v>
      </c>
      <c r="D5944" s="18">
        <v>2734650.68</v>
      </c>
      <c r="E5944" s="18">
        <v>460.35</v>
      </c>
      <c r="F5944" s="18">
        <v>41695.03</v>
      </c>
      <c r="G5944" s="18">
        <v>110736</v>
      </c>
      <c r="H5944" s="18">
        <f t="shared" si="143"/>
        <v>41580.03</v>
      </c>
      <c r="I5944" s="3"/>
    </row>
    <row r="5945" spans="1:9" s="4" customFormat="1" ht="20.25" customHeight="1" x14ac:dyDescent="0.55000000000000004">
      <c r="A5945" s="18">
        <v>24.715906400000001</v>
      </c>
      <c r="B5945" s="18">
        <v>34.772797500000003</v>
      </c>
      <c r="C5945" s="18">
        <v>679320.37</v>
      </c>
      <c r="D5945" s="18">
        <v>2734651.26</v>
      </c>
      <c r="E5945" s="18">
        <v>460.4</v>
      </c>
      <c r="F5945" s="18">
        <v>41695.129999999997</v>
      </c>
      <c r="G5945" s="18">
        <v>110738</v>
      </c>
      <c r="H5945" s="18">
        <f t="shared" si="143"/>
        <v>41580.129999999997</v>
      </c>
      <c r="I5945" s="3"/>
    </row>
    <row r="5946" spans="1:9" s="4" customFormat="1" ht="20.25" customHeight="1" x14ac:dyDescent="0.55000000000000004">
      <c r="A5946" s="18">
        <v>24.7159184</v>
      </c>
      <c r="B5946" s="18">
        <v>34.7727729</v>
      </c>
      <c r="C5946" s="18">
        <v>679317.86</v>
      </c>
      <c r="D5946" s="18">
        <v>2734652.55</v>
      </c>
      <c r="E5946" s="18">
        <v>460.42</v>
      </c>
      <c r="F5946" s="18">
        <v>41696.050000000003</v>
      </c>
      <c r="G5946" s="18">
        <v>110740</v>
      </c>
      <c r="H5946" s="18">
        <f t="shared" si="143"/>
        <v>41581.050000000003</v>
      </c>
      <c r="I5946" s="3"/>
    </row>
    <row r="5947" spans="1:9" s="4" customFormat="1" ht="20.25" customHeight="1" x14ac:dyDescent="0.55000000000000004">
      <c r="A5947" s="18">
        <v>24.7159263</v>
      </c>
      <c r="B5947" s="18">
        <v>34.772747600000002</v>
      </c>
      <c r="C5947" s="18">
        <v>679315.29</v>
      </c>
      <c r="D5947" s="18">
        <v>2734653.4</v>
      </c>
      <c r="E5947" s="18">
        <v>460.52</v>
      </c>
      <c r="F5947" s="18">
        <v>41697.25</v>
      </c>
      <c r="G5947" s="18">
        <v>110742</v>
      </c>
      <c r="H5947" s="18">
        <f t="shared" si="143"/>
        <v>41582.25</v>
      </c>
      <c r="I5947" s="3"/>
    </row>
    <row r="5948" spans="1:9" s="4" customFormat="1" ht="20.25" customHeight="1" x14ac:dyDescent="0.55000000000000004">
      <c r="A5948" s="18">
        <v>24.7159336</v>
      </c>
      <c r="B5948" s="18">
        <v>34.772720999999997</v>
      </c>
      <c r="C5948" s="18">
        <v>679312.59</v>
      </c>
      <c r="D5948" s="18">
        <v>2734654.17</v>
      </c>
      <c r="E5948" s="18">
        <v>460.55</v>
      </c>
      <c r="F5948" s="18">
        <v>41698.47</v>
      </c>
      <c r="G5948" s="18">
        <v>110744</v>
      </c>
      <c r="H5948" s="18">
        <f t="shared" si="143"/>
        <v>41583.47</v>
      </c>
      <c r="I5948" s="3"/>
    </row>
    <row r="5949" spans="1:9" s="4" customFormat="1" ht="20.25" customHeight="1" x14ac:dyDescent="0.55000000000000004">
      <c r="A5949" s="18">
        <v>24.715942800000001</v>
      </c>
      <c r="B5949" s="18">
        <v>34.772697100000002</v>
      </c>
      <c r="C5949" s="18">
        <v>679310.16</v>
      </c>
      <c r="D5949" s="18">
        <v>2734655.16</v>
      </c>
      <c r="E5949" s="18">
        <v>460.63</v>
      </c>
      <c r="F5949" s="18">
        <v>41698.019999999997</v>
      </c>
      <c r="G5949" s="18">
        <v>110746</v>
      </c>
      <c r="H5949" s="18">
        <f t="shared" si="143"/>
        <v>41583.019999999997</v>
      </c>
      <c r="I5949" s="3"/>
    </row>
    <row r="5950" spans="1:9" s="4" customFormat="1" ht="20.25" customHeight="1" x14ac:dyDescent="0.55000000000000004">
      <c r="A5950" s="18">
        <v>24.715955099999999</v>
      </c>
      <c r="B5950" s="18">
        <v>34.772672700000001</v>
      </c>
      <c r="C5950" s="18">
        <v>679307.67</v>
      </c>
      <c r="D5950" s="18">
        <v>2734656.49</v>
      </c>
      <c r="E5950" s="18">
        <v>460.69</v>
      </c>
      <c r="F5950" s="18">
        <v>41698.75</v>
      </c>
      <c r="G5950" s="18">
        <v>110748</v>
      </c>
      <c r="H5950" s="18">
        <f t="shared" si="143"/>
        <v>41583.75</v>
      </c>
      <c r="I5950" s="3"/>
    </row>
    <row r="5951" spans="1:9" s="4" customFormat="1" ht="20.25" customHeight="1" x14ac:dyDescent="0.55000000000000004">
      <c r="A5951" s="18">
        <v>24.715969999999999</v>
      </c>
      <c r="B5951" s="18">
        <v>34.772650200000001</v>
      </c>
      <c r="C5951" s="18">
        <v>679305.37</v>
      </c>
      <c r="D5951" s="18">
        <v>2734658.11</v>
      </c>
      <c r="E5951" s="18">
        <v>460.84</v>
      </c>
      <c r="F5951" s="18">
        <v>41699.120000000003</v>
      </c>
      <c r="G5951" s="18">
        <v>110750</v>
      </c>
      <c r="H5951" s="18">
        <f t="shared" si="143"/>
        <v>41584.120000000003</v>
      </c>
      <c r="I5951" s="3"/>
    </row>
    <row r="5952" spans="1:9" s="4" customFormat="1" ht="20.25" customHeight="1" x14ac:dyDescent="0.55000000000000004">
      <c r="A5952" s="18">
        <v>24.715984299999999</v>
      </c>
      <c r="B5952" s="18">
        <v>34.7726288</v>
      </c>
      <c r="C5952" s="18">
        <v>679303.19</v>
      </c>
      <c r="D5952" s="18">
        <v>2734659.66</v>
      </c>
      <c r="E5952" s="18">
        <v>460.97</v>
      </c>
      <c r="F5952" s="18">
        <v>41696.97</v>
      </c>
      <c r="G5952" s="18">
        <v>110752</v>
      </c>
      <c r="H5952" s="18">
        <f t="shared" si="143"/>
        <v>41581.97</v>
      </c>
      <c r="I5952" s="3"/>
    </row>
    <row r="5953" spans="1:9" s="4" customFormat="1" ht="20.25" customHeight="1" x14ac:dyDescent="0.55000000000000004">
      <c r="A5953" s="18">
        <v>24.7159981</v>
      </c>
      <c r="B5953" s="18">
        <v>34.772607899999997</v>
      </c>
      <c r="C5953" s="18">
        <v>679301.05</v>
      </c>
      <c r="D5953" s="18">
        <v>2734661.16</v>
      </c>
      <c r="E5953" s="18">
        <v>461.01</v>
      </c>
      <c r="F5953" s="18">
        <v>41697.019999999997</v>
      </c>
      <c r="G5953" s="18">
        <v>110754</v>
      </c>
      <c r="H5953" s="18">
        <f t="shared" si="143"/>
        <v>41582.019999999997</v>
      </c>
      <c r="I5953" s="3"/>
    </row>
    <row r="5954" spans="1:9" s="4" customFormat="1" ht="20.25" customHeight="1" x14ac:dyDescent="0.55000000000000004">
      <c r="A5954" s="18">
        <v>24.716012599999999</v>
      </c>
      <c r="B5954" s="18">
        <v>34.772586599999997</v>
      </c>
      <c r="C5954" s="18">
        <v>679298.88</v>
      </c>
      <c r="D5954" s="18">
        <v>2734662.74</v>
      </c>
      <c r="E5954" s="18">
        <v>461.09</v>
      </c>
      <c r="F5954" s="18">
        <v>41700.629999999997</v>
      </c>
      <c r="G5954" s="18">
        <v>110756</v>
      </c>
      <c r="H5954" s="18">
        <f t="shared" si="143"/>
        <v>41585.629999999997</v>
      </c>
      <c r="I5954" s="3"/>
    </row>
    <row r="5955" spans="1:9" s="4" customFormat="1" ht="20.25" customHeight="1" x14ac:dyDescent="0.55000000000000004">
      <c r="A5955" s="18">
        <v>24.716031000000001</v>
      </c>
      <c r="B5955" s="18">
        <v>34.772569799999999</v>
      </c>
      <c r="C5955" s="18">
        <v>679297.15</v>
      </c>
      <c r="D5955" s="18">
        <v>2734664.76</v>
      </c>
      <c r="E5955" s="18">
        <v>461.25</v>
      </c>
      <c r="F5955" s="18">
        <v>41699.67</v>
      </c>
      <c r="G5955" s="18">
        <v>110758</v>
      </c>
      <c r="H5955" s="18">
        <f t="shared" si="143"/>
        <v>41584.67</v>
      </c>
      <c r="I5955" s="3"/>
    </row>
    <row r="5956" spans="1:9" s="4" customFormat="1" ht="20.25" customHeight="1" x14ac:dyDescent="0.55000000000000004">
      <c r="A5956" s="18">
        <v>24.716050599999999</v>
      </c>
      <c r="B5956" s="18">
        <v>34.772555400000002</v>
      </c>
      <c r="C5956" s="18">
        <v>679295.67</v>
      </c>
      <c r="D5956" s="18">
        <v>2734666.91</v>
      </c>
      <c r="E5956" s="18">
        <v>461.37</v>
      </c>
      <c r="F5956" s="18">
        <v>41699.629999999997</v>
      </c>
      <c r="G5956" s="18">
        <v>110800</v>
      </c>
      <c r="H5956" s="18">
        <f t="shared" si="143"/>
        <v>41584.629999999997</v>
      </c>
      <c r="I5956" s="3"/>
    </row>
    <row r="5957" spans="1:9" s="4" customFormat="1" ht="20.25" customHeight="1" x14ac:dyDescent="0.55000000000000004">
      <c r="A5957" s="18">
        <v>24.7160695</v>
      </c>
      <c r="B5957" s="18">
        <v>34.772540900000003</v>
      </c>
      <c r="C5957" s="18">
        <v>679294.17</v>
      </c>
      <c r="D5957" s="18">
        <v>2734668.99</v>
      </c>
      <c r="E5957" s="18">
        <v>461.55</v>
      </c>
      <c r="F5957" s="18">
        <v>41698.71</v>
      </c>
      <c r="G5957" s="18">
        <v>110802</v>
      </c>
      <c r="H5957" s="18">
        <f t="shared" si="143"/>
        <v>41583.71</v>
      </c>
      <c r="I5957" s="3"/>
    </row>
    <row r="5958" spans="1:9" s="4" customFormat="1" ht="20.25" customHeight="1" x14ac:dyDescent="0.55000000000000004">
      <c r="A5958" s="18">
        <v>24.7160884</v>
      </c>
      <c r="B5958" s="18">
        <v>34.772526599999999</v>
      </c>
      <c r="C5958" s="18">
        <v>679292.7</v>
      </c>
      <c r="D5958" s="18">
        <v>2734671.07</v>
      </c>
      <c r="E5958" s="18">
        <v>461.7</v>
      </c>
      <c r="F5958" s="18">
        <v>41697.96</v>
      </c>
      <c r="G5958" s="18">
        <v>110804</v>
      </c>
      <c r="H5958" s="18">
        <f t="shared" si="143"/>
        <v>41582.959999999999</v>
      </c>
      <c r="I5958" s="3"/>
    </row>
    <row r="5959" spans="1:9" s="4" customFormat="1" ht="20.25" customHeight="1" x14ac:dyDescent="0.55000000000000004">
      <c r="A5959" s="18">
        <v>24.7161075</v>
      </c>
      <c r="B5959" s="18">
        <v>34.772510400000002</v>
      </c>
      <c r="C5959" s="18">
        <v>679291.03</v>
      </c>
      <c r="D5959" s="18">
        <v>2734673.16</v>
      </c>
      <c r="E5959" s="18">
        <v>461.76</v>
      </c>
      <c r="F5959" s="18">
        <v>41698.11</v>
      </c>
      <c r="G5959" s="18">
        <v>110806</v>
      </c>
      <c r="H5959" s="18">
        <f t="shared" si="143"/>
        <v>41583.11</v>
      </c>
      <c r="I5959" s="3"/>
    </row>
    <row r="5960" spans="1:9" s="4" customFormat="1" ht="20.25" customHeight="1" x14ac:dyDescent="0.55000000000000004">
      <c r="A5960" s="18">
        <v>24.716125099999999</v>
      </c>
      <c r="B5960" s="18">
        <v>34.772495399999997</v>
      </c>
      <c r="C5960" s="18">
        <v>679289.49</v>
      </c>
      <c r="D5960" s="18">
        <v>2734675.08</v>
      </c>
      <c r="E5960" s="18">
        <v>461.92</v>
      </c>
      <c r="F5960" s="18">
        <v>41703.57</v>
      </c>
      <c r="G5960" s="18">
        <v>110808</v>
      </c>
      <c r="H5960" s="18">
        <f t="shared" si="143"/>
        <v>41588.57</v>
      </c>
      <c r="I5960" s="3"/>
    </row>
    <row r="5961" spans="1:9" s="4" customFormat="1" ht="20.25" customHeight="1" x14ac:dyDescent="0.55000000000000004">
      <c r="A5961" s="18">
        <v>24.716142900000001</v>
      </c>
      <c r="B5961" s="18">
        <v>34.772484200000001</v>
      </c>
      <c r="C5961" s="18">
        <v>679288.33</v>
      </c>
      <c r="D5961" s="18">
        <v>2734677.04</v>
      </c>
      <c r="E5961" s="18">
        <v>462.04</v>
      </c>
      <c r="F5961" s="18">
        <v>41701.94</v>
      </c>
      <c r="G5961" s="18">
        <v>110810</v>
      </c>
      <c r="H5961" s="18">
        <f t="shared" si="143"/>
        <v>41586.94</v>
      </c>
      <c r="I5961" s="3"/>
    </row>
    <row r="5962" spans="1:9" s="4" customFormat="1" ht="20.25" customHeight="1" x14ac:dyDescent="0.55000000000000004">
      <c r="A5962" s="18">
        <v>24.716160599999998</v>
      </c>
      <c r="B5962" s="18">
        <v>34.7724732</v>
      </c>
      <c r="C5962" s="18">
        <v>679287.2</v>
      </c>
      <c r="D5962" s="18">
        <v>2734678.99</v>
      </c>
      <c r="E5962" s="18">
        <v>462.23</v>
      </c>
      <c r="F5962" s="18">
        <v>41702.49</v>
      </c>
      <c r="G5962" s="18">
        <v>110812</v>
      </c>
      <c r="H5962" s="18">
        <f t="shared" si="143"/>
        <v>41587.49</v>
      </c>
      <c r="I5962" s="3"/>
    </row>
    <row r="5963" spans="1:9" s="4" customFormat="1" ht="20.25" customHeight="1" x14ac:dyDescent="0.55000000000000004">
      <c r="A5963" s="18">
        <v>24.716180600000001</v>
      </c>
      <c r="B5963" s="18">
        <v>34.772467900000002</v>
      </c>
      <c r="C5963" s="18">
        <v>679286.63</v>
      </c>
      <c r="D5963" s="18">
        <v>2734681.19</v>
      </c>
      <c r="E5963" s="18">
        <v>462.32</v>
      </c>
      <c r="F5963" s="18">
        <v>41702.28</v>
      </c>
      <c r="G5963" s="18">
        <v>110814</v>
      </c>
      <c r="H5963" s="18">
        <f t="shared" si="143"/>
        <v>41587.279999999999</v>
      </c>
      <c r="I5963" s="3"/>
    </row>
    <row r="5964" spans="1:9" s="4" customFormat="1" ht="20.25" customHeight="1" x14ac:dyDescent="0.55000000000000004">
      <c r="A5964" s="18">
        <v>24.716196199999999</v>
      </c>
      <c r="B5964" s="18">
        <v>34.772456099999999</v>
      </c>
      <c r="C5964" s="18">
        <v>679285.41</v>
      </c>
      <c r="D5964" s="18">
        <v>2734682.91</v>
      </c>
      <c r="E5964" s="18">
        <v>462.57</v>
      </c>
      <c r="F5964" s="18">
        <v>41700.379999999997</v>
      </c>
      <c r="G5964" s="18">
        <v>110816</v>
      </c>
      <c r="H5964" s="18">
        <f t="shared" si="143"/>
        <v>41585.379999999997</v>
      </c>
      <c r="I5964" s="3"/>
    </row>
    <row r="5965" spans="1:9" s="4" customFormat="1" ht="20.25" customHeight="1" x14ac:dyDescent="0.55000000000000004">
      <c r="A5965" s="18">
        <v>24.7162051</v>
      </c>
      <c r="B5965" s="18">
        <v>34.772447200000002</v>
      </c>
      <c r="C5965" s="18">
        <v>679284.5</v>
      </c>
      <c r="D5965" s="18">
        <v>2734683.88</v>
      </c>
      <c r="E5965" s="18">
        <v>462.54</v>
      </c>
      <c r="F5965" s="18">
        <v>41699.25</v>
      </c>
      <c r="G5965" s="18">
        <v>110818</v>
      </c>
      <c r="H5965" s="18">
        <f t="shared" si="143"/>
        <v>41584.25</v>
      </c>
      <c r="I5965" s="3"/>
    </row>
    <row r="5966" spans="1:9" s="4" customFormat="1" ht="20.25" customHeight="1" x14ac:dyDescent="0.55000000000000004">
      <c r="A5966" s="18">
        <v>24.716213</v>
      </c>
      <c r="B5966" s="18">
        <v>34.772428300000001</v>
      </c>
      <c r="C5966" s="18">
        <v>679282.58</v>
      </c>
      <c r="D5966" s="18">
        <v>2734684.73</v>
      </c>
      <c r="E5966" s="18">
        <v>462.68</v>
      </c>
      <c r="F5966" s="18">
        <v>41698.39</v>
      </c>
      <c r="G5966" s="18">
        <v>110820</v>
      </c>
      <c r="H5966" s="18">
        <f t="shared" si="143"/>
        <v>41583.39</v>
      </c>
      <c r="I5966" s="3"/>
    </row>
    <row r="5967" spans="1:9" s="4" customFormat="1" ht="20.25" customHeight="1" x14ac:dyDescent="0.55000000000000004">
      <c r="A5967" s="18">
        <v>24.716212299999999</v>
      </c>
      <c r="B5967" s="18">
        <v>34.772411599999998</v>
      </c>
      <c r="C5967" s="18">
        <v>679280.89</v>
      </c>
      <c r="D5967" s="18">
        <v>2734684.63</v>
      </c>
      <c r="E5967" s="18">
        <v>462.58</v>
      </c>
      <c r="F5967" s="18">
        <v>41696.93</v>
      </c>
      <c r="G5967" s="18">
        <v>110822</v>
      </c>
      <c r="H5967" s="18">
        <f t="shared" si="143"/>
        <v>41581.93</v>
      </c>
      <c r="I5967" s="3"/>
    </row>
    <row r="5968" spans="1:9" s="4" customFormat="1" ht="20.25" customHeight="1" x14ac:dyDescent="0.55000000000000004">
      <c r="A5968" s="18">
        <v>24.7162109</v>
      </c>
      <c r="B5968" s="18">
        <v>34.7723905</v>
      </c>
      <c r="C5968" s="18">
        <v>679278.76</v>
      </c>
      <c r="D5968" s="18">
        <v>2734684.45</v>
      </c>
      <c r="E5968" s="18">
        <v>462.44</v>
      </c>
      <c r="F5968" s="18">
        <v>41698.230000000003</v>
      </c>
      <c r="G5968" s="18">
        <v>110824</v>
      </c>
      <c r="H5968" s="18">
        <f t="shared" si="143"/>
        <v>41583.230000000003</v>
      </c>
      <c r="I5968" s="3"/>
    </row>
    <row r="5969" spans="1:9" s="4" customFormat="1" ht="20.25" customHeight="1" x14ac:dyDescent="0.55000000000000004">
      <c r="A5969" s="18">
        <v>24.716217100000001</v>
      </c>
      <c r="B5969" s="18">
        <v>34.772370199999997</v>
      </c>
      <c r="C5969" s="18">
        <v>679276.7</v>
      </c>
      <c r="D5969" s="18">
        <v>2734685.11</v>
      </c>
      <c r="E5969" s="18">
        <v>462.42</v>
      </c>
      <c r="F5969" s="18">
        <v>41696.79</v>
      </c>
      <c r="G5969" s="18">
        <v>110826</v>
      </c>
      <c r="H5969" s="18">
        <f t="shared" si="143"/>
        <v>41581.79</v>
      </c>
      <c r="I5969" s="3"/>
    </row>
    <row r="5970" spans="1:9" s="4" customFormat="1" ht="20.25" customHeight="1" x14ac:dyDescent="0.55000000000000004">
      <c r="A5970" s="18">
        <v>24.716227700000001</v>
      </c>
      <c r="B5970" s="18">
        <v>34.772347000000003</v>
      </c>
      <c r="C5970" s="18">
        <v>679274.33</v>
      </c>
      <c r="D5970" s="18">
        <v>2734686.25</v>
      </c>
      <c r="E5970" s="18">
        <v>462.39</v>
      </c>
      <c r="F5970" s="18">
        <v>41701.089999999997</v>
      </c>
      <c r="G5970" s="18">
        <v>110828</v>
      </c>
      <c r="H5970" s="18">
        <f t="shared" ref="H5970:H6033" si="144">SUM(F5970-115)</f>
        <v>41586.089999999997</v>
      </c>
      <c r="I5970" s="3"/>
    </row>
    <row r="5971" spans="1:9" s="4" customFormat="1" ht="20.25" customHeight="1" x14ac:dyDescent="0.55000000000000004">
      <c r="A5971" s="18">
        <v>24.7162474</v>
      </c>
      <c r="B5971" s="18">
        <v>34.772335300000002</v>
      </c>
      <c r="C5971" s="18">
        <v>679273.12</v>
      </c>
      <c r="D5971" s="18">
        <v>2734688.42</v>
      </c>
      <c r="E5971" s="18">
        <v>462.56</v>
      </c>
      <c r="F5971" s="18">
        <v>41694.93</v>
      </c>
      <c r="G5971" s="18">
        <v>110830</v>
      </c>
      <c r="H5971" s="18">
        <f t="shared" si="144"/>
        <v>41579.93</v>
      </c>
      <c r="I5971" s="3"/>
    </row>
    <row r="5972" spans="1:9" s="4" customFormat="1" ht="20.25" customHeight="1" x14ac:dyDescent="0.55000000000000004">
      <c r="A5972" s="18">
        <v>24.7162708</v>
      </c>
      <c r="B5972" s="18">
        <v>34.772327599999997</v>
      </c>
      <c r="C5972" s="18">
        <v>679272.3</v>
      </c>
      <c r="D5972" s="18">
        <v>2734691</v>
      </c>
      <c r="E5972" s="18">
        <v>462.73</v>
      </c>
      <c r="F5972" s="18">
        <v>41694.83</v>
      </c>
      <c r="G5972" s="18">
        <v>110832</v>
      </c>
      <c r="H5972" s="18">
        <f t="shared" si="144"/>
        <v>41579.83</v>
      </c>
      <c r="I5972" s="3"/>
    </row>
    <row r="5973" spans="1:9" s="4" customFormat="1" ht="20.25" customHeight="1" x14ac:dyDescent="0.55000000000000004">
      <c r="A5973" s="18">
        <v>24.716293700000001</v>
      </c>
      <c r="B5973" s="18">
        <v>34.772322600000003</v>
      </c>
      <c r="C5973" s="18">
        <v>679271.77</v>
      </c>
      <c r="D5973" s="18">
        <v>2734693.54</v>
      </c>
      <c r="E5973" s="18">
        <v>462.88</v>
      </c>
      <c r="F5973" s="18">
        <v>41693.599999999999</v>
      </c>
      <c r="G5973" s="18">
        <v>110834</v>
      </c>
      <c r="H5973" s="18">
        <f t="shared" si="144"/>
        <v>41578.6</v>
      </c>
      <c r="I5973" s="3"/>
    </row>
    <row r="5974" spans="1:9" s="4" customFormat="1" ht="20.25" customHeight="1" x14ac:dyDescent="0.55000000000000004">
      <c r="A5974" s="18">
        <v>24.716315099999999</v>
      </c>
      <c r="B5974" s="18">
        <v>34.772316699999998</v>
      </c>
      <c r="C5974" s="18">
        <v>679271.14</v>
      </c>
      <c r="D5974" s="18">
        <v>2734695.9</v>
      </c>
      <c r="E5974" s="18">
        <v>462.99</v>
      </c>
      <c r="F5974" s="18">
        <v>41694.21</v>
      </c>
      <c r="G5974" s="18">
        <v>110836</v>
      </c>
      <c r="H5974" s="18">
        <f t="shared" si="144"/>
        <v>41579.21</v>
      </c>
      <c r="I5974" s="3"/>
    </row>
    <row r="5975" spans="1:9" s="4" customFormat="1" ht="20.25" customHeight="1" x14ac:dyDescent="0.55000000000000004">
      <c r="A5975" s="18">
        <v>24.7163377</v>
      </c>
      <c r="B5975" s="18">
        <v>34.772316099999998</v>
      </c>
      <c r="C5975" s="18">
        <v>679271.05</v>
      </c>
      <c r="D5975" s="18">
        <v>2734698.39</v>
      </c>
      <c r="E5975" s="18">
        <v>463.01</v>
      </c>
      <c r="F5975" s="18">
        <v>41693.769999999997</v>
      </c>
      <c r="G5975" s="18">
        <v>110838</v>
      </c>
      <c r="H5975" s="18">
        <f t="shared" si="144"/>
        <v>41578.769999999997</v>
      </c>
      <c r="I5975" s="3"/>
    </row>
    <row r="5976" spans="1:9" s="4" customFormat="1" ht="20.25" customHeight="1" x14ac:dyDescent="0.55000000000000004">
      <c r="A5976" s="18">
        <v>24.716360999999999</v>
      </c>
      <c r="B5976" s="18">
        <v>34.772311899999998</v>
      </c>
      <c r="C5976" s="18">
        <v>679270.59</v>
      </c>
      <c r="D5976" s="18">
        <v>2734700.97</v>
      </c>
      <c r="E5976" s="18">
        <v>463.01</v>
      </c>
      <c r="F5976" s="18">
        <v>41691.46</v>
      </c>
      <c r="G5976" s="18">
        <v>110840</v>
      </c>
      <c r="H5976" s="18">
        <f t="shared" si="144"/>
        <v>41576.46</v>
      </c>
      <c r="I5976" s="3"/>
    </row>
    <row r="5977" spans="1:9" s="4" customFormat="1" ht="20.25" customHeight="1" x14ac:dyDescent="0.55000000000000004">
      <c r="A5977" s="18">
        <v>24.716378200000001</v>
      </c>
      <c r="B5977" s="18">
        <v>34.772295100000001</v>
      </c>
      <c r="C5977" s="18">
        <v>679268.87</v>
      </c>
      <c r="D5977" s="18">
        <v>2734702.85</v>
      </c>
      <c r="E5977" s="18">
        <v>463.02</v>
      </c>
      <c r="F5977" s="18">
        <v>41689.46</v>
      </c>
      <c r="G5977" s="18">
        <v>110842</v>
      </c>
      <c r="H5977" s="18">
        <f t="shared" si="144"/>
        <v>41574.46</v>
      </c>
      <c r="I5977" s="3"/>
    </row>
    <row r="5978" spans="1:9" s="4" customFormat="1" ht="20.25" customHeight="1" x14ac:dyDescent="0.55000000000000004">
      <c r="A5978" s="18">
        <v>24.716397199999999</v>
      </c>
      <c r="B5978" s="18">
        <v>34.772279300000001</v>
      </c>
      <c r="C5978" s="18">
        <v>679267.24</v>
      </c>
      <c r="D5978" s="18">
        <v>2734704.94</v>
      </c>
      <c r="E5978" s="18">
        <v>463.13</v>
      </c>
      <c r="F5978" s="18">
        <v>41690.379999999997</v>
      </c>
      <c r="G5978" s="18">
        <v>110844</v>
      </c>
      <c r="H5978" s="18">
        <f t="shared" si="144"/>
        <v>41575.379999999997</v>
      </c>
      <c r="I5978" s="3"/>
    </row>
    <row r="5979" spans="1:9" s="4" customFormat="1" ht="20.25" customHeight="1" x14ac:dyDescent="0.55000000000000004">
      <c r="A5979" s="18">
        <v>24.716417700000001</v>
      </c>
      <c r="B5979" s="18">
        <v>34.772265599999997</v>
      </c>
      <c r="C5979" s="18">
        <v>679265.82</v>
      </c>
      <c r="D5979" s="18">
        <v>2734707.2</v>
      </c>
      <c r="E5979" s="18">
        <v>463.28</v>
      </c>
      <c r="F5979" s="18">
        <v>41689.18</v>
      </c>
      <c r="G5979" s="18">
        <v>110846</v>
      </c>
      <c r="H5979" s="18">
        <f t="shared" si="144"/>
        <v>41574.18</v>
      </c>
      <c r="I5979" s="3"/>
    </row>
    <row r="5980" spans="1:9" s="4" customFormat="1" ht="20.25" customHeight="1" x14ac:dyDescent="0.55000000000000004">
      <c r="A5980" s="18">
        <v>24.716439999999999</v>
      </c>
      <c r="B5980" s="18">
        <v>34.772251300000001</v>
      </c>
      <c r="C5980" s="18">
        <v>679264.34</v>
      </c>
      <c r="D5980" s="18">
        <v>2734709.65</v>
      </c>
      <c r="E5980" s="18">
        <v>463.29</v>
      </c>
      <c r="F5980" s="18">
        <v>41688.76</v>
      </c>
      <c r="G5980" s="18">
        <v>110848</v>
      </c>
      <c r="H5980" s="18">
        <f t="shared" si="144"/>
        <v>41573.760000000002</v>
      </c>
      <c r="I5980" s="3"/>
    </row>
    <row r="5981" spans="1:9" s="4" customFormat="1" ht="20.25" customHeight="1" x14ac:dyDescent="0.55000000000000004">
      <c r="A5981" s="18">
        <v>24.716461500000001</v>
      </c>
      <c r="B5981" s="18">
        <v>34.772240500000002</v>
      </c>
      <c r="C5981" s="18">
        <v>679263.22</v>
      </c>
      <c r="D5981" s="18">
        <v>2734712.01</v>
      </c>
      <c r="E5981" s="18">
        <v>463.42</v>
      </c>
      <c r="F5981" s="18">
        <v>41687.99</v>
      </c>
      <c r="G5981" s="18">
        <v>110850</v>
      </c>
      <c r="H5981" s="18">
        <f t="shared" si="144"/>
        <v>41572.99</v>
      </c>
      <c r="I5981" s="3"/>
    </row>
    <row r="5982" spans="1:9" s="4" customFormat="1" ht="20.25" customHeight="1" x14ac:dyDescent="0.55000000000000004">
      <c r="A5982" s="18">
        <v>24.716474300000002</v>
      </c>
      <c r="B5982" s="18">
        <v>34.772222300000003</v>
      </c>
      <c r="C5982" s="18">
        <v>679261.36</v>
      </c>
      <c r="D5982" s="18">
        <v>2734713.4</v>
      </c>
      <c r="E5982" s="18">
        <v>463.44</v>
      </c>
      <c r="F5982" s="18">
        <v>41688.04</v>
      </c>
      <c r="G5982" s="18">
        <v>110852</v>
      </c>
      <c r="H5982" s="18">
        <f t="shared" si="144"/>
        <v>41573.040000000001</v>
      </c>
      <c r="I5982" s="3"/>
    </row>
    <row r="5983" spans="1:9" s="4" customFormat="1" ht="20.25" customHeight="1" x14ac:dyDescent="0.55000000000000004">
      <c r="A5983" s="18">
        <v>24.716486799999998</v>
      </c>
      <c r="B5983" s="18">
        <v>34.772202299999996</v>
      </c>
      <c r="C5983" s="18">
        <v>679259.32</v>
      </c>
      <c r="D5983" s="18">
        <v>2734714.77</v>
      </c>
      <c r="E5983" s="18">
        <v>463.6</v>
      </c>
      <c r="F5983" s="18">
        <v>41686.33</v>
      </c>
      <c r="G5983" s="18">
        <v>110854</v>
      </c>
      <c r="H5983" s="18">
        <f t="shared" si="144"/>
        <v>41571.33</v>
      </c>
      <c r="I5983" s="3"/>
    </row>
    <row r="5984" spans="1:9" s="4" customFormat="1" ht="20.25" customHeight="1" x14ac:dyDescent="0.55000000000000004">
      <c r="A5984" s="18">
        <v>24.716491300000001</v>
      </c>
      <c r="B5984" s="18">
        <v>34.772178599999997</v>
      </c>
      <c r="C5984" s="18">
        <v>679256.91</v>
      </c>
      <c r="D5984" s="18">
        <v>2734715.23</v>
      </c>
      <c r="E5984" s="18">
        <v>463.86</v>
      </c>
      <c r="F5984" s="18">
        <v>41692.699999999997</v>
      </c>
      <c r="G5984" s="18">
        <v>110856</v>
      </c>
      <c r="H5984" s="18">
        <f t="shared" si="144"/>
        <v>41577.699999999997</v>
      </c>
      <c r="I5984" s="3"/>
    </row>
    <row r="5985" spans="1:9" s="4" customFormat="1" ht="20.25" customHeight="1" x14ac:dyDescent="0.55000000000000004">
      <c r="A5985" s="18">
        <v>24.716507100000001</v>
      </c>
      <c r="B5985" s="18">
        <v>34.7721613</v>
      </c>
      <c r="C5985" s="18">
        <v>679255.14</v>
      </c>
      <c r="D5985" s="18">
        <v>2734716.95</v>
      </c>
      <c r="E5985" s="18">
        <v>464</v>
      </c>
      <c r="F5985" s="18">
        <v>41690.629999999997</v>
      </c>
      <c r="G5985" s="18">
        <v>110858</v>
      </c>
      <c r="H5985" s="18">
        <f t="shared" si="144"/>
        <v>41575.629999999997</v>
      </c>
      <c r="I5985" s="3"/>
    </row>
    <row r="5986" spans="1:9" s="4" customFormat="1" ht="20.25" customHeight="1" x14ac:dyDescent="0.55000000000000004">
      <c r="A5986" s="18">
        <v>24.716527899999999</v>
      </c>
      <c r="B5986" s="18">
        <v>34.772145999999999</v>
      </c>
      <c r="C5986" s="18">
        <v>679253.57</v>
      </c>
      <c r="D5986" s="18">
        <v>2734719.24</v>
      </c>
      <c r="E5986" s="18">
        <v>464.08</v>
      </c>
      <c r="F5986" s="18">
        <v>41689.19</v>
      </c>
      <c r="G5986" s="18">
        <v>110900</v>
      </c>
      <c r="H5986" s="18">
        <f t="shared" si="144"/>
        <v>41574.19</v>
      </c>
      <c r="I5986" s="3"/>
    </row>
    <row r="5987" spans="1:9" s="4" customFormat="1" ht="20.25" customHeight="1" x14ac:dyDescent="0.55000000000000004">
      <c r="A5987" s="18">
        <v>24.716549000000001</v>
      </c>
      <c r="B5987" s="18">
        <v>34.772130199999999</v>
      </c>
      <c r="C5987" s="18">
        <v>679251.94</v>
      </c>
      <c r="D5987" s="18">
        <v>2734721.56</v>
      </c>
      <c r="E5987" s="18">
        <v>464.26</v>
      </c>
      <c r="F5987" s="18">
        <v>41690.120000000003</v>
      </c>
      <c r="G5987" s="18">
        <v>110902</v>
      </c>
      <c r="H5987" s="18">
        <f t="shared" si="144"/>
        <v>41575.120000000003</v>
      </c>
      <c r="I5987" s="3"/>
    </row>
    <row r="5988" spans="1:9" s="4" customFormat="1" ht="20.25" customHeight="1" x14ac:dyDescent="0.55000000000000004">
      <c r="A5988" s="18">
        <v>24.716569499999999</v>
      </c>
      <c r="B5988" s="18">
        <v>34.772113900000001</v>
      </c>
      <c r="C5988" s="18">
        <v>679250.25</v>
      </c>
      <c r="D5988" s="18">
        <v>2734723.8</v>
      </c>
      <c r="E5988" s="18">
        <v>464.34</v>
      </c>
      <c r="F5988" s="18">
        <v>41688.910000000003</v>
      </c>
      <c r="G5988" s="18">
        <v>110904</v>
      </c>
      <c r="H5988" s="18">
        <f t="shared" si="144"/>
        <v>41573.910000000003</v>
      </c>
      <c r="I5988" s="3"/>
    </row>
    <row r="5989" spans="1:9" s="4" customFormat="1" ht="20.25" customHeight="1" x14ac:dyDescent="0.55000000000000004">
      <c r="A5989" s="18">
        <v>24.716588099999999</v>
      </c>
      <c r="B5989" s="18">
        <v>34.772096500000004</v>
      </c>
      <c r="C5989" s="18">
        <v>679248.47</v>
      </c>
      <c r="D5989" s="18">
        <v>2734725.84</v>
      </c>
      <c r="E5989" s="18">
        <v>464.46</v>
      </c>
      <c r="F5989" s="18">
        <v>41690.29</v>
      </c>
      <c r="G5989" s="18">
        <v>110906</v>
      </c>
      <c r="H5989" s="18">
        <f t="shared" si="144"/>
        <v>41575.29</v>
      </c>
      <c r="I5989" s="3"/>
    </row>
    <row r="5990" spans="1:9" s="4" customFormat="1" ht="20.25" customHeight="1" x14ac:dyDescent="0.55000000000000004">
      <c r="A5990" s="18">
        <v>24.716604</v>
      </c>
      <c r="B5990" s="18">
        <v>34.772076599999998</v>
      </c>
      <c r="C5990" s="18">
        <v>679246.43</v>
      </c>
      <c r="D5990" s="18">
        <v>2734727.58</v>
      </c>
      <c r="E5990" s="18">
        <v>464.58</v>
      </c>
      <c r="F5990" s="18">
        <v>41691.18</v>
      </c>
      <c r="G5990" s="18">
        <v>110908</v>
      </c>
      <c r="H5990" s="18">
        <f t="shared" si="144"/>
        <v>41576.18</v>
      </c>
      <c r="I5990" s="3"/>
    </row>
    <row r="5991" spans="1:9" s="4" customFormat="1" ht="20.25" customHeight="1" x14ac:dyDescent="0.55000000000000004">
      <c r="A5991" s="18">
        <v>24.716622699999999</v>
      </c>
      <c r="B5991" s="18">
        <v>34.772056200000002</v>
      </c>
      <c r="C5991" s="18">
        <v>679244.35</v>
      </c>
      <c r="D5991" s="18">
        <v>2734729.62</v>
      </c>
      <c r="E5991" s="18">
        <v>464.61</v>
      </c>
      <c r="F5991" s="18">
        <v>41691.54</v>
      </c>
      <c r="G5991" s="18">
        <v>110910</v>
      </c>
      <c r="H5991" s="18">
        <f t="shared" si="144"/>
        <v>41576.54</v>
      </c>
      <c r="I5991" s="3"/>
    </row>
    <row r="5992" spans="1:9" s="4" customFormat="1" ht="20.25" customHeight="1" x14ac:dyDescent="0.55000000000000004">
      <c r="A5992" s="18">
        <v>24.7166426</v>
      </c>
      <c r="B5992" s="18">
        <v>34.772039999999997</v>
      </c>
      <c r="C5992" s="18">
        <v>679242.68</v>
      </c>
      <c r="D5992" s="18">
        <v>2734731.81</v>
      </c>
      <c r="E5992" s="18">
        <v>464.68</v>
      </c>
      <c r="F5992" s="18">
        <v>41691.730000000003</v>
      </c>
      <c r="G5992" s="18">
        <v>110912</v>
      </c>
      <c r="H5992" s="18">
        <f t="shared" si="144"/>
        <v>41576.730000000003</v>
      </c>
      <c r="I5992" s="3"/>
    </row>
    <row r="5993" spans="1:9" s="4" customFormat="1" ht="20.25" customHeight="1" x14ac:dyDescent="0.55000000000000004">
      <c r="A5993" s="18">
        <v>24.716660000000001</v>
      </c>
      <c r="B5993" s="18">
        <v>34.772021100000003</v>
      </c>
      <c r="C5993" s="18">
        <v>679240.74</v>
      </c>
      <c r="D5993" s="18">
        <v>2734733.7</v>
      </c>
      <c r="E5993" s="18">
        <v>464.82</v>
      </c>
      <c r="F5993" s="18">
        <v>41691.589999999997</v>
      </c>
      <c r="G5993" s="18">
        <v>110914</v>
      </c>
      <c r="H5993" s="18">
        <f t="shared" si="144"/>
        <v>41576.589999999997</v>
      </c>
      <c r="I5993" s="3"/>
    </row>
    <row r="5994" spans="1:9" s="4" customFormat="1" ht="20.25" customHeight="1" x14ac:dyDescent="0.55000000000000004">
      <c r="A5994" s="18">
        <v>24.7166736</v>
      </c>
      <c r="B5994" s="18">
        <v>34.771999999999998</v>
      </c>
      <c r="C5994" s="18">
        <v>679238.59</v>
      </c>
      <c r="D5994" s="18">
        <v>2734735.19</v>
      </c>
      <c r="E5994" s="18">
        <v>464.85</v>
      </c>
      <c r="F5994" s="18">
        <v>41689.33</v>
      </c>
      <c r="G5994" s="18">
        <v>110916</v>
      </c>
      <c r="H5994" s="18">
        <f t="shared" si="144"/>
        <v>41574.33</v>
      </c>
      <c r="I5994" s="3"/>
    </row>
    <row r="5995" spans="1:9" s="4" customFormat="1" ht="20.25" customHeight="1" x14ac:dyDescent="0.55000000000000004">
      <c r="A5995" s="18">
        <v>24.716681000000001</v>
      </c>
      <c r="B5995" s="18">
        <v>34.7719764</v>
      </c>
      <c r="C5995" s="18">
        <v>679236.19</v>
      </c>
      <c r="D5995" s="18">
        <v>2734735.97</v>
      </c>
      <c r="E5995" s="18">
        <v>464.66</v>
      </c>
      <c r="F5995" s="18">
        <v>41688.43</v>
      </c>
      <c r="G5995" s="18">
        <v>110918</v>
      </c>
      <c r="H5995" s="18">
        <f t="shared" si="144"/>
        <v>41573.43</v>
      </c>
      <c r="I5995" s="3"/>
    </row>
    <row r="5996" spans="1:9" s="4" customFormat="1" ht="20.25" customHeight="1" x14ac:dyDescent="0.55000000000000004">
      <c r="A5996" s="18">
        <v>24.716689299999999</v>
      </c>
      <c r="B5996" s="18">
        <v>34.7719539</v>
      </c>
      <c r="C5996" s="18">
        <v>679233.89</v>
      </c>
      <c r="D5996" s="18">
        <v>2734736.87</v>
      </c>
      <c r="E5996" s="18">
        <v>464.46</v>
      </c>
      <c r="F5996" s="18">
        <v>41690.639999999999</v>
      </c>
      <c r="G5996" s="18">
        <v>110920</v>
      </c>
      <c r="H5996" s="18">
        <f t="shared" si="144"/>
        <v>41575.64</v>
      </c>
      <c r="I5996" s="3"/>
    </row>
    <row r="5997" spans="1:9" s="4" customFormat="1" ht="20.25" customHeight="1" x14ac:dyDescent="0.55000000000000004">
      <c r="A5997" s="18">
        <v>24.716695699999999</v>
      </c>
      <c r="B5997" s="18">
        <v>34.771929800000002</v>
      </c>
      <c r="C5997" s="18">
        <v>679231.45</v>
      </c>
      <c r="D5997" s="18">
        <v>2734737.55</v>
      </c>
      <c r="E5997" s="18">
        <v>464.43</v>
      </c>
      <c r="F5997" s="18">
        <v>41691.11</v>
      </c>
      <c r="G5997" s="18">
        <v>110922</v>
      </c>
      <c r="H5997" s="18">
        <f t="shared" si="144"/>
        <v>41576.11</v>
      </c>
      <c r="I5997" s="3"/>
    </row>
    <row r="5998" spans="1:9" s="4" customFormat="1" ht="20.25" customHeight="1" x14ac:dyDescent="0.55000000000000004">
      <c r="A5998" s="18">
        <v>24.716704700000001</v>
      </c>
      <c r="B5998" s="18">
        <v>34.771905400000001</v>
      </c>
      <c r="C5998" s="18">
        <v>679228.97</v>
      </c>
      <c r="D5998" s="18">
        <v>2734738.51</v>
      </c>
      <c r="E5998" s="18">
        <v>464.37</v>
      </c>
      <c r="F5998" s="18">
        <v>41692.269999999997</v>
      </c>
      <c r="G5998" s="18">
        <v>110924</v>
      </c>
      <c r="H5998" s="18">
        <f t="shared" si="144"/>
        <v>41577.269999999997</v>
      </c>
      <c r="I5998" s="3"/>
    </row>
    <row r="5999" spans="1:9" s="4" customFormat="1" ht="20.25" customHeight="1" x14ac:dyDescent="0.55000000000000004">
      <c r="A5999" s="18">
        <v>24.7167122</v>
      </c>
      <c r="B5999" s="18">
        <v>34.771881700000002</v>
      </c>
      <c r="C5999" s="18">
        <v>679226.57</v>
      </c>
      <c r="D5999" s="18">
        <v>2734739.31</v>
      </c>
      <c r="E5999" s="18">
        <v>464.26</v>
      </c>
      <c r="F5999" s="18">
        <v>41691.64</v>
      </c>
      <c r="G5999" s="18">
        <v>110926</v>
      </c>
      <c r="H5999" s="18">
        <f t="shared" si="144"/>
        <v>41576.639999999999</v>
      </c>
      <c r="I5999" s="3"/>
    </row>
    <row r="6000" spans="1:9" s="4" customFormat="1" ht="20.25" customHeight="1" x14ac:dyDescent="0.55000000000000004">
      <c r="A6000" s="18">
        <v>24.716720299999999</v>
      </c>
      <c r="B6000" s="18">
        <v>34.771857500000003</v>
      </c>
      <c r="C6000" s="18">
        <v>679224.11</v>
      </c>
      <c r="D6000" s="18">
        <v>2734740.17</v>
      </c>
      <c r="E6000" s="18">
        <v>464.26</v>
      </c>
      <c r="F6000" s="18">
        <v>41690.94</v>
      </c>
      <c r="G6000" s="18">
        <v>110928</v>
      </c>
      <c r="H6000" s="18">
        <f t="shared" si="144"/>
        <v>41575.94</v>
      </c>
      <c r="I6000" s="3"/>
    </row>
    <row r="6001" spans="1:9" s="4" customFormat="1" ht="20.25" customHeight="1" x14ac:dyDescent="0.55000000000000004">
      <c r="A6001" s="18">
        <v>24.7167262</v>
      </c>
      <c r="B6001" s="18">
        <v>34.7718317</v>
      </c>
      <c r="C6001" s="18">
        <v>679221.49</v>
      </c>
      <c r="D6001" s="18">
        <v>2734740.79</v>
      </c>
      <c r="E6001" s="18">
        <v>464.38</v>
      </c>
      <c r="F6001" s="18">
        <v>41689.18</v>
      </c>
      <c r="G6001" s="18">
        <v>110930</v>
      </c>
      <c r="H6001" s="18">
        <f t="shared" si="144"/>
        <v>41574.18</v>
      </c>
      <c r="I6001" s="3"/>
    </row>
    <row r="6002" spans="1:9" s="4" customFormat="1" ht="20.25" customHeight="1" x14ac:dyDescent="0.55000000000000004">
      <c r="A6002" s="18">
        <v>24.7167326</v>
      </c>
      <c r="B6002" s="18">
        <v>34.771805299999997</v>
      </c>
      <c r="C6002" s="18">
        <v>679218.81</v>
      </c>
      <c r="D6002" s="18">
        <v>2734741.47</v>
      </c>
      <c r="E6002" s="18">
        <v>464.36</v>
      </c>
      <c r="F6002" s="18">
        <v>41690.68</v>
      </c>
      <c r="G6002" s="18">
        <v>110932</v>
      </c>
      <c r="H6002" s="18">
        <f t="shared" si="144"/>
        <v>41575.68</v>
      </c>
      <c r="I6002" s="3"/>
    </row>
    <row r="6003" spans="1:9" s="4" customFormat="1" ht="20.25" customHeight="1" x14ac:dyDescent="0.55000000000000004">
      <c r="A6003" s="18">
        <v>24.7167417</v>
      </c>
      <c r="B6003" s="18">
        <v>34.771780900000003</v>
      </c>
      <c r="C6003" s="18">
        <v>679216.32</v>
      </c>
      <c r="D6003" s="18">
        <v>2734742.45</v>
      </c>
      <c r="E6003" s="18">
        <v>464.3</v>
      </c>
      <c r="F6003" s="18">
        <v>41690.83</v>
      </c>
      <c r="G6003" s="18">
        <v>110934</v>
      </c>
      <c r="H6003" s="18">
        <f t="shared" si="144"/>
        <v>41575.83</v>
      </c>
      <c r="I6003" s="3"/>
    </row>
    <row r="6004" spans="1:9" s="4" customFormat="1" ht="20.25" customHeight="1" x14ac:dyDescent="0.55000000000000004">
      <c r="A6004" s="18">
        <v>24.716748899999999</v>
      </c>
      <c r="B6004" s="18">
        <v>34.771754899999998</v>
      </c>
      <c r="C6004" s="18">
        <v>679213.68</v>
      </c>
      <c r="D6004" s="18">
        <v>2734743.21</v>
      </c>
      <c r="E6004" s="18">
        <v>464.41</v>
      </c>
      <c r="F6004" s="18">
        <v>41690.160000000003</v>
      </c>
      <c r="G6004" s="18">
        <v>110936</v>
      </c>
      <c r="H6004" s="18">
        <f t="shared" si="144"/>
        <v>41575.160000000003</v>
      </c>
      <c r="I6004" s="3"/>
    </row>
    <row r="6005" spans="1:9" s="4" customFormat="1" ht="20.25" customHeight="1" x14ac:dyDescent="0.55000000000000004">
      <c r="A6005" s="18">
        <v>24.716755899999999</v>
      </c>
      <c r="B6005" s="18">
        <v>34.771728699999997</v>
      </c>
      <c r="C6005" s="18">
        <v>679211.02</v>
      </c>
      <c r="D6005" s="18">
        <v>2734743.95</v>
      </c>
      <c r="E6005" s="18">
        <v>464.53</v>
      </c>
      <c r="F6005" s="18">
        <v>41690.11</v>
      </c>
      <c r="G6005" s="18">
        <v>110938</v>
      </c>
      <c r="H6005" s="18">
        <f t="shared" si="144"/>
        <v>41575.11</v>
      </c>
      <c r="I6005" s="3"/>
    </row>
    <row r="6006" spans="1:9" s="4" customFormat="1" ht="20.25" customHeight="1" x14ac:dyDescent="0.55000000000000004">
      <c r="A6006" s="18">
        <v>24.7167557</v>
      </c>
      <c r="B6006" s="18">
        <v>34.771701800000002</v>
      </c>
      <c r="C6006" s="18">
        <v>679208.29</v>
      </c>
      <c r="D6006" s="18">
        <v>2734743.89</v>
      </c>
      <c r="E6006" s="18">
        <v>464.72</v>
      </c>
      <c r="F6006" s="18">
        <v>41691.94</v>
      </c>
      <c r="G6006" s="18">
        <v>110940</v>
      </c>
      <c r="H6006" s="18">
        <f t="shared" si="144"/>
        <v>41576.94</v>
      </c>
      <c r="I6006" s="3"/>
    </row>
    <row r="6007" spans="1:9" s="4" customFormat="1" ht="20.25" customHeight="1" x14ac:dyDescent="0.55000000000000004">
      <c r="A6007" s="18">
        <v>24.716761200000001</v>
      </c>
      <c r="B6007" s="18">
        <v>34.771676300000003</v>
      </c>
      <c r="C6007" s="18">
        <v>679205.71</v>
      </c>
      <c r="D6007" s="18">
        <v>2734744.47</v>
      </c>
      <c r="E6007" s="18">
        <v>464.84</v>
      </c>
      <c r="F6007" s="18">
        <v>41691.699999999997</v>
      </c>
      <c r="G6007" s="18">
        <v>110942</v>
      </c>
      <c r="H6007" s="18">
        <f t="shared" si="144"/>
        <v>41576.699999999997</v>
      </c>
      <c r="I6007" s="3"/>
    </row>
    <row r="6008" spans="1:9" s="4" customFormat="1" ht="20.25" customHeight="1" x14ac:dyDescent="0.55000000000000004">
      <c r="A6008" s="18">
        <v>24.716766799999998</v>
      </c>
      <c r="B6008" s="18">
        <v>34.771651599999998</v>
      </c>
      <c r="C6008" s="18">
        <v>679203.2</v>
      </c>
      <c r="D6008" s="18">
        <v>2734745.05</v>
      </c>
      <c r="E6008" s="18">
        <v>464.99</v>
      </c>
      <c r="F6008" s="18">
        <v>41690.379999999997</v>
      </c>
      <c r="G6008" s="18">
        <v>110944</v>
      </c>
      <c r="H6008" s="18">
        <f t="shared" si="144"/>
        <v>41575.379999999997</v>
      </c>
      <c r="I6008" s="3"/>
    </row>
    <row r="6009" spans="1:9" s="4" customFormat="1" ht="20.25" customHeight="1" x14ac:dyDescent="0.55000000000000004">
      <c r="A6009" s="18">
        <v>24.716770499999999</v>
      </c>
      <c r="B6009" s="18">
        <v>34.771624799999998</v>
      </c>
      <c r="C6009" s="18">
        <v>679200.49</v>
      </c>
      <c r="D6009" s="18">
        <v>2734745.43</v>
      </c>
      <c r="E6009" s="18">
        <v>465.12</v>
      </c>
      <c r="F6009" s="18">
        <v>41689.08</v>
      </c>
      <c r="G6009" s="18">
        <v>110946</v>
      </c>
      <c r="H6009" s="18">
        <f t="shared" si="144"/>
        <v>41574.080000000002</v>
      </c>
      <c r="I6009" s="3"/>
    </row>
    <row r="6010" spans="1:9" s="4" customFormat="1" ht="20.25" customHeight="1" x14ac:dyDescent="0.55000000000000004">
      <c r="A6010" s="18">
        <v>24.716772899999999</v>
      </c>
      <c r="B6010" s="18">
        <v>34.771598599999997</v>
      </c>
      <c r="C6010" s="18">
        <v>679197.83</v>
      </c>
      <c r="D6010" s="18">
        <v>2734745.67</v>
      </c>
      <c r="E6010" s="18">
        <v>465.29</v>
      </c>
      <c r="F6010" s="18">
        <v>41691.06</v>
      </c>
      <c r="G6010" s="18">
        <v>110948</v>
      </c>
      <c r="H6010" s="18">
        <f t="shared" si="144"/>
        <v>41576.06</v>
      </c>
      <c r="I6010" s="3"/>
    </row>
    <row r="6011" spans="1:9" s="4" customFormat="1" ht="20.25" customHeight="1" x14ac:dyDescent="0.55000000000000004">
      <c r="A6011" s="18">
        <v>24.716778300000001</v>
      </c>
      <c r="B6011" s="18">
        <v>34.771573099999998</v>
      </c>
      <c r="C6011" s="18">
        <v>679195.25</v>
      </c>
      <c r="D6011" s="18">
        <v>2734746.23</v>
      </c>
      <c r="E6011" s="18">
        <v>465.32</v>
      </c>
      <c r="F6011" s="18">
        <v>41690.400000000001</v>
      </c>
      <c r="G6011" s="18">
        <v>110950</v>
      </c>
      <c r="H6011" s="18">
        <f t="shared" si="144"/>
        <v>41575.4</v>
      </c>
      <c r="I6011" s="3"/>
    </row>
    <row r="6012" spans="1:9" s="4" customFormat="1" ht="20.25" customHeight="1" x14ac:dyDescent="0.55000000000000004">
      <c r="A6012" s="18">
        <v>24.7167818</v>
      </c>
      <c r="B6012" s="18">
        <v>34.771547599999998</v>
      </c>
      <c r="C6012" s="18">
        <v>679192.66</v>
      </c>
      <c r="D6012" s="18">
        <v>2734746.58</v>
      </c>
      <c r="E6012" s="18">
        <v>465.38</v>
      </c>
      <c r="F6012" s="18">
        <v>41689.769999999997</v>
      </c>
      <c r="G6012" s="18">
        <v>110952</v>
      </c>
      <c r="H6012" s="18">
        <f t="shared" si="144"/>
        <v>41574.769999999997</v>
      </c>
      <c r="I6012" s="3"/>
    </row>
    <row r="6013" spans="1:9" s="4" customFormat="1" ht="20.25" customHeight="1" x14ac:dyDescent="0.55000000000000004">
      <c r="A6013" s="18">
        <v>24.716779800000001</v>
      </c>
      <c r="B6013" s="18">
        <v>34.7715222</v>
      </c>
      <c r="C6013" s="18">
        <v>679190.09</v>
      </c>
      <c r="D6013" s="18">
        <v>2734746.33</v>
      </c>
      <c r="E6013" s="18">
        <v>465.58</v>
      </c>
      <c r="F6013" s="18">
        <v>41690.949999999997</v>
      </c>
      <c r="G6013" s="18">
        <v>110954</v>
      </c>
      <c r="H6013" s="18">
        <f t="shared" si="144"/>
        <v>41575.949999999997</v>
      </c>
      <c r="I6013" s="3"/>
    </row>
    <row r="6014" spans="1:9" s="4" customFormat="1" ht="20.25" customHeight="1" x14ac:dyDescent="0.55000000000000004">
      <c r="A6014" s="18">
        <v>24.716775500000001</v>
      </c>
      <c r="B6014" s="18">
        <v>34.771495799999997</v>
      </c>
      <c r="C6014" s="18">
        <v>679187.43</v>
      </c>
      <c r="D6014" s="18">
        <v>2734745.81</v>
      </c>
      <c r="E6014" s="18">
        <v>465.64</v>
      </c>
      <c r="F6014" s="18">
        <v>41693.64</v>
      </c>
      <c r="G6014" s="18">
        <v>110956</v>
      </c>
      <c r="H6014" s="18">
        <f t="shared" si="144"/>
        <v>41578.639999999999</v>
      </c>
      <c r="I6014" s="3"/>
    </row>
    <row r="6015" spans="1:9" s="4" customFormat="1" ht="20.25" customHeight="1" x14ac:dyDescent="0.55000000000000004">
      <c r="A6015" s="18">
        <v>24.716771399999999</v>
      </c>
      <c r="B6015" s="18">
        <v>34.771469099999997</v>
      </c>
      <c r="C6015" s="18">
        <v>679184.73</v>
      </c>
      <c r="D6015" s="18">
        <v>2734745.33</v>
      </c>
      <c r="E6015" s="18">
        <v>465.71</v>
      </c>
      <c r="F6015" s="18">
        <v>41693.449999999997</v>
      </c>
      <c r="G6015" s="18">
        <v>110958</v>
      </c>
      <c r="H6015" s="18">
        <f t="shared" si="144"/>
        <v>41578.449999999997</v>
      </c>
      <c r="I6015" s="3"/>
    </row>
    <row r="6016" spans="1:9" s="4" customFormat="1" ht="20.25" customHeight="1" x14ac:dyDescent="0.55000000000000004">
      <c r="A6016" s="18">
        <v>24.716773700000001</v>
      </c>
      <c r="B6016" s="18">
        <v>34.771443300000001</v>
      </c>
      <c r="C6016" s="18">
        <v>679182.12</v>
      </c>
      <c r="D6016" s="18">
        <v>2734745.55</v>
      </c>
      <c r="E6016" s="18">
        <v>465.82</v>
      </c>
      <c r="F6016" s="18">
        <v>41692.300000000003</v>
      </c>
      <c r="G6016" s="18">
        <v>111000</v>
      </c>
      <c r="H6016" s="18">
        <f t="shared" si="144"/>
        <v>41577.300000000003</v>
      </c>
      <c r="I6016" s="3"/>
    </row>
    <row r="6017" spans="1:9" s="4" customFormat="1" ht="20.25" customHeight="1" x14ac:dyDescent="0.55000000000000004">
      <c r="A6017" s="18">
        <v>24.716776899999999</v>
      </c>
      <c r="B6017" s="18">
        <v>34.771420599999999</v>
      </c>
      <c r="C6017" s="18">
        <v>679179.81</v>
      </c>
      <c r="D6017" s="18">
        <v>2734745.88</v>
      </c>
      <c r="E6017" s="18">
        <v>465.85</v>
      </c>
      <c r="F6017" s="18">
        <v>41689.85</v>
      </c>
      <c r="G6017" s="18">
        <v>111002</v>
      </c>
      <c r="H6017" s="18">
        <f t="shared" si="144"/>
        <v>41574.85</v>
      </c>
      <c r="I6017" s="3"/>
    </row>
    <row r="6018" spans="1:9" s="4" customFormat="1" ht="20.25" customHeight="1" x14ac:dyDescent="0.55000000000000004">
      <c r="A6018" s="18">
        <v>24.716782800000001</v>
      </c>
      <c r="B6018" s="18">
        <v>34.771399600000002</v>
      </c>
      <c r="C6018" s="18">
        <v>679177.69</v>
      </c>
      <c r="D6018" s="18">
        <v>2734746.5</v>
      </c>
      <c r="E6018" s="18">
        <v>465.55</v>
      </c>
      <c r="F6018" s="18">
        <v>41690.910000000003</v>
      </c>
      <c r="G6018" s="18">
        <v>111004</v>
      </c>
      <c r="H6018" s="18">
        <f t="shared" si="144"/>
        <v>41575.910000000003</v>
      </c>
      <c r="I6018" s="3"/>
    </row>
    <row r="6019" spans="1:9" s="4" customFormat="1" ht="20.25" customHeight="1" x14ac:dyDescent="0.55000000000000004">
      <c r="A6019" s="18">
        <v>24.716789299999999</v>
      </c>
      <c r="B6019" s="18">
        <v>34.771377999999999</v>
      </c>
      <c r="C6019" s="18">
        <v>679175.49</v>
      </c>
      <c r="D6019" s="18">
        <v>2734747.19</v>
      </c>
      <c r="E6019" s="18">
        <v>465.38</v>
      </c>
      <c r="F6019" s="18">
        <v>41691.51</v>
      </c>
      <c r="G6019" s="18">
        <v>111006</v>
      </c>
      <c r="H6019" s="18">
        <f t="shared" si="144"/>
        <v>41576.51</v>
      </c>
      <c r="I6019" s="3"/>
    </row>
    <row r="6020" spans="1:9" s="4" customFormat="1" ht="20.25" customHeight="1" x14ac:dyDescent="0.55000000000000004">
      <c r="A6020" s="18">
        <v>24.7167891</v>
      </c>
      <c r="B6020" s="18">
        <v>34.7713544</v>
      </c>
      <c r="C6020" s="18">
        <v>679173.1</v>
      </c>
      <c r="D6020" s="18">
        <v>2734747.14</v>
      </c>
      <c r="E6020" s="18">
        <v>464.91</v>
      </c>
      <c r="F6020" s="18">
        <v>41693.269999999997</v>
      </c>
      <c r="G6020" s="18">
        <v>111008</v>
      </c>
      <c r="H6020" s="18">
        <f t="shared" si="144"/>
        <v>41578.269999999997</v>
      </c>
      <c r="I6020" s="3"/>
    </row>
    <row r="6021" spans="1:9" s="4" customFormat="1" ht="20.25" customHeight="1" x14ac:dyDescent="0.55000000000000004">
      <c r="A6021" s="18">
        <v>24.716791700000002</v>
      </c>
      <c r="B6021" s="18">
        <v>34.771331799999999</v>
      </c>
      <c r="C6021" s="18">
        <v>679170.81</v>
      </c>
      <c r="D6021" s="18">
        <v>2734747.39</v>
      </c>
      <c r="E6021" s="18">
        <v>464.18</v>
      </c>
      <c r="F6021" s="18">
        <v>41693.22</v>
      </c>
      <c r="G6021" s="18">
        <v>111010</v>
      </c>
      <c r="H6021" s="18">
        <f t="shared" si="144"/>
        <v>41578.22</v>
      </c>
      <c r="I6021" s="3"/>
    </row>
    <row r="6022" spans="1:9" s="4" customFormat="1" ht="20.25" customHeight="1" x14ac:dyDescent="0.55000000000000004">
      <c r="A6022" s="18">
        <v>24.716798799999999</v>
      </c>
      <c r="B6022" s="18">
        <v>34.771310700000001</v>
      </c>
      <c r="C6022" s="18">
        <v>679168.66</v>
      </c>
      <c r="D6022" s="18">
        <v>2734748.15</v>
      </c>
      <c r="E6022" s="18">
        <v>463.4</v>
      </c>
      <c r="F6022" s="18">
        <v>41691.730000000003</v>
      </c>
      <c r="G6022" s="18">
        <v>111012</v>
      </c>
      <c r="H6022" s="18">
        <f t="shared" si="144"/>
        <v>41576.730000000003</v>
      </c>
      <c r="I6022" s="3"/>
    </row>
    <row r="6023" spans="1:9" s="4" customFormat="1" ht="20.25" customHeight="1" x14ac:dyDescent="0.55000000000000004">
      <c r="A6023" s="18">
        <v>24.716798099999998</v>
      </c>
      <c r="B6023" s="18">
        <v>34.771293700000001</v>
      </c>
      <c r="C6023" s="18">
        <v>679166.95</v>
      </c>
      <c r="D6023" s="18">
        <v>2734748.05</v>
      </c>
      <c r="E6023" s="18">
        <v>462.66</v>
      </c>
      <c r="F6023" s="18">
        <v>41688.49</v>
      </c>
      <c r="G6023" s="18">
        <v>111014</v>
      </c>
      <c r="H6023" s="18">
        <f t="shared" si="144"/>
        <v>41573.49</v>
      </c>
      <c r="I6023" s="3"/>
    </row>
    <row r="6024" spans="1:9" s="4" customFormat="1" ht="20.25" customHeight="1" x14ac:dyDescent="0.55000000000000004">
      <c r="A6024" s="18">
        <v>24.716794100000001</v>
      </c>
      <c r="B6024" s="18">
        <v>34.771268999999997</v>
      </c>
      <c r="C6024" s="18">
        <v>679164.46</v>
      </c>
      <c r="D6024" s="18">
        <v>2734747.58</v>
      </c>
      <c r="E6024" s="18">
        <v>461.82</v>
      </c>
      <c r="F6024" s="18">
        <v>41691.75</v>
      </c>
      <c r="G6024" s="18">
        <v>111016</v>
      </c>
      <c r="H6024" s="18">
        <f t="shared" si="144"/>
        <v>41576.75</v>
      </c>
      <c r="I6024" s="3"/>
    </row>
    <row r="6025" spans="1:9" s="4" customFormat="1" ht="20.25" customHeight="1" x14ac:dyDescent="0.55000000000000004">
      <c r="A6025" s="18">
        <v>24.716790499999998</v>
      </c>
      <c r="B6025" s="18">
        <v>34.771246400000003</v>
      </c>
      <c r="C6025" s="18">
        <v>679162.17</v>
      </c>
      <c r="D6025" s="18">
        <v>2734747.15</v>
      </c>
      <c r="E6025" s="18">
        <v>460.91</v>
      </c>
      <c r="F6025" s="18">
        <v>41686.839999999997</v>
      </c>
      <c r="G6025" s="18">
        <v>111018</v>
      </c>
      <c r="H6025" s="18">
        <f t="shared" si="144"/>
        <v>41571.839999999997</v>
      </c>
      <c r="I6025" s="3"/>
    </row>
    <row r="6026" spans="1:9" s="4" customFormat="1" ht="20.25" customHeight="1" x14ac:dyDescent="0.55000000000000004">
      <c r="A6026" s="18">
        <v>24.716780199999999</v>
      </c>
      <c r="B6026" s="18">
        <v>34.771224400000001</v>
      </c>
      <c r="C6026" s="18">
        <v>679159.96</v>
      </c>
      <c r="D6026" s="18">
        <v>2734745.98</v>
      </c>
      <c r="E6026" s="18">
        <v>459.81</v>
      </c>
      <c r="F6026" s="18">
        <v>41687.79</v>
      </c>
      <c r="G6026" s="18">
        <v>111020</v>
      </c>
      <c r="H6026" s="18">
        <f t="shared" si="144"/>
        <v>41572.79</v>
      </c>
      <c r="I6026" s="3"/>
    </row>
    <row r="6027" spans="1:9" s="4" customFormat="1" ht="20.25" customHeight="1" x14ac:dyDescent="0.55000000000000004">
      <c r="A6027" s="18">
        <v>24.7167776</v>
      </c>
      <c r="B6027" s="18">
        <v>34.7712012</v>
      </c>
      <c r="C6027" s="18">
        <v>679157.62</v>
      </c>
      <c r="D6027" s="18">
        <v>2734745.66</v>
      </c>
      <c r="E6027" s="18">
        <v>459.29</v>
      </c>
      <c r="F6027" s="18">
        <v>41689.42</v>
      </c>
      <c r="G6027" s="18">
        <v>111022</v>
      </c>
      <c r="H6027" s="18">
        <f t="shared" si="144"/>
        <v>41574.42</v>
      </c>
      <c r="I6027" s="3"/>
    </row>
    <row r="6028" spans="1:9" s="4" customFormat="1" ht="20.25" customHeight="1" x14ac:dyDescent="0.55000000000000004">
      <c r="A6028" s="18">
        <v>24.716774300000001</v>
      </c>
      <c r="B6028" s="18">
        <v>34.771182799999998</v>
      </c>
      <c r="C6028" s="18">
        <v>679155.76</v>
      </c>
      <c r="D6028" s="18">
        <v>2734745.27</v>
      </c>
      <c r="E6028" s="18">
        <v>458.65</v>
      </c>
      <c r="F6028" s="18">
        <v>41686.339999999997</v>
      </c>
      <c r="G6028" s="18">
        <v>111024</v>
      </c>
      <c r="H6028" s="18">
        <f t="shared" si="144"/>
        <v>41571.339999999997</v>
      </c>
      <c r="I6028" s="3"/>
    </row>
    <row r="6029" spans="1:9" s="4" customFormat="1" ht="20.25" customHeight="1" x14ac:dyDescent="0.55000000000000004">
      <c r="A6029" s="18">
        <v>24.716761900000002</v>
      </c>
      <c r="B6029" s="18">
        <v>34.771166899999997</v>
      </c>
      <c r="C6029" s="18">
        <v>679154.18</v>
      </c>
      <c r="D6029" s="18">
        <v>2734743.87</v>
      </c>
      <c r="E6029" s="18">
        <v>458.16</v>
      </c>
      <c r="F6029" s="18">
        <v>41684.980000000003</v>
      </c>
      <c r="G6029" s="18">
        <v>111026</v>
      </c>
      <c r="H6029" s="18">
        <f t="shared" si="144"/>
        <v>41569.980000000003</v>
      </c>
      <c r="I6029" s="3"/>
    </row>
    <row r="6030" spans="1:9" s="4" customFormat="1" ht="20.25" customHeight="1" x14ac:dyDescent="0.55000000000000004">
      <c r="A6030" s="18">
        <v>24.716750900000001</v>
      </c>
      <c r="B6030" s="18">
        <v>34.7711653</v>
      </c>
      <c r="C6030" s="18">
        <v>679154.02</v>
      </c>
      <c r="D6030" s="18">
        <v>2734742.66</v>
      </c>
      <c r="E6030" s="18">
        <v>457.7</v>
      </c>
      <c r="F6030" s="18">
        <v>41688.35</v>
      </c>
      <c r="G6030" s="18">
        <v>111028</v>
      </c>
      <c r="H6030" s="18">
        <f t="shared" si="144"/>
        <v>41573.35</v>
      </c>
      <c r="I6030" s="3"/>
    </row>
    <row r="6031" spans="1:9" s="4" customFormat="1" ht="20.25" customHeight="1" x14ac:dyDescent="0.55000000000000004">
      <c r="A6031" s="18">
        <v>24.716740999999999</v>
      </c>
      <c r="B6031" s="18">
        <v>34.771160500000001</v>
      </c>
      <c r="C6031" s="18">
        <v>679153.56</v>
      </c>
      <c r="D6031" s="18">
        <v>2734741.55</v>
      </c>
      <c r="E6031" s="18">
        <v>457.27</v>
      </c>
      <c r="F6031" s="18">
        <v>41687.94</v>
      </c>
      <c r="G6031" s="18">
        <v>111030</v>
      </c>
      <c r="H6031" s="18">
        <f t="shared" si="144"/>
        <v>41572.94</v>
      </c>
      <c r="I6031" s="3"/>
    </row>
    <row r="6032" spans="1:9" s="4" customFormat="1" ht="20.25" customHeight="1" x14ac:dyDescent="0.55000000000000004">
      <c r="A6032" s="18">
        <v>24.716726999999999</v>
      </c>
      <c r="B6032" s="18">
        <v>34.771152700000002</v>
      </c>
      <c r="C6032" s="18">
        <v>679152.78</v>
      </c>
      <c r="D6032" s="18">
        <v>2734740</v>
      </c>
      <c r="E6032" s="18">
        <v>456.78</v>
      </c>
      <c r="F6032" s="18">
        <v>41689.129999999997</v>
      </c>
      <c r="G6032" s="18">
        <v>111032</v>
      </c>
      <c r="H6032" s="18">
        <f t="shared" si="144"/>
        <v>41574.129999999997</v>
      </c>
      <c r="I6032" s="3"/>
    </row>
    <row r="6033" spans="1:9" s="4" customFormat="1" ht="20.25" customHeight="1" x14ac:dyDescent="0.55000000000000004">
      <c r="A6033" s="18">
        <v>24.716714899999999</v>
      </c>
      <c r="B6033" s="18">
        <v>34.771147399999997</v>
      </c>
      <c r="C6033" s="18">
        <v>679152.27</v>
      </c>
      <c r="D6033" s="18">
        <v>2734738.65</v>
      </c>
      <c r="E6033" s="18">
        <v>456.34</v>
      </c>
      <c r="F6033" s="18">
        <v>41692.47</v>
      </c>
      <c r="G6033" s="18">
        <v>111034</v>
      </c>
      <c r="H6033" s="18">
        <f t="shared" si="144"/>
        <v>41577.47</v>
      </c>
      <c r="I6033" s="3"/>
    </row>
    <row r="6034" spans="1:9" s="4" customFormat="1" ht="20.25" customHeight="1" x14ac:dyDescent="0.55000000000000004">
      <c r="A6034" s="18">
        <v>24.716707599999999</v>
      </c>
      <c r="B6034" s="18">
        <v>34.771135999999998</v>
      </c>
      <c r="C6034" s="18">
        <v>679151.12</v>
      </c>
      <c r="D6034" s="18">
        <v>2734737.83</v>
      </c>
      <c r="E6034" s="18">
        <v>455.96</v>
      </c>
      <c r="F6034" s="18">
        <v>41688.75</v>
      </c>
      <c r="G6034" s="18">
        <v>111036</v>
      </c>
      <c r="H6034" s="18">
        <f t="shared" ref="H6034:H6051" si="145">SUM(F6034-115)</f>
        <v>41573.75</v>
      </c>
      <c r="I6034" s="3"/>
    </row>
    <row r="6035" spans="1:9" s="4" customFormat="1" ht="20.25" customHeight="1" x14ac:dyDescent="0.55000000000000004">
      <c r="A6035" s="18">
        <v>24.716701700000002</v>
      </c>
      <c r="B6035" s="18">
        <v>34.7711343</v>
      </c>
      <c r="C6035" s="18">
        <v>679150.96</v>
      </c>
      <c r="D6035" s="18">
        <v>2734737.16</v>
      </c>
      <c r="E6035" s="18">
        <v>455.4</v>
      </c>
      <c r="F6035" s="18">
        <v>41687.51</v>
      </c>
      <c r="G6035" s="18">
        <v>111038</v>
      </c>
      <c r="H6035" s="18">
        <f t="shared" si="145"/>
        <v>41572.51</v>
      </c>
      <c r="I6035" s="3"/>
    </row>
    <row r="6036" spans="1:9" s="4" customFormat="1" ht="20.25" customHeight="1" x14ac:dyDescent="0.55000000000000004">
      <c r="A6036" s="18">
        <v>24.7166915</v>
      </c>
      <c r="B6036" s="18">
        <v>34.771139900000001</v>
      </c>
      <c r="C6036" s="18">
        <v>679151.54</v>
      </c>
      <c r="D6036" s="18">
        <v>2734736.04</v>
      </c>
      <c r="E6036" s="18">
        <v>455</v>
      </c>
      <c r="F6036" s="18">
        <v>41691.22</v>
      </c>
      <c r="G6036" s="18">
        <v>111040</v>
      </c>
      <c r="H6036" s="18">
        <f t="shared" si="145"/>
        <v>41576.22</v>
      </c>
      <c r="I6036" s="3"/>
    </row>
    <row r="6037" spans="1:9" s="4" customFormat="1" ht="20.25" customHeight="1" x14ac:dyDescent="0.55000000000000004">
      <c r="A6037" s="18">
        <v>24.7166806</v>
      </c>
      <c r="B6037" s="18">
        <v>34.7711361</v>
      </c>
      <c r="C6037" s="18">
        <v>679151.17</v>
      </c>
      <c r="D6037" s="18">
        <v>2734734.83</v>
      </c>
      <c r="E6037" s="18">
        <v>454.41</v>
      </c>
      <c r="F6037" s="18">
        <v>41686.199999999997</v>
      </c>
      <c r="G6037" s="18">
        <v>111042</v>
      </c>
      <c r="H6037" s="18">
        <f t="shared" si="145"/>
        <v>41571.199999999997</v>
      </c>
      <c r="I6037" s="3"/>
    </row>
    <row r="6038" spans="1:9" s="4" customFormat="1" ht="20.25" customHeight="1" x14ac:dyDescent="0.55000000000000004">
      <c r="A6038" s="18">
        <v>24.7166672</v>
      </c>
      <c r="B6038" s="18">
        <v>34.7711361</v>
      </c>
      <c r="C6038" s="18">
        <v>679151.19</v>
      </c>
      <c r="D6038" s="18">
        <v>2734733.35</v>
      </c>
      <c r="E6038" s="18">
        <v>453.79</v>
      </c>
      <c r="F6038" s="18">
        <v>41688.019999999997</v>
      </c>
      <c r="G6038" s="18">
        <v>111044</v>
      </c>
      <c r="H6038" s="18">
        <f t="shared" si="145"/>
        <v>41573.019999999997</v>
      </c>
      <c r="I6038" s="3"/>
    </row>
    <row r="6039" spans="1:9" s="4" customFormat="1" ht="20.25" customHeight="1" x14ac:dyDescent="0.55000000000000004">
      <c r="A6039" s="18">
        <v>24.716659400000001</v>
      </c>
      <c r="B6039" s="18">
        <v>34.7711319</v>
      </c>
      <c r="C6039" s="18">
        <v>679150.78</v>
      </c>
      <c r="D6039" s="18">
        <v>2734732.48</v>
      </c>
      <c r="E6039" s="18">
        <v>453.08</v>
      </c>
      <c r="F6039" s="18">
        <v>41687.18</v>
      </c>
      <c r="G6039" s="18">
        <v>111046</v>
      </c>
      <c r="H6039" s="18">
        <f t="shared" si="145"/>
        <v>41572.18</v>
      </c>
      <c r="I6039" s="3"/>
    </row>
    <row r="6040" spans="1:9" s="4" customFormat="1" ht="20.25" customHeight="1" x14ac:dyDescent="0.55000000000000004">
      <c r="A6040" s="18">
        <v>24.716646699999998</v>
      </c>
      <c r="B6040" s="18">
        <v>34.771118999999999</v>
      </c>
      <c r="C6040" s="18">
        <v>679149.49</v>
      </c>
      <c r="D6040" s="18">
        <v>2734731.05</v>
      </c>
      <c r="E6040" s="18">
        <v>452.51</v>
      </c>
      <c r="F6040" s="18">
        <v>41686.660000000003</v>
      </c>
      <c r="G6040" s="18">
        <v>111048</v>
      </c>
      <c r="H6040" s="18">
        <f t="shared" si="145"/>
        <v>41571.660000000003</v>
      </c>
      <c r="I6040" s="3"/>
    </row>
    <row r="6041" spans="1:9" s="4" customFormat="1" ht="20.25" customHeight="1" x14ac:dyDescent="0.55000000000000004">
      <c r="A6041" s="18">
        <v>24.716634899999999</v>
      </c>
      <c r="B6041" s="18">
        <v>34.771105800000001</v>
      </c>
      <c r="C6041" s="18">
        <v>679148.18</v>
      </c>
      <c r="D6041" s="18">
        <v>2734729.73</v>
      </c>
      <c r="E6041" s="18">
        <v>452.14</v>
      </c>
      <c r="F6041" s="18">
        <v>41686.58</v>
      </c>
      <c r="G6041" s="18">
        <v>111050</v>
      </c>
      <c r="H6041" s="18">
        <f t="shared" si="145"/>
        <v>41571.58</v>
      </c>
      <c r="I6041" s="3"/>
    </row>
    <row r="6042" spans="1:9" s="4" customFormat="1" ht="20.25" customHeight="1" x14ac:dyDescent="0.55000000000000004">
      <c r="A6042" s="18">
        <v>24.716615900000001</v>
      </c>
      <c r="B6042" s="18">
        <v>34.771101199999997</v>
      </c>
      <c r="C6042" s="18">
        <v>679147.73</v>
      </c>
      <c r="D6042" s="18">
        <v>2734727.62</v>
      </c>
      <c r="E6042" s="18">
        <v>451.67</v>
      </c>
      <c r="F6042" s="18">
        <v>41686.31</v>
      </c>
      <c r="G6042" s="18">
        <v>111052</v>
      </c>
      <c r="H6042" s="18">
        <f t="shared" si="145"/>
        <v>41571.31</v>
      </c>
      <c r="I6042" s="3"/>
    </row>
    <row r="6043" spans="1:9" s="4" customFormat="1" ht="20.25" customHeight="1" x14ac:dyDescent="0.55000000000000004">
      <c r="A6043" s="18">
        <v>24.716600400000001</v>
      </c>
      <c r="B6043" s="18">
        <v>34.771087000000001</v>
      </c>
      <c r="C6043" s="18">
        <v>679146.32</v>
      </c>
      <c r="D6043" s="18">
        <v>2734725.88</v>
      </c>
      <c r="E6043" s="18">
        <v>450.99</v>
      </c>
      <c r="F6043" s="18">
        <v>41689.879999999997</v>
      </c>
      <c r="G6043" s="18">
        <v>111054</v>
      </c>
      <c r="H6043" s="18">
        <f t="shared" si="145"/>
        <v>41574.879999999997</v>
      </c>
      <c r="I6043" s="3"/>
    </row>
    <row r="6044" spans="1:9" s="4" customFormat="1" ht="20.25" customHeight="1" x14ac:dyDescent="0.55000000000000004">
      <c r="A6044" s="18">
        <v>24.716591000000001</v>
      </c>
      <c r="B6044" s="18">
        <v>34.771068499999998</v>
      </c>
      <c r="C6044" s="18">
        <v>679144.46</v>
      </c>
      <c r="D6044" s="18">
        <v>2734724.82</v>
      </c>
      <c r="E6044" s="18">
        <v>450.76</v>
      </c>
      <c r="F6044" s="18">
        <v>41688.879999999997</v>
      </c>
      <c r="G6044" s="18">
        <v>111056</v>
      </c>
      <c r="H6044" s="18">
        <f t="shared" si="145"/>
        <v>41573.879999999997</v>
      </c>
      <c r="I6044" s="3"/>
    </row>
    <row r="6045" spans="1:9" s="4" customFormat="1" ht="20.25" customHeight="1" x14ac:dyDescent="0.55000000000000004">
      <c r="A6045" s="18">
        <v>24.716575599999999</v>
      </c>
      <c r="B6045" s="18">
        <v>34.7710474</v>
      </c>
      <c r="C6045" s="18">
        <v>679142.35</v>
      </c>
      <c r="D6045" s="18">
        <v>2734723.08</v>
      </c>
      <c r="E6045" s="18">
        <v>450.13</v>
      </c>
      <c r="F6045" s="18">
        <v>41689.81</v>
      </c>
      <c r="G6045" s="18">
        <v>111058</v>
      </c>
      <c r="H6045" s="18">
        <f t="shared" si="145"/>
        <v>41574.81</v>
      </c>
      <c r="I6045" s="3"/>
    </row>
    <row r="6046" spans="1:9" s="4" customFormat="1" ht="20.25" customHeight="1" x14ac:dyDescent="0.55000000000000004">
      <c r="A6046" s="18">
        <v>24.716557600000002</v>
      </c>
      <c r="B6046" s="18">
        <v>34.7710285</v>
      </c>
      <c r="C6046" s="18">
        <v>679140.46</v>
      </c>
      <c r="D6046" s="18">
        <v>2734721.06</v>
      </c>
      <c r="E6046" s="18">
        <v>449.42</v>
      </c>
      <c r="F6046" s="18">
        <v>41690.21</v>
      </c>
      <c r="G6046" s="18">
        <v>111100</v>
      </c>
      <c r="H6046" s="18">
        <f t="shared" si="145"/>
        <v>41575.21</v>
      </c>
      <c r="I6046" s="3"/>
    </row>
    <row r="6047" spans="1:9" s="4" customFormat="1" ht="20.25" customHeight="1" x14ac:dyDescent="0.55000000000000004">
      <c r="A6047" s="18">
        <v>24.716540999999999</v>
      </c>
      <c r="B6047" s="18">
        <v>34.771007099999999</v>
      </c>
      <c r="C6047" s="18">
        <v>679138.32</v>
      </c>
      <c r="D6047" s="18">
        <v>2734719.21</v>
      </c>
      <c r="E6047" s="18">
        <v>449.01</v>
      </c>
      <c r="F6047" s="18">
        <v>41689.75</v>
      </c>
      <c r="G6047" s="18">
        <v>111102</v>
      </c>
      <c r="H6047" s="18">
        <f t="shared" si="145"/>
        <v>41574.75</v>
      </c>
      <c r="I6047" s="3"/>
    </row>
    <row r="6048" spans="1:9" s="4" customFormat="1" ht="20.25" customHeight="1" x14ac:dyDescent="0.55000000000000004">
      <c r="A6048" s="18">
        <v>24.716524499999998</v>
      </c>
      <c r="B6048" s="18">
        <v>34.770988199999998</v>
      </c>
      <c r="C6048" s="18">
        <v>679136.43</v>
      </c>
      <c r="D6048" s="18">
        <v>2734717.35</v>
      </c>
      <c r="E6048" s="18">
        <v>448.72</v>
      </c>
      <c r="F6048" s="18">
        <v>41689.589999999997</v>
      </c>
      <c r="G6048" s="18">
        <v>111104</v>
      </c>
      <c r="H6048" s="18">
        <f t="shared" si="145"/>
        <v>41574.589999999997</v>
      </c>
      <c r="I6048" s="3"/>
    </row>
    <row r="6049" spans="1:9" s="4" customFormat="1" ht="20.25" customHeight="1" x14ac:dyDescent="0.55000000000000004">
      <c r="A6049" s="18">
        <v>24.7165116</v>
      </c>
      <c r="B6049" s="18">
        <v>34.770967400000004</v>
      </c>
      <c r="C6049" s="18">
        <v>679134.35</v>
      </c>
      <c r="D6049" s="18">
        <v>2734715.89</v>
      </c>
      <c r="E6049" s="18">
        <v>448.39</v>
      </c>
      <c r="F6049" s="18">
        <v>41688.82</v>
      </c>
      <c r="G6049" s="18">
        <v>111106</v>
      </c>
      <c r="H6049" s="18">
        <f t="shared" si="145"/>
        <v>41573.82</v>
      </c>
      <c r="I6049" s="3"/>
    </row>
    <row r="6050" spans="1:9" s="4" customFormat="1" ht="20.25" customHeight="1" x14ac:dyDescent="0.55000000000000004">
      <c r="A6050" s="18">
        <v>24.7165018</v>
      </c>
      <c r="B6050" s="18">
        <v>34.770947200000002</v>
      </c>
      <c r="C6050" s="18">
        <v>679132.32</v>
      </c>
      <c r="D6050" s="18">
        <v>2734714.78</v>
      </c>
      <c r="E6050" s="18">
        <v>448.14</v>
      </c>
      <c r="F6050" s="18">
        <v>41686.949999999997</v>
      </c>
      <c r="G6050" s="18">
        <v>111108</v>
      </c>
      <c r="H6050" s="18">
        <f t="shared" si="145"/>
        <v>41571.949999999997</v>
      </c>
      <c r="I6050" s="3"/>
    </row>
    <row r="6051" spans="1:9" s="4" customFormat="1" ht="20.25" customHeight="1" x14ac:dyDescent="0.55000000000000004">
      <c r="A6051" s="18">
        <v>24.716494699999998</v>
      </c>
      <c r="B6051" s="18">
        <v>34.770932899999998</v>
      </c>
      <c r="C6051" s="18">
        <v>679130.88</v>
      </c>
      <c r="D6051" s="18">
        <v>2734713.98</v>
      </c>
      <c r="E6051" s="18">
        <v>448.03</v>
      </c>
      <c r="F6051" s="18">
        <v>41689.32</v>
      </c>
      <c r="G6051" s="18">
        <v>111110</v>
      </c>
      <c r="H6051" s="18">
        <f t="shared" si="145"/>
        <v>41574.32</v>
      </c>
      <c r="I6051" s="3"/>
    </row>
    <row r="6052" spans="1:9" s="4" customFormat="1" ht="20.25" customHeight="1" x14ac:dyDescent="0.55000000000000004">
      <c r="A6052" s="18">
        <v>24.740096699999999</v>
      </c>
      <c r="B6052" s="18">
        <v>34.7872366</v>
      </c>
      <c r="C6052" s="18">
        <v>680746.23</v>
      </c>
      <c r="D6052" s="18">
        <v>2737349.56</v>
      </c>
      <c r="E6052" s="18">
        <v>362.89</v>
      </c>
      <c r="F6052" s="18">
        <v>41622.31</v>
      </c>
      <c r="G6052" s="18">
        <v>120722</v>
      </c>
      <c r="H6052" s="18">
        <f>SUM(F6052-146)</f>
        <v>41476.31</v>
      </c>
      <c r="I6052" s="3"/>
    </row>
    <row r="6053" spans="1:9" s="4" customFormat="1" ht="20.25" customHeight="1" x14ac:dyDescent="0.55000000000000004">
      <c r="A6053" s="18">
        <v>24.740075900000001</v>
      </c>
      <c r="B6053" s="18">
        <v>34.787223599999997</v>
      </c>
      <c r="C6053" s="18">
        <v>680744.95</v>
      </c>
      <c r="D6053" s="18">
        <v>2737347.23</v>
      </c>
      <c r="E6053" s="18">
        <v>362.9</v>
      </c>
      <c r="F6053" s="18">
        <v>41628.080000000002</v>
      </c>
      <c r="G6053" s="18">
        <v>120724</v>
      </c>
      <c r="H6053" s="18">
        <f t="shared" ref="H6053:H6116" si="146">SUM(F6053-146)</f>
        <v>41482.080000000002</v>
      </c>
      <c r="I6053" s="3"/>
    </row>
    <row r="6054" spans="1:9" s="4" customFormat="1" ht="20.25" customHeight="1" x14ac:dyDescent="0.55000000000000004">
      <c r="A6054" s="18">
        <v>24.740050199999999</v>
      </c>
      <c r="B6054" s="18">
        <v>34.787213999999999</v>
      </c>
      <c r="C6054" s="18">
        <v>680744.02</v>
      </c>
      <c r="D6054" s="18">
        <v>2737344.38</v>
      </c>
      <c r="E6054" s="18">
        <v>362.88</v>
      </c>
      <c r="F6054" s="18">
        <v>41626.120000000003</v>
      </c>
      <c r="G6054" s="18">
        <v>120726</v>
      </c>
      <c r="H6054" s="18">
        <f t="shared" si="146"/>
        <v>41480.120000000003</v>
      </c>
      <c r="I6054" s="3"/>
    </row>
    <row r="6055" spans="1:9" s="4" customFormat="1" ht="20.25" customHeight="1" x14ac:dyDescent="0.55000000000000004">
      <c r="A6055" s="18">
        <v>24.740024699999999</v>
      </c>
      <c r="B6055" s="18">
        <v>34.787202700000002</v>
      </c>
      <c r="C6055" s="18">
        <v>680742.91</v>
      </c>
      <c r="D6055" s="18">
        <v>2737341.53</v>
      </c>
      <c r="E6055" s="18">
        <v>362.92</v>
      </c>
      <c r="F6055" s="18">
        <v>41624.410000000003</v>
      </c>
      <c r="G6055" s="18">
        <v>120728</v>
      </c>
      <c r="H6055" s="18">
        <f t="shared" si="146"/>
        <v>41478.410000000003</v>
      </c>
      <c r="I6055" s="3"/>
    </row>
    <row r="6056" spans="1:9" s="4" customFormat="1" ht="20.25" customHeight="1" x14ac:dyDescent="0.55000000000000004">
      <c r="A6056" s="18">
        <v>24.7400035</v>
      </c>
      <c r="B6056" s="18">
        <v>34.787188899999997</v>
      </c>
      <c r="C6056" s="18">
        <v>680741.54</v>
      </c>
      <c r="D6056" s="18">
        <v>2737339.17</v>
      </c>
      <c r="E6056" s="18">
        <v>362.83</v>
      </c>
      <c r="F6056" s="18">
        <v>41628.15</v>
      </c>
      <c r="G6056" s="18">
        <v>120730</v>
      </c>
      <c r="H6056" s="18">
        <f t="shared" si="146"/>
        <v>41482.15</v>
      </c>
      <c r="I6056" s="3"/>
    </row>
    <row r="6057" spans="1:9" s="4" customFormat="1" ht="20.25" customHeight="1" x14ac:dyDescent="0.55000000000000004">
      <c r="A6057" s="18">
        <v>24.739979699999999</v>
      </c>
      <c r="B6057" s="18">
        <v>34.787177700000001</v>
      </c>
      <c r="C6057" s="18">
        <v>680740.45</v>
      </c>
      <c r="D6057" s="18">
        <v>2737336.52</v>
      </c>
      <c r="E6057" s="18">
        <v>362.77</v>
      </c>
      <c r="F6057" s="18">
        <v>41627.360000000001</v>
      </c>
      <c r="G6057" s="18">
        <v>120732</v>
      </c>
      <c r="H6057" s="18">
        <f t="shared" si="146"/>
        <v>41481.360000000001</v>
      </c>
      <c r="I6057" s="3"/>
    </row>
    <row r="6058" spans="1:9" s="4" customFormat="1" ht="20.25" customHeight="1" x14ac:dyDescent="0.55000000000000004">
      <c r="A6058" s="18">
        <v>24.739954099999999</v>
      </c>
      <c r="B6058" s="18">
        <v>34.787168200000004</v>
      </c>
      <c r="C6058" s="18">
        <v>680739.53</v>
      </c>
      <c r="D6058" s="18">
        <v>2737333.66</v>
      </c>
      <c r="E6058" s="18">
        <v>362.77</v>
      </c>
      <c r="F6058" s="18">
        <v>41625.74</v>
      </c>
      <c r="G6058" s="18">
        <v>120734</v>
      </c>
      <c r="H6058" s="18">
        <f t="shared" si="146"/>
        <v>41479.74</v>
      </c>
      <c r="I6058" s="3"/>
    </row>
    <row r="6059" spans="1:9" s="4" customFormat="1" ht="20.25" customHeight="1" x14ac:dyDescent="0.55000000000000004">
      <c r="A6059" s="18">
        <v>24.739928200000001</v>
      </c>
      <c r="B6059" s="18">
        <v>34.787163300000003</v>
      </c>
      <c r="C6059" s="18">
        <v>680739.07</v>
      </c>
      <c r="D6059" s="18">
        <v>2737330.8</v>
      </c>
      <c r="E6059" s="18">
        <v>362.78</v>
      </c>
      <c r="F6059" s="18">
        <v>41629.31</v>
      </c>
      <c r="G6059" s="18">
        <v>120736</v>
      </c>
      <c r="H6059" s="18">
        <f t="shared" si="146"/>
        <v>41483.31</v>
      </c>
      <c r="I6059" s="3"/>
    </row>
    <row r="6060" spans="1:9" s="4" customFormat="1" ht="20.25" customHeight="1" x14ac:dyDescent="0.55000000000000004">
      <c r="A6060" s="18">
        <v>24.7398992</v>
      </c>
      <c r="B6060" s="18">
        <v>34.787156500000002</v>
      </c>
      <c r="C6060" s="18">
        <v>680738.42</v>
      </c>
      <c r="D6060" s="18">
        <v>2737327.57</v>
      </c>
      <c r="E6060" s="18">
        <v>362.91</v>
      </c>
      <c r="F6060" s="18">
        <v>41625.08</v>
      </c>
      <c r="G6060" s="18">
        <v>120738</v>
      </c>
      <c r="H6060" s="18">
        <f t="shared" si="146"/>
        <v>41479.08</v>
      </c>
      <c r="I6060" s="3"/>
    </row>
    <row r="6061" spans="1:9" s="4" customFormat="1" ht="20.25" customHeight="1" x14ac:dyDescent="0.55000000000000004">
      <c r="A6061" s="18">
        <v>24.739880599999999</v>
      </c>
      <c r="B6061" s="18">
        <v>34.787151100000003</v>
      </c>
      <c r="C6061" s="18">
        <v>680737.89</v>
      </c>
      <c r="D6061" s="18">
        <v>2737325.51</v>
      </c>
      <c r="E6061" s="18">
        <v>363.21</v>
      </c>
      <c r="F6061" s="18">
        <v>41624.11</v>
      </c>
      <c r="G6061" s="18">
        <v>120740</v>
      </c>
      <c r="H6061" s="18">
        <f t="shared" si="146"/>
        <v>41478.11</v>
      </c>
      <c r="I6061" s="3"/>
    </row>
    <row r="6062" spans="1:9" s="4" customFormat="1" ht="20.25" customHeight="1" x14ac:dyDescent="0.55000000000000004">
      <c r="A6062" s="18">
        <v>24.739859500000001</v>
      </c>
      <c r="B6062" s="18">
        <v>34.7871424</v>
      </c>
      <c r="C6062" s="18">
        <v>680737.05</v>
      </c>
      <c r="D6062" s="18">
        <v>2737323.16</v>
      </c>
      <c r="E6062" s="18">
        <v>363.2</v>
      </c>
      <c r="F6062" s="18">
        <v>41619.11</v>
      </c>
      <c r="G6062" s="18">
        <v>120742</v>
      </c>
      <c r="H6062" s="18">
        <f t="shared" si="146"/>
        <v>41473.11</v>
      </c>
      <c r="I6062" s="3"/>
    </row>
    <row r="6063" spans="1:9" s="4" customFormat="1" ht="20.25" customHeight="1" x14ac:dyDescent="0.55000000000000004">
      <c r="A6063" s="18">
        <v>24.739837900000001</v>
      </c>
      <c r="B6063" s="18">
        <v>34.787131799999997</v>
      </c>
      <c r="C6063" s="18">
        <v>680736.01</v>
      </c>
      <c r="D6063" s="18">
        <v>2737320.75</v>
      </c>
      <c r="E6063" s="18">
        <v>363.39</v>
      </c>
      <c r="F6063" s="18">
        <v>41621.089999999997</v>
      </c>
      <c r="G6063" s="18">
        <v>120744</v>
      </c>
      <c r="H6063" s="18">
        <f t="shared" si="146"/>
        <v>41475.089999999997</v>
      </c>
      <c r="I6063" s="3"/>
    </row>
    <row r="6064" spans="1:9" s="4" customFormat="1" ht="20.25" customHeight="1" x14ac:dyDescent="0.55000000000000004">
      <c r="A6064" s="18">
        <v>24.739813900000001</v>
      </c>
      <c r="B6064" s="18">
        <v>34.787120999999999</v>
      </c>
      <c r="C6064" s="18">
        <v>680734.95</v>
      </c>
      <c r="D6064" s="18">
        <v>2737318.08</v>
      </c>
      <c r="E6064" s="18">
        <v>363.42</v>
      </c>
      <c r="F6064" s="18">
        <v>41620.01</v>
      </c>
      <c r="G6064" s="18">
        <v>120746</v>
      </c>
      <c r="H6064" s="18">
        <f t="shared" si="146"/>
        <v>41474.01</v>
      </c>
      <c r="I6064" s="3"/>
    </row>
    <row r="6065" spans="1:9" s="4" customFormat="1" ht="20.25" customHeight="1" x14ac:dyDescent="0.55000000000000004">
      <c r="A6065" s="18">
        <v>24.739790800000002</v>
      </c>
      <c r="B6065" s="18">
        <v>34.787106899999998</v>
      </c>
      <c r="C6065" s="18">
        <v>680733.56</v>
      </c>
      <c r="D6065" s="18">
        <v>2737315.5</v>
      </c>
      <c r="E6065" s="18">
        <v>363.44</v>
      </c>
      <c r="F6065" s="18">
        <v>41609.910000000003</v>
      </c>
      <c r="G6065" s="18">
        <v>120748</v>
      </c>
      <c r="H6065" s="18">
        <f t="shared" si="146"/>
        <v>41463.910000000003</v>
      </c>
      <c r="I6065" s="3"/>
    </row>
    <row r="6066" spans="1:9" s="4" customFormat="1" ht="20.25" customHeight="1" x14ac:dyDescent="0.55000000000000004">
      <c r="A6066" s="18">
        <v>24.739769899999999</v>
      </c>
      <c r="B6066" s="18">
        <v>34.787095299999997</v>
      </c>
      <c r="C6066" s="18">
        <v>680732.41</v>
      </c>
      <c r="D6066" s="18">
        <v>2737313.17</v>
      </c>
      <c r="E6066" s="18">
        <v>363.5</v>
      </c>
      <c r="F6066" s="18">
        <v>41624.74</v>
      </c>
      <c r="G6066" s="18">
        <v>120750</v>
      </c>
      <c r="H6066" s="18">
        <f t="shared" si="146"/>
        <v>41478.74</v>
      </c>
      <c r="I6066" s="3"/>
    </row>
    <row r="6067" spans="1:9" s="4" customFormat="1" ht="20.25" customHeight="1" x14ac:dyDescent="0.55000000000000004">
      <c r="A6067" s="18">
        <v>24.739746</v>
      </c>
      <c r="B6067" s="18">
        <v>34.787085699999999</v>
      </c>
      <c r="C6067" s="18">
        <v>680731.47</v>
      </c>
      <c r="D6067" s="18">
        <v>2737310.51</v>
      </c>
      <c r="E6067" s="18">
        <v>363.48</v>
      </c>
      <c r="F6067" s="18">
        <v>41657.69</v>
      </c>
      <c r="G6067" s="18">
        <v>120752</v>
      </c>
      <c r="H6067" s="18">
        <f t="shared" si="146"/>
        <v>41511.69</v>
      </c>
      <c r="I6067" s="3"/>
    </row>
    <row r="6068" spans="1:9" s="4" customFormat="1" ht="20.25" customHeight="1" x14ac:dyDescent="0.55000000000000004">
      <c r="A6068" s="18">
        <v>24.739723300000001</v>
      </c>
      <c r="B6068" s="18">
        <v>34.787075299999998</v>
      </c>
      <c r="C6068" s="18">
        <v>680730.46</v>
      </c>
      <c r="D6068" s="18">
        <v>2737307.99</v>
      </c>
      <c r="E6068" s="18">
        <v>363.54</v>
      </c>
      <c r="F6068" s="18">
        <v>41654.400000000001</v>
      </c>
      <c r="G6068" s="18">
        <v>120754</v>
      </c>
      <c r="H6068" s="18">
        <f t="shared" si="146"/>
        <v>41508.400000000001</v>
      </c>
      <c r="I6068" s="3"/>
    </row>
    <row r="6069" spans="1:9" s="4" customFormat="1" ht="20.25" customHeight="1" x14ac:dyDescent="0.55000000000000004">
      <c r="A6069" s="18">
        <v>24.739701499999999</v>
      </c>
      <c r="B6069" s="18">
        <v>34.787064600000001</v>
      </c>
      <c r="C6069" s="18">
        <v>680729.4</v>
      </c>
      <c r="D6069" s="18">
        <v>2737305.55</v>
      </c>
      <c r="E6069" s="18">
        <v>363.6</v>
      </c>
      <c r="F6069" s="18">
        <v>41639.51</v>
      </c>
      <c r="G6069" s="18">
        <v>120756</v>
      </c>
      <c r="H6069" s="18">
        <f t="shared" si="146"/>
        <v>41493.51</v>
      </c>
      <c r="I6069" s="3"/>
    </row>
    <row r="6070" spans="1:9" s="4" customFormat="1" ht="20.25" customHeight="1" x14ac:dyDescent="0.55000000000000004">
      <c r="A6070" s="18">
        <v>24.739683800000002</v>
      </c>
      <c r="B6070" s="18">
        <v>34.787051200000001</v>
      </c>
      <c r="C6070" s="18">
        <v>680728.08</v>
      </c>
      <c r="D6070" s="18">
        <v>2737303.57</v>
      </c>
      <c r="E6070" s="18">
        <v>363.58</v>
      </c>
      <c r="F6070" s="18">
        <v>41641.279999999999</v>
      </c>
      <c r="G6070" s="18">
        <v>120758</v>
      </c>
      <c r="H6070" s="18">
        <f t="shared" si="146"/>
        <v>41495.279999999999</v>
      </c>
      <c r="I6070" s="3"/>
    </row>
    <row r="6071" spans="1:9" s="4" customFormat="1" ht="20.25" customHeight="1" x14ac:dyDescent="0.55000000000000004">
      <c r="A6071" s="18">
        <v>24.7396697</v>
      </c>
      <c r="B6071" s="18">
        <v>34.787036100000002</v>
      </c>
      <c r="C6071" s="18">
        <v>680726.57</v>
      </c>
      <c r="D6071" s="18">
        <v>2737301.99</v>
      </c>
      <c r="E6071" s="18">
        <v>363.67</v>
      </c>
      <c r="F6071" s="18">
        <v>41642.86</v>
      </c>
      <c r="G6071" s="18">
        <v>120800</v>
      </c>
      <c r="H6071" s="18">
        <f t="shared" si="146"/>
        <v>41496.86</v>
      </c>
      <c r="I6071" s="3"/>
    </row>
    <row r="6072" spans="1:9" s="4" customFormat="1" ht="20.25" customHeight="1" x14ac:dyDescent="0.55000000000000004">
      <c r="A6072" s="18">
        <v>24.739654300000002</v>
      </c>
      <c r="B6072" s="18">
        <v>34.787027600000002</v>
      </c>
      <c r="C6072" s="18">
        <v>680725.73</v>
      </c>
      <c r="D6072" s="18">
        <v>2737300.28</v>
      </c>
      <c r="E6072" s="18">
        <v>363.75</v>
      </c>
      <c r="F6072" s="18">
        <v>41638.89</v>
      </c>
      <c r="G6072" s="18">
        <v>120802</v>
      </c>
      <c r="H6072" s="18">
        <f t="shared" si="146"/>
        <v>41492.89</v>
      </c>
      <c r="I6072" s="3"/>
    </row>
    <row r="6073" spans="1:9" s="4" customFormat="1" ht="20.25" customHeight="1" x14ac:dyDescent="0.55000000000000004">
      <c r="A6073" s="18">
        <v>24.739643699999998</v>
      </c>
      <c r="B6073" s="18">
        <v>34.787025300000003</v>
      </c>
      <c r="C6073" s="18">
        <v>680725.52</v>
      </c>
      <c r="D6073" s="18">
        <v>2737299.1</v>
      </c>
      <c r="E6073" s="18">
        <v>363.79</v>
      </c>
      <c r="F6073" s="18">
        <v>41639.14</v>
      </c>
      <c r="G6073" s="18">
        <v>120804</v>
      </c>
      <c r="H6073" s="18">
        <f t="shared" si="146"/>
        <v>41493.14</v>
      </c>
      <c r="I6073" s="3"/>
    </row>
    <row r="6074" spans="1:9" s="4" customFormat="1" ht="20.25" customHeight="1" x14ac:dyDescent="0.55000000000000004">
      <c r="A6074" s="18">
        <v>24.739629900000001</v>
      </c>
      <c r="B6074" s="18">
        <v>34.787022700000001</v>
      </c>
      <c r="C6074" s="18">
        <v>680725.28</v>
      </c>
      <c r="D6074" s="18">
        <v>2737297.57</v>
      </c>
      <c r="E6074" s="18">
        <v>363.79</v>
      </c>
      <c r="F6074" s="18">
        <v>41641.050000000003</v>
      </c>
      <c r="G6074" s="18">
        <v>120806</v>
      </c>
      <c r="H6074" s="18">
        <f t="shared" si="146"/>
        <v>41495.050000000003</v>
      </c>
      <c r="I6074" s="3"/>
    </row>
    <row r="6075" spans="1:9" s="4" customFormat="1" ht="20.25" customHeight="1" x14ac:dyDescent="0.55000000000000004">
      <c r="A6075" s="18">
        <v>24.739615100000002</v>
      </c>
      <c r="B6075" s="18">
        <v>34.787014800000001</v>
      </c>
      <c r="C6075" s="18">
        <v>680724.5</v>
      </c>
      <c r="D6075" s="18">
        <v>2737295.92</v>
      </c>
      <c r="E6075" s="18">
        <v>363.85</v>
      </c>
      <c r="F6075" s="18">
        <v>41638.78</v>
      </c>
      <c r="G6075" s="18">
        <v>120808</v>
      </c>
      <c r="H6075" s="18">
        <f t="shared" si="146"/>
        <v>41492.78</v>
      </c>
      <c r="I6075" s="3"/>
    </row>
    <row r="6076" spans="1:9" s="4" customFormat="1" ht="20.25" customHeight="1" x14ac:dyDescent="0.55000000000000004">
      <c r="A6076" s="18">
        <v>24.739599200000001</v>
      </c>
      <c r="B6076" s="18">
        <v>34.787010600000002</v>
      </c>
      <c r="C6076" s="18">
        <v>680724.1</v>
      </c>
      <c r="D6076" s="18">
        <v>2737294.15</v>
      </c>
      <c r="E6076" s="18">
        <v>363.89</v>
      </c>
      <c r="F6076" s="18">
        <v>41636.629999999997</v>
      </c>
      <c r="G6076" s="18">
        <v>120810</v>
      </c>
      <c r="H6076" s="18">
        <f t="shared" si="146"/>
        <v>41490.629999999997</v>
      </c>
      <c r="I6076" s="3"/>
    </row>
    <row r="6077" spans="1:9" s="4" customFormat="1" ht="20.25" customHeight="1" x14ac:dyDescent="0.55000000000000004">
      <c r="A6077" s="18">
        <v>24.739582500000001</v>
      </c>
      <c r="B6077" s="18">
        <v>34.787003300000002</v>
      </c>
      <c r="C6077" s="18">
        <v>680723.38</v>
      </c>
      <c r="D6077" s="18">
        <v>2737292.29</v>
      </c>
      <c r="E6077" s="18">
        <v>363.95</v>
      </c>
      <c r="F6077" s="18">
        <v>41639.269999999997</v>
      </c>
      <c r="G6077" s="18">
        <v>120812</v>
      </c>
      <c r="H6077" s="18">
        <f t="shared" si="146"/>
        <v>41493.269999999997</v>
      </c>
      <c r="I6077" s="3"/>
    </row>
    <row r="6078" spans="1:9" s="4" customFormat="1" ht="20.25" customHeight="1" x14ac:dyDescent="0.55000000000000004">
      <c r="A6078" s="18">
        <v>24.739566499999999</v>
      </c>
      <c r="B6078" s="18">
        <v>34.786997399999997</v>
      </c>
      <c r="C6078" s="18">
        <v>680722.81</v>
      </c>
      <c r="D6078" s="18">
        <v>2737290.51</v>
      </c>
      <c r="E6078" s="18">
        <v>363.97</v>
      </c>
      <c r="F6078" s="18">
        <v>41641.699999999997</v>
      </c>
      <c r="G6078" s="18">
        <v>120814</v>
      </c>
      <c r="H6078" s="18">
        <f t="shared" si="146"/>
        <v>41495.699999999997</v>
      </c>
      <c r="I6078" s="3"/>
    </row>
    <row r="6079" spans="1:9" s="4" customFormat="1" ht="20.25" customHeight="1" x14ac:dyDescent="0.55000000000000004">
      <c r="A6079" s="18">
        <v>24.739550999999999</v>
      </c>
      <c r="B6079" s="18">
        <v>34.786991700000002</v>
      </c>
      <c r="C6079" s="18">
        <v>680722.25</v>
      </c>
      <c r="D6079" s="18">
        <v>2737288.79</v>
      </c>
      <c r="E6079" s="18">
        <v>364.01</v>
      </c>
      <c r="F6079" s="18">
        <v>41632.49</v>
      </c>
      <c r="G6079" s="18">
        <v>120816</v>
      </c>
      <c r="H6079" s="18">
        <f t="shared" si="146"/>
        <v>41486.49</v>
      </c>
      <c r="I6079" s="3"/>
    </row>
    <row r="6080" spans="1:9" s="4" customFormat="1" ht="20.25" customHeight="1" x14ac:dyDescent="0.55000000000000004">
      <c r="A6080" s="18">
        <v>24.739535499999999</v>
      </c>
      <c r="B6080" s="18">
        <v>34.786988999999998</v>
      </c>
      <c r="C6080" s="18">
        <v>680722</v>
      </c>
      <c r="D6080" s="18">
        <v>2737287.06</v>
      </c>
      <c r="E6080" s="18">
        <v>364.04</v>
      </c>
      <c r="F6080" s="18">
        <v>41633.769999999997</v>
      </c>
      <c r="G6080" s="18">
        <v>120818</v>
      </c>
      <c r="H6080" s="18">
        <f t="shared" si="146"/>
        <v>41487.769999999997</v>
      </c>
      <c r="I6080" s="3"/>
    </row>
    <row r="6081" spans="1:9" s="4" customFormat="1" ht="20.25" customHeight="1" x14ac:dyDescent="0.55000000000000004">
      <c r="A6081" s="18">
        <v>24.739519699999999</v>
      </c>
      <c r="B6081" s="18">
        <v>34.786988299999997</v>
      </c>
      <c r="C6081" s="18">
        <v>680721.95</v>
      </c>
      <c r="D6081" s="18">
        <v>2737285.32</v>
      </c>
      <c r="E6081" s="18">
        <v>364.05</v>
      </c>
      <c r="F6081" s="18">
        <v>41637.01</v>
      </c>
      <c r="G6081" s="18">
        <v>120820</v>
      </c>
      <c r="H6081" s="18">
        <f t="shared" si="146"/>
        <v>41491.01</v>
      </c>
      <c r="I6081" s="3"/>
    </row>
    <row r="6082" spans="1:9" s="4" customFormat="1" ht="20.25" customHeight="1" x14ac:dyDescent="0.55000000000000004">
      <c r="A6082" s="18">
        <v>24.739507799999998</v>
      </c>
      <c r="B6082" s="18">
        <v>34.7869885</v>
      </c>
      <c r="C6082" s="18">
        <v>680721.99</v>
      </c>
      <c r="D6082" s="18">
        <v>2737284</v>
      </c>
      <c r="E6082" s="18">
        <v>364.1</v>
      </c>
      <c r="F6082" s="18">
        <v>41641.19</v>
      </c>
      <c r="G6082" s="18">
        <v>120822</v>
      </c>
      <c r="H6082" s="18">
        <f t="shared" si="146"/>
        <v>41495.19</v>
      </c>
      <c r="I6082" s="3"/>
    </row>
    <row r="6083" spans="1:9" s="4" customFormat="1" ht="20.25" customHeight="1" x14ac:dyDescent="0.55000000000000004">
      <c r="A6083" s="18">
        <v>24.739491099999999</v>
      </c>
      <c r="B6083" s="18">
        <v>34.786984199999999</v>
      </c>
      <c r="C6083" s="18">
        <v>680721.58</v>
      </c>
      <c r="D6083" s="18">
        <v>2737282.15</v>
      </c>
      <c r="E6083" s="18">
        <v>364.08</v>
      </c>
      <c r="F6083" s="18">
        <v>41641.019999999997</v>
      </c>
      <c r="G6083" s="18">
        <v>120824</v>
      </c>
      <c r="H6083" s="18">
        <f t="shared" si="146"/>
        <v>41495.019999999997</v>
      </c>
      <c r="I6083" s="3"/>
    </row>
    <row r="6084" spans="1:9" s="4" customFormat="1" ht="20.25" customHeight="1" x14ac:dyDescent="0.55000000000000004">
      <c r="A6084" s="18">
        <v>24.739471900000002</v>
      </c>
      <c r="B6084" s="18">
        <v>34.786968999999999</v>
      </c>
      <c r="C6084" s="18">
        <v>680720.07</v>
      </c>
      <c r="D6084" s="18">
        <v>2737279.99</v>
      </c>
      <c r="E6084" s="18">
        <v>363.9</v>
      </c>
      <c r="F6084" s="18">
        <v>41642.06</v>
      </c>
      <c r="G6084" s="18">
        <v>120826</v>
      </c>
      <c r="H6084" s="18">
        <f t="shared" si="146"/>
        <v>41496.06</v>
      </c>
      <c r="I6084" s="3"/>
    </row>
    <row r="6085" spans="1:9" s="4" customFormat="1" ht="20.25" customHeight="1" x14ac:dyDescent="0.55000000000000004">
      <c r="A6085" s="18">
        <v>24.739450399999999</v>
      </c>
      <c r="B6085" s="18">
        <v>34.786956799999999</v>
      </c>
      <c r="C6085" s="18">
        <v>680718.87</v>
      </c>
      <c r="D6085" s="18">
        <v>2737277.6</v>
      </c>
      <c r="E6085" s="18">
        <v>363.88</v>
      </c>
      <c r="F6085" s="18">
        <v>41648.35</v>
      </c>
      <c r="G6085" s="18">
        <v>120828</v>
      </c>
      <c r="H6085" s="18">
        <f t="shared" si="146"/>
        <v>41502.35</v>
      </c>
      <c r="I6085" s="3"/>
    </row>
    <row r="6086" spans="1:9" s="4" customFormat="1" ht="20.25" customHeight="1" x14ac:dyDescent="0.55000000000000004">
      <c r="A6086" s="18">
        <v>24.739428100000001</v>
      </c>
      <c r="B6086" s="18">
        <v>34.786947499999997</v>
      </c>
      <c r="C6086" s="18">
        <v>680717.96</v>
      </c>
      <c r="D6086" s="18">
        <v>2737275.12</v>
      </c>
      <c r="E6086" s="18">
        <v>363.83</v>
      </c>
      <c r="F6086" s="18">
        <v>41641.980000000003</v>
      </c>
      <c r="G6086" s="18">
        <v>120830</v>
      </c>
      <c r="H6086" s="18">
        <f t="shared" si="146"/>
        <v>41495.980000000003</v>
      </c>
      <c r="I6086" s="3"/>
    </row>
    <row r="6087" spans="1:9" s="4" customFormat="1" ht="20.25" customHeight="1" x14ac:dyDescent="0.55000000000000004">
      <c r="A6087" s="18">
        <v>24.739408099999999</v>
      </c>
      <c r="B6087" s="18">
        <v>34.786938599999999</v>
      </c>
      <c r="C6087" s="18">
        <v>680717.08</v>
      </c>
      <c r="D6087" s="18">
        <v>2737272.89</v>
      </c>
      <c r="E6087" s="18">
        <v>363.9</v>
      </c>
      <c r="F6087" s="18">
        <v>41639.94</v>
      </c>
      <c r="G6087" s="18">
        <v>120832</v>
      </c>
      <c r="H6087" s="18">
        <f t="shared" si="146"/>
        <v>41493.94</v>
      </c>
      <c r="I6087" s="3"/>
    </row>
    <row r="6088" spans="1:9" s="4" customFormat="1" ht="20.25" customHeight="1" x14ac:dyDescent="0.55000000000000004">
      <c r="A6088" s="18">
        <v>24.739390100000001</v>
      </c>
      <c r="B6088" s="18">
        <v>34.786922599999997</v>
      </c>
      <c r="C6088" s="18">
        <v>680715.49</v>
      </c>
      <c r="D6088" s="18">
        <v>2737270.88</v>
      </c>
      <c r="E6088" s="18">
        <v>364.09</v>
      </c>
      <c r="F6088" s="18">
        <v>41633.01</v>
      </c>
      <c r="G6088" s="18">
        <v>120834</v>
      </c>
      <c r="H6088" s="18">
        <f t="shared" si="146"/>
        <v>41487.01</v>
      </c>
      <c r="I6088" s="3"/>
    </row>
    <row r="6089" spans="1:9" s="4" customFormat="1" ht="20.25" customHeight="1" x14ac:dyDescent="0.55000000000000004">
      <c r="A6089" s="18">
        <v>24.7393717</v>
      </c>
      <c r="B6089" s="18">
        <v>34.786909000000001</v>
      </c>
      <c r="C6089" s="18">
        <v>680714.15</v>
      </c>
      <c r="D6089" s="18">
        <v>2737268.82</v>
      </c>
      <c r="E6089" s="18">
        <v>364.17</v>
      </c>
      <c r="F6089" s="18">
        <v>41641.67</v>
      </c>
      <c r="G6089" s="18">
        <v>120836</v>
      </c>
      <c r="H6089" s="18">
        <f t="shared" si="146"/>
        <v>41495.67</v>
      </c>
      <c r="I6089" s="3"/>
    </row>
    <row r="6090" spans="1:9" s="4" customFormat="1" ht="20.25" customHeight="1" x14ac:dyDescent="0.55000000000000004">
      <c r="A6090" s="18">
        <v>24.739353699999999</v>
      </c>
      <c r="B6090" s="18">
        <v>34.786895000000001</v>
      </c>
      <c r="C6090" s="18">
        <v>680712.76</v>
      </c>
      <c r="D6090" s="18">
        <v>2737266.81</v>
      </c>
      <c r="E6090" s="18">
        <v>364.42</v>
      </c>
      <c r="F6090" s="18">
        <v>41632.29</v>
      </c>
      <c r="G6090" s="18">
        <v>120838</v>
      </c>
      <c r="H6090" s="18">
        <f t="shared" si="146"/>
        <v>41486.29</v>
      </c>
      <c r="I6090" s="3"/>
    </row>
    <row r="6091" spans="1:9" s="4" customFormat="1" ht="20.25" customHeight="1" x14ac:dyDescent="0.55000000000000004">
      <c r="A6091" s="18">
        <v>24.7393386</v>
      </c>
      <c r="B6091" s="18">
        <v>34.786889899999998</v>
      </c>
      <c r="C6091" s="18">
        <v>680712.27</v>
      </c>
      <c r="D6091" s="18">
        <v>2737265.13</v>
      </c>
      <c r="E6091" s="18">
        <v>364.57</v>
      </c>
      <c r="F6091" s="18">
        <v>41635.64</v>
      </c>
      <c r="G6091" s="18">
        <v>120840</v>
      </c>
      <c r="H6091" s="18">
        <f t="shared" si="146"/>
        <v>41489.64</v>
      </c>
      <c r="I6091" s="3"/>
    </row>
    <row r="6092" spans="1:9" s="4" customFormat="1" ht="20.25" customHeight="1" x14ac:dyDescent="0.55000000000000004">
      <c r="A6092" s="18">
        <v>24.739319299999998</v>
      </c>
      <c r="B6092" s="18">
        <v>34.786880099999998</v>
      </c>
      <c r="C6092" s="18">
        <v>680711.3</v>
      </c>
      <c r="D6092" s="18">
        <v>2737262.98</v>
      </c>
      <c r="E6092" s="18">
        <v>364.68</v>
      </c>
      <c r="F6092" s="18">
        <v>41643.67</v>
      </c>
      <c r="G6092" s="18">
        <v>120842</v>
      </c>
      <c r="H6092" s="18">
        <f t="shared" si="146"/>
        <v>41497.67</v>
      </c>
      <c r="I6092" s="3"/>
    </row>
    <row r="6093" spans="1:9" s="4" customFormat="1" ht="20.25" customHeight="1" x14ac:dyDescent="0.55000000000000004">
      <c r="A6093" s="18">
        <v>24.739299899999999</v>
      </c>
      <c r="B6093" s="18">
        <v>34.786867899999997</v>
      </c>
      <c r="C6093" s="18">
        <v>680710.09</v>
      </c>
      <c r="D6093" s="18">
        <v>2737260.81</v>
      </c>
      <c r="E6093" s="18">
        <v>364.86</v>
      </c>
      <c r="F6093" s="18">
        <v>41641.86</v>
      </c>
      <c r="G6093" s="18">
        <v>120844</v>
      </c>
      <c r="H6093" s="18">
        <f t="shared" si="146"/>
        <v>41495.86</v>
      </c>
      <c r="I6093" s="3"/>
    </row>
    <row r="6094" spans="1:9" s="4" customFormat="1" ht="20.25" customHeight="1" x14ac:dyDescent="0.55000000000000004">
      <c r="A6094" s="18">
        <v>24.739279499999999</v>
      </c>
      <c r="B6094" s="18">
        <v>34.786854200000001</v>
      </c>
      <c r="C6094" s="18">
        <v>680708.74</v>
      </c>
      <c r="D6094" s="18">
        <v>2737258.53</v>
      </c>
      <c r="E6094" s="18">
        <v>364.98</v>
      </c>
      <c r="F6094" s="18">
        <v>41641.99</v>
      </c>
      <c r="G6094" s="18">
        <v>120846</v>
      </c>
      <c r="H6094" s="18">
        <f t="shared" si="146"/>
        <v>41495.99</v>
      </c>
      <c r="I6094" s="3"/>
    </row>
    <row r="6095" spans="1:9" s="4" customFormat="1" ht="20.25" customHeight="1" x14ac:dyDescent="0.55000000000000004">
      <c r="A6095" s="18">
        <v>24.7392602</v>
      </c>
      <c r="B6095" s="18">
        <v>34.786839499999999</v>
      </c>
      <c r="C6095" s="18">
        <v>680707.27</v>
      </c>
      <c r="D6095" s="18">
        <v>2737256.38</v>
      </c>
      <c r="E6095" s="18">
        <v>365.14</v>
      </c>
      <c r="F6095" s="18">
        <v>41634.86</v>
      </c>
      <c r="G6095" s="18">
        <v>120848</v>
      </c>
      <c r="H6095" s="18">
        <f t="shared" si="146"/>
        <v>41488.86</v>
      </c>
      <c r="I6095" s="3"/>
    </row>
    <row r="6096" spans="1:9" s="4" customFormat="1" ht="20.25" customHeight="1" x14ac:dyDescent="0.55000000000000004">
      <c r="A6096" s="18">
        <v>24.739243500000001</v>
      </c>
      <c r="B6096" s="18">
        <v>34.786821199999999</v>
      </c>
      <c r="C6096" s="18">
        <v>680705.45</v>
      </c>
      <c r="D6096" s="18">
        <v>2737254.51</v>
      </c>
      <c r="E6096" s="18">
        <v>365.28</v>
      </c>
      <c r="F6096" s="18">
        <v>41633.760000000002</v>
      </c>
      <c r="G6096" s="18">
        <v>120850</v>
      </c>
      <c r="H6096" s="18">
        <f t="shared" si="146"/>
        <v>41487.760000000002</v>
      </c>
      <c r="I6096" s="3"/>
    </row>
    <row r="6097" spans="1:9" s="4" customFormat="1" ht="20.25" customHeight="1" x14ac:dyDescent="0.55000000000000004">
      <c r="A6097" s="18">
        <v>24.739229900000002</v>
      </c>
      <c r="B6097" s="18">
        <v>34.786802899999998</v>
      </c>
      <c r="C6097" s="18">
        <v>680703.62</v>
      </c>
      <c r="D6097" s="18">
        <v>2737252.97</v>
      </c>
      <c r="E6097" s="18">
        <v>365.25</v>
      </c>
      <c r="F6097" s="18">
        <v>41634.699999999997</v>
      </c>
      <c r="G6097" s="18">
        <v>120852</v>
      </c>
      <c r="H6097" s="18">
        <f t="shared" si="146"/>
        <v>41488.699999999997</v>
      </c>
      <c r="I6097" s="3"/>
    </row>
    <row r="6098" spans="1:9" s="4" customFormat="1" ht="20.25" customHeight="1" x14ac:dyDescent="0.55000000000000004">
      <c r="A6098" s="18">
        <v>24.739211399999999</v>
      </c>
      <c r="B6098" s="18">
        <v>34.786790600000003</v>
      </c>
      <c r="C6098" s="18">
        <v>680702.4</v>
      </c>
      <c r="D6098" s="18">
        <v>2737250.91</v>
      </c>
      <c r="E6098" s="18">
        <v>365.31</v>
      </c>
      <c r="F6098" s="18">
        <v>41631.589999999997</v>
      </c>
      <c r="G6098" s="18">
        <v>120854</v>
      </c>
      <c r="H6098" s="18">
        <f t="shared" si="146"/>
        <v>41485.589999999997</v>
      </c>
      <c r="I6098" s="3"/>
    </row>
    <row r="6099" spans="1:9" s="4" customFormat="1" ht="20.25" customHeight="1" x14ac:dyDescent="0.55000000000000004">
      <c r="A6099" s="18">
        <v>24.739190000000001</v>
      </c>
      <c r="B6099" s="18">
        <v>34.786779199999998</v>
      </c>
      <c r="C6099" s="18">
        <v>680701.28</v>
      </c>
      <c r="D6099" s="18">
        <v>2737248.52</v>
      </c>
      <c r="E6099" s="18">
        <v>365.3</v>
      </c>
      <c r="F6099" s="18">
        <v>41642.21</v>
      </c>
      <c r="G6099" s="18">
        <v>120856</v>
      </c>
      <c r="H6099" s="18">
        <f t="shared" si="146"/>
        <v>41496.21</v>
      </c>
      <c r="I6099" s="3"/>
    </row>
    <row r="6100" spans="1:9" s="4" customFormat="1" ht="20.25" customHeight="1" x14ac:dyDescent="0.55000000000000004">
      <c r="A6100" s="18">
        <v>24.739168200000002</v>
      </c>
      <c r="B6100" s="18">
        <v>34.786768199999997</v>
      </c>
      <c r="C6100" s="18">
        <v>680700.2</v>
      </c>
      <c r="D6100" s="18">
        <v>2737246.09</v>
      </c>
      <c r="E6100" s="18">
        <v>365.32</v>
      </c>
      <c r="F6100" s="18">
        <v>41640.39</v>
      </c>
      <c r="G6100" s="18">
        <v>120858</v>
      </c>
      <c r="H6100" s="18">
        <f t="shared" si="146"/>
        <v>41494.39</v>
      </c>
      <c r="I6100" s="3"/>
    </row>
    <row r="6101" spans="1:9" s="4" customFormat="1" ht="20.25" customHeight="1" x14ac:dyDescent="0.55000000000000004">
      <c r="A6101" s="18">
        <v>24.739147899999999</v>
      </c>
      <c r="B6101" s="18">
        <v>34.786754999999999</v>
      </c>
      <c r="C6101" s="18">
        <v>680698.89</v>
      </c>
      <c r="D6101" s="18">
        <v>2737243.83</v>
      </c>
      <c r="E6101" s="18">
        <v>365.39</v>
      </c>
      <c r="F6101" s="18">
        <v>41638.71</v>
      </c>
      <c r="G6101" s="18">
        <v>120900</v>
      </c>
      <c r="H6101" s="18">
        <f t="shared" si="146"/>
        <v>41492.71</v>
      </c>
      <c r="I6101" s="3"/>
    </row>
    <row r="6102" spans="1:9" s="4" customFormat="1" ht="20.25" customHeight="1" x14ac:dyDescent="0.55000000000000004">
      <c r="A6102" s="18">
        <v>24.739139900000001</v>
      </c>
      <c r="B6102" s="18">
        <v>34.786741800000001</v>
      </c>
      <c r="C6102" s="18">
        <v>680697.57</v>
      </c>
      <c r="D6102" s="18">
        <v>2737242.93</v>
      </c>
      <c r="E6102" s="18">
        <v>365.53</v>
      </c>
      <c r="F6102" s="18">
        <v>41659.550000000003</v>
      </c>
      <c r="G6102" s="18">
        <v>120902</v>
      </c>
      <c r="H6102" s="18">
        <f t="shared" si="146"/>
        <v>41513.550000000003</v>
      </c>
      <c r="I6102" s="3"/>
    </row>
    <row r="6103" spans="1:9" s="4" customFormat="1" ht="20.25" customHeight="1" x14ac:dyDescent="0.55000000000000004">
      <c r="A6103" s="18">
        <v>24.7391367</v>
      </c>
      <c r="B6103" s="18">
        <v>34.786737299999999</v>
      </c>
      <c r="C6103" s="18">
        <v>680697.12</v>
      </c>
      <c r="D6103" s="18">
        <v>2737242.56</v>
      </c>
      <c r="E6103" s="18">
        <v>365.59</v>
      </c>
      <c r="F6103" s="18">
        <v>41652.31</v>
      </c>
      <c r="G6103" s="18">
        <v>120904</v>
      </c>
      <c r="H6103" s="18">
        <f t="shared" si="146"/>
        <v>41506.31</v>
      </c>
      <c r="I6103" s="3"/>
    </row>
    <row r="6104" spans="1:9" s="4" customFormat="1" ht="20.25" customHeight="1" x14ac:dyDescent="0.55000000000000004">
      <c r="A6104" s="18">
        <v>24.739120400000001</v>
      </c>
      <c r="B6104" s="18">
        <v>34.786727900000002</v>
      </c>
      <c r="C6104" s="18">
        <v>680696.19</v>
      </c>
      <c r="D6104" s="18">
        <v>2737240.75</v>
      </c>
      <c r="E6104" s="18">
        <v>365.64</v>
      </c>
      <c r="F6104" s="18">
        <v>41653.9</v>
      </c>
      <c r="G6104" s="18">
        <v>120906</v>
      </c>
      <c r="H6104" s="18">
        <f t="shared" si="146"/>
        <v>41507.9</v>
      </c>
      <c r="I6104" s="3"/>
    </row>
    <row r="6105" spans="1:9" s="4" customFormat="1" ht="20.25" customHeight="1" x14ac:dyDescent="0.55000000000000004">
      <c r="A6105" s="18">
        <v>24.7391039</v>
      </c>
      <c r="B6105" s="18">
        <v>34.786713499999998</v>
      </c>
      <c r="C6105" s="18">
        <v>680694.76</v>
      </c>
      <c r="D6105" s="18">
        <v>2737238.89</v>
      </c>
      <c r="E6105" s="18">
        <v>365.85</v>
      </c>
      <c r="F6105" s="18">
        <v>41658.85</v>
      </c>
      <c r="G6105" s="18">
        <v>120908</v>
      </c>
      <c r="H6105" s="18">
        <f t="shared" si="146"/>
        <v>41512.85</v>
      </c>
      <c r="I6105" s="3"/>
    </row>
    <row r="6106" spans="1:9" s="4" customFormat="1" ht="20.25" customHeight="1" x14ac:dyDescent="0.55000000000000004">
      <c r="A6106" s="18">
        <v>24.739091599999998</v>
      </c>
      <c r="B6106" s="18">
        <v>34.786693300000003</v>
      </c>
      <c r="C6106" s="18">
        <v>680692.73</v>
      </c>
      <c r="D6106" s="18">
        <v>2737237.51</v>
      </c>
      <c r="E6106" s="18">
        <v>365.79</v>
      </c>
      <c r="F6106" s="18">
        <v>41649.97</v>
      </c>
      <c r="G6106" s="18">
        <v>120910</v>
      </c>
      <c r="H6106" s="18">
        <f t="shared" si="146"/>
        <v>41503.97</v>
      </c>
      <c r="I6106" s="3"/>
    </row>
    <row r="6107" spans="1:9" s="4" customFormat="1" ht="20.25" customHeight="1" x14ac:dyDescent="0.55000000000000004">
      <c r="A6107" s="18">
        <v>24.739075799999998</v>
      </c>
      <c r="B6107" s="18">
        <v>34.786675600000002</v>
      </c>
      <c r="C6107" s="18">
        <v>680690.97</v>
      </c>
      <c r="D6107" s="18">
        <v>2737235.74</v>
      </c>
      <c r="E6107" s="18">
        <v>365.95</v>
      </c>
      <c r="F6107" s="18">
        <v>41647.65</v>
      </c>
      <c r="G6107" s="18">
        <v>120912</v>
      </c>
      <c r="H6107" s="18">
        <f t="shared" si="146"/>
        <v>41501.65</v>
      </c>
      <c r="I6107" s="3"/>
    </row>
    <row r="6108" spans="1:9" s="4" customFormat="1" ht="20.25" customHeight="1" x14ac:dyDescent="0.55000000000000004">
      <c r="A6108" s="18">
        <v>24.7390553</v>
      </c>
      <c r="B6108" s="18">
        <v>34.786662499999998</v>
      </c>
      <c r="C6108" s="18">
        <v>680689.67</v>
      </c>
      <c r="D6108" s="18">
        <v>2737233.45</v>
      </c>
      <c r="E6108" s="18">
        <v>365.99</v>
      </c>
      <c r="F6108" s="18">
        <v>41647.97</v>
      </c>
      <c r="G6108" s="18">
        <v>120914</v>
      </c>
      <c r="H6108" s="18">
        <f t="shared" si="146"/>
        <v>41501.97</v>
      </c>
      <c r="I6108" s="3"/>
    </row>
    <row r="6109" spans="1:9" s="4" customFormat="1" ht="20.25" customHeight="1" x14ac:dyDescent="0.55000000000000004">
      <c r="A6109" s="18">
        <v>24.7390349</v>
      </c>
      <c r="B6109" s="18">
        <v>34.786651499999998</v>
      </c>
      <c r="C6109" s="18">
        <v>680688.59</v>
      </c>
      <c r="D6109" s="18">
        <v>2737231.17</v>
      </c>
      <c r="E6109" s="18">
        <v>365.99</v>
      </c>
      <c r="F6109" s="18">
        <v>41648.589999999997</v>
      </c>
      <c r="G6109" s="18">
        <v>120916</v>
      </c>
      <c r="H6109" s="18">
        <f t="shared" si="146"/>
        <v>41502.589999999997</v>
      </c>
      <c r="I6109" s="3"/>
    </row>
    <row r="6110" spans="1:9" s="4" customFormat="1" ht="20.25" customHeight="1" x14ac:dyDescent="0.55000000000000004">
      <c r="A6110" s="18">
        <v>24.739014600000001</v>
      </c>
      <c r="B6110" s="18">
        <v>34.786638199999999</v>
      </c>
      <c r="C6110" s="18">
        <v>680687.27</v>
      </c>
      <c r="D6110" s="18">
        <v>2737228.91</v>
      </c>
      <c r="E6110" s="18">
        <v>366.12</v>
      </c>
      <c r="F6110" s="18">
        <v>41663.9</v>
      </c>
      <c r="G6110" s="18">
        <v>120918</v>
      </c>
      <c r="H6110" s="18">
        <f t="shared" si="146"/>
        <v>41517.9</v>
      </c>
      <c r="I6110" s="3"/>
    </row>
    <row r="6111" spans="1:9" s="4" customFormat="1" ht="20.25" customHeight="1" x14ac:dyDescent="0.55000000000000004">
      <c r="A6111" s="18">
        <v>24.738994900000002</v>
      </c>
      <c r="B6111" s="18">
        <v>34.786623800000001</v>
      </c>
      <c r="C6111" s="18">
        <v>680685.85</v>
      </c>
      <c r="D6111" s="18">
        <v>2737226.71</v>
      </c>
      <c r="E6111" s="18">
        <v>366.15</v>
      </c>
      <c r="F6111" s="18">
        <v>41664.75</v>
      </c>
      <c r="G6111" s="18">
        <v>120920</v>
      </c>
      <c r="H6111" s="18">
        <f t="shared" si="146"/>
        <v>41518.75</v>
      </c>
      <c r="I6111" s="3"/>
    </row>
    <row r="6112" spans="1:9" s="4" customFormat="1" ht="20.25" customHeight="1" x14ac:dyDescent="0.55000000000000004">
      <c r="A6112" s="18">
        <v>24.738978500000002</v>
      </c>
      <c r="B6112" s="18">
        <v>34.7866043</v>
      </c>
      <c r="C6112" s="18">
        <v>680683.89</v>
      </c>
      <c r="D6112" s="18">
        <v>2737224.87</v>
      </c>
      <c r="E6112" s="18">
        <v>366.15</v>
      </c>
      <c r="F6112" s="18">
        <v>41674.21</v>
      </c>
      <c r="G6112" s="18">
        <v>120922</v>
      </c>
      <c r="H6112" s="18">
        <f t="shared" si="146"/>
        <v>41528.21</v>
      </c>
      <c r="I6112" s="3"/>
    </row>
    <row r="6113" spans="1:9" s="4" customFormat="1" ht="20.25" customHeight="1" x14ac:dyDescent="0.55000000000000004">
      <c r="A6113" s="18">
        <v>24.738959000000001</v>
      </c>
      <c r="B6113" s="18">
        <v>34.786587599999997</v>
      </c>
      <c r="C6113" s="18">
        <v>680682.23</v>
      </c>
      <c r="D6113" s="18">
        <v>2737222.68</v>
      </c>
      <c r="E6113" s="18">
        <v>366.23</v>
      </c>
      <c r="F6113" s="18">
        <v>41658.92</v>
      </c>
      <c r="G6113" s="18">
        <v>120924</v>
      </c>
      <c r="H6113" s="18">
        <f t="shared" si="146"/>
        <v>41512.92</v>
      </c>
      <c r="I6113" s="3"/>
    </row>
    <row r="6114" spans="1:9" s="4" customFormat="1" ht="20.25" customHeight="1" x14ac:dyDescent="0.55000000000000004">
      <c r="A6114" s="18">
        <v>24.738939800000001</v>
      </c>
      <c r="B6114" s="18">
        <v>34.786572200000002</v>
      </c>
      <c r="C6114" s="18">
        <v>680680.7</v>
      </c>
      <c r="D6114" s="18">
        <v>2737220.54</v>
      </c>
      <c r="E6114" s="18">
        <v>366.28</v>
      </c>
      <c r="F6114" s="18">
        <v>41653.5</v>
      </c>
      <c r="G6114" s="18">
        <v>120926</v>
      </c>
      <c r="H6114" s="18">
        <f t="shared" si="146"/>
        <v>41507.5</v>
      </c>
      <c r="I6114" s="3"/>
    </row>
    <row r="6115" spans="1:9" s="4" customFormat="1" ht="20.25" customHeight="1" x14ac:dyDescent="0.55000000000000004">
      <c r="A6115" s="18">
        <v>24.7389212</v>
      </c>
      <c r="B6115" s="18">
        <v>34.786557999999999</v>
      </c>
      <c r="C6115" s="18">
        <v>680679.3</v>
      </c>
      <c r="D6115" s="18">
        <v>2737218.46</v>
      </c>
      <c r="E6115" s="18">
        <v>366.25</v>
      </c>
      <c r="F6115" s="18">
        <v>41651.71</v>
      </c>
      <c r="G6115" s="18">
        <v>120928</v>
      </c>
      <c r="H6115" s="18">
        <f t="shared" si="146"/>
        <v>41505.71</v>
      </c>
      <c r="I6115" s="3"/>
    </row>
    <row r="6116" spans="1:9" s="4" customFormat="1" ht="20.25" customHeight="1" x14ac:dyDescent="0.55000000000000004">
      <c r="A6116" s="18">
        <v>24.7388996</v>
      </c>
      <c r="B6116" s="18">
        <v>34.786546800000004</v>
      </c>
      <c r="C6116" s="18">
        <v>680678.19</v>
      </c>
      <c r="D6116" s="18">
        <v>2737216.06</v>
      </c>
      <c r="E6116" s="18">
        <v>366.36</v>
      </c>
      <c r="F6116" s="18">
        <v>41663.21</v>
      </c>
      <c r="G6116" s="18">
        <v>120930</v>
      </c>
      <c r="H6116" s="18">
        <f t="shared" si="146"/>
        <v>41517.21</v>
      </c>
      <c r="I6116" s="3"/>
    </row>
    <row r="6117" spans="1:9" s="4" customFormat="1" ht="20.25" customHeight="1" x14ac:dyDescent="0.55000000000000004">
      <c r="A6117" s="18">
        <v>24.738882</v>
      </c>
      <c r="B6117" s="18">
        <v>34.786528199999999</v>
      </c>
      <c r="C6117" s="18">
        <v>680676.33</v>
      </c>
      <c r="D6117" s="18">
        <v>2737214.08</v>
      </c>
      <c r="E6117" s="18">
        <v>366.52</v>
      </c>
      <c r="F6117" s="18">
        <v>41669.879999999997</v>
      </c>
      <c r="G6117" s="18">
        <v>120932</v>
      </c>
      <c r="H6117" s="18">
        <f t="shared" ref="H6117:H6180" si="147">SUM(F6117-146)</f>
        <v>41523.879999999997</v>
      </c>
      <c r="I6117" s="3"/>
    </row>
    <row r="6118" spans="1:9" s="4" customFormat="1" ht="20.25" customHeight="1" x14ac:dyDescent="0.55000000000000004">
      <c r="A6118" s="18">
        <v>24.7388628</v>
      </c>
      <c r="B6118" s="18">
        <v>34.786515100000003</v>
      </c>
      <c r="C6118" s="18">
        <v>680675.03</v>
      </c>
      <c r="D6118" s="18">
        <v>2737211.93</v>
      </c>
      <c r="E6118" s="18">
        <v>366.6</v>
      </c>
      <c r="F6118" s="18">
        <v>41659.35</v>
      </c>
      <c r="G6118" s="18">
        <v>120934</v>
      </c>
      <c r="H6118" s="18">
        <f t="shared" si="147"/>
        <v>41513.35</v>
      </c>
      <c r="I6118" s="3"/>
    </row>
    <row r="6119" spans="1:9" s="4" customFormat="1" ht="20.25" customHeight="1" x14ac:dyDescent="0.55000000000000004">
      <c r="A6119" s="18">
        <v>24.738843899999999</v>
      </c>
      <c r="B6119" s="18">
        <v>34.786501399999999</v>
      </c>
      <c r="C6119" s="18">
        <v>680673.68</v>
      </c>
      <c r="D6119" s="18">
        <v>2737209.82</v>
      </c>
      <c r="E6119" s="18">
        <v>366.7</v>
      </c>
      <c r="F6119" s="18">
        <v>41657.279999999999</v>
      </c>
      <c r="G6119" s="18">
        <v>120936</v>
      </c>
      <c r="H6119" s="18">
        <f t="shared" si="147"/>
        <v>41511.279999999999</v>
      </c>
      <c r="I6119" s="3"/>
    </row>
    <row r="6120" spans="1:9" s="4" customFormat="1" ht="20.25" customHeight="1" x14ac:dyDescent="0.55000000000000004">
      <c r="A6120" s="18">
        <v>24.738824099999999</v>
      </c>
      <c r="B6120" s="18">
        <v>34.786487399999999</v>
      </c>
      <c r="C6120" s="18">
        <v>680672.29</v>
      </c>
      <c r="D6120" s="18">
        <v>2737207.61</v>
      </c>
      <c r="E6120" s="18">
        <v>366.66</v>
      </c>
      <c r="F6120" s="18">
        <v>41659.769999999997</v>
      </c>
      <c r="G6120" s="18">
        <v>120938</v>
      </c>
      <c r="H6120" s="18">
        <f t="shared" si="147"/>
        <v>41513.769999999997</v>
      </c>
      <c r="I6120" s="3"/>
    </row>
    <row r="6121" spans="1:9" s="4" customFormat="1" ht="20.25" customHeight="1" x14ac:dyDescent="0.55000000000000004">
      <c r="A6121" s="18">
        <v>24.738803699999998</v>
      </c>
      <c r="B6121" s="18">
        <v>34.786474900000002</v>
      </c>
      <c r="C6121" s="18">
        <v>680671.06</v>
      </c>
      <c r="D6121" s="18">
        <v>2737205.34</v>
      </c>
      <c r="E6121" s="18">
        <v>366.78</v>
      </c>
      <c r="F6121" s="18">
        <v>41665.39</v>
      </c>
      <c r="G6121" s="18">
        <v>120940</v>
      </c>
      <c r="H6121" s="18">
        <f t="shared" si="147"/>
        <v>41519.39</v>
      </c>
      <c r="I6121" s="3"/>
    </row>
    <row r="6122" spans="1:9" s="4" customFormat="1" ht="20.25" customHeight="1" x14ac:dyDescent="0.55000000000000004">
      <c r="A6122" s="18">
        <v>24.738784500000001</v>
      </c>
      <c r="B6122" s="18">
        <v>34.786464600000002</v>
      </c>
      <c r="C6122" s="18">
        <v>680670.05</v>
      </c>
      <c r="D6122" s="18">
        <v>2737203.2000000002</v>
      </c>
      <c r="E6122" s="18">
        <v>366.74</v>
      </c>
      <c r="F6122" s="18">
        <v>41669.769999999997</v>
      </c>
      <c r="G6122" s="18">
        <v>120942</v>
      </c>
      <c r="H6122" s="18">
        <f t="shared" si="147"/>
        <v>41523.769999999997</v>
      </c>
      <c r="I6122" s="3"/>
    </row>
    <row r="6123" spans="1:9" s="4" customFormat="1" ht="20.25" customHeight="1" x14ac:dyDescent="0.55000000000000004">
      <c r="A6123" s="18">
        <v>24.738763299999999</v>
      </c>
      <c r="B6123" s="18">
        <v>34.7864547</v>
      </c>
      <c r="C6123" s="18">
        <v>680669.07</v>
      </c>
      <c r="D6123" s="18">
        <v>2737200.83</v>
      </c>
      <c r="E6123" s="18">
        <v>366.84</v>
      </c>
      <c r="F6123" s="18">
        <v>41659.699999999997</v>
      </c>
      <c r="G6123" s="18">
        <v>120944</v>
      </c>
      <c r="H6123" s="18">
        <f t="shared" si="147"/>
        <v>41513.699999999997</v>
      </c>
      <c r="I6123" s="3"/>
    </row>
    <row r="6124" spans="1:9" s="4" customFormat="1" ht="20.25" customHeight="1" x14ac:dyDescent="0.55000000000000004">
      <c r="A6124" s="18">
        <v>24.7387406</v>
      </c>
      <c r="B6124" s="18">
        <v>34.786449400000002</v>
      </c>
      <c r="C6124" s="18">
        <v>680668.57</v>
      </c>
      <c r="D6124" s="18">
        <v>2737198.31</v>
      </c>
      <c r="E6124" s="18">
        <v>366.87</v>
      </c>
      <c r="F6124" s="18">
        <v>41659.120000000003</v>
      </c>
      <c r="G6124" s="18">
        <v>120946</v>
      </c>
      <c r="H6124" s="18">
        <f t="shared" si="147"/>
        <v>41513.120000000003</v>
      </c>
      <c r="I6124" s="3"/>
    </row>
    <row r="6125" spans="1:9" s="4" customFormat="1" ht="20.25" customHeight="1" x14ac:dyDescent="0.55000000000000004">
      <c r="A6125" s="18">
        <v>24.7387187</v>
      </c>
      <c r="B6125" s="18">
        <v>34.786440300000002</v>
      </c>
      <c r="C6125" s="18">
        <v>680667.68</v>
      </c>
      <c r="D6125" s="18">
        <v>2737195.87</v>
      </c>
      <c r="E6125" s="18">
        <v>366.8</v>
      </c>
      <c r="F6125" s="18">
        <v>41662.699999999997</v>
      </c>
      <c r="G6125" s="18">
        <v>120948</v>
      </c>
      <c r="H6125" s="18">
        <f t="shared" si="147"/>
        <v>41516.699999999997</v>
      </c>
      <c r="I6125" s="3"/>
    </row>
    <row r="6126" spans="1:9" s="4" customFormat="1" ht="20.25" customHeight="1" x14ac:dyDescent="0.55000000000000004">
      <c r="A6126" s="18">
        <v>24.7386971</v>
      </c>
      <c r="B6126" s="18">
        <v>34.786429099999999</v>
      </c>
      <c r="C6126" s="18">
        <v>680666.57</v>
      </c>
      <c r="D6126" s="18">
        <v>2737193.47</v>
      </c>
      <c r="E6126" s="18">
        <v>366.86</v>
      </c>
      <c r="F6126" s="18">
        <v>41653.339999999997</v>
      </c>
      <c r="G6126" s="18">
        <v>120950</v>
      </c>
      <c r="H6126" s="18">
        <f t="shared" si="147"/>
        <v>41507.339999999997</v>
      </c>
      <c r="I6126" s="3"/>
    </row>
    <row r="6127" spans="1:9" s="4" customFormat="1" ht="20.25" customHeight="1" x14ac:dyDescent="0.55000000000000004">
      <c r="A6127" s="18">
        <v>24.738675700000002</v>
      </c>
      <c r="B6127" s="18">
        <v>34.786420300000003</v>
      </c>
      <c r="C6127" s="18">
        <v>680665.72</v>
      </c>
      <c r="D6127" s="18">
        <v>2737191.08</v>
      </c>
      <c r="E6127" s="18">
        <v>366.86</v>
      </c>
      <c r="F6127" s="18">
        <v>41656.080000000002</v>
      </c>
      <c r="G6127" s="18">
        <v>120952</v>
      </c>
      <c r="H6127" s="18">
        <f t="shared" si="147"/>
        <v>41510.080000000002</v>
      </c>
      <c r="I6127" s="3"/>
    </row>
    <row r="6128" spans="1:9" s="4" customFormat="1" ht="20.25" customHeight="1" x14ac:dyDescent="0.55000000000000004">
      <c r="A6128" s="18">
        <v>24.7386555</v>
      </c>
      <c r="B6128" s="18">
        <v>34.786409399999997</v>
      </c>
      <c r="C6128" s="18">
        <v>680664.65</v>
      </c>
      <c r="D6128" s="18">
        <v>2737188.83</v>
      </c>
      <c r="E6128" s="18">
        <v>366.79</v>
      </c>
      <c r="F6128" s="18">
        <v>41653.5</v>
      </c>
      <c r="G6128" s="18">
        <v>120954</v>
      </c>
      <c r="H6128" s="18">
        <f t="shared" si="147"/>
        <v>41507.5</v>
      </c>
      <c r="I6128" s="3"/>
    </row>
    <row r="6129" spans="1:9" s="4" customFormat="1" ht="20.25" customHeight="1" x14ac:dyDescent="0.55000000000000004">
      <c r="A6129" s="18">
        <v>24.738637600000001</v>
      </c>
      <c r="B6129" s="18">
        <v>34.786392999999997</v>
      </c>
      <c r="C6129" s="18">
        <v>680663.02</v>
      </c>
      <c r="D6129" s="18">
        <v>2737186.83</v>
      </c>
      <c r="E6129" s="18">
        <v>366.81</v>
      </c>
      <c r="F6129" s="18">
        <v>41645.51</v>
      </c>
      <c r="G6129" s="18">
        <v>120956</v>
      </c>
      <c r="H6129" s="18">
        <f t="shared" si="147"/>
        <v>41499.51</v>
      </c>
      <c r="I6129" s="3"/>
    </row>
    <row r="6130" spans="1:9" s="4" customFormat="1" ht="20.25" customHeight="1" x14ac:dyDescent="0.55000000000000004">
      <c r="A6130" s="18">
        <v>24.738622400000001</v>
      </c>
      <c r="B6130" s="18">
        <v>34.786373400000002</v>
      </c>
      <c r="C6130" s="18">
        <v>680661.05</v>
      </c>
      <c r="D6130" s="18">
        <v>2737185.12</v>
      </c>
      <c r="E6130" s="18">
        <v>366.75</v>
      </c>
      <c r="F6130" s="18">
        <v>41648.93</v>
      </c>
      <c r="G6130" s="18">
        <v>120958</v>
      </c>
      <c r="H6130" s="18">
        <f t="shared" si="147"/>
        <v>41502.93</v>
      </c>
      <c r="I6130" s="3"/>
    </row>
    <row r="6131" spans="1:9" s="4" customFormat="1" ht="20.25" customHeight="1" x14ac:dyDescent="0.55000000000000004">
      <c r="A6131" s="18">
        <v>24.738603900000001</v>
      </c>
      <c r="B6131" s="18">
        <v>34.786357000000002</v>
      </c>
      <c r="C6131" s="18">
        <v>680659.42</v>
      </c>
      <c r="D6131" s="18">
        <v>2737183.05</v>
      </c>
      <c r="E6131" s="18">
        <v>366.77</v>
      </c>
      <c r="F6131" s="18">
        <v>41652.339999999997</v>
      </c>
      <c r="G6131" s="18">
        <v>121000</v>
      </c>
      <c r="H6131" s="18">
        <f t="shared" si="147"/>
        <v>41506.339999999997</v>
      </c>
      <c r="I6131" s="3"/>
    </row>
    <row r="6132" spans="1:9" s="4" customFormat="1" ht="20.25" customHeight="1" x14ac:dyDescent="0.55000000000000004">
      <c r="A6132" s="18">
        <v>24.738585</v>
      </c>
      <c r="B6132" s="18">
        <v>34.786345300000001</v>
      </c>
      <c r="C6132" s="18">
        <v>680658.26</v>
      </c>
      <c r="D6132" s="18">
        <v>2737180.94</v>
      </c>
      <c r="E6132" s="18">
        <v>366.88</v>
      </c>
      <c r="F6132" s="18">
        <v>41646.879999999997</v>
      </c>
      <c r="G6132" s="18">
        <v>121002</v>
      </c>
      <c r="H6132" s="18">
        <f t="shared" si="147"/>
        <v>41500.879999999997</v>
      </c>
      <c r="I6132" s="3"/>
    </row>
    <row r="6133" spans="1:9" s="4" customFormat="1" ht="20.25" customHeight="1" x14ac:dyDescent="0.55000000000000004">
      <c r="A6133" s="18">
        <v>24.738568699999998</v>
      </c>
      <c r="B6133" s="18">
        <v>34.786330200000002</v>
      </c>
      <c r="C6133" s="18">
        <v>680656.76</v>
      </c>
      <c r="D6133" s="18">
        <v>2737179.12</v>
      </c>
      <c r="E6133" s="18">
        <v>367.2</v>
      </c>
      <c r="F6133" s="18">
        <v>41644.559999999998</v>
      </c>
      <c r="G6133" s="18">
        <v>121004</v>
      </c>
      <c r="H6133" s="18">
        <f t="shared" si="147"/>
        <v>41498.559999999998</v>
      </c>
      <c r="I6133" s="3"/>
    </row>
    <row r="6134" spans="1:9" s="4" customFormat="1" ht="20.25" customHeight="1" x14ac:dyDescent="0.55000000000000004">
      <c r="A6134" s="18">
        <v>24.738551300000001</v>
      </c>
      <c r="B6134" s="18">
        <v>34.786318000000001</v>
      </c>
      <c r="C6134" s="18">
        <v>680655.55</v>
      </c>
      <c r="D6134" s="18">
        <v>2737177.17</v>
      </c>
      <c r="E6134" s="18">
        <v>367.19</v>
      </c>
      <c r="F6134" s="18">
        <v>41646.800000000003</v>
      </c>
      <c r="G6134" s="18">
        <v>121006</v>
      </c>
      <c r="H6134" s="18">
        <f t="shared" si="147"/>
        <v>41500.800000000003</v>
      </c>
      <c r="I6134" s="3"/>
    </row>
    <row r="6135" spans="1:9" s="4" customFormat="1" ht="20.25" customHeight="1" x14ac:dyDescent="0.55000000000000004">
      <c r="A6135" s="18">
        <v>24.7385321</v>
      </c>
      <c r="B6135" s="18">
        <v>34.786304800000003</v>
      </c>
      <c r="C6135" s="18">
        <v>680654.25</v>
      </c>
      <c r="D6135" s="18">
        <v>2737175.03</v>
      </c>
      <c r="E6135" s="18">
        <v>367.19</v>
      </c>
      <c r="F6135" s="18">
        <v>41642.71</v>
      </c>
      <c r="G6135" s="18">
        <v>121008</v>
      </c>
      <c r="H6135" s="18">
        <f t="shared" si="147"/>
        <v>41496.71</v>
      </c>
      <c r="I6135" s="3"/>
    </row>
    <row r="6136" spans="1:9" s="4" customFormat="1" ht="20.25" customHeight="1" x14ac:dyDescent="0.55000000000000004">
      <c r="A6136" s="18">
        <v>24.738517999999999</v>
      </c>
      <c r="B6136" s="18">
        <v>34.786294900000001</v>
      </c>
      <c r="C6136" s="18">
        <v>680653.26</v>
      </c>
      <c r="D6136" s="18">
        <v>2737173.45</v>
      </c>
      <c r="E6136" s="18">
        <v>367.19</v>
      </c>
      <c r="F6136" s="18">
        <v>41656.51</v>
      </c>
      <c r="G6136" s="18">
        <v>121010</v>
      </c>
      <c r="H6136" s="18">
        <f t="shared" si="147"/>
        <v>41510.51</v>
      </c>
      <c r="I6136" s="3"/>
    </row>
    <row r="6137" spans="1:9" s="4" customFormat="1" ht="20.25" customHeight="1" x14ac:dyDescent="0.55000000000000004">
      <c r="A6137" s="18">
        <v>24.7385111</v>
      </c>
      <c r="B6137" s="18">
        <v>34.786291499999997</v>
      </c>
      <c r="C6137" s="18">
        <v>680652.92</v>
      </c>
      <c r="D6137" s="18">
        <v>2737172.68</v>
      </c>
      <c r="E6137" s="18">
        <v>367.2</v>
      </c>
      <c r="F6137" s="18">
        <v>41661.99</v>
      </c>
      <c r="G6137" s="18">
        <v>121012</v>
      </c>
      <c r="H6137" s="18">
        <f t="shared" si="147"/>
        <v>41515.99</v>
      </c>
      <c r="I6137" s="3"/>
    </row>
    <row r="6138" spans="1:9" s="4" customFormat="1" ht="20.25" customHeight="1" x14ac:dyDescent="0.55000000000000004">
      <c r="A6138" s="18">
        <v>24.738496000000001</v>
      </c>
      <c r="B6138" s="18">
        <v>34.786277800000001</v>
      </c>
      <c r="C6138" s="18">
        <v>680651.56</v>
      </c>
      <c r="D6138" s="18">
        <v>2737170.99</v>
      </c>
      <c r="E6138" s="18">
        <v>367.14</v>
      </c>
      <c r="F6138" s="18">
        <v>41658.17</v>
      </c>
      <c r="G6138" s="18">
        <v>121014</v>
      </c>
      <c r="H6138" s="18">
        <f t="shared" si="147"/>
        <v>41512.17</v>
      </c>
      <c r="I6138" s="3"/>
    </row>
    <row r="6139" spans="1:9" s="4" customFormat="1" ht="20.25" customHeight="1" x14ac:dyDescent="0.55000000000000004">
      <c r="A6139" s="18">
        <v>24.738477799999998</v>
      </c>
      <c r="B6139" s="18">
        <v>34.786260300000002</v>
      </c>
      <c r="C6139" s="18">
        <v>680649.82</v>
      </c>
      <c r="D6139" s="18">
        <v>2737168.96</v>
      </c>
      <c r="E6139" s="18">
        <v>367.01</v>
      </c>
      <c r="F6139" s="18">
        <v>41654.01</v>
      </c>
      <c r="G6139" s="18">
        <v>121016</v>
      </c>
      <c r="H6139" s="18">
        <f t="shared" si="147"/>
        <v>41508.01</v>
      </c>
      <c r="I6139" s="3"/>
    </row>
    <row r="6140" spans="1:9" s="4" customFormat="1" ht="20.25" customHeight="1" x14ac:dyDescent="0.55000000000000004">
      <c r="A6140" s="18">
        <v>24.7384621</v>
      </c>
      <c r="B6140" s="18">
        <v>34.786244099999998</v>
      </c>
      <c r="C6140" s="18">
        <v>680648.2</v>
      </c>
      <c r="D6140" s="18">
        <v>2737167.19</v>
      </c>
      <c r="E6140" s="18">
        <v>367.17</v>
      </c>
      <c r="F6140" s="18">
        <v>41633.75</v>
      </c>
      <c r="G6140" s="18">
        <v>121018</v>
      </c>
      <c r="H6140" s="18">
        <f t="shared" si="147"/>
        <v>41487.75</v>
      </c>
      <c r="I6140" s="3"/>
    </row>
    <row r="6141" spans="1:9" s="4" customFormat="1" ht="20.25" customHeight="1" x14ac:dyDescent="0.55000000000000004">
      <c r="A6141" s="18">
        <v>24.7384472</v>
      </c>
      <c r="B6141" s="18">
        <v>34.786219000000003</v>
      </c>
      <c r="C6141" s="18">
        <v>680645.69</v>
      </c>
      <c r="D6141" s="18">
        <v>2737165.51</v>
      </c>
      <c r="E6141" s="18">
        <v>367.14</v>
      </c>
      <c r="F6141" s="18">
        <v>41657.43</v>
      </c>
      <c r="G6141" s="18">
        <v>121020</v>
      </c>
      <c r="H6141" s="18">
        <f t="shared" si="147"/>
        <v>41511.43</v>
      </c>
      <c r="I6141" s="3"/>
    </row>
    <row r="6142" spans="1:9" s="4" customFormat="1" ht="20.25" customHeight="1" x14ac:dyDescent="0.55000000000000004">
      <c r="A6142" s="18">
        <v>24.738437000000001</v>
      </c>
      <c r="B6142" s="18">
        <v>34.786198599999999</v>
      </c>
      <c r="C6142" s="18">
        <v>680643.64</v>
      </c>
      <c r="D6142" s="18">
        <v>2737164.35</v>
      </c>
      <c r="E6142" s="18">
        <v>367.33</v>
      </c>
      <c r="F6142" s="18">
        <v>41663.980000000003</v>
      </c>
      <c r="G6142" s="18">
        <v>121022</v>
      </c>
      <c r="H6142" s="18">
        <f t="shared" si="147"/>
        <v>41517.980000000003</v>
      </c>
      <c r="I6142" s="3"/>
    </row>
    <row r="6143" spans="1:9" s="4" customFormat="1" ht="20.25" customHeight="1" x14ac:dyDescent="0.55000000000000004">
      <c r="A6143" s="18">
        <v>24.738427900000001</v>
      </c>
      <c r="B6143" s="18">
        <v>34.786174899999999</v>
      </c>
      <c r="C6143" s="18">
        <v>680641.26</v>
      </c>
      <c r="D6143" s="18">
        <v>2737163.31</v>
      </c>
      <c r="E6143" s="18">
        <v>367.49</v>
      </c>
      <c r="F6143" s="18">
        <v>41661.519999999997</v>
      </c>
      <c r="G6143" s="18">
        <v>121024</v>
      </c>
      <c r="H6143" s="18">
        <f t="shared" si="147"/>
        <v>41515.519999999997</v>
      </c>
      <c r="I6143" s="3"/>
    </row>
    <row r="6144" spans="1:9" s="4" customFormat="1" ht="20.25" customHeight="1" x14ac:dyDescent="0.55000000000000004">
      <c r="A6144" s="18">
        <v>24.7384217</v>
      </c>
      <c r="B6144" s="18">
        <v>34.786149500000001</v>
      </c>
      <c r="C6144" s="18">
        <v>680638.7</v>
      </c>
      <c r="D6144" s="18">
        <v>2737162.59</v>
      </c>
      <c r="E6144" s="18">
        <v>367.59</v>
      </c>
      <c r="F6144" s="18">
        <v>41657.11</v>
      </c>
      <c r="G6144" s="18">
        <v>121026</v>
      </c>
      <c r="H6144" s="18">
        <f t="shared" si="147"/>
        <v>41511.11</v>
      </c>
      <c r="I6144" s="3"/>
    </row>
    <row r="6145" spans="1:9" s="4" customFormat="1" ht="20.25" customHeight="1" x14ac:dyDescent="0.55000000000000004">
      <c r="A6145" s="18">
        <v>24.738407899999999</v>
      </c>
      <c r="B6145" s="18">
        <v>34.786130999999997</v>
      </c>
      <c r="C6145" s="18">
        <v>680636.84</v>
      </c>
      <c r="D6145" s="18">
        <v>2737161.04</v>
      </c>
      <c r="E6145" s="18">
        <v>367.72</v>
      </c>
      <c r="F6145" s="18">
        <v>41642.51</v>
      </c>
      <c r="G6145" s="18">
        <v>121028</v>
      </c>
      <c r="H6145" s="18">
        <f t="shared" si="147"/>
        <v>41496.51</v>
      </c>
      <c r="I6145" s="3"/>
    </row>
    <row r="6146" spans="1:9" s="4" customFormat="1" ht="20.25" customHeight="1" x14ac:dyDescent="0.55000000000000004">
      <c r="A6146" s="18">
        <v>24.7383931</v>
      </c>
      <c r="B6146" s="18">
        <v>34.786113999999998</v>
      </c>
      <c r="C6146" s="18">
        <v>680635.14</v>
      </c>
      <c r="D6146" s="18">
        <v>2737159.37</v>
      </c>
      <c r="E6146" s="18">
        <v>367.85</v>
      </c>
      <c r="F6146" s="18">
        <v>41645.71</v>
      </c>
      <c r="G6146" s="18">
        <v>121030</v>
      </c>
      <c r="H6146" s="18">
        <f t="shared" si="147"/>
        <v>41499.71</v>
      </c>
      <c r="I6146" s="3"/>
    </row>
    <row r="6147" spans="1:9" s="4" customFormat="1" ht="20.25" customHeight="1" x14ac:dyDescent="0.55000000000000004">
      <c r="A6147" s="18">
        <v>24.738377400000001</v>
      </c>
      <c r="B6147" s="18">
        <v>34.786097300000002</v>
      </c>
      <c r="C6147" s="18">
        <v>680633.47</v>
      </c>
      <c r="D6147" s="18">
        <v>2737157.62</v>
      </c>
      <c r="E6147" s="18">
        <v>367.91</v>
      </c>
      <c r="F6147" s="18">
        <v>41645.24</v>
      </c>
      <c r="G6147" s="18">
        <v>121032</v>
      </c>
      <c r="H6147" s="18">
        <f t="shared" si="147"/>
        <v>41499.24</v>
      </c>
      <c r="I6147" s="3"/>
    </row>
    <row r="6148" spans="1:9" s="4" customFormat="1" ht="20.25" customHeight="1" x14ac:dyDescent="0.55000000000000004">
      <c r="A6148" s="18">
        <v>24.738362299999999</v>
      </c>
      <c r="B6148" s="18">
        <v>34.786082</v>
      </c>
      <c r="C6148" s="18">
        <v>680631.95</v>
      </c>
      <c r="D6148" s="18">
        <v>2737155.92</v>
      </c>
      <c r="E6148" s="18">
        <v>368.02</v>
      </c>
      <c r="F6148" s="18">
        <v>41640.21</v>
      </c>
      <c r="G6148" s="18">
        <v>121034</v>
      </c>
      <c r="H6148" s="18">
        <f t="shared" si="147"/>
        <v>41494.21</v>
      </c>
      <c r="I6148" s="3"/>
    </row>
    <row r="6149" spans="1:9" s="4" customFormat="1" ht="20.25" customHeight="1" x14ac:dyDescent="0.55000000000000004">
      <c r="A6149" s="18">
        <v>24.7383466</v>
      </c>
      <c r="B6149" s="18">
        <v>34.786068499999999</v>
      </c>
      <c r="C6149" s="18">
        <v>680630.61</v>
      </c>
      <c r="D6149" s="18">
        <v>2737154.16</v>
      </c>
      <c r="E6149" s="18">
        <v>368.08</v>
      </c>
      <c r="F6149" s="18">
        <v>41633.56</v>
      </c>
      <c r="G6149" s="18">
        <v>121036</v>
      </c>
      <c r="H6149" s="18">
        <f t="shared" si="147"/>
        <v>41487.56</v>
      </c>
      <c r="I6149" s="3"/>
    </row>
    <row r="6150" spans="1:9" s="4" customFormat="1" ht="20.25" customHeight="1" x14ac:dyDescent="0.55000000000000004">
      <c r="A6150" s="18">
        <v>24.738329499999999</v>
      </c>
      <c r="B6150" s="18">
        <v>34.786054800000002</v>
      </c>
      <c r="C6150" s="18">
        <v>680629.25</v>
      </c>
      <c r="D6150" s="18">
        <v>2737152.26</v>
      </c>
      <c r="E6150" s="18">
        <v>368.11</v>
      </c>
      <c r="F6150" s="18">
        <v>41650.339999999997</v>
      </c>
      <c r="G6150" s="18">
        <v>121038</v>
      </c>
      <c r="H6150" s="18">
        <f t="shared" si="147"/>
        <v>41504.339999999997</v>
      </c>
      <c r="I6150" s="3"/>
    </row>
    <row r="6151" spans="1:9" s="4" customFormat="1" ht="20.25" customHeight="1" x14ac:dyDescent="0.55000000000000004">
      <c r="A6151" s="18">
        <v>24.738313699999999</v>
      </c>
      <c r="B6151" s="18">
        <v>34.786040499999999</v>
      </c>
      <c r="C6151" s="18">
        <v>680627.82</v>
      </c>
      <c r="D6151" s="18">
        <v>2737150.48</v>
      </c>
      <c r="E6151" s="18">
        <v>368.15</v>
      </c>
      <c r="F6151" s="18">
        <v>41652.080000000002</v>
      </c>
      <c r="G6151" s="18">
        <v>121040</v>
      </c>
      <c r="H6151" s="18">
        <f t="shared" si="147"/>
        <v>41506.080000000002</v>
      </c>
      <c r="I6151" s="3"/>
    </row>
    <row r="6152" spans="1:9" s="4" customFormat="1" ht="20.25" customHeight="1" x14ac:dyDescent="0.55000000000000004">
      <c r="A6152" s="18">
        <v>24.7382977</v>
      </c>
      <c r="B6152" s="18">
        <v>34.786026399999997</v>
      </c>
      <c r="C6152" s="18">
        <v>680626.42</v>
      </c>
      <c r="D6152" s="18">
        <v>2737148.7</v>
      </c>
      <c r="E6152" s="18">
        <v>368.24</v>
      </c>
      <c r="F6152" s="18">
        <v>41657.08</v>
      </c>
      <c r="G6152" s="18">
        <v>121042</v>
      </c>
      <c r="H6152" s="18">
        <f t="shared" si="147"/>
        <v>41511.08</v>
      </c>
      <c r="I6152" s="3"/>
    </row>
    <row r="6153" spans="1:9" s="4" customFormat="1" ht="20.25" customHeight="1" x14ac:dyDescent="0.55000000000000004">
      <c r="A6153" s="18">
        <v>24.738283500000001</v>
      </c>
      <c r="B6153" s="18">
        <v>34.786006100000002</v>
      </c>
      <c r="C6153" s="18">
        <v>680624.39</v>
      </c>
      <c r="D6153" s="18">
        <v>2737147.1</v>
      </c>
      <c r="E6153" s="18">
        <v>368.25</v>
      </c>
      <c r="F6153" s="18">
        <v>41643.15</v>
      </c>
      <c r="G6153" s="18">
        <v>121044</v>
      </c>
      <c r="H6153" s="18">
        <f t="shared" si="147"/>
        <v>41497.15</v>
      </c>
      <c r="I6153" s="3"/>
    </row>
    <row r="6154" spans="1:9" s="4" customFormat="1" ht="20.25" customHeight="1" x14ac:dyDescent="0.55000000000000004">
      <c r="A6154" s="18">
        <v>24.738269599999999</v>
      </c>
      <c r="B6154" s="18">
        <v>34.785989200000003</v>
      </c>
      <c r="C6154" s="18">
        <v>680622.69</v>
      </c>
      <c r="D6154" s="18">
        <v>2737145.54</v>
      </c>
      <c r="E6154" s="18">
        <v>368.34</v>
      </c>
      <c r="F6154" s="18">
        <v>41647.79</v>
      </c>
      <c r="G6154" s="18">
        <v>121046</v>
      </c>
      <c r="H6154" s="18">
        <f t="shared" si="147"/>
        <v>41501.79</v>
      </c>
      <c r="I6154" s="3"/>
    </row>
    <row r="6155" spans="1:9" s="4" customFormat="1" ht="20.25" customHeight="1" x14ac:dyDescent="0.55000000000000004">
      <c r="A6155" s="18">
        <v>24.7382539</v>
      </c>
      <c r="B6155" s="18">
        <v>34.785970200000001</v>
      </c>
      <c r="C6155" s="18">
        <v>680620.8</v>
      </c>
      <c r="D6155" s="18">
        <v>2737143.77</v>
      </c>
      <c r="E6155" s="18">
        <v>368.49</v>
      </c>
      <c r="F6155" s="18">
        <v>41643.160000000003</v>
      </c>
      <c r="G6155" s="18">
        <v>121048</v>
      </c>
      <c r="H6155" s="18">
        <f t="shared" si="147"/>
        <v>41497.160000000003</v>
      </c>
      <c r="I6155" s="3"/>
    </row>
    <row r="6156" spans="1:9" s="4" customFormat="1" ht="20.25" customHeight="1" x14ac:dyDescent="0.55000000000000004">
      <c r="A6156" s="18">
        <v>24.738243799999999</v>
      </c>
      <c r="B6156" s="18">
        <v>34.785947100000001</v>
      </c>
      <c r="C6156" s="18">
        <v>680618.47</v>
      </c>
      <c r="D6156" s="18">
        <v>2737142.62</v>
      </c>
      <c r="E6156" s="18">
        <v>368.53</v>
      </c>
      <c r="F6156" s="18">
        <v>41670.93</v>
      </c>
      <c r="G6156" s="18">
        <v>121050</v>
      </c>
      <c r="H6156" s="18">
        <f t="shared" si="147"/>
        <v>41524.93</v>
      </c>
      <c r="I6156" s="3"/>
    </row>
    <row r="6157" spans="1:9" s="4" customFormat="1" ht="20.25" customHeight="1" x14ac:dyDescent="0.55000000000000004">
      <c r="A6157" s="18">
        <v>24.738233900000001</v>
      </c>
      <c r="B6157" s="18">
        <v>34.785925499999998</v>
      </c>
      <c r="C6157" s="18">
        <v>680616.31</v>
      </c>
      <c r="D6157" s="18">
        <v>2737141.5</v>
      </c>
      <c r="E6157" s="18">
        <v>368.76</v>
      </c>
      <c r="F6157" s="18">
        <v>41667.08</v>
      </c>
      <c r="G6157" s="18">
        <v>121052</v>
      </c>
      <c r="H6157" s="18">
        <f t="shared" si="147"/>
        <v>41521.08</v>
      </c>
      <c r="I6157" s="3"/>
    </row>
    <row r="6158" spans="1:9" s="4" customFormat="1" ht="20.25" customHeight="1" x14ac:dyDescent="0.55000000000000004">
      <c r="A6158" s="18">
        <v>24.738217899999999</v>
      </c>
      <c r="B6158" s="18">
        <v>34.785905300000003</v>
      </c>
      <c r="C6158" s="18">
        <v>680614.29</v>
      </c>
      <c r="D6158" s="18">
        <v>2737139.69</v>
      </c>
      <c r="E6158" s="18">
        <v>368.9</v>
      </c>
      <c r="F6158" s="18">
        <v>41647.730000000003</v>
      </c>
      <c r="G6158" s="18">
        <v>121054</v>
      </c>
      <c r="H6158" s="18">
        <f t="shared" si="147"/>
        <v>41501.730000000003</v>
      </c>
      <c r="I6158" s="3"/>
    </row>
    <row r="6159" spans="1:9" s="4" customFormat="1" ht="20.25" customHeight="1" x14ac:dyDescent="0.55000000000000004">
      <c r="A6159" s="18">
        <v>24.738199699999999</v>
      </c>
      <c r="B6159" s="18">
        <v>34.785889900000001</v>
      </c>
      <c r="C6159" s="18">
        <v>680612.75</v>
      </c>
      <c r="D6159" s="18">
        <v>2737137.66</v>
      </c>
      <c r="E6159" s="18">
        <v>368.89</v>
      </c>
      <c r="F6159" s="18">
        <v>41648.06</v>
      </c>
      <c r="G6159" s="18">
        <v>121056</v>
      </c>
      <c r="H6159" s="18">
        <f t="shared" si="147"/>
        <v>41502.06</v>
      </c>
      <c r="I6159" s="3"/>
    </row>
    <row r="6160" spans="1:9" s="4" customFormat="1" ht="20.25" customHeight="1" x14ac:dyDescent="0.55000000000000004">
      <c r="A6160" s="18">
        <v>24.7381788</v>
      </c>
      <c r="B6160" s="18">
        <v>34.785878599999997</v>
      </c>
      <c r="C6160" s="18">
        <v>680611.64</v>
      </c>
      <c r="D6160" s="18">
        <v>2737135.33</v>
      </c>
      <c r="E6160" s="18">
        <v>369.05</v>
      </c>
      <c r="F6160" s="18">
        <v>41652.21</v>
      </c>
      <c r="G6160" s="18">
        <v>121058</v>
      </c>
      <c r="H6160" s="18">
        <f t="shared" si="147"/>
        <v>41506.21</v>
      </c>
      <c r="I6160" s="3"/>
    </row>
    <row r="6161" spans="1:9" s="4" customFormat="1" ht="20.25" customHeight="1" x14ac:dyDescent="0.55000000000000004">
      <c r="A6161" s="18">
        <v>24.7381584</v>
      </c>
      <c r="B6161" s="18">
        <v>34.785865600000001</v>
      </c>
      <c r="C6161" s="18">
        <v>680610.35</v>
      </c>
      <c r="D6161" s="18">
        <v>2737133.06</v>
      </c>
      <c r="E6161" s="18">
        <v>369.17</v>
      </c>
      <c r="F6161" s="18">
        <v>41670.07</v>
      </c>
      <c r="G6161" s="18">
        <v>121100</v>
      </c>
      <c r="H6161" s="18">
        <f t="shared" si="147"/>
        <v>41524.07</v>
      </c>
      <c r="I6161" s="3"/>
    </row>
    <row r="6162" spans="1:9" s="4" customFormat="1" ht="20.25" customHeight="1" x14ac:dyDescent="0.55000000000000004">
      <c r="A6162" s="18">
        <v>24.738138299999999</v>
      </c>
      <c r="B6162" s="18">
        <v>34.785852499999997</v>
      </c>
      <c r="C6162" s="18">
        <v>680609.06</v>
      </c>
      <c r="D6162" s="18">
        <v>2737130.82</v>
      </c>
      <c r="E6162" s="18">
        <v>369.14</v>
      </c>
      <c r="F6162" s="18">
        <v>41656.04</v>
      </c>
      <c r="G6162" s="18">
        <v>121102</v>
      </c>
      <c r="H6162" s="18">
        <f t="shared" si="147"/>
        <v>41510.04</v>
      </c>
      <c r="I6162" s="3"/>
    </row>
    <row r="6163" spans="1:9" s="4" customFormat="1" ht="20.25" customHeight="1" x14ac:dyDescent="0.55000000000000004">
      <c r="A6163" s="18">
        <v>24.738116399999999</v>
      </c>
      <c r="B6163" s="18">
        <v>34.785842199999998</v>
      </c>
      <c r="C6163" s="18">
        <v>680608.05</v>
      </c>
      <c r="D6163" s="18">
        <v>2737128.37</v>
      </c>
      <c r="E6163" s="18">
        <v>369.33</v>
      </c>
      <c r="F6163" s="18">
        <v>41660.74</v>
      </c>
      <c r="G6163" s="18">
        <v>121104</v>
      </c>
      <c r="H6163" s="18">
        <f t="shared" si="147"/>
        <v>41514.74</v>
      </c>
      <c r="I6163" s="3"/>
    </row>
    <row r="6164" spans="1:9" s="4" customFormat="1" ht="20.25" customHeight="1" x14ac:dyDescent="0.55000000000000004">
      <c r="A6164" s="18">
        <v>24.738096200000001</v>
      </c>
      <c r="B6164" s="18">
        <v>34.785831199999997</v>
      </c>
      <c r="C6164" s="18">
        <v>680606.97</v>
      </c>
      <c r="D6164" s="18">
        <v>2737126.12</v>
      </c>
      <c r="E6164" s="18">
        <v>369.5</v>
      </c>
      <c r="F6164" s="18">
        <v>41650.269999999997</v>
      </c>
      <c r="G6164" s="18">
        <v>121106</v>
      </c>
      <c r="H6164" s="18">
        <f t="shared" si="147"/>
        <v>41504.269999999997</v>
      </c>
      <c r="I6164" s="3"/>
    </row>
    <row r="6165" spans="1:9" s="4" customFormat="1" ht="20.25" customHeight="1" x14ac:dyDescent="0.55000000000000004">
      <c r="A6165" s="18">
        <v>24.738074300000001</v>
      </c>
      <c r="B6165" s="18">
        <v>34.785820200000003</v>
      </c>
      <c r="C6165" s="18">
        <v>680605.89</v>
      </c>
      <c r="D6165" s="18">
        <v>2737123.69</v>
      </c>
      <c r="E6165" s="18">
        <v>369.55</v>
      </c>
      <c r="F6165" s="18">
        <v>41638.35</v>
      </c>
      <c r="G6165" s="18">
        <v>121108</v>
      </c>
      <c r="H6165" s="18">
        <f t="shared" si="147"/>
        <v>41492.35</v>
      </c>
      <c r="I6165" s="3"/>
    </row>
    <row r="6166" spans="1:9" s="4" customFormat="1" ht="20.25" customHeight="1" x14ac:dyDescent="0.55000000000000004">
      <c r="A6166" s="18">
        <v>24.738053799999999</v>
      </c>
      <c r="B6166" s="18">
        <v>34.7858053</v>
      </c>
      <c r="C6166" s="18">
        <v>680604.41</v>
      </c>
      <c r="D6166" s="18">
        <v>2737121.39</v>
      </c>
      <c r="E6166" s="18">
        <v>369.62</v>
      </c>
      <c r="F6166" s="18">
        <v>41646.879999999997</v>
      </c>
      <c r="G6166" s="18">
        <v>121110</v>
      </c>
      <c r="H6166" s="18">
        <f t="shared" si="147"/>
        <v>41500.879999999997</v>
      </c>
      <c r="I6166" s="3"/>
    </row>
    <row r="6167" spans="1:9" s="4" customFormat="1" ht="20.25" customHeight="1" x14ac:dyDescent="0.55000000000000004">
      <c r="A6167" s="18">
        <v>24.738035</v>
      </c>
      <c r="B6167" s="18">
        <v>34.785789800000003</v>
      </c>
      <c r="C6167" s="18">
        <v>680602.86</v>
      </c>
      <c r="D6167" s="18">
        <v>2737119.29</v>
      </c>
      <c r="E6167" s="18">
        <v>369.71</v>
      </c>
      <c r="F6167" s="18">
        <v>41653.9</v>
      </c>
      <c r="G6167" s="18">
        <v>121112</v>
      </c>
      <c r="H6167" s="18">
        <f t="shared" si="147"/>
        <v>41507.9</v>
      </c>
      <c r="I6167" s="3"/>
    </row>
    <row r="6168" spans="1:9" s="4" customFormat="1" ht="20.25" customHeight="1" x14ac:dyDescent="0.55000000000000004">
      <c r="A6168" s="18">
        <v>24.738016200000001</v>
      </c>
      <c r="B6168" s="18">
        <v>34.785774799999999</v>
      </c>
      <c r="C6168" s="18">
        <v>680601.37</v>
      </c>
      <c r="D6168" s="18">
        <v>2737117.18</v>
      </c>
      <c r="E6168" s="18">
        <v>369.79</v>
      </c>
      <c r="F6168" s="18">
        <v>41644.11</v>
      </c>
      <c r="G6168" s="18">
        <v>121114</v>
      </c>
      <c r="H6168" s="18">
        <f t="shared" si="147"/>
        <v>41498.11</v>
      </c>
      <c r="I6168" s="3"/>
    </row>
    <row r="6169" spans="1:9" s="4" customFormat="1" ht="20.25" customHeight="1" x14ac:dyDescent="0.55000000000000004">
      <c r="A6169" s="18">
        <v>24.7379994</v>
      </c>
      <c r="B6169" s="18">
        <v>34.785756499999998</v>
      </c>
      <c r="C6169" s="18">
        <v>680599.55</v>
      </c>
      <c r="D6169" s="18">
        <v>2737115.3</v>
      </c>
      <c r="E6169" s="18">
        <v>369.91</v>
      </c>
      <c r="F6169" s="18">
        <v>41637.15</v>
      </c>
      <c r="G6169" s="18">
        <v>121116</v>
      </c>
      <c r="H6169" s="18">
        <f t="shared" si="147"/>
        <v>41491.15</v>
      </c>
      <c r="I6169" s="3"/>
    </row>
    <row r="6170" spans="1:9" s="4" customFormat="1" ht="20.25" customHeight="1" x14ac:dyDescent="0.55000000000000004">
      <c r="A6170" s="18">
        <v>24.737982500000001</v>
      </c>
      <c r="B6170" s="18">
        <v>34.785740400000002</v>
      </c>
      <c r="C6170" s="18">
        <v>680597.94</v>
      </c>
      <c r="D6170" s="18">
        <v>2737113.41</v>
      </c>
      <c r="E6170" s="18">
        <v>370.04</v>
      </c>
      <c r="F6170" s="18">
        <v>41642.080000000002</v>
      </c>
      <c r="G6170" s="18">
        <v>121118</v>
      </c>
      <c r="H6170" s="18">
        <f t="shared" si="147"/>
        <v>41496.080000000002</v>
      </c>
      <c r="I6170" s="3"/>
    </row>
    <row r="6171" spans="1:9" s="4" customFormat="1" ht="20.25" customHeight="1" x14ac:dyDescent="0.55000000000000004">
      <c r="A6171" s="18">
        <v>24.737965299999999</v>
      </c>
      <c r="B6171" s="18">
        <v>34.785724500000001</v>
      </c>
      <c r="C6171" s="18">
        <v>680596.36</v>
      </c>
      <c r="D6171" s="18">
        <v>2737111.49</v>
      </c>
      <c r="E6171" s="18">
        <v>370.02</v>
      </c>
      <c r="F6171" s="18">
        <v>41643.870000000003</v>
      </c>
      <c r="G6171" s="18">
        <v>121120</v>
      </c>
      <c r="H6171" s="18">
        <f t="shared" si="147"/>
        <v>41497.870000000003</v>
      </c>
      <c r="I6171" s="3"/>
    </row>
    <row r="6172" spans="1:9" s="4" customFormat="1" ht="20.25" customHeight="1" x14ac:dyDescent="0.55000000000000004">
      <c r="A6172" s="18">
        <v>24.737948200000002</v>
      </c>
      <c r="B6172" s="18">
        <v>34.785710799999997</v>
      </c>
      <c r="C6172" s="18">
        <v>680595</v>
      </c>
      <c r="D6172" s="18">
        <v>2737109.57</v>
      </c>
      <c r="E6172" s="18">
        <v>370.13</v>
      </c>
      <c r="F6172" s="18">
        <v>41640.49</v>
      </c>
      <c r="G6172" s="18">
        <v>121122</v>
      </c>
      <c r="H6172" s="18">
        <f t="shared" si="147"/>
        <v>41494.49</v>
      </c>
      <c r="I6172" s="3"/>
    </row>
    <row r="6173" spans="1:9" s="4" customFormat="1" ht="20.25" customHeight="1" x14ac:dyDescent="0.55000000000000004">
      <c r="A6173" s="18">
        <v>24.7379277</v>
      </c>
      <c r="B6173" s="18">
        <v>34.785700499999997</v>
      </c>
      <c r="C6173" s="18">
        <v>680593.99</v>
      </c>
      <c r="D6173" s="18">
        <v>2737107.29</v>
      </c>
      <c r="E6173" s="18">
        <v>370.22</v>
      </c>
      <c r="F6173" s="18">
        <v>41641.22</v>
      </c>
      <c r="G6173" s="18">
        <v>121124</v>
      </c>
      <c r="H6173" s="18">
        <f t="shared" si="147"/>
        <v>41495.22</v>
      </c>
      <c r="I6173" s="3"/>
    </row>
    <row r="6174" spans="1:9" s="4" customFormat="1" ht="20.25" customHeight="1" x14ac:dyDescent="0.55000000000000004">
      <c r="A6174" s="18">
        <v>24.737908900000001</v>
      </c>
      <c r="B6174" s="18">
        <v>34.785688999999998</v>
      </c>
      <c r="C6174" s="18">
        <v>680592.86</v>
      </c>
      <c r="D6174" s="18">
        <v>2737105.18</v>
      </c>
      <c r="E6174" s="18">
        <v>370.29</v>
      </c>
      <c r="F6174" s="18">
        <v>41652.949999999997</v>
      </c>
      <c r="G6174" s="18">
        <v>121126</v>
      </c>
      <c r="H6174" s="18">
        <f t="shared" si="147"/>
        <v>41506.949999999997</v>
      </c>
      <c r="I6174" s="3"/>
    </row>
    <row r="6175" spans="1:9" s="4" customFormat="1" ht="20.25" customHeight="1" x14ac:dyDescent="0.55000000000000004">
      <c r="A6175" s="18">
        <v>24.737889599999999</v>
      </c>
      <c r="B6175" s="18">
        <v>34.7856776</v>
      </c>
      <c r="C6175" s="18">
        <v>680591.73</v>
      </c>
      <c r="D6175" s="18">
        <v>2737103.03</v>
      </c>
      <c r="E6175" s="18">
        <v>370.39</v>
      </c>
      <c r="F6175" s="18">
        <v>41645.72</v>
      </c>
      <c r="G6175" s="18">
        <v>121128</v>
      </c>
      <c r="H6175" s="18">
        <f t="shared" si="147"/>
        <v>41499.72</v>
      </c>
      <c r="I6175" s="3"/>
    </row>
    <row r="6176" spans="1:9" s="4" customFormat="1" ht="20.25" customHeight="1" x14ac:dyDescent="0.55000000000000004">
      <c r="A6176" s="18">
        <v>24.737869</v>
      </c>
      <c r="B6176" s="18">
        <v>34.785667400000001</v>
      </c>
      <c r="C6176" s="18">
        <v>680590.72</v>
      </c>
      <c r="D6176" s="18">
        <v>2737100.74</v>
      </c>
      <c r="E6176" s="18">
        <v>370.43</v>
      </c>
      <c r="F6176" s="18">
        <v>41654.57</v>
      </c>
      <c r="G6176" s="18">
        <v>121130</v>
      </c>
      <c r="H6176" s="18">
        <f t="shared" si="147"/>
        <v>41508.57</v>
      </c>
      <c r="I6176" s="3"/>
    </row>
    <row r="6177" spans="1:9" s="4" customFormat="1" ht="20.25" customHeight="1" x14ac:dyDescent="0.55000000000000004">
      <c r="A6177" s="18">
        <v>24.7378508</v>
      </c>
      <c r="B6177" s="18">
        <v>34.785658499999997</v>
      </c>
      <c r="C6177" s="18">
        <v>680589.85</v>
      </c>
      <c r="D6177" s="18">
        <v>2737098.71</v>
      </c>
      <c r="E6177" s="18">
        <v>370.51</v>
      </c>
      <c r="F6177" s="18">
        <v>41647.050000000003</v>
      </c>
      <c r="G6177" s="18">
        <v>121132</v>
      </c>
      <c r="H6177" s="18">
        <f t="shared" si="147"/>
        <v>41501.050000000003</v>
      </c>
      <c r="I6177" s="3"/>
    </row>
    <row r="6178" spans="1:9" s="4" customFormat="1" ht="20.25" customHeight="1" x14ac:dyDescent="0.55000000000000004">
      <c r="A6178" s="18">
        <v>24.737832399999999</v>
      </c>
      <c r="B6178" s="18">
        <v>34.785647599999997</v>
      </c>
      <c r="C6178" s="18">
        <v>680588.78</v>
      </c>
      <c r="D6178" s="18">
        <v>2737096.67</v>
      </c>
      <c r="E6178" s="18">
        <v>370.54</v>
      </c>
      <c r="F6178" s="18">
        <v>41646.21</v>
      </c>
      <c r="G6178" s="18">
        <v>121134</v>
      </c>
      <c r="H6178" s="18">
        <f t="shared" si="147"/>
        <v>41500.21</v>
      </c>
      <c r="I6178" s="3"/>
    </row>
    <row r="6179" spans="1:9" s="4" customFormat="1" ht="20.25" customHeight="1" x14ac:dyDescent="0.55000000000000004">
      <c r="A6179" s="18">
        <v>24.7378207</v>
      </c>
      <c r="B6179" s="18">
        <v>34.785627400000003</v>
      </c>
      <c r="C6179" s="18">
        <v>680586.75</v>
      </c>
      <c r="D6179" s="18">
        <v>2737095.34</v>
      </c>
      <c r="E6179" s="18">
        <v>370.53</v>
      </c>
      <c r="F6179" s="18">
        <v>41655.300000000003</v>
      </c>
      <c r="G6179" s="18">
        <v>121136</v>
      </c>
      <c r="H6179" s="18">
        <f t="shared" si="147"/>
        <v>41509.300000000003</v>
      </c>
      <c r="I6179" s="3"/>
    </row>
    <row r="6180" spans="1:9" s="4" customFormat="1" ht="20.25" customHeight="1" x14ac:dyDescent="0.55000000000000004">
      <c r="A6180" s="18">
        <v>24.737808699999999</v>
      </c>
      <c r="B6180" s="18">
        <v>34.785609200000003</v>
      </c>
      <c r="C6180" s="18">
        <v>680584.93</v>
      </c>
      <c r="D6180" s="18">
        <v>2737093.99</v>
      </c>
      <c r="E6180" s="18">
        <v>370.46</v>
      </c>
      <c r="F6180" s="18">
        <v>41666.660000000003</v>
      </c>
      <c r="G6180" s="18">
        <v>121138</v>
      </c>
      <c r="H6180" s="18">
        <f t="shared" si="147"/>
        <v>41520.660000000003</v>
      </c>
      <c r="I6180" s="3"/>
    </row>
    <row r="6181" spans="1:9" s="4" customFormat="1" ht="20.25" customHeight="1" x14ac:dyDescent="0.55000000000000004">
      <c r="A6181" s="18">
        <v>24.737802899999998</v>
      </c>
      <c r="B6181" s="18">
        <v>34.785585300000001</v>
      </c>
      <c r="C6181" s="18">
        <v>680582.52</v>
      </c>
      <c r="D6181" s="18">
        <v>2737093.32</v>
      </c>
      <c r="E6181" s="18">
        <v>370.58</v>
      </c>
      <c r="F6181" s="18">
        <v>41668.14</v>
      </c>
      <c r="G6181" s="18">
        <v>121140</v>
      </c>
      <c r="H6181" s="18">
        <f t="shared" ref="H6181:H6244" si="148">SUM(F6181-146)</f>
        <v>41522.14</v>
      </c>
      <c r="I6181" s="3"/>
    </row>
    <row r="6182" spans="1:9" s="4" customFormat="1" ht="20.25" customHeight="1" x14ac:dyDescent="0.55000000000000004">
      <c r="A6182" s="18">
        <v>24.737794300000001</v>
      </c>
      <c r="B6182" s="18">
        <v>34.785566099999997</v>
      </c>
      <c r="C6182" s="18">
        <v>680580.59</v>
      </c>
      <c r="D6182" s="18">
        <v>2737092.33</v>
      </c>
      <c r="E6182" s="18">
        <v>370.72</v>
      </c>
      <c r="F6182" s="18">
        <v>41663.18</v>
      </c>
      <c r="G6182" s="18">
        <v>121142</v>
      </c>
      <c r="H6182" s="18">
        <f t="shared" si="148"/>
        <v>41517.18</v>
      </c>
      <c r="I6182" s="3"/>
    </row>
    <row r="6183" spans="1:9" s="4" customFormat="1" ht="20.25" customHeight="1" x14ac:dyDescent="0.55000000000000004">
      <c r="A6183" s="18">
        <v>24.737787099999998</v>
      </c>
      <c r="B6183" s="18">
        <v>34.785543799999999</v>
      </c>
      <c r="C6183" s="18">
        <v>680578.34</v>
      </c>
      <c r="D6183" s="18">
        <v>2737091.51</v>
      </c>
      <c r="E6183" s="18">
        <v>370.87</v>
      </c>
      <c r="F6183" s="18">
        <v>41666.199999999997</v>
      </c>
      <c r="G6183" s="18">
        <v>121144</v>
      </c>
      <c r="H6183" s="18">
        <f t="shared" si="148"/>
        <v>41520.199999999997</v>
      </c>
      <c r="I6183" s="3"/>
    </row>
    <row r="6184" spans="1:9" s="4" customFormat="1" ht="20.25" customHeight="1" x14ac:dyDescent="0.55000000000000004">
      <c r="A6184" s="18">
        <v>24.7377796</v>
      </c>
      <c r="B6184" s="18">
        <v>34.785522</v>
      </c>
      <c r="C6184" s="18">
        <v>680576.15</v>
      </c>
      <c r="D6184" s="18">
        <v>2737090.64</v>
      </c>
      <c r="E6184" s="18">
        <v>370.98</v>
      </c>
      <c r="F6184" s="18">
        <v>41671.32</v>
      </c>
      <c r="G6184" s="18">
        <v>121146</v>
      </c>
      <c r="H6184" s="18">
        <f t="shared" si="148"/>
        <v>41525.32</v>
      </c>
      <c r="I6184" s="3"/>
    </row>
    <row r="6185" spans="1:9" s="4" customFormat="1" ht="20.25" customHeight="1" x14ac:dyDescent="0.55000000000000004">
      <c r="A6185" s="18">
        <v>24.737772499999998</v>
      </c>
      <c r="B6185" s="18">
        <v>34.785498400000002</v>
      </c>
      <c r="C6185" s="18">
        <v>680573.77</v>
      </c>
      <c r="D6185" s="18">
        <v>2737089.83</v>
      </c>
      <c r="E6185" s="18">
        <v>371.17</v>
      </c>
      <c r="F6185" s="18">
        <v>41666.629999999997</v>
      </c>
      <c r="G6185" s="18">
        <v>121148</v>
      </c>
      <c r="H6185" s="18">
        <f t="shared" si="148"/>
        <v>41520.629999999997</v>
      </c>
      <c r="I6185" s="3"/>
    </row>
    <row r="6186" spans="1:9" s="4" customFormat="1" ht="20.25" customHeight="1" x14ac:dyDescent="0.55000000000000004">
      <c r="A6186" s="18">
        <v>24.737760999999999</v>
      </c>
      <c r="B6186" s="18">
        <v>34.7854812</v>
      </c>
      <c r="C6186" s="18">
        <v>680572.05</v>
      </c>
      <c r="D6186" s="18">
        <v>2737088.54</v>
      </c>
      <c r="E6186" s="18">
        <v>371.24</v>
      </c>
      <c r="F6186" s="18">
        <v>41658.699999999997</v>
      </c>
      <c r="G6186" s="18">
        <v>121150</v>
      </c>
      <c r="H6186" s="18">
        <f t="shared" si="148"/>
        <v>41512.699999999997</v>
      </c>
      <c r="I6186" s="3"/>
    </row>
    <row r="6187" spans="1:9" s="4" customFormat="1" ht="20.25" customHeight="1" x14ac:dyDescent="0.55000000000000004">
      <c r="A6187" s="18">
        <v>24.737743200000001</v>
      </c>
      <c r="B6187" s="18">
        <v>34.785466100000001</v>
      </c>
      <c r="C6187" s="18">
        <v>680570.55</v>
      </c>
      <c r="D6187" s="18">
        <v>2737086.54</v>
      </c>
      <c r="E6187" s="18">
        <v>371.21</v>
      </c>
      <c r="F6187" s="18">
        <v>41667.67</v>
      </c>
      <c r="G6187" s="18">
        <v>121152</v>
      </c>
      <c r="H6187" s="18">
        <f t="shared" si="148"/>
        <v>41521.67</v>
      </c>
      <c r="I6187" s="3"/>
    </row>
    <row r="6188" spans="1:9" s="4" customFormat="1" ht="20.25" customHeight="1" x14ac:dyDescent="0.55000000000000004">
      <c r="A6188" s="18">
        <v>24.7377346</v>
      </c>
      <c r="B6188" s="18">
        <v>34.785445199999998</v>
      </c>
      <c r="C6188" s="18">
        <v>680568.44</v>
      </c>
      <c r="D6188" s="18">
        <v>2737085.56</v>
      </c>
      <c r="E6188" s="18">
        <v>371.23</v>
      </c>
      <c r="F6188" s="18">
        <v>41655.86</v>
      </c>
      <c r="G6188" s="18">
        <v>121154</v>
      </c>
      <c r="H6188" s="18">
        <f t="shared" si="148"/>
        <v>41509.86</v>
      </c>
      <c r="I6188" s="3"/>
    </row>
    <row r="6189" spans="1:9" s="4" customFormat="1" ht="20.25" customHeight="1" x14ac:dyDescent="0.55000000000000004">
      <c r="A6189" s="18">
        <v>24.737731700000001</v>
      </c>
      <c r="B6189" s="18">
        <v>34.785422099999998</v>
      </c>
      <c r="C6189" s="18">
        <v>680566.11</v>
      </c>
      <c r="D6189" s="18">
        <v>2737085.21</v>
      </c>
      <c r="E6189" s="18">
        <v>371.22</v>
      </c>
      <c r="F6189" s="18">
        <v>41647.360000000001</v>
      </c>
      <c r="G6189" s="18">
        <v>121156</v>
      </c>
      <c r="H6189" s="18">
        <f t="shared" si="148"/>
        <v>41501.360000000001</v>
      </c>
      <c r="I6189" s="3"/>
    </row>
    <row r="6190" spans="1:9" s="4" customFormat="1" ht="20.25" customHeight="1" x14ac:dyDescent="0.55000000000000004">
      <c r="A6190" s="18">
        <v>24.7377222</v>
      </c>
      <c r="B6190" s="18">
        <v>34.785400000000003</v>
      </c>
      <c r="C6190" s="18">
        <v>680563.89</v>
      </c>
      <c r="D6190" s="18">
        <v>2737084.12</v>
      </c>
      <c r="E6190" s="18">
        <v>371.37</v>
      </c>
      <c r="F6190" s="18">
        <v>41650.199999999997</v>
      </c>
      <c r="G6190" s="18">
        <v>121158</v>
      </c>
      <c r="H6190" s="18">
        <f t="shared" si="148"/>
        <v>41504.199999999997</v>
      </c>
      <c r="I6190" s="3"/>
    </row>
    <row r="6191" spans="1:9" s="4" customFormat="1" ht="20.25" customHeight="1" x14ac:dyDescent="0.55000000000000004">
      <c r="A6191" s="18">
        <v>24.737708999999999</v>
      </c>
      <c r="B6191" s="18">
        <v>34.7853797</v>
      </c>
      <c r="C6191" s="18">
        <v>680561.85</v>
      </c>
      <c r="D6191" s="18">
        <v>2737082.63</v>
      </c>
      <c r="E6191" s="18">
        <v>371.39</v>
      </c>
      <c r="F6191" s="18">
        <v>41654.43</v>
      </c>
      <c r="G6191" s="18">
        <v>121200</v>
      </c>
      <c r="H6191" s="18">
        <f t="shared" si="148"/>
        <v>41508.43</v>
      </c>
      <c r="I6191" s="3"/>
    </row>
    <row r="6192" spans="1:9" s="4" customFormat="1" ht="20.25" customHeight="1" x14ac:dyDescent="0.55000000000000004">
      <c r="A6192" s="18">
        <v>24.737700100000001</v>
      </c>
      <c r="B6192" s="18">
        <v>34.785356100000001</v>
      </c>
      <c r="C6192" s="18">
        <v>680559.48</v>
      </c>
      <c r="D6192" s="18">
        <v>2737081.62</v>
      </c>
      <c r="E6192" s="18">
        <v>371.55</v>
      </c>
      <c r="F6192" s="18">
        <v>41652.199999999997</v>
      </c>
      <c r="G6192" s="18">
        <v>121202</v>
      </c>
      <c r="H6192" s="18">
        <f t="shared" si="148"/>
        <v>41506.199999999997</v>
      </c>
      <c r="I6192" s="3"/>
    </row>
    <row r="6193" spans="1:9" s="4" customFormat="1" ht="20.25" customHeight="1" x14ac:dyDescent="0.55000000000000004">
      <c r="A6193" s="18">
        <v>24.7376951</v>
      </c>
      <c r="B6193" s="18">
        <v>34.7853365</v>
      </c>
      <c r="C6193" s="18">
        <v>680557.5</v>
      </c>
      <c r="D6193" s="18">
        <v>2737081.05</v>
      </c>
      <c r="E6193" s="18">
        <v>371.53</v>
      </c>
      <c r="F6193" s="18">
        <v>41656.06</v>
      </c>
      <c r="G6193" s="18">
        <v>121204</v>
      </c>
      <c r="H6193" s="18">
        <f t="shared" si="148"/>
        <v>41510.06</v>
      </c>
      <c r="I6193" s="3"/>
    </row>
    <row r="6194" spans="1:9" s="4" customFormat="1" ht="20.25" customHeight="1" x14ac:dyDescent="0.55000000000000004">
      <c r="A6194" s="18">
        <v>24.737682199999998</v>
      </c>
      <c r="B6194" s="18">
        <v>34.785316799999997</v>
      </c>
      <c r="C6194" s="18">
        <v>680555.53</v>
      </c>
      <c r="D6194" s="18">
        <v>2737079.59</v>
      </c>
      <c r="E6194" s="18">
        <v>371.5</v>
      </c>
      <c r="F6194" s="18">
        <v>41644.44</v>
      </c>
      <c r="G6194" s="18">
        <v>121206</v>
      </c>
      <c r="H6194" s="18">
        <f t="shared" si="148"/>
        <v>41498.44</v>
      </c>
      <c r="I6194" s="3"/>
    </row>
    <row r="6195" spans="1:9" s="4" customFormat="1" ht="20.25" customHeight="1" x14ac:dyDescent="0.55000000000000004">
      <c r="A6195" s="18">
        <v>24.737665799999998</v>
      </c>
      <c r="B6195" s="18">
        <v>34.785301699999998</v>
      </c>
      <c r="C6195" s="18">
        <v>680554.03</v>
      </c>
      <c r="D6195" s="18">
        <v>2737077.75</v>
      </c>
      <c r="E6195" s="18">
        <v>371.55</v>
      </c>
      <c r="F6195" s="18">
        <v>41646.82</v>
      </c>
      <c r="G6195" s="18">
        <v>121208</v>
      </c>
      <c r="H6195" s="18">
        <f t="shared" si="148"/>
        <v>41500.82</v>
      </c>
      <c r="I6195" s="3"/>
    </row>
    <row r="6196" spans="1:9" s="4" customFormat="1" ht="20.25" customHeight="1" x14ac:dyDescent="0.55000000000000004">
      <c r="A6196" s="18">
        <v>24.737646600000001</v>
      </c>
      <c r="B6196" s="18">
        <v>34.785288000000001</v>
      </c>
      <c r="C6196" s="18">
        <v>680552.67</v>
      </c>
      <c r="D6196" s="18">
        <v>2737075.61</v>
      </c>
      <c r="E6196" s="18">
        <v>371.48</v>
      </c>
      <c r="F6196" s="18">
        <v>41645.74</v>
      </c>
      <c r="G6196" s="18">
        <v>121210</v>
      </c>
      <c r="H6196" s="18">
        <f t="shared" si="148"/>
        <v>41499.74</v>
      </c>
      <c r="I6196" s="3"/>
    </row>
    <row r="6197" spans="1:9" s="4" customFormat="1" ht="20.25" customHeight="1" x14ac:dyDescent="0.55000000000000004">
      <c r="A6197" s="18">
        <v>24.7376288</v>
      </c>
      <c r="B6197" s="18">
        <v>34.785270500000003</v>
      </c>
      <c r="C6197" s="18">
        <v>680550.93</v>
      </c>
      <c r="D6197" s="18">
        <v>2737073.61</v>
      </c>
      <c r="E6197" s="18">
        <v>371.46</v>
      </c>
      <c r="F6197" s="18">
        <v>41652.69</v>
      </c>
      <c r="G6197" s="18">
        <v>121212</v>
      </c>
      <c r="H6197" s="18">
        <f t="shared" si="148"/>
        <v>41506.69</v>
      </c>
      <c r="I6197" s="3"/>
    </row>
    <row r="6198" spans="1:9" s="4" customFormat="1" ht="20.25" customHeight="1" x14ac:dyDescent="0.55000000000000004">
      <c r="A6198" s="18">
        <v>24.737611399999999</v>
      </c>
      <c r="B6198" s="18">
        <v>34.7852538</v>
      </c>
      <c r="C6198" s="18">
        <v>680549.25</v>
      </c>
      <c r="D6198" s="18">
        <v>2737071.66</v>
      </c>
      <c r="E6198" s="18">
        <v>371.63</v>
      </c>
      <c r="F6198" s="18">
        <v>41655.879999999997</v>
      </c>
      <c r="G6198" s="18">
        <v>121214</v>
      </c>
      <c r="H6198" s="18">
        <f t="shared" si="148"/>
        <v>41509.879999999997</v>
      </c>
      <c r="I6198" s="3"/>
    </row>
    <row r="6199" spans="1:9" s="4" customFormat="1" ht="20.25" customHeight="1" x14ac:dyDescent="0.55000000000000004">
      <c r="A6199" s="18">
        <v>24.7375933</v>
      </c>
      <c r="B6199" s="18">
        <v>34.785241499999998</v>
      </c>
      <c r="C6199" s="18">
        <v>680548.04</v>
      </c>
      <c r="D6199" s="18">
        <v>2737069.64</v>
      </c>
      <c r="E6199" s="18">
        <v>371.64</v>
      </c>
      <c r="F6199" s="18">
        <v>41675.599999999999</v>
      </c>
      <c r="G6199" s="18">
        <v>121216</v>
      </c>
      <c r="H6199" s="18">
        <f t="shared" si="148"/>
        <v>41529.599999999999</v>
      </c>
      <c r="I6199" s="3"/>
    </row>
    <row r="6200" spans="1:9" s="4" customFormat="1" ht="20.25" customHeight="1" x14ac:dyDescent="0.55000000000000004">
      <c r="A6200" s="18">
        <v>24.737576099999998</v>
      </c>
      <c r="B6200" s="18">
        <v>34.785226000000002</v>
      </c>
      <c r="C6200" s="18">
        <v>680546.5</v>
      </c>
      <c r="D6200" s="18">
        <v>2737067.72</v>
      </c>
      <c r="E6200" s="18">
        <v>371.67</v>
      </c>
      <c r="F6200" s="18">
        <v>41648.639999999999</v>
      </c>
      <c r="G6200" s="18">
        <v>121218</v>
      </c>
      <c r="H6200" s="18">
        <f t="shared" si="148"/>
        <v>41502.639999999999</v>
      </c>
      <c r="I6200" s="3"/>
    </row>
    <row r="6201" spans="1:9" s="4" customFormat="1" ht="20.25" customHeight="1" x14ac:dyDescent="0.55000000000000004">
      <c r="A6201" s="18">
        <v>24.7375598</v>
      </c>
      <c r="B6201" s="18">
        <v>34.785219300000001</v>
      </c>
      <c r="C6201" s="18">
        <v>680545.85</v>
      </c>
      <c r="D6201" s="18">
        <v>2737065.91</v>
      </c>
      <c r="E6201" s="18">
        <v>371.89</v>
      </c>
      <c r="F6201" s="18">
        <v>41648.870000000003</v>
      </c>
      <c r="G6201" s="18">
        <v>121220</v>
      </c>
      <c r="H6201" s="18">
        <f t="shared" si="148"/>
        <v>41502.870000000003</v>
      </c>
      <c r="I6201" s="3"/>
    </row>
    <row r="6202" spans="1:9" s="4" customFormat="1" ht="20.25" customHeight="1" x14ac:dyDescent="0.55000000000000004">
      <c r="A6202" s="18">
        <v>24.7375474</v>
      </c>
      <c r="B6202" s="18">
        <v>34.785204399999998</v>
      </c>
      <c r="C6202" s="18">
        <v>680544.36</v>
      </c>
      <c r="D6202" s="18">
        <v>2737064.51</v>
      </c>
      <c r="E6202" s="18">
        <v>372.01</v>
      </c>
      <c r="F6202" s="18">
        <v>41654.35</v>
      </c>
      <c r="G6202" s="18">
        <v>121222</v>
      </c>
      <c r="H6202" s="18">
        <f t="shared" si="148"/>
        <v>41508.35</v>
      </c>
      <c r="I6202" s="3"/>
    </row>
    <row r="6203" spans="1:9" s="4" customFormat="1" ht="20.25" customHeight="1" x14ac:dyDescent="0.55000000000000004">
      <c r="A6203" s="18">
        <v>24.7375379</v>
      </c>
      <c r="B6203" s="18">
        <v>34.785184899999997</v>
      </c>
      <c r="C6203" s="18">
        <v>680542.39</v>
      </c>
      <c r="D6203" s="18">
        <v>2737063.43</v>
      </c>
      <c r="E6203" s="18">
        <v>371.99</v>
      </c>
      <c r="F6203" s="18">
        <v>41657.019999999997</v>
      </c>
      <c r="G6203" s="18">
        <v>121224</v>
      </c>
      <c r="H6203" s="18">
        <f t="shared" si="148"/>
        <v>41511.019999999997</v>
      </c>
      <c r="I6203" s="3"/>
    </row>
    <row r="6204" spans="1:9" s="4" customFormat="1" ht="20.25" customHeight="1" x14ac:dyDescent="0.55000000000000004">
      <c r="A6204" s="18">
        <v>24.737527499999999</v>
      </c>
      <c r="B6204" s="18">
        <v>34.785167299999998</v>
      </c>
      <c r="C6204" s="18">
        <v>680540.63</v>
      </c>
      <c r="D6204" s="18">
        <v>2737062.26</v>
      </c>
      <c r="E6204" s="18">
        <v>372.06</v>
      </c>
      <c r="F6204" s="18">
        <v>41664.33</v>
      </c>
      <c r="G6204" s="18">
        <v>121226</v>
      </c>
      <c r="H6204" s="18">
        <f t="shared" si="148"/>
        <v>41518.33</v>
      </c>
      <c r="I6204" s="3"/>
    </row>
    <row r="6205" spans="1:9" s="4" customFormat="1" ht="20.25" customHeight="1" x14ac:dyDescent="0.55000000000000004">
      <c r="A6205" s="18">
        <v>24.737516599999999</v>
      </c>
      <c r="B6205" s="18">
        <v>34.785149599999997</v>
      </c>
      <c r="C6205" s="18">
        <v>680538.86</v>
      </c>
      <c r="D6205" s="18">
        <v>2737061.03</v>
      </c>
      <c r="E6205" s="18">
        <v>372.02</v>
      </c>
      <c r="F6205" s="18">
        <v>41664.1</v>
      </c>
      <c r="G6205" s="18">
        <v>121228</v>
      </c>
      <c r="H6205" s="18">
        <f t="shared" si="148"/>
        <v>41518.1</v>
      </c>
      <c r="I6205" s="3"/>
    </row>
    <row r="6206" spans="1:9" s="4" customFormat="1" ht="20.25" customHeight="1" x14ac:dyDescent="0.55000000000000004">
      <c r="A6206" s="18">
        <v>24.737508800000001</v>
      </c>
      <c r="B6206" s="18">
        <v>34.785136100000003</v>
      </c>
      <c r="C6206" s="18">
        <v>680537.51</v>
      </c>
      <c r="D6206" s="18">
        <v>2737060.14</v>
      </c>
      <c r="E6206" s="18">
        <v>372</v>
      </c>
      <c r="F6206" s="18">
        <v>41664.660000000003</v>
      </c>
      <c r="G6206" s="18">
        <v>121230</v>
      </c>
      <c r="H6206" s="18">
        <f t="shared" si="148"/>
        <v>41518.660000000003</v>
      </c>
      <c r="I6206" s="3"/>
    </row>
    <row r="6207" spans="1:9" s="4" customFormat="1" ht="20.25" customHeight="1" x14ac:dyDescent="0.55000000000000004">
      <c r="A6207" s="18">
        <v>24.737501399999999</v>
      </c>
      <c r="B6207" s="18">
        <v>34.785131800000002</v>
      </c>
      <c r="C6207" s="18">
        <v>680537.08</v>
      </c>
      <c r="D6207" s="18">
        <v>2737059.32</v>
      </c>
      <c r="E6207" s="18">
        <v>372.07</v>
      </c>
      <c r="F6207" s="18">
        <v>41672.54</v>
      </c>
      <c r="G6207" s="18">
        <v>121232</v>
      </c>
      <c r="H6207" s="18">
        <f t="shared" si="148"/>
        <v>41526.54</v>
      </c>
      <c r="I6207" s="3"/>
    </row>
    <row r="6208" spans="1:9" s="4" customFormat="1" ht="20.25" customHeight="1" x14ac:dyDescent="0.55000000000000004">
      <c r="A6208" s="18">
        <v>24.737486700000002</v>
      </c>
      <c r="B6208" s="18">
        <v>34.785133999999999</v>
      </c>
      <c r="C6208" s="18">
        <v>680537.32</v>
      </c>
      <c r="D6208" s="18">
        <v>2737057.7</v>
      </c>
      <c r="E6208" s="18">
        <v>372</v>
      </c>
      <c r="F6208" s="18">
        <v>41685.79</v>
      </c>
      <c r="G6208" s="18">
        <v>121234</v>
      </c>
      <c r="H6208" s="18">
        <f t="shared" si="148"/>
        <v>41539.79</v>
      </c>
      <c r="I6208" s="3"/>
    </row>
    <row r="6209" spans="1:9" s="4" customFormat="1" ht="20.25" customHeight="1" x14ac:dyDescent="0.55000000000000004">
      <c r="A6209" s="18">
        <v>24.737469000000001</v>
      </c>
      <c r="B6209" s="18">
        <v>34.785124000000003</v>
      </c>
      <c r="C6209" s="18">
        <v>680536.34</v>
      </c>
      <c r="D6209" s="18">
        <v>2737055.73</v>
      </c>
      <c r="E6209" s="18">
        <v>371.95</v>
      </c>
      <c r="F6209" s="18">
        <v>41691.35</v>
      </c>
      <c r="G6209" s="18">
        <v>121236</v>
      </c>
      <c r="H6209" s="18">
        <f t="shared" si="148"/>
        <v>41545.35</v>
      </c>
      <c r="I6209" s="3"/>
    </row>
    <row r="6210" spans="1:9" s="4" customFormat="1" ht="20.25" customHeight="1" x14ac:dyDescent="0.55000000000000004">
      <c r="A6210" s="18">
        <v>24.7374607</v>
      </c>
      <c r="B6210" s="18">
        <v>34.785103200000002</v>
      </c>
      <c r="C6210" s="18">
        <v>680534.24</v>
      </c>
      <c r="D6210" s="18">
        <v>2737054.78</v>
      </c>
      <c r="E6210" s="18">
        <v>372.03</v>
      </c>
      <c r="F6210" s="18">
        <v>41676.980000000003</v>
      </c>
      <c r="G6210" s="18">
        <v>121238</v>
      </c>
      <c r="H6210" s="18">
        <f t="shared" si="148"/>
        <v>41530.980000000003</v>
      </c>
      <c r="I6210" s="3"/>
    </row>
    <row r="6211" spans="1:9" s="4" customFormat="1" ht="20.25" customHeight="1" x14ac:dyDescent="0.55000000000000004">
      <c r="A6211" s="18">
        <v>24.737452099999999</v>
      </c>
      <c r="B6211" s="18">
        <v>34.785079899999999</v>
      </c>
      <c r="C6211" s="18">
        <v>680531.9</v>
      </c>
      <c r="D6211" s="18">
        <v>2737053.79</v>
      </c>
      <c r="E6211" s="18">
        <v>372.11</v>
      </c>
      <c r="F6211" s="18">
        <v>41675.839999999997</v>
      </c>
      <c r="G6211" s="18">
        <v>121240</v>
      </c>
      <c r="H6211" s="18">
        <f t="shared" si="148"/>
        <v>41529.839999999997</v>
      </c>
      <c r="I6211" s="3"/>
    </row>
    <row r="6212" spans="1:9" s="4" customFormat="1" ht="20.25" customHeight="1" x14ac:dyDescent="0.55000000000000004">
      <c r="A6212" s="18">
        <v>24.737443500000001</v>
      </c>
      <c r="B6212" s="18">
        <v>34.785059699999998</v>
      </c>
      <c r="C6212" s="18">
        <v>680529.87</v>
      </c>
      <c r="D6212" s="18">
        <v>2737052.81</v>
      </c>
      <c r="E6212" s="18">
        <v>372.25</v>
      </c>
      <c r="F6212" s="18">
        <v>41684.19</v>
      </c>
      <c r="G6212" s="18">
        <v>121242</v>
      </c>
      <c r="H6212" s="18">
        <f t="shared" si="148"/>
        <v>41538.19</v>
      </c>
      <c r="I6212" s="3"/>
    </row>
    <row r="6213" spans="1:9" s="4" customFormat="1" ht="20.25" customHeight="1" x14ac:dyDescent="0.55000000000000004">
      <c r="A6213" s="18">
        <v>24.737432200000001</v>
      </c>
      <c r="B6213" s="18">
        <v>34.785039400000002</v>
      </c>
      <c r="C6213" s="18">
        <v>680527.83</v>
      </c>
      <c r="D6213" s="18">
        <v>2737051.53</v>
      </c>
      <c r="E6213" s="18">
        <v>372.36</v>
      </c>
      <c r="F6213" s="18">
        <v>41684.71</v>
      </c>
      <c r="G6213" s="18">
        <v>121244</v>
      </c>
      <c r="H6213" s="18">
        <f t="shared" si="148"/>
        <v>41538.71</v>
      </c>
      <c r="I6213" s="3"/>
    </row>
    <row r="6214" spans="1:9" s="4" customFormat="1" ht="20.25" customHeight="1" x14ac:dyDescent="0.55000000000000004">
      <c r="A6214" s="18">
        <v>24.737419800000001</v>
      </c>
      <c r="B6214" s="18">
        <v>34.785020400000001</v>
      </c>
      <c r="C6214" s="18">
        <v>680525.93</v>
      </c>
      <c r="D6214" s="18">
        <v>2737050.14</v>
      </c>
      <c r="E6214" s="18">
        <v>372.42</v>
      </c>
      <c r="F6214" s="18">
        <v>41678.410000000003</v>
      </c>
      <c r="G6214" s="18">
        <v>121246</v>
      </c>
      <c r="H6214" s="18">
        <f t="shared" si="148"/>
        <v>41532.410000000003</v>
      </c>
      <c r="I6214" s="3"/>
    </row>
    <row r="6215" spans="1:9" s="4" customFormat="1" ht="20.25" customHeight="1" x14ac:dyDescent="0.55000000000000004">
      <c r="A6215" s="18">
        <v>24.737403799999999</v>
      </c>
      <c r="B6215" s="18">
        <v>34.785003000000003</v>
      </c>
      <c r="C6215" s="18">
        <v>680524.19</v>
      </c>
      <c r="D6215" s="18">
        <v>2737048.34</v>
      </c>
      <c r="E6215" s="18">
        <v>372.56</v>
      </c>
      <c r="F6215" s="18">
        <v>41685.22</v>
      </c>
      <c r="G6215" s="18">
        <v>121248</v>
      </c>
      <c r="H6215" s="18">
        <f t="shared" si="148"/>
        <v>41539.22</v>
      </c>
      <c r="I6215" s="3"/>
    </row>
    <row r="6216" spans="1:9" s="4" customFormat="1" ht="20.25" customHeight="1" x14ac:dyDescent="0.55000000000000004">
      <c r="A6216" s="18">
        <v>24.737390699999999</v>
      </c>
      <c r="B6216" s="18">
        <v>34.784981299999998</v>
      </c>
      <c r="C6216" s="18">
        <v>680522.01</v>
      </c>
      <c r="D6216" s="18">
        <v>2737046.86</v>
      </c>
      <c r="E6216" s="18">
        <v>372.59</v>
      </c>
      <c r="F6216" s="18">
        <v>41685.54</v>
      </c>
      <c r="G6216" s="18">
        <v>121250</v>
      </c>
      <c r="H6216" s="18">
        <f t="shared" si="148"/>
        <v>41539.54</v>
      </c>
      <c r="I6216" s="3"/>
    </row>
    <row r="6217" spans="1:9" s="4" customFormat="1" ht="20.25" customHeight="1" x14ac:dyDescent="0.55000000000000004">
      <c r="A6217" s="18">
        <v>24.737382199999999</v>
      </c>
      <c r="B6217" s="18">
        <v>34.784957300000002</v>
      </c>
      <c r="C6217" s="18">
        <v>680519.6</v>
      </c>
      <c r="D6217" s="18">
        <v>2737045.88</v>
      </c>
      <c r="E6217" s="18">
        <v>372.67</v>
      </c>
      <c r="F6217" s="18">
        <v>41680.99</v>
      </c>
      <c r="G6217" s="18">
        <v>121252</v>
      </c>
      <c r="H6217" s="18">
        <f t="shared" si="148"/>
        <v>41534.99</v>
      </c>
      <c r="I6217" s="3"/>
    </row>
    <row r="6218" spans="1:9" s="4" customFormat="1" ht="20.25" customHeight="1" x14ac:dyDescent="0.55000000000000004">
      <c r="A6218" s="18">
        <v>24.737377200000001</v>
      </c>
      <c r="B6218" s="18">
        <v>34.784934900000003</v>
      </c>
      <c r="C6218" s="18">
        <v>680517.34</v>
      </c>
      <c r="D6218" s="18">
        <v>2737045.3</v>
      </c>
      <c r="E6218" s="18">
        <v>372.84</v>
      </c>
      <c r="F6218" s="18">
        <v>41673.82</v>
      </c>
      <c r="G6218" s="18">
        <v>121254</v>
      </c>
      <c r="H6218" s="18">
        <f t="shared" si="148"/>
        <v>41527.82</v>
      </c>
      <c r="I6218" s="3"/>
    </row>
    <row r="6219" spans="1:9" s="4" customFormat="1" ht="20.25" customHeight="1" x14ac:dyDescent="0.55000000000000004">
      <c r="A6219" s="18">
        <v>24.737375</v>
      </c>
      <c r="B6219" s="18">
        <v>34.784910400000001</v>
      </c>
      <c r="C6219" s="18">
        <v>680514.87</v>
      </c>
      <c r="D6219" s="18">
        <v>2737045.02</v>
      </c>
      <c r="E6219" s="18">
        <v>372.84</v>
      </c>
      <c r="F6219" s="18">
        <v>41662.01</v>
      </c>
      <c r="G6219" s="18">
        <v>121256</v>
      </c>
      <c r="H6219" s="18">
        <f t="shared" si="148"/>
        <v>41516.01</v>
      </c>
      <c r="I6219" s="3"/>
    </row>
    <row r="6220" spans="1:9" s="4" customFormat="1" ht="20.25" customHeight="1" x14ac:dyDescent="0.55000000000000004">
      <c r="A6220" s="18">
        <v>24.737372700000002</v>
      </c>
      <c r="B6220" s="18">
        <v>34.784885199999998</v>
      </c>
      <c r="C6220" s="18">
        <v>680512.32</v>
      </c>
      <c r="D6220" s="18">
        <v>2737044.74</v>
      </c>
      <c r="E6220" s="18">
        <v>373.01</v>
      </c>
      <c r="F6220" s="18">
        <v>41656.25</v>
      </c>
      <c r="G6220" s="18">
        <v>121258</v>
      </c>
      <c r="H6220" s="18">
        <f t="shared" si="148"/>
        <v>41510.25</v>
      </c>
      <c r="I6220" s="3"/>
    </row>
    <row r="6221" spans="1:9" s="4" customFormat="1" ht="20.25" customHeight="1" x14ac:dyDescent="0.55000000000000004">
      <c r="A6221" s="18">
        <v>24.737365100000002</v>
      </c>
      <c r="B6221" s="18">
        <v>34.784864800000001</v>
      </c>
      <c r="C6221" s="18">
        <v>680510.27</v>
      </c>
      <c r="D6221" s="18">
        <v>2737043.87</v>
      </c>
      <c r="E6221" s="18">
        <v>373.09</v>
      </c>
      <c r="F6221" s="18">
        <v>41676.82</v>
      </c>
      <c r="G6221" s="18">
        <v>121300</v>
      </c>
      <c r="H6221" s="18">
        <f t="shared" si="148"/>
        <v>41530.82</v>
      </c>
      <c r="I6221" s="3"/>
    </row>
    <row r="6222" spans="1:9" s="4" customFormat="1" ht="20.25" customHeight="1" x14ac:dyDescent="0.55000000000000004">
      <c r="A6222" s="18">
        <v>24.737352000000001</v>
      </c>
      <c r="B6222" s="18">
        <v>34.784848400000001</v>
      </c>
      <c r="C6222" s="18">
        <v>680508.63</v>
      </c>
      <c r="D6222" s="18">
        <v>2737042.39</v>
      </c>
      <c r="E6222" s="18">
        <v>373.14</v>
      </c>
      <c r="F6222" s="18">
        <v>41682.25</v>
      </c>
      <c r="G6222" s="18">
        <v>121302</v>
      </c>
      <c r="H6222" s="18">
        <f t="shared" si="148"/>
        <v>41536.25</v>
      </c>
      <c r="I6222" s="3"/>
    </row>
    <row r="6223" spans="1:9" s="4" customFormat="1" ht="20.25" customHeight="1" x14ac:dyDescent="0.55000000000000004">
      <c r="A6223" s="18">
        <v>24.737342300000002</v>
      </c>
      <c r="B6223" s="18">
        <v>34.784827499999999</v>
      </c>
      <c r="C6223" s="18">
        <v>680506.52</v>
      </c>
      <c r="D6223" s="18">
        <v>2737041.29</v>
      </c>
      <c r="E6223" s="18">
        <v>373.12</v>
      </c>
      <c r="F6223" s="18">
        <v>41684.769999999997</v>
      </c>
      <c r="G6223" s="18">
        <v>121304</v>
      </c>
      <c r="H6223" s="18">
        <f t="shared" si="148"/>
        <v>41538.769999999997</v>
      </c>
      <c r="I6223" s="3"/>
    </row>
    <row r="6224" spans="1:9" s="4" customFormat="1" ht="20.25" customHeight="1" x14ac:dyDescent="0.55000000000000004">
      <c r="A6224" s="18">
        <v>24.737337799999999</v>
      </c>
      <c r="B6224" s="18">
        <v>34.7848039</v>
      </c>
      <c r="C6224" s="18">
        <v>680504.15</v>
      </c>
      <c r="D6224" s="18">
        <v>2737040.77</v>
      </c>
      <c r="E6224" s="18">
        <v>373.04</v>
      </c>
      <c r="F6224" s="18">
        <v>41690.730000000003</v>
      </c>
      <c r="G6224" s="18">
        <v>121306</v>
      </c>
      <c r="H6224" s="18">
        <f t="shared" si="148"/>
        <v>41544.730000000003</v>
      </c>
      <c r="I6224" s="3"/>
    </row>
    <row r="6225" spans="1:9" s="4" customFormat="1" ht="20.25" customHeight="1" x14ac:dyDescent="0.55000000000000004">
      <c r="A6225" s="18">
        <v>24.737342000000002</v>
      </c>
      <c r="B6225" s="18">
        <v>34.784778699999997</v>
      </c>
      <c r="C6225" s="18">
        <v>680501.59</v>
      </c>
      <c r="D6225" s="18">
        <v>2737041.2</v>
      </c>
      <c r="E6225" s="18">
        <v>373.22</v>
      </c>
      <c r="F6225" s="18">
        <v>41683.06</v>
      </c>
      <c r="G6225" s="18">
        <v>121308</v>
      </c>
      <c r="H6225" s="18">
        <f t="shared" si="148"/>
        <v>41537.06</v>
      </c>
      <c r="I6225" s="3"/>
    </row>
    <row r="6226" spans="1:9" s="4" customFormat="1" ht="20.25" customHeight="1" x14ac:dyDescent="0.55000000000000004">
      <c r="A6226" s="18">
        <v>24.737338600000001</v>
      </c>
      <c r="B6226" s="18">
        <v>34.784759399999999</v>
      </c>
      <c r="C6226" s="18">
        <v>680499.64</v>
      </c>
      <c r="D6226" s="18">
        <v>2737040.79</v>
      </c>
      <c r="E6226" s="18">
        <v>373.4</v>
      </c>
      <c r="F6226" s="18">
        <v>41669.33</v>
      </c>
      <c r="G6226" s="18">
        <v>121310</v>
      </c>
      <c r="H6226" s="18">
        <f t="shared" si="148"/>
        <v>41523.33</v>
      </c>
      <c r="I6226" s="3"/>
    </row>
    <row r="6227" spans="1:9" s="4" customFormat="1" ht="20.25" customHeight="1" x14ac:dyDescent="0.55000000000000004">
      <c r="A6227" s="18">
        <v>24.737331900000001</v>
      </c>
      <c r="B6227" s="18">
        <v>34.784739600000002</v>
      </c>
      <c r="C6227" s="18">
        <v>680497.65</v>
      </c>
      <c r="D6227" s="18">
        <v>2737040.03</v>
      </c>
      <c r="E6227" s="18">
        <v>373.63</v>
      </c>
      <c r="F6227" s="18">
        <v>41669.78</v>
      </c>
      <c r="G6227" s="18">
        <v>121312</v>
      </c>
      <c r="H6227" s="18">
        <f t="shared" si="148"/>
        <v>41523.78</v>
      </c>
      <c r="I6227" s="3"/>
    </row>
    <row r="6228" spans="1:9" s="4" customFormat="1" ht="20.25" customHeight="1" x14ac:dyDescent="0.55000000000000004">
      <c r="A6228" s="18">
        <v>24.737323700000001</v>
      </c>
      <c r="B6228" s="18">
        <v>34.7847194</v>
      </c>
      <c r="C6228" s="18">
        <v>680495.62</v>
      </c>
      <c r="D6228" s="18">
        <v>2737039.1</v>
      </c>
      <c r="E6228" s="18">
        <v>373.7</v>
      </c>
      <c r="F6228" s="18">
        <v>41681.440000000002</v>
      </c>
      <c r="G6228" s="18">
        <v>121314</v>
      </c>
      <c r="H6228" s="18">
        <f t="shared" si="148"/>
        <v>41535.440000000002</v>
      </c>
      <c r="I6228" s="3"/>
    </row>
    <row r="6229" spans="1:9" s="4" customFormat="1" ht="20.25" customHeight="1" x14ac:dyDescent="0.55000000000000004">
      <c r="A6229" s="18">
        <v>24.737312299999999</v>
      </c>
      <c r="B6229" s="18">
        <v>34.784700299999997</v>
      </c>
      <c r="C6229" s="18">
        <v>680493.7</v>
      </c>
      <c r="D6229" s="18">
        <v>2737037.81</v>
      </c>
      <c r="E6229" s="18">
        <v>373.85</v>
      </c>
      <c r="F6229" s="18">
        <v>41674.800000000003</v>
      </c>
      <c r="G6229" s="18">
        <v>121316</v>
      </c>
      <c r="H6229" s="18">
        <f t="shared" si="148"/>
        <v>41528.800000000003</v>
      </c>
      <c r="I6229" s="3"/>
    </row>
    <row r="6230" spans="1:9" s="4" customFormat="1" ht="20.25" customHeight="1" x14ac:dyDescent="0.55000000000000004">
      <c r="A6230" s="18">
        <v>24.737310300000001</v>
      </c>
      <c r="B6230" s="18">
        <v>34.784678200000002</v>
      </c>
      <c r="C6230" s="18">
        <v>680491.47</v>
      </c>
      <c r="D6230" s="18">
        <v>2737037.55</v>
      </c>
      <c r="E6230" s="18">
        <v>373.85</v>
      </c>
      <c r="F6230" s="18">
        <v>41679.57</v>
      </c>
      <c r="G6230" s="18">
        <v>121318</v>
      </c>
      <c r="H6230" s="18">
        <f t="shared" si="148"/>
        <v>41533.57</v>
      </c>
      <c r="I6230" s="3"/>
    </row>
    <row r="6231" spans="1:9" s="4" customFormat="1" ht="20.25" customHeight="1" x14ac:dyDescent="0.55000000000000004">
      <c r="A6231" s="18">
        <v>24.737308800000001</v>
      </c>
      <c r="B6231" s="18">
        <v>34.784656400000003</v>
      </c>
      <c r="C6231" s="18">
        <v>680489.26</v>
      </c>
      <c r="D6231" s="18">
        <v>2737037.36</v>
      </c>
      <c r="E6231" s="18">
        <v>373.94</v>
      </c>
      <c r="F6231" s="18">
        <v>41672.120000000003</v>
      </c>
      <c r="G6231" s="18">
        <v>121320</v>
      </c>
      <c r="H6231" s="18">
        <f t="shared" si="148"/>
        <v>41526.120000000003</v>
      </c>
      <c r="I6231" s="3"/>
    </row>
    <row r="6232" spans="1:9" s="4" customFormat="1" ht="20.25" customHeight="1" x14ac:dyDescent="0.55000000000000004">
      <c r="A6232" s="18">
        <v>24.7373069</v>
      </c>
      <c r="B6232" s="18">
        <v>34.784634400000002</v>
      </c>
      <c r="C6232" s="18">
        <v>680487.04</v>
      </c>
      <c r="D6232" s="18">
        <v>2737037.12</v>
      </c>
      <c r="E6232" s="18">
        <v>373.9</v>
      </c>
      <c r="F6232" s="18">
        <v>41671.760000000002</v>
      </c>
      <c r="G6232" s="18">
        <v>121322</v>
      </c>
      <c r="H6232" s="18">
        <f t="shared" si="148"/>
        <v>41525.760000000002</v>
      </c>
      <c r="I6232" s="3"/>
    </row>
    <row r="6233" spans="1:9" s="4" customFormat="1" ht="20.25" customHeight="1" x14ac:dyDescent="0.55000000000000004">
      <c r="A6233" s="18">
        <v>24.737302799999998</v>
      </c>
      <c r="B6233" s="18">
        <v>34.784610000000001</v>
      </c>
      <c r="C6233" s="18">
        <v>680484.58</v>
      </c>
      <c r="D6233" s="18">
        <v>2737036.63</v>
      </c>
      <c r="E6233" s="18">
        <v>373.78</v>
      </c>
      <c r="F6233" s="18">
        <v>41673.64</v>
      </c>
      <c r="G6233" s="18">
        <v>121324</v>
      </c>
      <c r="H6233" s="18">
        <f t="shared" si="148"/>
        <v>41527.64</v>
      </c>
      <c r="I6233" s="3"/>
    </row>
    <row r="6234" spans="1:9" s="4" customFormat="1" ht="20.25" customHeight="1" x14ac:dyDescent="0.55000000000000004">
      <c r="A6234" s="18">
        <v>24.737300600000001</v>
      </c>
      <c r="B6234" s="18">
        <v>34.784585399999997</v>
      </c>
      <c r="C6234" s="18">
        <v>680482.1</v>
      </c>
      <c r="D6234" s="18">
        <v>2737036.36</v>
      </c>
      <c r="E6234" s="18">
        <v>373.75</v>
      </c>
      <c r="F6234" s="18">
        <v>41670.29</v>
      </c>
      <c r="G6234" s="18">
        <v>121326</v>
      </c>
      <c r="H6234" s="18">
        <f t="shared" si="148"/>
        <v>41524.29</v>
      </c>
      <c r="I6234" s="3"/>
    </row>
    <row r="6235" spans="1:9" s="4" customFormat="1" ht="20.25" customHeight="1" x14ac:dyDescent="0.55000000000000004">
      <c r="A6235" s="18">
        <v>24.737293699999999</v>
      </c>
      <c r="B6235" s="18">
        <v>34.784562200000003</v>
      </c>
      <c r="C6235" s="18">
        <v>680479.76</v>
      </c>
      <c r="D6235" s="18">
        <v>2737035.56</v>
      </c>
      <c r="E6235" s="18">
        <v>373.7</v>
      </c>
      <c r="F6235" s="18">
        <v>41669.03</v>
      </c>
      <c r="G6235" s="18">
        <v>121328</v>
      </c>
      <c r="H6235" s="18">
        <f t="shared" si="148"/>
        <v>41523.03</v>
      </c>
      <c r="I6235" s="3"/>
    </row>
    <row r="6236" spans="1:9" s="4" customFormat="1" ht="20.25" customHeight="1" x14ac:dyDescent="0.55000000000000004">
      <c r="A6236" s="18">
        <v>24.737287899999998</v>
      </c>
      <c r="B6236" s="18">
        <v>34.784538099999999</v>
      </c>
      <c r="C6236" s="18">
        <v>680477.33</v>
      </c>
      <c r="D6236" s="18">
        <v>2737034.89</v>
      </c>
      <c r="E6236" s="18">
        <v>373.87</v>
      </c>
      <c r="F6236" s="18">
        <v>41666.6</v>
      </c>
      <c r="G6236" s="18">
        <v>121330</v>
      </c>
      <c r="H6236" s="18">
        <f t="shared" si="148"/>
        <v>41520.6</v>
      </c>
      <c r="I6236" s="3"/>
    </row>
    <row r="6237" spans="1:9" s="4" customFormat="1" ht="20.25" customHeight="1" x14ac:dyDescent="0.55000000000000004">
      <c r="A6237" s="18">
        <v>24.7372862</v>
      </c>
      <c r="B6237" s="18">
        <v>34.784511899999998</v>
      </c>
      <c r="C6237" s="18">
        <v>680474.68</v>
      </c>
      <c r="D6237" s="18">
        <v>2737034.66</v>
      </c>
      <c r="E6237" s="18">
        <v>373.94</v>
      </c>
      <c r="F6237" s="18">
        <v>41670.61</v>
      </c>
      <c r="G6237" s="18">
        <v>121332</v>
      </c>
      <c r="H6237" s="18">
        <f t="shared" si="148"/>
        <v>41524.61</v>
      </c>
      <c r="I6237" s="3"/>
    </row>
    <row r="6238" spans="1:9" s="4" customFormat="1" ht="20.25" customHeight="1" x14ac:dyDescent="0.55000000000000004">
      <c r="A6238" s="18">
        <v>24.7372853</v>
      </c>
      <c r="B6238" s="18">
        <v>34.784488000000003</v>
      </c>
      <c r="C6238" s="18">
        <v>680472.27</v>
      </c>
      <c r="D6238" s="18">
        <v>2737034.53</v>
      </c>
      <c r="E6238" s="18">
        <v>374.06</v>
      </c>
      <c r="F6238" s="18">
        <v>41667.760000000002</v>
      </c>
      <c r="G6238" s="18">
        <v>121334</v>
      </c>
      <c r="H6238" s="18">
        <f t="shared" si="148"/>
        <v>41521.760000000002</v>
      </c>
      <c r="I6238" s="3"/>
    </row>
    <row r="6239" spans="1:9" s="4" customFormat="1" ht="20.25" customHeight="1" x14ac:dyDescent="0.55000000000000004">
      <c r="A6239" s="18">
        <v>24.737280800000001</v>
      </c>
      <c r="B6239" s="18">
        <v>34.784463600000002</v>
      </c>
      <c r="C6239" s="18">
        <v>680469.8</v>
      </c>
      <c r="D6239" s="18">
        <v>2737034</v>
      </c>
      <c r="E6239" s="18">
        <v>374.17</v>
      </c>
      <c r="F6239" s="18">
        <v>41677.01</v>
      </c>
      <c r="G6239" s="18">
        <v>121336</v>
      </c>
      <c r="H6239" s="18">
        <f t="shared" si="148"/>
        <v>41531.01</v>
      </c>
      <c r="I6239" s="3"/>
    </row>
    <row r="6240" spans="1:9" s="4" customFormat="1" ht="20.25" customHeight="1" x14ac:dyDescent="0.55000000000000004">
      <c r="A6240" s="18">
        <v>24.737273200000001</v>
      </c>
      <c r="B6240" s="18">
        <v>34.784439900000002</v>
      </c>
      <c r="C6240" s="18">
        <v>680467.42</v>
      </c>
      <c r="D6240" s="18">
        <v>2737033.13</v>
      </c>
      <c r="E6240" s="18">
        <v>374.23</v>
      </c>
      <c r="F6240" s="18">
        <v>41665.42</v>
      </c>
      <c r="G6240" s="18">
        <v>121338</v>
      </c>
      <c r="H6240" s="18">
        <f t="shared" si="148"/>
        <v>41519.42</v>
      </c>
      <c r="I6240" s="3"/>
    </row>
    <row r="6241" spans="1:9" s="4" customFormat="1" ht="20.25" customHeight="1" x14ac:dyDescent="0.55000000000000004">
      <c r="A6241" s="18">
        <v>24.737266999999999</v>
      </c>
      <c r="B6241" s="18">
        <v>34.784418199999998</v>
      </c>
      <c r="C6241" s="18">
        <v>680465.23</v>
      </c>
      <c r="D6241" s="18">
        <v>2737032.42</v>
      </c>
      <c r="E6241" s="18">
        <v>374.42</v>
      </c>
      <c r="F6241" s="18">
        <v>41658.21</v>
      </c>
      <c r="G6241" s="18">
        <v>121340</v>
      </c>
      <c r="H6241" s="18">
        <f t="shared" si="148"/>
        <v>41512.21</v>
      </c>
      <c r="I6241" s="3"/>
    </row>
    <row r="6242" spans="1:9" s="4" customFormat="1" ht="20.25" customHeight="1" x14ac:dyDescent="0.55000000000000004">
      <c r="A6242" s="18">
        <v>24.7372643</v>
      </c>
      <c r="B6242" s="18">
        <v>34.784393299999998</v>
      </c>
      <c r="C6242" s="18">
        <v>680462.71</v>
      </c>
      <c r="D6242" s="18">
        <v>2737032.08</v>
      </c>
      <c r="E6242" s="18">
        <v>374.41</v>
      </c>
      <c r="F6242" s="18">
        <v>41667.96</v>
      </c>
      <c r="G6242" s="18">
        <v>121342</v>
      </c>
      <c r="H6242" s="18">
        <f t="shared" si="148"/>
        <v>41521.96</v>
      </c>
      <c r="I6242" s="3"/>
    </row>
    <row r="6243" spans="1:9" s="4" customFormat="1" ht="20.25" customHeight="1" x14ac:dyDescent="0.55000000000000004">
      <c r="A6243" s="18">
        <v>24.737265699999998</v>
      </c>
      <c r="B6243" s="18">
        <v>34.784367600000003</v>
      </c>
      <c r="C6243" s="18">
        <v>680460.11</v>
      </c>
      <c r="D6243" s="18">
        <v>2737032.21</v>
      </c>
      <c r="E6243" s="18">
        <v>374.52</v>
      </c>
      <c r="F6243" s="18">
        <v>41670.65</v>
      </c>
      <c r="G6243" s="18">
        <v>121344</v>
      </c>
      <c r="H6243" s="18">
        <f t="shared" si="148"/>
        <v>41524.65</v>
      </c>
      <c r="I6243" s="3"/>
    </row>
    <row r="6244" spans="1:9" s="4" customFormat="1" ht="20.25" customHeight="1" x14ac:dyDescent="0.55000000000000004">
      <c r="A6244" s="18">
        <v>24.737266200000001</v>
      </c>
      <c r="B6244" s="18">
        <v>34.7843418</v>
      </c>
      <c r="C6244" s="18">
        <v>680457.51</v>
      </c>
      <c r="D6244" s="18">
        <v>2737032.23</v>
      </c>
      <c r="E6244" s="18">
        <v>374.67</v>
      </c>
      <c r="F6244" s="18">
        <v>41662.06</v>
      </c>
      <c r="G6244" s="18">
        <v>121346</v>
      </c>
      <c r="H6244" s="18">
        <f t="shared" si="148"/>
        <v>41516.06</v>
      </c>
      <c r="I6244" s="3"/>
    </row>
    <row r="6245" spans="1:9" s="4" customFormat="1" ht="20.25" customHeight="1" x14ac:dyDescent="0.55000000000000004">
      <c r="A6245" s="18">
        <v>24.737261100000001</v>
      </c>
      <c r="B6245" s="18">
        <v>34.784318200000001</v>
      </c>
      <c r="C6245" s="18">
        <v>680455.12</v>
      </c>
      <c r="D6245" s="18">
        <v>2737031.63</v>
      </c>
      <c r="E6245" s="18">
        <v>374.69</v>
      </c>
      <c r="F6245" s="18">
        <v>41667.519999999997</v>
      </c>
      <c r="G6245" s="18">
        <v>121348</v>
      </c>
      <c r="H6245" s="18">
        <f t="shared" ref="H6245:H6308" si="149">SUM(F6245-146)</f>
        <v>41521.519999999997</v>
      </c>
      <c r="I6245" s="3"/>
    </row>
    <row r="6246" spans="1:9" s="4" customFormat="1" ht="20.25" customHeight="1" x14ac:dyDescent="0.55000000000000004">
      <c r="A6246" s="18">
        <v>24.737255600000001</v>
      </c>
      <c r="B6246" s="18">
        <v>34.784293099999999</v>
      </c>
      <c r="C6246" s="18">
        <v>680452.6</v>
      </c>
      <c r="D6246" s="18">
        <v>2737030.99</v>
      </c>
      <c r="E6246" s="18">
        <v>374.91</v>
      </c>
      <c r="F6246" s="18">
        <v>41664.800000000003</v>
      </c>
      <c r="G6246" s="18">
        <v>121350</v>
      </c>
      <c r="H6246" s="18">
        <f t="shared" si="149"/>
        <v>41518.800000000003</v>
      </c>
      <c r="I6246" s="3"/>
    </row>
    <row r="6247" spans="1:9" s="4" customFormat="1" ht="20.25" customHeight="1" x14ac:dyDescent="0.55000000000000004">
      <c r="A6247" s="18">
        <v>24.7372519</v>
      </c>
      <c r="B6247" s="18">
        <v>34.784266700000003</v>
      </c>
      <c r="C6247" s="18">
        <v>680449.93</v>
      </c>
      <c r="D6247" s="18">
        <v>2737030.54</v>
      </c>
      <c r="E6247" s="18">
        <v>375.07</v>
      </c>
      <c r="F6247" s="18">
        <v>41659.29</v>
      </c>
      <c r="G6247" s="18">
        <v>121352</v>
      </c>
      <c r="H6247" s="18">
        <f t="shared" si="149"/>
        <v>41513.29</v>
      </c>
      <c r="I6247" s="3"/>
    </row>
    <row r="6248" spans="1:9" s="4" customFormat="1" ht="20.25" customHeight="1" x14ac:dyDescent="0.55000000000000004">
      <c r="A6248" s="18">
        <v>24.7372528</v>
      </c>
      <c r="B6248" s="18">
        <v>34.784241199999997</v>
      </c>
      <c r="C6248" s="18">
        <v>680447.35</v>
      </c>
      <c r="D6248" s="18">
        <v>2737030.61</v>
      </c>
      <c r="E6248" s="18">
        <v>375.13</v>
      </c>
      <c r="F6248" s="18">
        <v>41662.089999999997</v>
      </c>
      <c r="G6248" s="18">
        <v>121354</v>
      </c>
      <c r="H6248" s="18">
        <f t="shared" si="149"/>
        <v>41516.089999999997</v>
      </c>
      <c r="I6248" s="3"/>
    </row>
    <row r="6249" spans="1:9" s="4" customFormat="1" ht="20.25" customHeight="1" x14ac:dyDescent="0.55000000000000004">
      <c r="A6249" s="18">
        <v>24.7372525</v>
      </c>
      <c r="B6249" s="18">
        <v>34.784216399999998</v>
      </c>
      <c r="C6249" s="18">
        <v>680444.84</v>
      </c>
      <c r="D6249" s="18">
        <v>2737030.55</v>
      </c>
      <c r="E6249" s="18">
        <v>375.15</v>
      </c>
      <c r="F6249" s="18">
        <v>41667.129999999997</v>
      </c>
      <c r="G6249" s="18">
        <v>121356</v>
      </c>
      <c r="H6249" s="18">
        <f t="shared" si="149"/>
        <v>41521.129999999997</v>
      </c>
      <c r="I6249" s="3"/>
    </row>
    <row r="6250" spans="1:9" s="4" customFormat="1" ht="20.25" customHeight="1" x14ac:dyDescent="0.55000000000000004">
      <c r="A6250" s="18">
        <v>24.7372464</v>
      </c>
      <c r="B6250" s="18">
        <v>34.784193199999997</v>
      </c>
      <c r="C6250" s="18">
        <v>680442.5</v>
      </c>
      <c r="D6250" s="18">
        <v>2737029.83</v>
      </c>
      <c r="E6250" s="18">
        <v>375.29</v>
      </c>
      <c r="F6250" s="18">
        <v>41654.620000000003</v>
      </c>
      <c r="G6250" s="18">
        <v>121358</v>
      </c>
      <c r="H6250" s="18">
        <f t="shared" si="149"/>
        <v>41508.620000000003</v>
      </c>
      <c r="I6250" s="3"/>
    </row>
    <row r="6251" spans="1:9" s="4" customFormat="1" ht="20.25" customHeight="1" x14ac:dyDescent="0.55000000000000004">
      <c r="A6251" s="18">
        <v>24.737242999999999</v>
      </c>
      <c r="B6251" s="18">
        <v>34.784167699999998</v>
      </c>
      <c r="C6251" s="18">
        <v>680439.92</v>
      </c>
      <c r="D6251" s="18">
        <v>2737029.43</v>
      </c>
      <c r="E6251" s="18">
        <v>375.4</v>
      </c>
      <c r="F6251" s="18">
        <v>41668.720000000001</v>
      </c>
      <c r="G6251" s="18">
        <v>121400</v>
      </c>
      <c r="H6251" s="18">
        <f t="shared" si="149"/>
        <v>41522.720000000001</v>
      </c>
      <c r="I6251" s="3"/>
    </row>
    <row r="6252" spans="1:9" s="4" customFormat="1" ht="20.25" customHeight="1" x14ac:dyDescent="0.55000000000000004">
      <c r="A6252" s="18">
        <v>24.737240100000001</v>
      </c>
      <c r="B6252" s="18">
        <v>34.784145500000001</v>
      </c>
      <c r="C6252" s="18">
        <v>680437.68</v>
      </c>
      <c r="D6252" s="18">
        <v>2737029.08</v>
      </c>
      <c r="E6252" s="18">
        <v>375.61</v>
      </c>
      <c r="F6252" s="18">
        <v>41672.26</v>
      </c>
      <c r="G6252" s="18">
        <v>121402</v>
      </c>
      <c r="H6252" s="18">
        <f t="shared" si="149"/>
        <v>41526.26</v>
      </c>
      <c r="I6252" s="3"/>
    </row>
    <row r="6253" spans="1:9" s="4" customFormat="1" ht="20.25" customHeight="1" x14ac:dyDescent="0.55000000000000004">
      <c r="A6253" s="18">
        <v>24.737238399999999</v>
      </c>
      <c r="B6253" s="18">
        <v>34.784122799999999</v>
      </c>
      <c r="C6253" s="18">
        <v>680435.39</v>
      </c>
      <c r="D6253" s="18">
        <v>2737028.85</v>
      </c>
      <c r="E6253" s="18">
        <v>375.65</v>
      </c>
      <c r="F6253" s="18">
        <v>41664.31</v>
      </c>
      <c r="G6253" s="18">
        <v>121404</v>
      </c>
      <c r="H6253" s="18">
        <f t="shared" si="149"/>
        <v>41518.31</v>
      </c>
      <c r="I6253" s="3"/>
    </row>
    <row r="6254" spans="1:9" s="4" customFormat="1" ht="20.25" customHeight="1" x14ac:dyDescent="0.55000000000000004">
      <c r="A6254" s="18">
        <v>24.7372294</v>
      </c>
      <c r="B6254" s="18">
        <v>34.784106199999997</v>
      </c>
      <c r="C6254" s="18">
        <v>680433.72</v>
      </c>
      <c r="D6254" s="18">
        <v>2737027.83</v>
      </c>
      <c r="E6254" s="18">
        <v>375.98</v>
      </c>
      <c r="F6254" s="18">
        <v>41662.300000000003</v>
      </c>
      <c r="G6254" s="18">
        <v>121406</v>
      </c>
      <c r="H6254" s="18">
        <f t="shared" si="149"/>
        <v>41516.300000000003</v>
      </c>
      <c r="I6254" s="3"/>
    </row>
    <row r="6255" spans="1:9" s="4" customFormat="1" ht="20.25" customHeight="1" x14ac:dyDescent="0.55000000000000004">
      <c r="A6255" s="18">
        <v>24.7372172</v>
      </c>
      <c r="B6255" s="18">
        <v>34.784088099999998</v>
      </c>
      <c r="C6255" s="18">
        <v>680431.91</v>
      </c>
      <c r="D6255" s="18">
        <v>2737026.47</v>
      </c>
      <c r="E6255" s="18">
        <v>376.14</v>
      </c>
      <c r="F6255" s="18">
        <v>41667.01</v>
      </c>
      <c r="G6255" s="18">
        <v>121408</v>
      </c>
      <c r="H6255" s="18">
        <f t="shared" si="149"/>
        <v>41521.01</v>
      </c>
      <c r="I6255" s="3"/>
    </row>
    <row r="6256" spans="1:9" s="4" customFormat="1" ht="20.25" customHeight="1" x14ac:dyDescent="0.55000000000000004">
      <c r="A6256" s="18">
        <v>24.737201899999999</v>
      </c>
      <c r="B6256" s="18">
        <v>34.7840743</v>
      </c>
      <c r="C6256" s="18">
        <v>680430.54</v>
      </c>
      <c r="D6256" s="18">
        <v>2737024.75</v>
      </c>
      <c r="E6256" s="18">
        <v>376.34</v>
      </c>
      <c r="F6256" s="18">
        <v>41677.4</v>
      </c>
      <c r="G6256" s="18">
        <v>121410</v>
      </c>
      <c r="H6256" s="18">
        <f t="shared" si="149"/>
        <v>41531.4</v>
      </c>
      <c r="I6256" s="3"/>
    </row>
    <row r="6257" spans="1:9" s="4" customFormat="1" ht="20.25" customHeight="1" x14ac:dyDescent="0.55000000000000004">
      <c r="A6257" s="18">
        <v>24.737183600000002</v>
      </c>
      <c r="B6257" s="18">
        <v>34.784061700000002</v>
      </c>
      <c r="C6257" s="18">
        <v>680429.29</v>
      </c>
      <c r="D6257" s="18">
        <v>2737022.7</v>
      </c>
      <c r="E6257" s="18">
        <v>376.47</v>
      </c>
      <c r="F6257" s="18">
        <v>41666.11</v>
      </c>
      <c r="G6257" s="18">
        <v>121412</v>
      </c>
      <c r="H6257" s="18">
        <f t="shared" si="149"/>
        <v>41520.11</v>
      </c>
      <c r="I6257" s="3"/>
    </row>
    <row r="6258" spans="1:9" s="4" customFormat="1" ht="20.25" customHeight="1" x14ac:dyDescent="0.55000000000000004">
      <c r="A6258" s="18">
        <v>24.737163800000001</v>
      </c>
      <c r="B6258" s="18">
        <v>34.7840493</v>
      </c>
      <c r="C6258" s="18">
        <v>680428.07</v>
      </c>
      <c r="D6258" s="18">
        <v>2737020.5</v>
      </c>
      <c r="E6258" s="18">
        <v>376.62</v>
      </c>
      <c r="F6258" s="18">
        <v>41676.85</v>
      </c>
      <c r="G6258" s="18">
        <v>121414</v>
      </c>
      <c r="H6258" s="18">
        <f t="shared" si="149"/>
        <v>41530.85</v>
      </c>
      <c r="I6258" s="3"/>
    </row>
    <row r="6259" spans="1:9" s="4" customFormat="1" ht="20.25" customHeight="1" x14ac:dyDescent="0.55000000000000004">
      <c r="A6259" s="18">
        <v>24.737145200000001</v>
      </c>
      <c r="B6259" s="18">
        <v>34.784035699999997</v>
      </c>
      <c r="C6259" s="18">
        <v>680426.71</v>
      </c>
      <c r="D6259" s="18">
        <v>2737018.42</v>
      </c>
      <c r="E6259" s="18">
        <v>376.7</v>
      </c>
      <c r="F6259" s="18">
        <v>41674.019999999997</v>
      </c>
      <c r="G6259" s="18">
        <v>121416</v>
      </c>
      <c r="H6259" s="18">
        <f t="shared" si="149"/>
        <v>41528.019999999997</v>
      </c>
      <c r="I6259" s="3"/>
    </row>
    <row r="6260" spans="1:9" s="4" customFormat="1" ht="20.25" customHeight="1" x14ac:dyDescent="0.55000000000000004">
      <c r="A6260" s="18">
        <v>24.737124300000001</v>
      </c>
      <c r="B6260" s="18">
        <v>34.7840238</v>
      </c>
      <c r="C6260" s="18">
        <v>680425.54</v>
      </c>
      <c r="D6260" s="18">
        <v>2737016.09</v>
      </c>
      <c r="E6260" s="18">
        <v>376.78</v>
      </c>
      <c r="F6260" s="18">
        <v>41709.79</v>
      </c>
      <c r="G6260" s="18">
        <v>121418</v>
      </c>
      <c r="H6260" s="18">
        <f t="shared" si="149"/>
        <v>41563.79</v>
      </c>
      <c r="I6260" s="3"/>
    </row>
    <row r="6261" spans="1:9" s="4" customFormat="1" ht="20.25" customHeight="1" x14ac:dyDescent="0.55000000000000004">
      <c r="A6261" s="18">
        <v>24.737109400000001</v>
      </c>
      <c r="B6261" s="18">
        <v>34.7840068</v>
      </c>
      <c r="C6261" s="18">
        <v>680423.85</v>
      </c>
      <c r="D6261" s="18">
        <v>2737014.42</v>
      </c>
      <c r="E6261" s="18">
        <v>377.05</v>
      </c>
      <c r="F6261" s="18">
        <v>41674.33</v>
      </c>
      <c r="G6261" s="18">
        <v>121420</v>
      </c>
      <c r="H6261" s="18">
        <f t="shared" si="149"/>
        <v>41528.33</v>
      </c>
      <c r="I6261" s="3"/>
    </row>
    <row r="6262" spans="1:9" s="4" customFormat="1" ht="20.25" customHeight="1" x14ac:dyDescent="0.55000000000000004">
      <c r="A6262" s="18">
        <v>24.7370983</v>
      </c>
      <c r="B6262" s="18">
        <v>34.783989300000002</v>
      </c>
      <c r="C6262" s="18">
        <v>680422.09</v>
      </c>
      <c r="D6262" s="18">
        <v>2737013.17</v>
      </c>
      <c r="E6262" s="18">
        <v>377.14</v>
      </c>
      <c r="F6262" s="18">
        <v>41668.480000000003</v>
      </c>
      <c r="G6262" s="18">
        <v>121422</v>
      </c>
      <c r="H6262" s="18">
        <f t="shared" si="149"/>
        <v>41522.480000000003</v>
      </c>
      <c r="I6262" s="3"/>
    </row>
    <row r="6263" spans="1:9" s="4" customFormat="1" ht="20.25" customHeight="1" x14ac:dyDescent="0.55000000000000004">
      <c r="A6263" s="18">
        <v>24.7370789</v>
      </c>
      <c r="B6263" s="18">
        <v>34.783978500000003</v>
      </c>
      <c r="C6263" s="18">
        <v>680421.03</v>
      </c>
      <c r="D6263" s="18">
        <v>2737011.01</v>
      </c>
      <c r="E6263" s="18">
        <v>377.26</v>
      </c>
      <c r="F6263" s="18">
        <v>41673.79</v>
      </c>
      <c r="G6263" s="18">
        <v>121424</v>
      </c>
      <c r="H6263" s="18">
        <f t="shared" si="149"/>
        <v>41527.79</v>
      </c>
      <c r="I6263" s="3"/>
    </row>
    <row r="6264" spans="1:9" s="4" customFormat="1" ht="20.25" customHeight="1" x14ac:dyDescent="0.55000000000000004">
      <c r="A6264" s="18">
        <v>24.737059500000001</v>
      </c>
      <c r="B6264" s="18">
        <v>34.783965799999997</v>
      </c>
      <c r="C6264" s="18">
        <v>680419.77</v>
      </c>
      <c r="D6264" s="18">
        <v>2737008.84</v>
      </c>
      <c r="E6264" s="18">
        <v>377.23</v>
      </c>
      <c r="F6264" s="18">
        <v>41678.9</v>
      </c>
      <c r="G6264" s="18">
        <v>121426</v>
      </c>
      <c r="H6264" s="18">
        <f t="shared" si="149"/>
        <v>41532.9</v>
      </c>
      <c r="I6264" s="3"/>
    </row>
    <row r="6265" spans="1:9" s="4" customFormat="1" ht="20.25" customHeight="1" x14ac:dyDescent="0.55000000000000004">
      <c r="A6265" s="18">
        <v>24.737041300000001</v>
      </c>
      <c r="B6265" s="18">
        <v>34.783949100000001</v>
      </c>
      <c r="C6265" s="18">
        <v>680418.1</v>
      </c>
      <c r="D6265" s="18">
        <v>2737006.8</v>
      </c>
      <c r="E6265" s="18">
        <v>377.3</v>
      </c>
      <c r="F6265" s="18">
        <v>41682.120000000003</v>
      </c>
      <c r="G6265" s="18">
        <v>121428</v>
      </c>
      <c r="H6265" s="18">
        <f t="shared" si="149"/>
        <v>41536.120000000003</v>
      </c>
      <c r="I6265" s="3"/>
    </row>
    <row r="6266" spans="1:9" s="4" customFormat="1" ht="20.25" customHeight="1" x14ac:dyDescent="0.55000000000000004">
      <c r="A6266" s="18">
        <v>24.737027399999999</v>
      </c>
      <c r="B6266" s="18">
        <v>34.783931699999997</v>
      </c>
      <c r="C6266" s="18">
        <v>680416.36</v>
      </c>
      <c r="D6266" s="18">
        <v>2737005.23</v>
      </c>
      <c r="E6266" s="18">
        <v>377.51</v>
      </c>
      <c r="F6266" s="18">
        <v>41684.17</v>
      </c>
      <c r="G6266" s="18">
        <v>121430</v>
      </c>
      <c r="H6266" s="18">
        <f t="shared" si="149"/>
        <v>41538.17</v>
      </c>
      <c r="I6266" s="3"/>
    </row>
    <row r="6267" spans="1:9" s="4" customFormat="1" ht="20.25" customHeight="1" x14ac:dyDescent="0.55000000000000004">
      <c r="A6267" s="18">
        <v>24.737013999999999</v>
      </c>
      <c r="B6267" s="18">
        <v>34.783911199999999</v>
      </c>
      <c r="C6267" s="18">
        <v>680414.31</v>
      </c>
      <c r="D6267" s="18">
        <v>2737003.72</v>
      </c>
      <c r="E6267" s="18">
        <v>377.5</v>
      </c>
      <c r="F6267" s="18">
        <v>41682.68</v>
      </c>
      <c r="G6267" s="18">
        <v>121432</v>
      </c>
      <c r="H6267" s="18">
        <f t="shared" si="149"/>
        <v>41536.68</v>
      </c>
      <c r="I6267" s="3"/>
    </row>
    <row r="6268" spans="1:9" s="4" customFormat="1" ht="20.25" customHeight="1" x14ac:dyDescent="0.55000000000000004">
      <c r="A6268" s="18">
        <v>24.737000200000001</v>
      </c>
      <c r="B6268" s="18">
        <v>34.7838931</v>
      </c>
      <c r="C6268" s="18">
        <v>680412.51</v>
      </c>
      <c r="D6268" s="18">
        <v>2737002.17</v>
      </c>
      <c r="E6268" s="18">
        <v>377.72</v>
      </c>
      <c r="F6268" s="18">
        <v>41679.39</v>
      </c>
      <c r="G6268" s="18">
        <v>121434</v>
      </c>
      <c r="H6268" s="18">
        <f t="shared" si="149"/>
        <v>41533.39</v>
      </c>
      <c r="I6268" s="3"/>
    </row>
    <row r="6269" spans="1:9" s="4" customFormat="1" ht="20.25" customHeight="1" x14ac:dyDescent="0.55000000000000004">
      <c r="A6269" s="18">
        <v>24.736984</v>
      </c>
      <c r="B6269" s="18">
        <v>34.7838779</v>
      </c>
      <c r="C6269" s="18">
        <v>680410.98</v>
      </c>
      <c r="D6269" s="18">
        <v>2737000.35</v>
      </c>
      <c r="E6269" s="18">
        <v>377.89</v>
      </c>
      <c r="F6269" s="18">
        <v>41685.199999999997</v>
      </c>
      <c r="G6269" s="18">
        <v>121436</v>
      </c>
      <c r="H6269" s="18">
        <f t="shared" si="149"/>
        <v>41539.199999999997</v>
      </c>
      <c r="I6269" s="3"/>
    </row>
    <row r="6270" spans="1:9" s="4" customFormat="1" ht="20.25" customHeight="1" x14ac:dyDescent="0.55000000000000004">
      <c r="A6270" s="18">
        <v>24.736968399999999</v>
      </c>
      <c r="B6270" s="18">
        <v>34.783860799999999</v>
      </c>
      <c r="C6270" s="18">
        <v>680409.28</v>
      </c>
      <c r="D6270" s="18">
        <v>2736998.61</v>
      </c>
      <c r="E6270" s="18">
        <v>377.9</v>
      </c>
      <c r="F6270" s="18">
        <v>41681.24</v>
      </c>
      <c r="G6270" s="18">
        <v>121438</v>
      </c>
      <c r="H6270" s="18">
        <f t="shared" si="149"/>
        <v>41535.24</v>
      </c>
      <c r="I6270" s="3"/>
    </row>
    <row r="6271" spans="1:9" s="4" customFormat="1" ht="20.25" customHeight="1" x14ac:dyDescent="0.55000000000000004">
      <c r="A6271" s="18">
        <v>24.7369545</v>
      </c>
      <c r="B6271" s="18">
        <v>34.783843599999997</v>
      </c>
      <c r="C6271" s="18">
        <v>680407.56</v>
      </c>
      <c r="D6271" s="18">
        <v>2736997.04</v>
      </c>
      <c r="E6271" s="18">
        <v>378.01</v>
      </c>
      <c r="F6271" s="18">
        <v>41673.93</v>
      </c>
      <c r="G6271" s="18">
        <v>121440</v>
      </c>
      <c r="H6271" s="18">
        <f t="shared" si="149"/>
        <v>41527.93</v>
      </c>
      <c r="I6271" s="3"/>
    </row>
    <row r="6272" spans="1:9" s="4" customFormat="1" ht="20.25" customHeight="1" x14ac:dyDescent="0.55000000000000004">
      <c r="A6272" s="18">
        <v>24.736944300000001</v>
      </c>
      <c r="B6272" s="18">
        <v>34.783824699999997</v>
      </c>
      <c r="C6272" s="18">
        <v>680405.66</v>
      </c>
      <c r="D6272" s="18">
        <v>2736995.89</v>
      </c>
      <c r="E6272" s="18">
        <v>378.3</v>
      </c>
      <c r="F6272" s="18">
        <v>41694.29</v>
      </c>
      <c r="G6272" s="18">
        <v>121442</v>
      </c>
      <c r="H6272" s="18">
        <f t="shared" si="149"/>
        <v>41548.29</v>
      </c>
      <c r="I6272" s="3"/>
    </row>
    <row r="6273" spans="1:9" s="4" customFormat="1" ht="20.25" customHeight="1" x14ac:dyDescent="0.55000000000000004">
      <c r="A6273" s="18">
        <v>24.736928800000001</v>
      </c>
      <c r="B6273" s="18">
        <v>34.783810500000001</v>
      </c>
      <c r="C6273" s="18">
        <v>680404.24</v>
      </c>
      <c r="D6273" s="18">
        <v>2736994.15</v>
      </c>
      <c r="E6273" s="18">
        <v>378.42</v>
      </c>
      <c r="F6273" s="18">
        <v>41683.620000000003</v>
      </c>
      <c r="G6273" s="18">
        <v>121444</v>
      </c>
      <c r="H6273" s="18">
        <f t="shared" si="149"/>
        <v>41537.620000000003</v>
      </c>
      <c r="I6273" s="3"/>
    </row>
    <row r="6274" spans="1:9" s="4" customFormat="1" ht="20.25" customHeight="1" x14ac:dyDescent="0.55000000000000004">
      <c r="A6274" s="18">
        <v>24.736917999999999</v>
      </c>
      <c r="B6274" s="18">
        <v>34.783791600000001</v>
      </c>
      <c r="C6274" s="18">
        <v>680402.35</v>
      </c>
      <c r="D6274" s="18">
        <v>2736992.93</v>
      </c>
      <c r="E6274" s="18">
        <v>378.59</v>
      </c>
      <c r="F6274" s="18">
        <v>41666.35</v>
      </c>
      <c r="G6274" s="18">
        <v>121446</v>
      </c>
      <c r="H6274" s="18">
        <f t="shared" si="149"/>
        <v>41520.35</v>
      </c>
      <c r="I6274" s="3"/>
    </row>
    <row r="6275" spans="1:9" s="4" customFormat="1" ht="20.25" customHeight="1" x14ac:dyDescent="0.55000000000000004">
      <c r="A6275" s="18">
        <v>24.736907800000001</v>
      </c>
      <c r="B6275" s="18">
        <v>34.783772900000002</v>
      </c>
      <c r="C6275" s="18">
        <v>680400.48</v>
      </c>
      <c r="D6275" s="18">
        <v>2736991.78</v>
      </c>
      <c r="E6275" s="18">
        <v>378.64</v>
      </c>
      <c r="F6275" s="18">
        <v>41668.01</v>
      </c>
      <c r="G6275" s="18">
        <v>121448</v>
      </c>
      <c r="H6275" s="18">
        <f t="shared" si="149"/>
        <v>41522.01</v>
      </c>
      <c r="I6275" s="3"/>
    </row>
    <row r="6276" spans="1:9" s="4" customFormat="1" ht="20.25" customHeight="1" x14ac:dyDescent="0.55000000000000004">
      <c r="A6276" s="18">
        <v>24.736892699999999</v>
      </c>
      <c r="B6276" s="18">
        <v>34.783759400000001</v>
      </c>
      <c r="C6276" s="18">
        <v>680399.13</v>
      </c>
      <c r="D6276" s="18">
        <v>2736990.09</v>
      </c>
      <c r="E6276" s="18">
        <v>378.81</v>
      </c>
      <c r="F6276" s="18">
        <v>41685.919999999998</v>
      </c>
      <c r="G6276" s="18">
        <v>121450</v>
      </c>
      <c r="H6276" s="18">
        <f t="shared" si="149"/>
        <v>41539.919999999998</v>
      </c>
      <c r="I6276" s="3"/>
    </row>
    <row r="6277" spans="1:9" s="4" customFormat="1" ht="20.25" customHeight="1" x14ac:dyDescent="0.55000000000000004">
      <c r="A6277" s="18">
        <v>24.736873899999999</v>
      </c>
      <c r="B6277" s="18">
        <v>34.7837514</v>
      </c>
      <c r="C6277" s="18">
        <v>680398.35</v>
      </c>
      <c r="D6277" s="18">
        <v>2736988</v>
      </c>
      <c r="E6277" s="18">
        <v>378.9</v>
      </c>
      <c r="F6277" s="18">
        <v>41685.24</v>
      </c>
      <c r="G6277" s="18">
        <v>121452</v>
      </c>
      <c r="H6277" s="18">
        <f t="shared" si="149"/>
        <v>41539.24</v>
      </c>
      <c r="I6277" s="3"/>
    </row>
    <row r="6278" spans="1:9" s="4" customFormat="1" ht="20.25" customHeight="1" x14ac:dyDescent="0.55000000000000004">
      <c r="A6278" s="18">
        <v>24.7368579</v>
      </c>
      <c r="B6278" s="18">
        <v>34.783746399999998</v>
      </c>
      <c r="C6278" s="18">
        <v>680397.87</v>
      </c>
      <c r="D6278" s="18">
        <v>2736986.22</v>
      </c>
      <c r="E6278" s="18">
        <v>379.06</v>
      </c>
      <c r="F6278" s="18">
        <v>41673.54</v>
      </c>
      <c r="G6278" s="18">
        <v>121454</v>
      </c>
      <c r="H6278" s="18">
        <f t="shared" si="149"/>
        <v>41527.54</v>
      </c>
      <c r="I6278" s="3"/>
    </row>
    <row r="6279" spans="1:9" s="4" customFormat="1" ht="20.25" customHeight="1" x14ac:dyDescent="0.55000000000000004">
      <c r="A6279" s="18">
        <v>24.7368433</v>
      </c>
      <c r="B6279" s="18">
        <v>34.7837326</v>
      </c>
      <c r="C6279" s="18">
        <v>680396.49</v>
      </c>
      <c r="D6279" s="18">
        <v>2736984.59</v>
      </c>
      <c r="E6279" s="18">
        <v>379.19</v>
      </c>
      <c r="F6279" s="18">
        <v>41679.269999999997</v>
      </c>
      <c r="G6279" s="18">
        <v>121456</v>
      </c>
      <c r="H6279" s="18">
        <f t="shared" si="149"/>
        <v>41533.269999999997</v>
      </c>
      <c r="I6279" s="3"/>
    </row>
    <row r="6280" spans="1:9" s="4" customFormat="1" ht="20.25" customHeight="1" x14ac:dyDescent="0.55000000000000004">
      <c r="A6280" s="18">
        <v>24.7368323</v>
      </c>
      <c r="B6280" s="18">
        <v>34.783715000000001</v>
      </c>
      <c r="C6280" s="18">
        <v>680394.73</v>
      </c>
      <c r="D6280" s="18">
        <v>2736983.34</v>
      </c>
      <c r="E6280" s="18">
        <v>379.24</v>
      </c>
      <c r="F6280" s="18">
        <v>41691.17</v>
      </c>
      <c r="G6280" s="18">
        <v>121458</v>
      </c>
      <c r="H6280" s="18">
        <f t="shared" si="149"/>
        <v>41545.17</v>
      </c>
      <c r="I6280" s="3"/>
    </row>
    <row r="6281" spans="1:9" s="4" customFormat="1" ht="20.25" customHeight="1" x14ac:dyDescent="0.55000000000000004">
      <c r="A6281" s="18">
        <v>24.736820099999999</v>
      </c>
      <c r="B6281" s="18">
        <v>34.783694599999997</v>
      </c>
      <c r="C6281" s="18">
        <v>680392.68</v>
      </c>
      <c r="D6281" s="18">
        <v>2736981.96</v>
      </c>
      <c r="E6281" s="18">
        <v>379.3</v>
      </c>
      <c r="F6281" s="18">
        <v>41692.19</v>
      </c>
      <c r="G6281" s="18">
        <v>121500</v>
      </c>
      <c r="H6281" s="18">
        <f t="shared" si="149"/>
        <v>41546.19</v>
      </c>
      <c r="I6281" s="3"/>
    </row>
    <row r="6282" spans="1:9" s="4" customFormat="1" ht="20.25" customHeight="1" x14ac:dyDescent="0.55000000000000004">
      <c r="A6282" s="18">
        <v>24.736806000000001</v>
      </c>
      <c r="B6282" s="18">
        <v>34.783673200000003</v>
      </c>
      <c r="C6282" s="18">
        <v>680390.53</v>
      </c>
      <c r="D6282" s="18">
        <v>2736980.37</v>
      </c>
      <c r="E6282" s="18">
        <v>379.4</v>
      </c>
      <c r="F6282" s="18">
        <v>41690.410000000003</v>
      </c>
      <c r="G6282" s="18">
        <v>121502</v>
      </c>
      <c r="H6282" s="18">
        <f t="shared" si="149"/>
        <v>41544.410000000003</v>
      </c>
      <c r="I6282" s="3"/>
    </row>
    <row r="6283" spans="1:9" s="4" customFormat="1" ht="20.25" customHeight="1" x14ac:dyDescent="0.55000000000000004">
      <c r="A6283" s="18">
        <v>24.736796200000001</v>
      </c>
      <c r="B6283" s="18">
        <v>34.783652500000002</v>
      </c>
      <c r="C6283" s="18">
        <v>680388.45</v>
      </c>
      <c r="D6283" s="18">
        <v>2736979.26</v>
      </c>
      <c r="E6283" s="18">
        <v>379.58</v>
      </c>
      <c r="F6283" s="18">
        <v>41682.19</v>
      </c>
      <c r="G6283" s="18">
        <v>121504</v>
      </c>
      <c r="H6283" s="18">
        <f t="shared" si="149"/>
        <v>41536.19</v>
      </c>
      <c r="I6283" s="3"/>
    </row>
    <row r="6284" spans="1:9" s="4" customFormat="1" ht="20.25" customHeight="1" x14ac:dyDescent="0.55000000000000004">
      <c r="A6284" s="18">
        <v>24.7367867</v>
      </c>
      <c r="B6284" s="18">
        <v>34.7836322</v>
      </c>
      <c r="C6284" s="18">
        <v>680386.41</v>
      </c>
      <c r="D6284" s="18">
        <v>2736978.18</v>
      </c>
      <c r="E6284" s="18">
        <v>379.72</v>
      </c>
      <c r="F6284" s="18">
        <v>41687.07</v>
      </c>
      <c r="G6284" s="18">
        <v>121506</v>
      </c>
      <c r="H6284" s="18">
        <f t="shared" si="149"/>
        <v>41541.07</v>
      </c>
      <c r="I6284" s="3"/>
    </row>
    <row r="6285" spans="1:9" s="4" customFormat="1" ht="20.25" customHeight="1" x14ac:dyDescent="0.55000000000000004">
      <c r="A6285" s="18">
        <v>24.736774400000002</v>
      </c>
      <c r="B6285" s="18">
        <v>34.783613699999997</v>
      </c>
      <c r="C6285" s="18">
        <v>680384.56</v>
      </c>
      <c r="D6285" s="18">
        <v>2736976.79</v>
      </c>
      <c r="E6285" s="18">
        <v>379.81</v>
      </c>
      <c r="F6285" s="18">
        <v>41682.080000000002</v>
      </c>
      <c r="G6285" s="18">
        <v>121508</v>
      </c>
      <c r="H6285" s="18">
        <f t="shared" si="149"/>
        <v>41536.080000000002</v>
      </c>
      <c r="I6285" s="3"/>
    </row>
    <row r="6286" spans="1:9" s="4" customFormat="1" ht="20.25" customHeight="1" x14ac:dyDescent="0.55000000000000004">
      <c r="A6286" s="18">
        <v>24.736761000000001</v>
      </c>
      <c r="B6286" s="18">
        <v>34.783597899999997</v>
      </c>
      <c r="C6286" s="18">
        <v>680382.98</v>
      </c>
      <c r="D6286" s="18">
        <v>2736975.29</v>
      </c>
      <c r="E6286" s="18">
        <v>379.91</v>
      </c>
      <c r="F6286" s="18">
        <v>41681.550000000003</v>
      </c>
      <c r="G6286" s="18">
        <v>121510</v>
      </c>
      <c r="H6286" s="18">
        <f t="shared" si="149"/>
        <v>41535.550000000003</v>
      </c>
      <c r="I6286" s="3"/>
    </row>
    <row r="6287" spans="1:9" s="4" customFormat="1" ht="20.25" customHeight="1" x14ac:dyDescent="0.55000000000000004">
      <c r="A6287" s="18">
        <v>24.736746</v>
      </c>
      <c r="B6287" s="18">
        <v>34.783584900000001</v>
      </c>
      <c r="C6287" s="18">
        <v>680381.69</v>
      </c>
      <c r="D6287" s="18">
        <v>2736973.61</v>
      </c>
      <c r="E6287" s="18">
        <v>380.12</v>
      </c>
      <c r="F6287" s="18">
        <v>41689.089999999997</v>
      </c>
      <c r="G6287" s="18">
        <v>121512</v>
      </c>
      <c r="H6287" s="18">
        <f t="shared" si="149"/>
        <v>41543.089999999997</v>
      </c>
      <c r="I6287" s="3"/>
    </row>
    <row r="6288" spans="1:9" s="4" customFormat="1" ht="20.25" customHeight="1" x14ac:dyDescent="0.55000000000000004">
      <c r="A6288" s="18">
        <v>24.736730399999999</v>
      </c>
      <c r="B6288" s="18">
        <v>34.783575200000001</v>
      </c>
      <c r="C6288" s="18">
        <v>680380.74</v>
      </c>
      <c r="D6288" s="18">
        <v>2736971.87</v>
      </c>
      <c r="E6288" s="18">
        <v>380.19</v>
      </c>
      <c r="F6288" s="18">
        <v>41707.78</v>
      </c>
      <c r="G6288" s="18">
        <v>121514</v>
      </c>
      <c r="H6288" s="18">
        <f t="shared" si="149"/>
        <v>41561.78</v>
      </c>
      <c r="I6288" s="3"/>
    </row>
    <row r="6289" spans="1:9" s="4" customFormat="1" ht="20.25" customHeight="1" x14ac:dyDescent="0.55000000000000004">
      <c r="A6289" s="18">
        <v>24.736714500000001</v>
      </c>
      <c r="B6289" s="18">
        <v>34.783562500000002</v>
      </c>
      <c r="C6289" s="18">
        <v>680379.47</v>
      </c>
      <c r="D6289" s="18">
        <v>2736970.09</v>
      </c>
      <c r="E6289" s="18">
        <v>380.2</v>
      </c>
      <c r="F6289" s="18">
        <v>41712.94</v>
      </c>
      <c r="G6289" s="18">
        <v>121516</v>
      </c>
      <c r="H6289" s="18">
        <f t="shared" si="149"/>
        <v>41566.94</v>
      </c>
      <c r="I6289" s="3"/>
    </row>
    <row r="6290" spans="1:9" s="4" customFormat="1" ht="20.25" customHeight="1" x14ac:dyDescent="0.55000000000000004">
      <c r="A6290" s="18">
        <v>24.736696899999998</v>
      </c>
      <c r="B6290" s="18">
        <v>34.783550200000001</v>
      </c>
      <c r="C6290" s="18">
        <v>680378.25</v>
      </c>
      <c r="D6290" s="18">
        <v>2736968.13</v>
      </c>
      <c r="E6290" s="18">
        <v>380.26</v>
      </c>
      <c r="F6290" s="18">
        <v>41703.800000000003</v>
      </c>
      <c r="G6290" s="18">
        <v>121518</v>
      </c>
      <c r="H6290" s="18">
        <f t="shared" si="149"/>
        <v>41557.800000000003</v>
      </c>
      <c r="I6290" s="3"/>
    </row>
    <row r="6291" spans="1:9" s="4" customFormat="1" ht="20.25" customHeight="1" x14ac:dyDescent="0.55000000000000004">
      <c r="A6291" s="18">
        <v>24.736678399999999</v>
      </c>
      <c r="B6291" s="18">
        <v>34.783541</v>
      </c>
      <c r="C6291" s="18">
        <v>680377.35</v>
      </c>
      <c r="D6291" s="18">
        <v>2736966.07</v>
      </c>
      <c r="E6291" s="18">
        <v>380.31</v>
      </c>
      <c r="F6291" s="18">
        <v>41703.449999999997</v>
      </c>
      <c r="G6291" s="18">
        <v>121520</v>
      </c>
      <c r="H6291" s="18">
        <f t="shared" si="149"/>
        <v>41557.449999999997</v>
      </c>
      <c r="I6291" s="3"/>
    </row>
    <row r="6292" spans="1:9" s="4" customFormat="1" ht="20.25" customHeight="1" x14ac:dyDescent="0.55000000000000004">
      <c r="A6292" s="18">
        <v>24.736662200000001</v>
      </c>
      <c r="B6292" s="18">
        <v>34.783535399999998</v>
      </c>
      <c r="C6292" s="18">
        <v>680376.81</v>
      </c>
      <c r="D6292" s="18">
        <v>2736964.27</v>
      </c>
      <c r="E6292" s="18">
        <v>380.46</v>
      </c>
      <c r="F6292" s="18">
        <v>41714.76</v>
      </c>
      <c r="G6292" s="18">
        <v>121522</v>
      </c>
      <c r="H6292" s="18">
        <f t="shared" si="149"/>
        <v>41568.76</v>
      </c>
      <c r="I6292" s="3"/>
    </row>
    <row r="6293" spans="1:9" s="4" customFormat="1" ht="20.25" customHeight="1" x14ac:dyDescent="0.55000000000000004">
      <c r="A6293" s="18">
        <v>24.736644600000002</v>
      </c>
      <c r="B6293" s="18">
        <v>34.7835301</v>
      </c>
      <c r="C6293" s="18">
        <v>680376.29</v>
      </c>
      <c r="D6293" s="18">
        <v>2736962.31</v>
      </c>
      <c r="E6293" s="18">
        <v>380.66</v>
      </c>
      <c r="F6293" s="18">
        <v>41715.46</v>
      </c>
      <c r="G6293" s="18">
        <v>121524</v>
      </c>
      <c r="H6293" s="18">
        <f t="shared" si="149"/>
        <v>41569.46</v>
      </c>
      <c r="I6293" s="3"/>
    </row>
    <row r="6294" spans="1:9" s="4" customFormat="1" ht="20.25" customHeight="1" x14ac:dyDescent="0.55000000000000004">
      <c r="A6294" s="18">
        <v>24.7366256</v>
      </c>
      <c r="B6294" s="18">
        <v>34.783527300000003</v>
      </c>
      <c r="C6294" s="18">
        <v>680376.04</v>
      </c>
      <c r="D6294" s="18">
        <v>2736960.19</v>
      </c>
      <c r="E6294" s="18">
        <v>380.61</v>
      </c>
      <c r="F6294" s="18">
        <v>41709.79</v>
      </c>
      <c r="G6294" s="18">
        <v>121526</v>
      </c>
      <c r="H6294" s="18">
        <f t="shared" si="149"/>
        <v>41563.79</v>
      </c>
      <c r="I6294" s="3"/>
    </row>
    <row r="6295" spans="1:9" s="4" customFormat="1" ht="20.25" customHeight="1" x14ac:dyDescent="0.55000000000000004">
      <c r="A6295" s="18">
        <v>24.736607800000002</v>
      </c>
      <c r="B6295" s="18">
        <v>34.783514599999997</v>
      </c>
      <c r="C6295" s="18">
        <v>680374.78</v>
      </c>
      <c r="D6295" s="18">
        <v>2736958.21</v>
      </c>
      <c r="E6295" s="18">
        <v>380.64</v>
      </c>
      <c r="F6295" s="18">
        <v>41725.31</v>
      </c>
      <c r="G6295" s="18">
        <v>121528</v>
      </c>
      <c r="H6295" s="18">
        <f t="shared" si="149"/>
        <v>41579.31</v>
      </c>
      <c r="I6295" s="3"/>
    </row>
    <row r="6296" spans="1:9" s="4" customFormat="1" ht="20.25" customHeight="1" x14ac:dyDescent="0.55000000000000004">
      <c r="A6296" s="18">
        <v>24.7365922</v>
      </c>
      <c r="B6296" s="18">
        <v>34.783495899999998</v>
      </c>
      <c r="C6296" s="18">
        <v>680372.91</v>
      </c>
      <c r="D6296" s="18">
        <v>2736956.46</v>
      </c>
      <c r="E6296" s="18">
        <v>380.73</v>
      </c>
      <c r="F6296" s="18">
        <v>41730.379999999997</v>
      </c>
      <c r="G6296" s="18">
        <v>121530</v>
      </c>
      <c r="H6296" s="18">
        <f t="shared" si="149"/>
        <v>41584.379999999997</v>
      </c>
      <c r="I6296" s="3"/>
    </row>
    <row r="6297" spans="1:9" s="4" customFormat="1" ht="20.25" customHeight="1" x14ac:dyDescent="0.55000000000000004">
      <c r="A6297" s="18">
        <v>24.736584300000001</v>
      </c>
      <c r="B6297" s="18">
        <v>34.783473899999997</v>
      </c>
      <c r="C6297" s="18">
        <v>680370.7</v>
      </c>
      <c r="D6297" s="18">
        <v>2736955.55</v>
      </c>
      <c r="E6297" s="18">
        <v>380.77</v>
      </c>
      <c r="F6297" s="18">
        <v>41727.800000000003</v>
      </c>
      <c r="G6297" s="18">
        <v>121532</v>
      </c>
      <c r="H6297" s="18">
        <f t="shared" si="149"/>
        <v>41581.800000000003</v>
      </c>
      <c r="I6297" s="3"/>
    </row>
    <row r="6298" spans="1:9" s="4" customFormat="1" ht="20.25" customHeight="1" x14ac:dyDescent="0.55000000000000004">
      <c r="A6298" s="18">
        <v>24.736575500000001</v>
      </c>
      <c r="B6298" s="18">
        <v>34.783449599999997</v>
      </c>
      <c r="C6298" s="18">
        <v>680368.26</v>
      </c>
      <c r="D6298" s="18">
        <v>2736954.54</v>
      </c>
      <c r="E6298" s="18">
        <v>380.76</v>
      </c>
      <c r="F6298" s="18">
        <v>41732.879999999997</v>
      </c>
      <c r="G6298" s="18">
        <v>121534</v>
      </c>
      <c r="H6298" s="18">
        <f t="shared" si="149"/>
        <v>41586.879999999997</v>
      </c>
      <c r="I6298" s="3"/>
    </row>
    <row r="6299" spans="1:9" s="4" customFormat="1" ht="20.25" customHeight="1" x14ac:dyDescent="0.55000000000000004">
      <c r="A6299" s="18">
        <v>24.736574699999998</v>
      </c>
      <c r="B6299" s="18">
        <v>34.783424699999998</v>
      </c>
      <c r="C6299" s="18">
        <v>680365.74</v>
      </c>
      <c r="D6299" s="18">
        <v>2736954.42</v>
      </c>
      <c r="E6299" s="18">
        <v>380.85</v>
      </c>
      <c r="F6299" s="18">
        <v>41718.82</v>
      </c>
      <c r="G6299" s="18">
        <v>121536</v>
      </c>
      <c r="H6299" s="18">
        <f t="shared" si="149"/>
        <v>41572.82</v>
      </c>
      <c r="I6299" s="3"/>
    </row>
    <row r="6300" spans="1:9" s="4" customFormat="1" ht="20.25" customHeight="1" x14ac:dyDescent="0.55000000000000004">
      <c r="A6300" s="18">
        <v>24.7365675</v>
      </c>
      <c r="B6300" s="18">
        <v>34.783404400000002</v>
      </c>
      <c r="C6300" s="18">
        <v>680363.69</v>
      </c>
      <c r="D6300" s="18">
        <v>2736953.6</v>
      </c>
      <c r="E6300" s="18">
        <v>381.07</v>
      </c>
      <c r="F6300" s="18">
        <v>41743.31</v>
      </c>
      <c r="G6300" s="18">
        <v>121538</v>
      </c>
      <c r="H6300" s="18">
        <f t="shared" si="149"/>
        <v>41597.31</v>
      </c>
      <c r="I6300" s="3"/>
    </row>
    <row r="6301" spans="1:9" s="4" customFormat="1" ht="20.25" customHeight="1" x14ac:dyDescent="0.55000000000000004">
      <c r="A6301" s="18">
        <v>24.736560999999998</v>
      </c>
      <c r="B6301" s="18">
        <v>34.783382400000001</v>
      </c>
      <c r="C6301" s="18">
        <v>680361.48</v>
      </c>
      <c r="D6301" s="18">
        <v>2736952.85</v>
      </c>
      <c r="E6301" s="18">
        <v>381.19</v>
      </c>
      <c r="F6301" s="18">
        <v>41742.629999999997</v>
      </c>
      <c r="G6301" s="18">
        <v>121540</v>
      </c>
      <c r="H6301" s="18">
        <f t="shared" si="149"/>
        <v>41596.629999999997</v>
      </c>
      <c r="I6301" s="3"/>
    </row>
    <row r="6302" spans="1:9" s="4" customFormat="1" ht="20.25" customHeight="1" x14ac:dyDescent="0.55000000000000004">
      <c r="A6302" s="18">
        <v>24.736556199999999</v>
      </c>
      <c r="B6302" s="18">
        <v>34.783360700000003</v>
      </c>
      <c r="C6302" s="18">
        <v>680359.29</v>
      </c>
      <c r="D6302" s="18">
        <v>2736952.29</v>
      </c>
      <c r="E6302" s="18">
        <v>381.38</v>
      </c>
      <c r="F6302" s="18">
        <v>41721.199999999997</v>
      </c>
      <c r="G6302" s="18">
        <v>121542</v>
      </c>
      <c r="H6302" s="18">
        <f t="shared" si="149"/>
        <v>41575.199999999997</v>
      </c>
      <c r="I6302" s="3"/>
    </row>
    <row r="6303" spans="1:9" s="4" customFormat="1" ht="20.25" customHeight="1" x14ac:dyDescent="0.55000000000000004">
      <c r="A6303" s="18">
        <v>24.736549</v>
      </c>
      <c r="B6303" s="18">
        <v>34.783338999999998</v>
      </c>
      <c r="C6303" s="18">
        <v>680357.1</v>
      </c>
      <c r="D6303" s="18">
        <v>2736951.47</v>
      </c>
      <c r="E6303" s="18">
        <v>381.46</v>
      </c>
      <c r="F6303" s="18">
        <v>41711.980000000003</v>
      </c>
      <c r="G6303" s="18">
        <v>121544</v>
      </c>
      <c r="H6303" s="18">
        <f t="shared" si="149"/>
        <v>41565.980000000003</v>
      </c>
      <c r="I6303" s="3"/>
    </row>
    <row r="6304" spans="1:9" s="4" customFormat="1" ht="20.25" customHeight="1" x14ac:dyDescent="0.55000000000000004">
      <c r="A6304" s="18">
        <v>24.736544899999998</v>
      </c>
      <c r="B6304" s="18">
        <v>34.783315799999997</v>
      </c>
      <c r="C6304" s="18">
        <v>680354.76</v>
      </c>
      <c r="D6304" s="18">
        <v>2736950.98</v>
      </c>
      <c r="E6304" s="18">
        <v>381.5</v>
      </c>
      <c r="F6304" s="18">
        <v>41718.61</v>
      </c>
      <c r="G6304" s="18">
        <v>121546</v>
      </c>
      <c r="H6304" s="18">
        <f t="shared" si="149"/>
        <v>41572.61</v>
      </c>
      <c r="I6304" s="3"/>
    </row>
    <row r="6305" spans="1:9" s="4" customFormat="1" ht="20.25" customHeight="1" x14ac:dyDescent="0.55000000000000004">
      <c r="A6305" s="18">
        <v>24.736541599999999</v>
      </c>
      <c r="B6305" s="18">
        <v>34.783291499999997</v>
      </c>
      <c r="C6305" s="18">
        <v>680352.31</v>
      </c>
      <c r="D6305" s="18">
        <v>2736950.59</v>
      </c>
      <c r="E6305" s="18">
        <v>381.54</v>
      </c>
      <c r="F6305" s="18">
        <v>41711.35</v>
      </c>
      <c r="G6305" s="18">
        <v>121548</v>
      </c>
      <c r="H6305" s="18">
        <f t="shared" si="149"/>
        <v>41565.35</v>
      </c>
      <c r="I6305" s="3"/>
    </row>
    <row r="6306" spans="1:9" s="4" customFormat="1" ht="20.25" customHeight="1" x14ac:dyDescent="0.55000000000000004">
      <c r="A6306" s="18">
        <v>24.736533600000001</v>
      </c>
      <c r="B6306" s="18">
        <v>34.783269199999999</v>
      </c>
      <c r="C6306" s="18">
        <v>680350.06</v>
      </c>
      <c r="D6306" s="18">
        <v>2736949.67</v>
      </c>
      <c r="E6306" s="18">
        <v>381.68</v>
      </c>
      <c r="F6306" s="18">
        <v>41728.61</v>
      </c>
      <c r="G6306" s="18">
        <v>121550</v>
      </c>
      <c r="H6306" s="18">
        <f t="shared" si="149"/>
        <v>41582.61</v>
      </c>
      <c r="I6306" s="3"/>
    </row>
    <row r="6307" spans="1:9" s="4" customFormat="1" ht="20.25" customHeight="1" x14ac:dyDescent="0.55000000000000004">
      <c r="A6307" s="18">
        <v>24.736526000000001</v>
      </c>
      <c r="B6307" s="18">
        <v>34.783245999999998</v>
      </c>
      <c r="C6307" s="18">
        <v>680347.72</v>
      </c>
      <c r="D6307" s="18">
        <v>2736948.8</v>
      </c>
      <c r="E6307" s="18">
        <v>381.7</v>
      </c>
      <c r="F6307" s="18">
        <v>41734.9</v>
      </c>
      <c r="G6307" s="18">
        <v>121552</v>
      </c>
      <c r="H6307" s="18">
        <f t="shared" si="149"/>
        <v>41588.9</v>
      </c>
      <c r="I6307" s="3"/>
    </row>
    <row r="6308" spans="1:9" s="4" customFormat="1" ht="20.25" customHeight="1" x14ac:dyDescent="0.55000000000000004">
      <c r="A6308" s="18">
        <v>24.7365225</v>
      </c>
      <c r="B6308" s="18">
        <v>34.783221699999999</v>
      </c>
      <c r="C6308" s="18">
        <v>680345.28</v>
      </c>
      <c r="D6308" s="18">
        <v>2736948.38</v>
      </c>
      <c r="E6308" s="18">
        <v>381.79</v>
      </c>
      <c r="F6308" s="18">
        <v>41743.870000000003</v>
      </c>
      <c r="G6308" s="18">
        <v>121554</v>
      </c>
      <c r="H6308" s="18">
        <f t="shared" si="149"/>
        <v>41597.870000000003</v>
      </c>
      <c r="I6308" s="3"/>
    </row>
    <row r="6309" spans="1:9" s="4" customFormat="1" ht="20.25" customHeight="1" x14ac:dyDescent="0.55000000000000004">
      <c r="A6309" s="18">
        <v>24.736512900000001</v>
      </c>
      <c r="B6309" s="18">
        <v>34.783200700000002</v>
      </c>
      <c r="C6309" s="18">
        <v>680343.17</v>
      </c>
      <c r="D6309" s="18">
        <v>2736947.29</v>
      </c>
      <c r="E6309" s="18">
        <v>381.82</v>
      </c>
      <c r="F6309" s="18">
        <v>41739.440000000002</v>
      </c>
      <c r="G6309" s="18">
        <v>121556</v>
      </c>
      <c r="H6309" s="18">
        <f t="shared" ref="H6309:H6372" si="150">SUM(F6309-146)</f>
        <v>41593.440000000002</v>
      </c>
      <c r="I6309" s="3"/>
    </row>
    <row r="6310" spans="1:9" s="4" customFormat="1" ht="20.25" customHeight="1" x14ac:dyDescent="0.55000000000000004">
      <c r="A6310" s="18">
        <v>24.736505000000001</v>
      </c>
      <c r="B6310" s="18">
        <v>34.783177000000002</v>
      </c>
      <c r="C6310" s="18">
        <v>680340.78</v>
      </c>
      <c r="D6310" s="18">
        <v>2736946.38</v>
      </c>
      <c r="E6310" s="18">
        <v>381.91</v>
      </c>
      <c r="F6310" s="18">
        <v>41720.46</v>
      </c>
      <c r="G6310" s="18">
        <v>121558</v>
      </c>
      <c r="H6310" s="18">
        <f t="shared" si="150"/>
        <v>41574.46</v>
      </c>
      <c r="I6310" s="3"/>
    </row>
    <row r="6311" spans="1:9" s="4" customFormat="1" ht="20.25" customHeight="1" x14ac:dyDescent="0.55000000000000004">
      <c r="A6311" s="18">
        <v>24.736493500000002</v>
      </c>
      <c r="B6311" s="18">
        <v>34.783155399999998</v>
      </c>
      <c r="C6311" s="18">
        <v>680338.61</v>
      </c>
      <c r="D6311" s="18">
        <v>2736945.08</v>
      </c>
      <c r="E6311" s="18">
        <v>381.99</v>
      </c>
      <c r="F6311" s="18">
        <v>41708.78</v>
      </c>
      <c r="G6311" s="18">
        <v>121600</v>
      </c>
      <c r="H6311" s="18">
        <f t="shared" si="150"/>
        <v>41562.78</v>
      </c>
      <c r="I6311" s="3"/>
    </row>
    <row r="6312" spans="1:9" s="4" customFormat="1" ht="20.25" customHeight="1" x14ac:dyDescent="0.55000000000000004">
      <c r="A6312" s="18">
        <v>24.736481399999999</v>
      </c>
      <c r="B6312" s="18">
        <v>34.783133900000003</v>
      </c>
      <c r="C6312" s="18">
        <v>680336.45</v>
      </c>
      <c r="D6312" s="18">
        <v>2736943.71</v>
      </c>
      <c r="E6312" s="18">
        <v>381.95</v>
      </c>
      <c r="F6312" s="18">
        <v>41689.339999999997</v>
      </c>
      <c r="G6312" s="18">
        <v>121602</v>
      </c>
      <c r="H6312" s="18">
        <f t="shared" si="150"/>
        <v>41543.339999999997</v>
      </c>
      <c r="I6312" s="3"/>
    </row>
    <row r="6313" spans="1:9" s="4" customFormat="1" ht="20.25" customHeight="1" x14ac:dyDescent="0.55000000000000004">
      <c r="A6313" s="18">
        <v>24.736473700000001</v>
      </c>
      <c r="B6313" s="18">
        <v>34.783109799999998</v>
      </c>
      <c r="C6313" s="18">
        <v>680334.02</v>
      </c>
      <c r="D6313" s="18">
        <v>2736942.82</v>
      </c>
      <c r="E6313" s="18">
        <v>382.08</v>
      </c>
      <c r="F6313" s="18">
        <v>41699.42</v>
      </c>
      <c r="G6313" s="18">
        <v>121604</v>
      </c>
      <c r="H6313" s="18">
        <f t="shared" si="150"/>
        <v>41553.42</v>
      </c>
      <c r="I6313" s="3"/>
    </row>
    <row r="6314" spans="1:9" s="4" customFormat="1" ht="20.25" customHeight="1" x14ac:dyDescent="0.55000000000000004">
      <c r="A6314" s="18">
        <v>24.7364654</v>
      </c>
      <c r="B6314" s="18">
        <v>34.783086099999998</v>
      </c>
      <c r="C6314" s="18">
        <v>680331.64</v>
      </c>
      <c r="D6314" s="18">
        <v>2736941.87</v>
      </c>
      <c r="E6314" s="18">
        <v>382.1</v>
      </c>
      <c r="F6314" s="18">
        <v>41695.370000000003</v>
      </c>
      <c r="G6314" s="18">
        <v>121606</v>
      </c>
      <c r="H6314" s="18">
        <f t="shared" si="150"/>
        <v>41549.370000000003</v>
      </c>
      <c r="I6314" s="3"/>
    </row>
    <row r="6315" spans="1:9" s="4" customFormat="1" ht="20.25" customHeight="1" x14ac:dyDescent="0.55000000000000004">
      <c r="A6315" s="18">
        <v>24.736457699999999</v>
      </c>
      <c r="B6315" s="18">
        <v>34.783060599999999</v>
      </c>
      <c r="C6315" s="18">
        <v>680329.07</v>
      </c>
      <c r="D6315" s="18">
        <v>2736940.99</v>
      </c>
      <c r="E6315" s="18">
        <v>382.11</v>
      </c>
      <c r="F6315" s="18">
        <v>41681.67</v>
      </c>
      <c r="G6315" s="18">
        <v>121608</v>
      </c>
      <c r="H6315" s="18">
        <f t="shared" si="150"/>
        <v>41535.67</v>
      </c>
      <c r="I6315" s="3"/>
    </row>
    <row r="6316" spans="1:9" s="4" customFormat="1" ht="20.25" customHeight="1" x14ac:dyDescent="0.55000000000000004">
      <c r="A6316" s="18">
        <v>24.7364468</v>
      </c>
      <c r="B6316" s="18">
        <v>34.783036199999998</v>
      </c>
      <c r="C6316" s="18">
        <v>680326.62</v>
      </c>
      <c r="D6316" s="18">
        <v>2736939.75</v>
      </c>
      <c r="E6316" s="18">
        <v>382.2</v>
      </c>
      <c r="F6316" s="18">
        <v>41697.370000000003</v>
      </c>
      <c r="G6316" s="18">
        <v>121610</v>
      </c>
      <c r="H6316" s="18">
        <f t="shared" si="150"/>
        <v>41551.370000000003</v>
      </c>
      <c r="I6316" s="3"/>
    </row>
    <row r="6317" spans="1:9" s="4" customFormat="1" ht="20.25" customHeight="1" x14ac:dyDescent="0.55000000000000004">
      <c r="A6317" s="18">
        <v>24.736440000000002</v>
      </c>
      <c r="B6317" s="18">
        <v>34.783009499999999</v>
      </c>
      <c r="C6317" s="18">
        <v>680323.92</v>
      </c>
      <c r="D6317" s="18">
        <v>2736938.96</v>
      </c>
      <c r="E6317" s="18">
        <v>382.31</v>
      </c>
      <c r="F6317" s="18">
        <v>41698.559999999998</v>
      </c>
      <c r="G6317" s="18">
        <v>121612</v>
      </c>
      <c r="H6317" s="18">
        <f t="shared" si="150"/>
        <v>41552.559999999998</v>
      </c>
      <c r="I6317" s="3"/>
    </row>
    <row r="6318" spans="1:9" s="4" customFormat="1" ht="20.25" customHeight="1" x14ac:dyDescent="0.55000000000000004">
      <c r="A6318" s="18">
        <v>24.736430599999998</v>
      </c>
      <c r="B6318" s="18">
        <v>34.7829859</v>
      </c>
      <c r="C6318" s="18">
        <v>680321.55</v>
      </c>
      <c r="D6318" s="18">
        <v>2736937.89</v>
      </c>
      <c r="E6318" s="18">
        <v>382.31</v>
      </c>
      <c r="F6318" s="18">
        <v>41696.07</v>
      </c>
      <c r="G6318" s="18">
        <v>121614</v>
      </c>
      <c r="H6318" s="18">
        <f t="shared" si="150"/>
        <v>41550.07</v>
      </c>
      <c r="I6318" s="3"/>
    </row>
    <row r="6319" spans="1:9" s="4" customFormat="1" ht="20.25" customHeight="1" x14ac:dyDescent="0.55000000000000004">
      <c r="A6319" s="18">
        <v>24.736423500000001</v>
      </c>
      <c r="B6319" s="18">
        <v>34.782959499999997</v>
      </c>
      <c r="C6319" s="18">
        <v>680318.9</v>
      </c>
      <c r="D6319" s="18">
        <v>2736937.06</v>
      </c>
      <c r="E6319" s="18">
        <v>382.33</v>
      </c>
      <c r="F6319" s="18">
        <v>41692.620000000003</v>
      </c>
      <c r="G6319" s="18">
        <v>121616</v>
      </c>
      <c r="H6319" s="18">
        <f t="shared" si="150"/>
        <v>41546.620000000003</v>
      </c>
      <c r="I6319" s="3"/>
    </row>
    <row r="6320" spans="1:9" s="4" customFormat="1" ht="20.25" customHeight="1" x14ac:dyDescent="0.55000000000000004">
      <c r="A6320" s="18">
        <v>24.7364116</v>
      </c>
      <c r="B6320" s="18">
        <v>34.782939200000001</v>
      </c>
      <c r="C6320" s="18">
        <v>680316.85</v>
      </c>
      <c r="D6320" s="18">
        <v>2736935.72</v>
      </c>
      <c r="E6320" s="18">
        <v>382.55</v>
      </c>
      <c r="F6320" s="18">
        <v>41689.1</v>
      </c>
      <c r="G6320" s="18">
        <v>121618</v>
      </c>
      <c r="H6320" s="18">
        <f t="shared" si="150"/>
        <v>41543.1</v>
      </c>
      <c r="I6320" s="3"/>
    </row>
    <row r="6321" spans="1:9" s="4" customFormat="1" ht="20.25" customHeight="1" x14ac:dyDescent="0.55000000000000004">
      <c r="A6321" s="18">
        <v>24.736399899999999</v>
      </c>
      <c r="B6321" s="18">
        <v>34.782918799999997</v>
      </c>
      <c r="C6321" s="18">
        <v>680314.81</v>
      </c>
      <c r="D6321" s="18">
        <v>2736934.4</v>
      </c>
      <c r="E6321" s="18">
        <v>382.63</v>
      </c>
      <c r="F6321" s="18">
        <v>41686.239999999998</v>
      </c>
      <c r="G6321" s="18">
        <v>121620</v>
      </c>
      <c r="H6321" s="18">
        <f t="shared" si="150"/>
        <v>41540.239999999998</v>
      </c>
      <c r="I6321" s="3"/>
    </row>
    <row r="6322" spans="1:9" s="4" customFormat="1" ht="20.25" customHeight="1" x14ac:dyDescent="0.55000000000000004">
      <c r="A6322" s="18">
        <v>24.736395099999999</v>
      </c>
      <c r="B6322" s="18">
        <v>34.782892699999998</v>
      </c>
      <c r="C6322" s="18">
        <v>680312.18</v>
      </c>
      <c r="D6322" s="18">
        <v>2736933.84</v>
      </c>
      <c r="E6322" s="18">
        <v>382.73</v>
      </c>
      <c r="F6322" s="18">
        <v>41687.79</v>
      </c>
      <c r="G6322" s="18">
        <v>121622</v>
      </c>
      <c r="H6322" s="18">
        <f t="shared" si="150"/>
        <v>41541.79</v>
      </c>
      <c r="I6322" s="3"/>
    </row>
    <row r="6323" spans="1:9" s="4" customFormat="1" ht="20.25" customHeight="1" x14ac:dyDescent="0.55000000000000004">
      <c r="A6323" s="18">
        <v>24.736394600000001</v>
      </c>
      <c r="B6323" s="18">
        <v>34.782867299999999</v>
      </c>
      <c r="C6323" s="18">
        <v>680309.61</v>
      </c>
      <c r="D6323" s="18">
        <v>2736933.74</v>
      </c>
      <c r="E6323" s="18">
        <v>382.9</v>
      </c>
      <c r="F6323" s="18">
        <v>41675.839999999997</v>
      </c>
      <c r="G6323" s="18">
        <v>121624</v>
      </c>
      <c r="H6323" s="18">
        <f t="shared" si="150"/>
        <v>41529.839999999997</v>
      </c>
      <c r="I6323" s="3"/>
    </row>
    <row r="6324" spans="1:9" s="4" customFormat="1" ht="20.25" customHeight="1" x14ac:dyDescent="0.55000000000000004">
      <c r="A6324" s="18">
        <v>24.736391000000001</v>
      </c>
      <c r="B6324" s="18">
        <v>34.782844099999998</v>
      </c>
      <c r="C6324" s="18">
        <v>680307.27</v>
      </c>
      <c r="D6324" s="18">
        <v>2736933.32</v>
      </c>
      <c r="E6324" s="18">
        <v>382.98</v>
      </c>
      <c r="F6324" s="18">
        <v>41673.68</v>
      </c>
      <c r="G6324" s="18">
        <v>121626</v>
      </c>
      <c r="H6324" s="18">
        <f t="shared" si="150"/>
        <v>41527.68</v>
      </c>
      <c r="I6324" s="3"/>
    </row>
    <row r="6325" spans="1:9" s="4" customFormat="1" ht="20.25" customHeight="1" x14ac:dyDescent="0.55000000000000004">
      <c r="A6325" s="18">
        <v>24.7363879</v>
      </c>
      <c r="B6325" s="18">
        <v>34.782820000000001</v>
      </c>
      <c r="C6325" s="18">
        <v>680304.84</v>
      </c>
      <c r="D6325" s="18">
        <v>2736932.94</v>
      </c>
      <c r="E6325" s="18">
        <v>383.01</v>
      </c>
      <c r="F6325" s="18">
        <v>41686.629999999997</v>
      </c>
      <c r="G6325" s="18">
        <v>121628</v>
      </c>
      <c r="H6325" s="18">
        <f t="shared" si="150"/>
        <v>41540.629999999997</v>
      </c>
      <c r="I6325" s="3"/>
    </row>
    <row r="6326" spans="1:9" s="4" customFormat="1" ht="20.25" customHeight="1" x14ac:dyDescent="0.55000000000000004">
      <c r="A6326" s="18">
        <v>24.736385899999998</v>
      </c>
      <c r="B6326" s="18">
        <v>34.782799900000001</v>
      </c>
      <c r="C6326" s="18">
        <v>680302.8</v>
      </c>
      <c r="D6326" s="18">
        <v>2736932.7</v>
      </c>
      <c r="E6326" s="18">
        <v>383.11</v>
      </c>
      <c r="F6326" s="18">
        <v>41701.51</v>
      </c>
      <c r="G6326" s="18">
        <v>121630</v>
      </c>
      <c r="H6326" s="18">
        <f t="shared" si="150"/>
        <v>41555.51</v>
      </c>
      <c r="I6326" s="3"/>
    </row>
    <row r="6327" spans="1:9" s="4" customFormat="1" ht="20.25" customHeight="1" x14ac:dyDescent="0.55000000000000004">
      <c r="A6327" s="18">
        <v>24.736383799999999</v>
      </c>
      <c r="B6327" s="18">
        <v>34.782778800000003</v>
      </c>
      <c r="C6327" s="18">
        <v>680300.67</v>
      </c>
      <c r="D6327" s="18">
        <v>2736932.43</v>
      </c>
      <c r="E6327" s="18">
        <v>383.17</v>
      </c>
      <c r="F6327" s="18">
        <v>41694.61</v>
      </c>
      <c r="G6327" s="18">
        <v>121632</v>
      </c>
      <c r="H6327" s="18">
        <f t="shared" si="150"/>
        <v>41548.61</v>
      </c>
      <c r="I6327" s="3"/>
    </row>
    <row r="6328" spans="1:9" s="4" customFormat="1" ht="20.25" customHeight="1" x14ac:dyDescent="0.55000000000000004">
      <c r="A6328" s="18">
        <v>24.736378299999998</v>
      </c>
      <c r="B6328" s="18">
        <v>34.782758899999997</v>
      </c>
      <c r="C6328" s="18">
        <v>680298.67</v>
      </c>
      <c r="D6328" s="18">
        <v>2736931.8</v>
      </c>
      <c r="E6328" s="18">
        <v>383.33</v>
      </c>
      <c r="F6328" s="18">
        <v>41683.370000000003</v>
      </c>
      <c r="G6328" s="18">
        <v>121634</v>
      </c>
      <c r="H6328" s="18">
        <f t="shared" si="150"/>
        <v>41537.370000000003</v>
      </c>
      <c r="I6328" s="3"/>
    </row>
    <row r="6329" spans="1:9" s="4" customFormat="1" ht="20.25" customHeight="1" x14ac:dyDescent="0.55000000000000004">
      <c r="A6329" s="18">
        <v>24.736370699999998</v>
      </c>
      <c r="B6329" s="18">
        <v>34.782736999999997</v>
      </c>
      <c r="C6329" s="18">
        <v>680296.46</v>
      </c>
      <c r="D6329" s="18">
        <v>2736930.93</v>
      </c>
      <c r="E6329" s="18">
        <v>383.39</v>
      </c>
      <c r="F6329" s="18">
        <v>41681.97</v>
      </c>
      <c r="G6329" s="18">
        <v>121636</v>
      </c>
      <c r="H6329" s="18">
        <f t="shared" si="150"/>
        <v>41535.97</v>
      </c>
      <c r="I6329" s="3"/>
    </row>
    <row r="6330" spans="1:9" s="4" customFormat="1" ht="20.25" customHeight="1" x14ac:dyDescent="0.55000000000000004">
      <c r="A6330" s="18">
        <v>24.736361899999999</v>
      </c>
      <c r="B6330" s="18">
        <v>34.782713899999997</v>
      </c>
      <c r="C6330" s="18">
        <v>680294.14</v>
      </c>
      <c r="D6330" s="18">
        <v>2736929.92</v>
      </c>
      <c r="E6330" s="18">
        <v>383.47</v>
      </c>
      <c r="F6330" s="18">
        <v>41691.08</v>
      </c>
      <c r="G6330" s="18">
        <v>121638</v>
      </c>
      <c r="H6330" s="18">
        <f t="shared" si="150"/>
        <v>41545.08</v>
      </c>
      <c r="I6330" s="3"/>
    </row>
    <row r="6331" spans="1:9" s="4" customFormat="1" ht="20.25" customHeight="1" x14ac:dyDescent="0.55000000000000004">
      <c r="A6331" s="18">
        <v>24.7363517</v>
      </c>
      <c r="B6331" s="18">
        <v>34.782690799999997</v>
      </c>
      <c r="C6331" s="18">
        <v>680291.81</v>
      </c>
      <c r="D6331" s="18">
        <v>2736928.76</v>
      </c>
      <c r="E6331" s="18">
        <v>383.41</v>
      </c>
      <c r="F6331" s="18">
        <v>41694.9</v>
      </c>
      <c r="G6331" s="18">
        <v>121640</v>
      </c>
      <c r="H6331" s="18">
        <f t="shared" si="150"/>
        <v>41548.9</v>
      </c>
      <c r="I6331" s="3"/>
    </row>
    <row r="6332" spans="1:9" s="4" customFormat="1" ht="20.25" customHeight="1" x14ac:dyDescent="0.55000000000000004">
      <c r="A6332" s="18">
        <v>24.736342799999999</v>
      </c>
      <c r="B6332" s="18">
        <v>34.782669499999997</v>
      </c>
      <c r="C6332" s="18">
        <v>680289.67</v>
      </c>
      <c r="D6332" s="18">
        <v>2736927.75</v>
      </c>
      <c r="E6332" s="18">
        <v>383.68</v>
      </c>
      <c r="F6332" s="18">
        <v>41706.03</v>
      </c>
      <c r="G6332" s="18">
        <v>121642</v>
      </c>
      <c r="H6332" s="18">
        <f t="shared" si="150"/>
        <v>41560.03</v>
      </c>
      <c r="I6332" s="3"/>
    </row>
    <row r="6333" spans="1:9" s="4" customFormat="1" ht="20.25" customHeight="1" x14ac:dyDescent="0.55000000000000004">
      <c r="A6333" s="18">
        <v>24.736326500000001</v>
      </c>
      <c r="B6333" s="18">
        <v>34.7826533</v>
      </c>
      <c r="C6333" s="18">
        <v>680288.06</v>
      </c>
      <c r="D6333" s="18">
        <v>2736925.92</v>
      </c>
      <c r="E6333" s="18">
        <v>383.77</v>
      </c>
      <c r="F6333" s="18">
        <v>41719.9</v>
      </c>
      <c r="G6333" s="18">
        <v>121644</v>
      </c>
      <c r="H6333" s="18">
        <f t="shared" si="150"/>
        <v>41573.9</v>
      </c>
      <c r="I6333" s="3"/>
    </row>
    <row r="6334" spans="1:9" s="4" customFormat="1" ht="20.25" customHeight="1" x14ac:dyDescent="0.55000000000000004">
      <c r="A6334" s="18">
        <v>24.736317499999998</v>
      </c>
      <c r="B6334" s="18">
        <v>34.782631600000002</v>
      </c>
      <c r="C6334" s="18">
        <v>680285.88</v>
      </c>
      <c r="D6334" s="18">
        <v>2736924.89</v>
      </c>
      <c r="E6334" s="18">
        <v>383.85</v>
      </c>
      <c r="F6334" s="18">
        <v>41700.660000000003</v>
      </c>
      <c r="G6334" s="18">
        <v>121646</v>
      </c>
      <c r="H6334" s="18">
        <f t="shared" si="150"/>
        <v>41554.660000000003</v>
      </c>
      <c r="I6334" s="3"/>
    </row>
    <row r="6335" spans="1:9" s="4" customFormat="1" ht="20.25" customHeight="1" x14ac:dyDescent="0.55000000000000004">
      <c r="A6335" s="18">
        <v>24.7363094</v>
      </c>
      <c r="B6335" s="18">
        <v>34.782611000000003</v>
      </c>
      <c r="C6335" s="18">
        <v>680283.8</v>
      </c>
      <c r="D6335" s="18">
        <v>2736923.97</v>
      </c>
      <c r="E6335" s="18">
        <v>383.99</v>
      </c>
      <c r="F6335" s="18">
        <v>41688.36</v>
      </c>
      <c r="G6335" s="18">
        <v>121648</v>
      </c>
      <c r="H6335" s="18">
        <f t="shared" si="150"/>
        <v>41542.36</v>
      </c>
      <c r="I6335" s="3"/>
    </row>
    <row r="6336" spans="1:9" s="4" customFormat="1" ht="20.25" customHeight="1" x14ac:dyDescent="0.55000000000000004">
      <c r="A6336" s="18">
        <v>24.7362951</v>
      </c>
      <c r="B6336" s="18">
        <v>34.782595499999999</v>
      </c>
      <c r="C6336" s="18">
        <v>680282.26</v>
      </c>
      <c r="D6336" s="18">
        <v>2736922.37</v>
      </c>
      <c r="E6336" s="18">
        <v>384.1</v>
      </c>
      <c r="F6336" s="18">
        <v>41699.08</v>
      </c>
      <c r="G6336" s="18">
        <v>121650</v>
      </c>
      <c r="H6336" s="18">
        <f t="shared" si="150"/>
        <v>41553.08</v>
      </c>
      <c r="I6336" s="3"/>
    </row>
    <row r="6337" spans="1:9" s="4" customFormat="1" ht="20.25" customHeight="1" x14ac:dyDescent="0.55000000000000004">
      <c r="A6337" s="18">
        <v>24.736278800000001</v>
      </c>
      <c r="B6337" s="18">
        <v>34.782582300000001</v>
      </c>
      <c r="C6337" s="18">
        <v>680280.95</v>
      </c>
      <c r="D6337" s="18">
        <v>2736920.55</v>
      </c>
      <c r="E6337" s="18">
        <v>384.09</v>
      </c>
      <c r="F6337" s="18">
        <v>41691.83</v>
      </c>
      <c r="G6337" s="18">
        <v>121652</v>
      </c>
      <c r="H6337" s="18">
        <f t="shared" si="150"/>
        <v>41545.83</v>
      </c>
      <c r="I6337" s="3"/>
    </row>
    <row r="6338" spans="1:9" s="4" customFormat="1" ht="20.25" customHeight="1" x14ac:dyDescent="0.55000000000000004">
      <c r="A6338" s="18">
        <v>24.736261800000001</v>
      </c>
      <c r="B6338" s="18">
        <v>34.782569799999997</v>
      </c>
      <c r="C6338" s="18">
        <v>680279.71</v>
      </c>
      <c r="D6338" s="18">
        <v>2736918.65</v>
      </c>
      <c r="E6338" s="18">
        <v>384</v>
      </c>
      <c r="F6338" s="18">
        <v>41696.01</v>
      </c>
      <c r="G6338" s="18">
        <v>121654</v>
      </c>
      <c r="H6338" s="18">
        <f t="shared" si="150"/>
        <v>41550.01</v>
      </c>
      <c r="I6338" s="3"/>
    </row>
    <row r="6339" spans="1:9" s="4" customFormat="1" ht="20.25" customHeight="1" x14ac:dyDescent="0.55000000000000004">
      <c r="A6339" s="18">
        <v>24.7362462</v>
      </c>
      <c r="B6339" s="18">
        <v>34.782553999999998</v>
      </c>
      <c r="C6339" s="18">
        <v>680278.13</v>
      </c>
      <c r="D6339" s="18">
        <v>2736916.89</v>
      </c>
      <c r="E6339" s="18">
        <v>384.02</v>
      </c>
      <c r="F6339" s="18">
        <v>41698.61</v>
      </c>
      <c r="G6339" s="18">
        <v>121656</v>
      </c>
      <c r="H6339" s="18">
        <f t="shared" si="150"/>
        <v>41552.61</v>
      </c>
      <c r="I6339" s="3"/>
    </row>
    <row r="6340" spans="1:9" s="4" customFormat="1" ht="20.25" customHeight="1" x14ac:dyDescent="0.55000000000000004">
      <c r="A6340" s="18">
        <v>24.7362298</v>
      </c>
      <c r="B6340" s="18">
        <v>34.782534099999999</v>
      </c>
      <c r="C6340" s="18">
        <v>680276.14</v>
      </c>
      <c r="D6340" s="18">
        <v>2736915.05</v>
      </c>
      <c r="E6340" s="18">
        <v>384.06</v>
      </c>
      <c r="F6340" s="18">
        <v>41685.800000000003</v>
      </c>
      <c r="G6340" s="18">
        <v>121658</v>
      </c>
      <c r="H6340" s="18">
        <f t="shared" si="150"/>
        <v>41539.800000000003</v>
      </c>
      <c r="I6340" s="3"/>
    </row>
    <row r="6341" spans="1:9" s="4" customFormat="1" ht="20.25" customHeight="1" x14ac:dyDescent="0.55000000000000004">
      <c r="A6341" s="18">
        <v>24.736218300000001</v>
      </c>
      <c r="B6341" s="18">
        <v>34.782512199999999</v>
      </c>
      <c r="C6341" s="18">
        <v>680273.94</v>
      </c>
      <c r="D6341" s="18">
        <v>2736913.75</v>
      </c>
      <c r="E6341" s="18">
        <v>384.22</v>
      </c>
      <c r="F6341" s="18">
        <v>41678.86</v>
      </c>
      <c r="G6341" s="18">
        <v>121700</v>
      </c>
      <c r="H6341" s="18">
        <f t="shared" si="150"/>
        <v>41532.86</v>
      </c>
      <c r="I6341" s="3"/>
    </row>
    <row r="6342" spans="1:9" s="4" customFormat="1" ht="20.25" customHeight="1" x14ac:dyDescent="0.55000000000000004">
      <c r="A6342" s="18">
        <v>24.736202800000001</v>
      </c>
      <c r="B6342" s="18">
        <v>34.7824977</v>
      </c>
      <c r="C6342" s="18">
        <v>680272.5</v>
      </c>
      <c r="D6342" s="18">
        <v>2736912.02</v>
      </c>
      <c r="E6342" s="18">
        <v>384.4</v>
      </c>
      <c r="F6342" s="18">
        <v>41687.5</v>
      </c>
      <c r="G6342" s="18">
        <v>121702</v>
      </c>
      <c r="H6342" s="18">
        <f t="shared" si="150"/>
        <v>41541.5</v>
      </c>
      <c r="I6342" s="3"/>
    </row>
    <row r="6343" spans="1:9" s="4" customFormat="1" ht="20.25" customHeight="1" x14ac:dyDescent="0.55000000000000004">
      <c r="A6343" s="18">
        <v>24.736190000000001</v>
      </c>
      <c r="B6343" s="18">
        <v>34.782479199999997</v>
      </c>
      <c r="C6343" s="18">
        <v>680270.64</v>
      </c>
      <c r="D6343" s="18">
        <v>2736910.57</v>
      </c>
      <c r="E6343" s="18">
        <v>384.39</v>
      </c>
      <c r="F6343" s="18">
        <v>41682.61</v>
      </c>
      <c r="G6343" s="18">
        <v>121704</v>
      </c>
      <c r="H6343" s="18">
        <f t="shared" si="150"/>
        <v>41536.61</v>
      </c>
      <c r="I6343" s="3"/>
    </row>
    <row r="6344" spans="1:9" s="4" customFormat="1" ht="20.25" customHeight="1" x14ac:dyDescent="0.55000000000000004">
      <c r="A6344" s="18">
        <v>24.736181599999998</v>
      </c>
      <c r="B6344" s="18">
        <v>34.782457700000002</v>
      </c>
      <c r="C6344" s="18">
        <v>680268.48</v>
      </c>
      <c r="D6344" s="18">
        <v>2736909.61</v>
      </c>
      <c r="E6344" s="18">
        <v>384.55</v>
      </c>
      <c r="F6344" s="18">
        <v>41687.97</v>
      </c>
      <c r="G6344" s="18">
        <v>121706</v>
      </c>
      <c r="H6344" s="18">
        <f t="shared" si="150"/>
        <v>41541.97</v>
      </c>
      <c r="I6344" s="3"/>
    </row>
    <row r="6345" spans="1:9" s="4" customFormat="1" ht="20.25" customHeight="1" x14ac:dyDescent="0.55000000000000004">
      <c r="A6345" s="18">
        <v>24.7361711</v>
      </c>
      <c r="B6345" s="18">
        <v>34.782435100000001</v>
      </c>
      <c r="C6345" s="18">
        <v>680266.21</v>
      </c>
      <c r="D6345" s="18">
        <v>2736908.42</v>
      </c>
      <c r="E6345" s="18">
        <v>384.61</v>
      </c>
      <c r="F6345" s="18">
        <v>41688.879999999997</v>
      </c>
      <c r="G6345" s="18">
        <v>121708</v>
      </c>
      <c r="H6345" s="18">
        <f t="shared" si="150"/>
        <v>41542.879999999997</v>
      </c>
      <c r="I6345" s="3"/>
    </row>
    <row r="6346" spans="1:9" s="4" customFormat="1" ht="20.25" customHeight="1" x14ac:dyDescent="0.55000000000000004">
      <c r="A6346" s="18">
        <v>24.736157500000001</v>
      </c>
      <c r="B6346" s="18">
        <v>34.782415200000003</v>
      </c>
      <c r="C6346" s="18">
        <v>680264.21</v>
      </c>
      <c r="D6346" s="18">
        <v>2736906.88</v>
      </c>
      <c r="E6346" s="18">
        <v>384.55</v>
      </c>
      <c r="F6346" s="18">
        <v>41675.46</v>
      </c>
      <c r="G6346" s="18">
        <v>121710</v>
      </c>
      <c r="H6346" s="18">
        <f t="shared" si="150"/>
        <v>41529.46</v>
      </c>
      <c r="I6346" s="3"/>
    </row>
    <row r="6347" spans="1:9" s="4" customFormat="1" ht="20.25" customHeight="1" x14ac:dyDescent="0.55000000000000004">
      <c r="A6347" s="18">
        <v>24.736142300000001</v>
      </c>
      <c r="B6347" s="18">
        <v>34.782396300000002</v>
      </c>
      <c r="C6347" s="18">
        <v>680262.33</v>
      </c>
      <c r="D6347" s="18">
        <v>2736905.17</v>
      </c>
      <c r="E6347" s="18">
        <v>384.69</v>
      </c>
      <c r="F6347" s="18">
        <v>41687.94</v>
      </c>
      <c r="G6347" s="18">
        <v>121712</v>
      </c>
      <c r="H6347" s="18">
        <f t="shared" si="150"/>
        <v>41541.94</v>
      </c>
      <c r="I6347" s="3"/>
    </row>
    <row r="6348" spans="1:9" s="4" customFormat="1" ht="20.25" customHeight="1" x14ac:dyDescent="0.55000000000000004">
      <c r="A6348" s="18">
        <v>24.736125300000001</v>
      </c>
      <c r="B6348" s="18">
        <v>34.782380699999997</v>
      </c>
      <c r="C6348" s="18">
        <v>680260.77</v>
      </c>
      <c r="D6348" s="18">
        <v>2736903.28</v>
      </c>
      <c r="E6348" s="18">
        <v>384.75</v>
      </c>
      <c r="F6348" s="18">
        <v>41678.839999999997</v>
      </c>
      <c r="G6348" s="18">
        <v>121714</v>
      </c>
      <c r="H6348" s="18">
        <f t="shared" si="150"/>
        <v>41532.839999999997</v>
      </c>
      <c r="I6348" s="3"/>
    </row>
    <row r="6349" spans="1:9" s="4" customFormat="1" ht="20.25" customHeight="1" x14ac:dyDescent="0.55000000000000004">
      <c r="A6349" s="18">
        <v>24.736106899999999</v>
      </c>
      <c r="B6349" s="18">
        <v>34.782367499999999</v>
      </c>
      <c r="C6349" s="18">
        <v>680259.47</v>
      </c>
      <c r="D6349" s="18">
        <v>2736901.22</v>
      </c>
      <c r="E6349" s="18">
        <v>384.81</v>
      </c>
      <c r="F6349" s="18">
        <v>41684.769999999997</v>
      </c>
      <c r="G6349" s="18">
        <v>121716</v>
      </c>
      <c r="H6349" s="18">
        <f t="shared" si="150"/>
        <v>41538.769999999997</v>
      </c>
      <c r="I6349" s="3"/>
    </row>
    <row r="6350" spans="1:9" s="4" customFormat="1" ht="20.25" customHeight="1" x14ac:dyDescent="0.55000000000000004">
      <c r="A6350" s="18">
        <v>24.736096499999999</v>
      </c>
      <c r="B6350" s="18">
        <v>34.782347299999998</v>
      </c>
      <c r="C6350" s="18">
        <v>680257.44</v>
      </c>
      <c r="D6350" s="18">
        <v>2736900.05</v>
      </c>
      <c r="E6350" s="18">
        <v>384.9</v>
      </c>
      <c r="F6350" s="18">
        <v>41696.57</v>
      </c>
      <c r="G6350" s="18">
        <v>121718</v>
      </c>
      <c r="H6350" s="18">
        <f t="shared" si="150"/>
        <v>41550.57</v>
      </c>
      <c r="I6350" s="3"/>
    </row>
    <row r="6351" spans="1:9" s="4" customFormat="1" ht="20.25" customHeight="1" x14ac:dyDescent="0.55000000000000004">
      <c r="A6351" s="18">
        <v>24.736085299999999</v>
      </c>
      <c r="B6351" s="18">
        <v>34.782326400000002</v>
      </c>
      <c r="C6351" s="18">
        <v>680255.34</v>
      </c>
      <c r="D6351" s="18">
        <v>2736898.77</v>
      </c>
      <c r="E6351" s="18">
        <v>385.04</v>
      </c>
      <c r="F6351" s="18">
        <v>41692.699999999997</v>
      </c>
      <c r="G6351" s="18">
        <v>121720</v>
      </c>
      <c r="H6351" s="18">
        <f t="shared" si="150"/>
        <v>41546.699999999997</v>
      </c>
      <c r="I6351" s="3"/>
    </row>
    <row r="6352" spans="1:9" s="4" customFormat="1" ht="20.25" customHeight="1" x14ac:dyDescent="0.55000000000000004">
      <c r="A6352" s="18">
        <v>24.736070300000002</v>
      </c>
      <c r="B6352" s="18">
        <v>34.7823098</v>
      </c>
      <c r="C6352" s="18">
        <v>680253.68</v>
      </c>
      <c r="D6352" s="18">
        <v>2736897.09</v>
      </c>
      <c r="E6352" s="18">
        <v>385.08</v>
      </c>
      <c r="F6352" s="18">
        <v>41696.269999999997</v>
      </c>
      <c r="G6352" s="18">
        <v>121722</v>
      </c>
      <c r="H6352" s="18">
        <f t="shared" si="150"/>
        <v>41550.269999999997</v>
      </c>
      <c r="I6352" s="3"/>
    </row>
    <row r="6353" spans="1:9" s="4" customFormat="1" ht="20.25" customHeight="1" x14ac:dyDescent="0.55000000000000004">
      <c r="A6353" s="18">
        <v>24.736053800000001</v>
      </c>
      <c r="B6353" s="18">
        <v>34.782297700000001</v>
      </c>
      <c r="C6353" s="18">
        <v>680252.48</v>
      </c>
      <c r="D6353" s="18">
        <v>2736895.24</v>
      </c>
      <c r="E6353" s="18">
        <v>385.27</v>
      </c>
      <c r="F6353" s="18">
        <v>41701.019999999997</v>
      </c>
      <c r="G6353" s="18">
        <v>121724</v>
      </c>
      <c r="H6353" s="18">
        <f t="shared" si="150"/>
        <v>41555.019999999997</v>
      </c>
      <c r="I6353" s="3"/>
    </row>
    <row r="6354" spans="1:9" s="4" customFormat="1" ht="20.25" customHeight="1" x14ac:dyDescent="0.55000000000000004">
      <c r="A6354" s="18">
        <v>24.7360358</v>
      </c>
      <c r="B6354" s="18">
        <v>34.782290600000003</v>
      </c>
      <c r="C6354" s="18">
        <v>680251.79</v>
      </c>
      <c r="D6354" s="18">
        <v>2736893.25</v>
      </c>
      <c r="E6354" s="18">
        <v>385.3</v>
      </c>
      <c r="F6354" s="18">
        <v>41701.71</v>
      </c>
      <c r="G6354" s="18">
        <v>121726</v>
      </c>
      <c r="H6354" s="18">
        <f t="shared" si="150"/>
        <v>41555.71</v>
      </c>
      <c r="I6354" s="3"/>
    </row>
    <row r="6355" spans="1:9" s="4" customFormat="1" ht="20.25" customHeight="1" x14ac:dyDescent="0.55000000000000004">
      <c r="A6355" s="18">
        <v>24.736013799999998</v>
      </c>
      <c r="B6355" s="18">
        <v>34.782289400000003</v>
      </c>
      <c r="C6355" s="18">
        <v>680251.7</v>
      </c>
      <c r="D6355" s="18">
        <v>2736890.81</v>
      </c>
      <c r="E6355" s="18">
        <v>385.35</v>
      </c>
      <c r="F6355" s="18">
        <v>41696.67</v>
      </c>
      <c r="G6355" s="18">
        <v>121728</v>
      </c>
      <c r="H6355" s="18">
        <f t="shared" si="150"/>
        <v>41550.67</v>
      </c>
      <c r="I6355" s="3"/>
    </row>
    <row r="6356" spans="1:9" s="4" customFormat="1" ht="20.25" customHeight="1" x14ac:dyDescent="0.55000000000000004">
      <c r="A6356" s="18">
        <v>24.735992700000001</v>
      </c>
      <c r="B6356" s="18">
        <v>34.782288299999998</v>
      </c>
      <c r="C6356" s="18">
        <v>680251.62</v>
      </c>
      <c r="D6356" s="18">
        <v>2736888.46</v>
      </c>
      <c r="E6356" s="18">
        <v>385.39</v>
      </c>
      <c r="F6356" s="18">
        <v>41687.160000000003</v>
      </c>
      <c r="G6356" s="18">
        <v>121730</v>
      </c>
      <c r="H6356" s="18">
        <f t="shared" si="150"/>
        <v>41541.160000000003</v>
      </c>
      <c r="I6356" s="3"/>
    </row>
    <row r="6357" spans="1:9" s="4" customFormat="1" ht="20.25" customHeight="1" x14ac:dyDescent="0.55000000000000004">
      <c r="A6357" s="18">
        <v>24.7359683</v>
      </c>
      <c r="B6357" s="18">
        <v>34.782283100000001</v>
      </c>
      <c r="C6357" s="18">
        <v>680251.13</v>
      </c>
      <c r="D6357" s="18">
        <v>2736885.7599999998</v>
      </c>
      <c r="E6357" s="18">
        <v>385.6</v>
      </c>
      <c r="F6357" s="18">
        <v>41693.14</v>
      </c>
      <c r="G6357" s="18">
        <v>121732</v>
      </c>
      <c r="H6357" s="18">
        <f t="shared" si="150"/>
        <v>41547.14</v>
      </c>
      <c r="I6357" s="3"/>
    </row>
    <row r="6358" spans="1:9" s="4" customFormat="1" ht="20.25" customHeight="1" x14ac:dyDescent="0.55000000000000004">
      <c r="A6358" s="18">
        <v>24.735950500000001</v>
      </c>
      <c r="B6358" s="18">
        <v>34.782277200000003</v>
      </c>
      <c r="C6358" s="18">
        <v>680250.56</v>
      </c>
      <c r="D6358" s="18">
        <v>2736883.78</v>
      </c>
      <c r="E6358" s="18">
        <v>385.74</v>
      </c>
      <c r="F6358" s="18">
        <v>41706.46</v>
      </c>
      <c r="G6358" s="18">
        <v>121734</v>
      </c>
      <c r="H6358" s="18">
        <f t="shared" si="150"/>
        <v>41560.46</v>
      </c>
      <c r="I6358" s="3"/>
    </row>
    <row r="6359" spans="1:9" s="4" customFormat="1" ht="20.25" customHeight="1" x14ac:dyDescent="0.55000000000000004">
      <c r="A6359" s="18">
        <v>24.7359358</v>
      </c>
      <c r="B6359" s="18">
        <v>34.782261300000002</v>
      </c>
      <c r="C6359" s="18">
        <v>680248.97</v>
      </c>
      <c r="D6359" s="18">
        <v>2736882.13</v>
      </c>
      <c r="E6359" s="18">
        <v>385.86</v>
      </c>
      <c r="F6359" s="18">
        <v>41706.9</v>
      </c>
      <c r="G6359" s="18">
        <v>121736</v>
      </c>
      <c r="H6359" s="18">
        <f t="shared" si="150"/>
        <v>41560.9</v>
      </c>
      <c r="I6359" s="3"/>
    </row>
    <row r="6360" spans="1:9" s="4" customFormat="1" ht="20.25" customHeight="1" x14ac:dyDescent="0.55000000000000004">
      <c r="A6360" s="18">
        <v>24.735916899999999</v>
      </c>
      <c r="B6360" s="18">
        <v>34.782253799999999</v>
      </c>
      <c r="C6360" s="18">
        <v>680248.24</v>
      </c>
      <c r="D6360" s="18">
        <v>2736880.03</v>
      </c>
      <c r="E6360" s="18">
        <v>386.07</v>
      </c>
      <c r="F6360" s="18">
        <v>41705.57</v>
      </c>
      <c r="G6360" s="18">
        <v>121738</v>
      </c>
      <c r="H6360" s="18">
        <f t="shared" si="150"/>
        <v>41559.57</v>
      </c>
      <c r="I6360" s="3"/>
    </row>
    <row r="6361" spans="1:9" s="4" customFormat="1" ht="20.25" customHeight="1" x14ac:dyDescent="0.55000000000000004">
      <c r="A6361" s="18">
        <v>24.735897399999999</v>
      </c>
      <c r="B6361" s="18">
        <v>34.782249999999998</v>
      </c>
      <c r="C6361" s="18">
        <v>680247.89</v>
      </c>
      <c r="D6361" s="18">
        <v>2736877.86</v>
      </c>
      <c r="E6361" s="18">
        <v>386</v>
      </c>
      <c r="F6361" s="18">
        <v>41724.11</v>
      </c>
      <c r="G6361" s="18">
        <v>121740</v>
      </c>
      <c r="H6361" s="18">
        <f t="shared" si="150"/>
        <v>41578.11</v>
      </c>
      <c r="I6361" s="3"/>
    </row>
    <row r="6362" spans="1:9" s="4" customFormat="1" ht="20.25" customHeight="1" x14ac:dyDescent="0.55000000000000004">
      <c r="A6362" s="18">
        <v>24.735875499999999</v>
      </c>
      <c r="B6362" s="18">
        <v>34.782244900000002</v>
      </c>
      <c r="C6362" s="18">
        <v>680247.4</v>
      </c>
      <c r="D6362" s="18">
        <v>2736875.43</v>
      </c>
      <c r="E6362" s="18">
        <v>385.89</v>
      </c>
      <c r="F6362" s="18">
        <v>41713.29</v>
      </c>
      <c r="G6362" s="18">
        <v>121742</v>
      </c>
      <c r="H6362" s="18">
        <f t="shared" si="150"/>
        <v>41567.29</v>
      </c>
      <c r="I6362" s="3"/>
    </row>
    <row r="6363" spans="1:9" s="4" customFormat="1" ht="20.25" customHeight="1" x14ac:dyDescent="0.55000000000000004">
      <c r="A6363" s="18">
        <v>24.735863699999999</v>
      </c>
      <c r="B6363" s="18">
        <v>34.782224599999999</v>
      </c>
      <c r="C6363" s="18">
        <v>680245.36</v>
      </c>
      <c r="D6363" s="18">
        <v>2736874.09</v>
      </c>
      <c r="E6363" s="18">
        <v>385.95</v>
      </c>
      <c r="F6363" s="18">
        <v>41698.53</v>
      </c>
      <c r="G6363" s="18">
        <v>121744</v>
      </c>
      <c r="H6363" s="18">
        <f t="shared" si="150"/>
        <v>41552.53</v>
      </c>
      <c r="I6363" s="3"/>
    </row>
    <row r="6364" spans="1:9" s="4" customFormat="1" ht="20.25" customHeight="1" x14ac:dyDescent="0.55000000000000004">
      <c r="A6364" s="18">
        <v>24.735853599999999</v>
      </c>
      <c r="B6364" s="18">
        <v>34.782202699999999</v>
      </c>
      <c r="C6364" s="18">
        <v>680243.16</v>
      </c>
      <c r="D6364" s="18">
        <v>2736872.95</v>
      </c>
      <c r="E6364" s="18">
        <v>386.07</v>
      </c>
      <c r="F6364" s="18">
        <v>41695.01</v>
      </c>
      <c r="G6364" s="18">
        <v>121746</v>
      </c>
      <c r="H6364" s="18">
        <f t="shared" si="150"/>
        <v>41549.01</v>
      </c>
      <c r="I6364" s="3"/>
    </row>
    <row r="6365" spans="1:9" s="4" customFormat="1" ht="20.25" customHeight="1" x14ac:dyDescent="0.55000000000000004">
      <c r="A6365" s="18">
        <v>24.735841700000002</v>
      </c>
      <c r="B6365" s="18">
        <v>34.782181000000001</v>
      </c>
      <c r="C6365" s="18">
        <v>680240.99</v>
      </c>
      <c r="D6365" s="18">
        <v>2736871.6</v>
      </c>
      <c r="E6365" s="18">
        <v>386.02</v>
      </c>
      <c r="F6365" s="18">
        <v>41701.97</v>
      </c>
      <c r="G6365" s="18">
        <v>121748</v>
      </c>
      <c r="H6365" s="18">
        <f t="shared" si="150"/>
        <v>41555.97</v>
      </c>
      <c r="I6365" s="3"/>
    </row>
    <row r="6366" spans="1:9" s="4" customFormat="1" ht="20.25" customHeight="1" x14ac:dyDescent="0.55000000000000004">
      <c r="A6366" s="18">
        <v>24.7358294</v>
      </c>
      <c r="B6366" s="18">
        <v>34.782159800000002</v>
      </c>
      <c r="C6366" s="18">
        <v>680238.86</v>
      </c>
      <c r="D6366" s="18">
        <v>2736870.22</v>
      </c>
      <c r="E6366" s="18">
        <v>386.1</v>
      </c>
      <c r="F6366" s="18">
        <v>41694.089999999997</v>
      </c>
      <c r="G6366" s="18">
        <v>121750</v>
      </c>
      <c r="H6366" s="18">
        <f t="shared" si="150"/>
        <v>41548.089999999997</v>
      </c>
      <c r="I6366" s="3"/>
    </row>
    <row r="6367" spans="1:9" s="4" customFormat="1" ht="20.25" customHeight="1" x14ac:dyDescent="0.55000000000000004">
      <c r="A6367" s="18">
        <v>24.735817999999998</v>
      </c>
      <c r="B6367" s="18">
        <v>34.782137400000003</v>
      </c>
      <c r="C6367" s="18">
        <v>680236.6</v>
      </c>
      <c r="D6367" s="18">
        <v>2736868.92</v>
      </c>
      <c r="E6367" s="18">
        <v>386.17</v>
      </c>
      <c r="F6367" s="18">
        <v>41696.959999999999</v>
      </c>
      <c r="G6367" s="18">
        <v>121752</v>
      </c>
      <c r="H6367" s="18">
        <f t="shared" si="150"/>
        <v>41550.959999999999</v>
      </c>
      <c r="I6367" s="3"/>
    </row>
    <row r="6368" spans="1:9" s="4" customFormat="1" ht="20.25" customHeight="1" x14ac:dyDescent="0.55000000000000004">
      <c r="A6368" s="18">
        <v>24.735809</v>
      </c>
      <c r="B6368" s="18">
        <v>34.782114100000001</v>
      </c>
      <c r="C6368" s="18">
        <v>680234.26</v>
      </c>
      <c r="D6368" s="18">
        <v>2736867.9</v>
      </c>
      <c r="E6368" s="18">
        <v>386.26</v>
      </c>
      <c r="F6368" s="18">
        <v>41701.339999999997</v>
      </c>
      <c r="G6368" s="18">
        <v>121754</v>
      </c>
      <c r="H6368" s="18">
        <f t="shared" si="150"/>
        <v>41555.339999999997</v>
      </c>
      <c r="I6368" s="3"/>
    </row>
    <row r="6369" spans="1:9" s="4" customFormat="1" ht="20.25" customHeight="1" x14ac:dyDescent="0.55000000000000004">
      <c r="A6369" s="18">
        <v>24.7358023</v>
      </c>
      <c r="B6369" s="18">
        <v>34.782095099999999</v>
      </c>
      <c r="C6369" s="18">
        <v>680232.35</v>
      </c>
      <c r="D6369" s="18">
        <v>2736867.12</v>
      </c>
      <c r="E6369" s="18">
        <v>386.46</v>
      </c>
      <c r="F6369" s="18">
        <v>41702.550000000003</v>
      </c>
      <c r="G6369" s="18">
        <v>121756</v>
      </c>
      <c r="H6369" s="18">
        <f t="shared" si="150"/>
        <v>41556.550000000003</v>
      </c>
      <c r="I6369" s="3"/>
    </row>
    <row r="6370" spans="1:9" s="4" customFormat="1" ht="20.25" customHeight="1" x14ac:dyDescent="0.55000000000000004">
      <c r="A6370" s="18">
        <v>24.735790300000001</v>
      </c>
      <c r="B6370" s="18">
        <v>34.782079099999997</v>
      </c>
      <c r="C6370" s="18">
        <v>680230.75</v>
      </c>
      <c r="D6370" s="18">
        <v>2736865.77</v>
      </c>
      <c r="E6370" s="18">
        <v>386.55</v>
      </c>
      <c r="F6370" s="18">
        <v>41696.629999999997</v>
      </c>
      <c r="G6370" s="18">
        <v>121758</v>
      </c>
      <c r="H6370" s="18">
        <f t="shared" si="150"/>
        <v>41550.629999999997</v>
      </c>
      <c r="I6370" s="3"/>
    </row>
    <row r="6371" spans="1:9" s="4" customFormat="1" ht="20.25" customHeight="1" x14ac:dyDescent="0.55000000000000004">
      <c r="A6371" s="18">
        <v>24.7357832</v>
      </c>
      <c r="B6371" s="18">
        <v>34.782055900000003</v>
      </c>
      <c r="C6371" s="18">
        <v>680228.41</v>
      </c>
      <c r="D6371" s="18">
        <v>2736864.95</v>
      </c>
      <c r="E6371" s="18">
        <v>386.59</v>
      </c>
      <c r="F6371" s="18">
        <v>41696.879999999997</v>
      </c>
      <c r="G6371" s="18">
        <v>121800</v>
      </c>
      <c r="H6371" s="18">
        <f t="shared" si="150"/>
        <v>41550.879999999997</v>
      </c>
      <c r="I6371" s="3"/>
    </row>
    <row r="6372" spans="1:9" s="4" customFormat="1" ht="20.25" customHeight="1" x14ac:dyDescent="0.55000000000000004">
      <c r="A6372" s="18">
        <v>24.735776099999999</v>
      </c>
      <c r="B6372" s="18">
        <v>34.782031600000003</v>
      </c>
      <c r="C6372" s="18">
        <v>680225.96</v>
      </c>
      <c r="D6372" s="18">
        <v>2736864.14</v>
      </c>
      <c r="E6372" s="18">
        <v>386.61</v>
      </c>
      <c r="F6372" s="18">
        <v>41700.18</v>
      </c>
      <c r="G6372" s="18">
        <v>121802</v>
      </c>
      <c r="H6372" s="18">
        <f t="shared" si="150"/>
        <v>41554.18</v>
      </c>
      <c r="I6372" s="3"/>
    </row>
    <row r="6373" spans="1:9" s="4" customFormat="1" ht="20.25" customHeight="1" x14ac:dyDescent="0.55000000000000004">
      <c r="A6373" s="18">
        <v>24.735765900000001</v>
      </c>
      <c r="B6373" s="18">
        <v>34.782009000000002</v>
      </c>
      <c r="C6373" s="18">
        <v>680223.69</v>
      </c>
      <c r="D6373" s="18">
        <v>2736862.98</v>
      </c>
      <c r="E6373" s="18">
        <v>386.77</v>
      </c>
      <c r="F6373" s="18">
        <v>41696.559999999998</v>
      </c>
      <c r="G6373" s="18">
        <v>121804</v>
      </c>
      <c r="H6373" s="18">
        <f t="shared" ref="H6373:H6436" si="151">SUM(F6373-146)</f>
        <v>41550.559999999998</v>
      </c>
      <c r="I6373" s="3"/>
    </row>
    <row r="6374" spans="1:9" s="4" customFormat="1" ht="20.25" customHeight="1" x14ac:dyDescent="0.55000000000000004">
      <c r="A6374" s="18">
        <v>24.735752699999999</v>
      </c>
      <c r="B6374" s="18">
        <v>34.781994099999999</v>
      </c>
      <c r="C6374" s="18">
        <v>680222.21</v>
      </c>
      <c r="D6374" s="18">
        <v>2736861.5</v>
      </c>
      <c r="E6374" s="18">
        <v>386.87</v>
      </c>
      <c r="F6374" s="18">
        <v>41700.550000000003</v>
      </c>
      <c r="G6374" s="18">
        <v>121806</v>
      </c>
      <c r="H6374" s="18">
        <f t="shared" si="151"/>
        <v>41554.550000000003</v>
      </c>
      <c r="I6374" s="3"/>
    </row>
    <row r="6375" spans="1:9" s="4" customFormat="1" ht="20.25" customHeight="1" x14ac:dyDescent="0.55000000000000004">
      <c r="A6375" s="18">
        <v>24.735737100000001</v>
      </c>
      <c r="B6375" s="18">
        <v>34.781984199999997</v>
      </c>
      <c r="C6375" s="18">
        <v>680221.22</v>
      </c>
      <c r="D6375" s="18">
        <v>2736859.76</v>
      </c>
      <c r="E6375" s="18">
        <v>387.07</v>
      </c>
      <c r="F6375" s="18">
        <v>41701.11</v>
      </c>
      <c r="G6375" s="18">
        <v>121808</v>
      </c>
      <c r="H6375" s="18">
        <f t="shared" si="151"/>
        <v>41555.11</v>
      </c>
      <c r="I6375" s="3"/>
    </row>
    <row r="6376" spans="1:9" s="4" customFormat="1" ht="20.25" customHeight="1" x14ac:dyDescent="0.55000000000000004">
      <c r="A6376" s="18">
        <v>24.735719199999998</v>
      </c>
      <c r="B6376" s="18">
        <v>34.781973499999999</v>
      </c>
      <c r="C6376" s="18">
        <v>680220.17</v>
      </c>
      <c r="D6376" s="18">
        <v>2736857.77</v>
      </c>
      <c r="E6376" s="18">
        <v>387.26</v>
      </c>
      <c r="F6376" s="18">
        <v>41696.18</v>
      </c>
      <c r="G6376" s="18">
        <v>121810</v>
      </c>
      <c r="H6376" s="18">
        <f t="shared" si="151"/>
        <v>41550.18</v>
      </c>
      <c r="I6376" s="3"/>
    </row>
    <row r="6377" spans="1:9" s="4" customFormat="1" ht="20.25" customHeight="1" x14ac:dyDescent="0.55000000000000004">
      <c r="A6377" s="18">
        <v>24.735697600000002</v>
      </c>
      <c r="B6377" s="18">
        <v>34.781967999999999</v>
      </c>
      <c r="C6377" s="18">
        <v>680219.64</v>
      </c>
      <c r="D6377" s="18">
        <v>2736855.36</v>
      </c>
      <c r="E6377" s="18">
        <v>387.31</v>
      </c>
      <c r="F6377" s="18">
        <v>41696.67</v>
      </c>
      <c r="G6377" s="18">
        <v>121812</v>
      </c>
      <c r="H6377" s="18">
        <f t="shared" si="151"/>
        <v>41550.67</v>
      </c>
      <c r="I6377" s="3"/>
    </row>
    <row r="6378" spans="1:9" s="4" customFormat="1" ht="20.25" customHeight="1" x14ac:dyDescent="0.55000000000000004">
      <c r="A6378" s="18">
        <v>24.735675400000002</v>
      </c>
      <c r="B6378" s="18">
        <v>34.781960599999998</v>
      </c>
      <c r="C6378" s="18">
        <v>680218.93</v>
      </c>
      <c r="D6378" s="18">
        <v>2736852.89</v>
      </c>
      <c r="E6378" s="18">
        <v>387.53</v>
      </c>
      <c r="F6378" s="18">
        <v>41700.959999999999</v>
      </c>
      <c r="G6378" s="18">
        <v>121814</v>
      </c>
      <c r="H6378" s="18">
        <f t="shared" si="151"/>
        <v>41554.959999999999</v>
      </c>
      <c r="I6378" s="3"/>
    </row>
    <row r="6379" spans="1:9" s="4" customFormat="1" ht="20.25" customHeight="1" x14ac:dyDescent="0.55000000000000004">
      <c r="A6379" s="18">
        <v>24.735657499999999</v>
      </c>
      <c r="B6379" s="18">
        <v>34.781947099999996</v>
      </c>
      <c r="C6379" s="18">
        <v>680217.58</v>
      </c>
      <c r="D6379" s="18">
        <v>2736850.89</v>
      </c>
      <c r="E6379" s="18">
        <v>387.73</v>
      </c>
      <c r="F6379" s="18">
        <v>41698.370000000003</v>
      </c>
      <c r="G6379" s="18">
        <v>121816</v>
      </c>
      <c r="H6379" s="18">
        <f t="shared" si="151"/>
        <v>41552.370000000003</v>
      </c>
      <c r="I6379" s="3"/>
    </row>
    <row r="6380" spans="1:9" s="4" customFormat="1" ht="20.25" customHeight="1" x14ac:dyDescent="0.55000000000000004">
      <c r="A6380" s="18">
        <v>24.735639899999999</v>
      </c>
      <c r="B6380" s="18">
        <v>34.781931499999999</v>
      </c>
      <c r="C6380" s="18">
        <v>680216.04</v>
      </c>
      <c r="D6380" s="18">
        <v>2736848.92</v>
      </c>
      <c r="E6380" s="18">
        <v>387.86</v>
      </c>
      <c r="F6380" s="18">
        <v>41704.85</v>
      </c>
      <c r="G6380" s="18">
        <v>121818</v>
      </c>
      <c r="H6380" s="18">
        <f t="shared" si="151"/>
        <v>41558.85</v>
      </c>
      <c r="I6380" s="3"/>
    </row>
    <row r="6381" spans="1:9" s="4" customFormat="1" ht="20.25" customHeight="1" x14ac:dyDescent="0.55000000000000004">
      <c r="A6381" s="18">
        <v>24.735618899999999</v>
      </c>
      <c r="B6381" s="18">
        <v>34.7819182</v>
      </c>
      <c r="C6381" s="18">
        <v>680214.72</v>
      </c>
      <c r="D6381" s="18">
        <v>2736846.58</v>
      </c>
      <c r="E6381" s="18">
        <v>388.04</v>
      </c>
      <c r="F6381" s="18">
        <v>41701.89</v>
      </c>
      <c r="G6381" s="18">
        <v>121820</v>
      </c>
      <c r="H6381" s="18">
        <f t="shared" si="151"/>
        <v>41555.89</v>
      </c>
      <c r="I6381" s="3"/>
    </row>
    <row r="6382" spans="1:9" s="4" customFormat="1" ht="20.25" customHeight="1" x14ac:dyDescent="0.55000000000000004">
      <c r="A6382" s="18">
        <v>24.735600900000001</v>
      </c>
      <c r="B6382" s="18">
        <v>34.781905399999999</v>
      </c>
      <c r="C6382" s="18">
        <v>680213.45</v>
      </c>
      <c r="D6382" s="18">
        <v>2736844.57</v>
      </c>
      <c r="E6382" s="18">
        <v>388.14</v>
      </c>
      <c r="F6382" s="18">
        <v>41703.06</v>
      </c>
      <c r="G6382" s="18">
        <v>121822</v>
      </c>
      <c r="H6382" s="18">
        <f t="shared" si="151"/>
        <v>41557.06</v>
      </c>
      <c r="I6382" s="3"/>
    </row>
    <row r="6383" spans="1:9" s="4" customFormat="1" ht="20.25" customHeight="1" x14ac:dyDescent="0.55000000000000004">
      <c r="A6383" s="18">
        <v>24.735583200000001</v>
      </c>
      <c r="B6383" s="18">
        <v>34.781891700000003</v>
      </c>
      <c r="C6383" s="18">
        <v>680212.09</v>
      </c>
      <c r="D6383" s="18">
        <v>2736842.59</v>
      </c>
      <c r="E6383" s="18">
        <v>388.28</v>
      </c>
      <c r="F6383" s="18">
        <v>41702.239999999998</v>
      </c>
      <c r="G6383" s="18">
        <v>121824</v>
      </c>
      <c r="H6383" s="18">
        <f t="shared" si="151"/>
        <v>41556.239999999998</v>
      </c>
      <c r="I6383" s="3"/>
    </row>
    <row r="6384" spans="1:9" s="4" customFormat="1" ht="20.25" customHeight="1" x14ac:dyDescent="0.55000000000000004">
      <c r="A6384" s="18">
        <v>24.735567199999998</v>
      </c>
      <c r="B6384" s="18">
        <v>34.781874199999997</v>
      </c>
      <c r="C6384" s="18">
        <v>680210.34</v>
      </c>
      <c r="D6384" s="18">
        <v>2736840.8</v>
      </c>
      <c r="E6384" s="18">
        <v>388.32</v>
      </c>
      <c r="F6384" s="18">
        <v>41704.47</v>
      </c>
      <c r="G6384" s="18">
        <v>121826</v>
      </c>
      <c r="H6384" s="18">
        <f t="shared" si="151"/>
        <v>41558.47</v>
      </c>
      <c r="I6384" s="3"/>
    </row>
    <row r="6385" spans="1:9" s="4" customFormat="1" ht="20.25" customHeight="1" x14ac:dyDescent="0.55000000000000004">
      <c r="A6385" s="18">
        <v>24.735552999999999</v>
      </c>
      <c r="B6385" s="18">
        <v>34.781855700000001</v>
      </c>
      <c r="C6385" s="18">
        <v>680208.5</v>
      </c>
      <c r="D6385" s="18">
        <v>2736839.2</v>
      </c>
      <c r="E6385" s="18">
        <v>388.37</v>
      </c>
      <c r="F6385" s="18">
        <v>41700.07</v>
      </c>
      <c r="G6385" s="18">
        <v>121828</v>
      </c>
      <c r="H6385" s="18">
        <f t="shared" si="151"/>
        <v>41554.07</v>
      </c>
      <c r="I6385" s="3"/>
    </row>
    <row r="6386" spans="1:9" s="4" customFormat="1" ht="20.25" customHeight="1" x14ac:dyDescent="0.55000000000000004">
      <c r="A6386" s="18">
        <v>24.735537099999998</v>
      </c>
      <c r="B6386" s="18">
        <v>34.781838299999997</v>
      </c>
      <c r="C6386" s="18">
        <v>680206.76</v>
      </c>
      <c r="D6386" s="18">
        <v>2736837.41</v>
      </c>
      <c r="E6386" s="18">
        <v>388.46</v>
      </c>
      <c r="F6386" s="18">
        <v>41702.39</v>
      </c>
      <c r="G6386" s="18">
        <v>121830</v>
      </c>
      <c r="H6386" s="18">
        <f t="shared" si="151"/>
        <v>41556.39</v>
      </c>
      <c r="I6386" s="3"/>
    </row>
    <row r="6387" spans="1:9" s="4" customFormat="1" ht="20.25" customHeight="1" x14ac:dyDescent="0.55000000000000004">
      <c r="A6387" s="18">
        <v>24.735524399999999</v>
      </c>
      <c r="B6387" s="18">
        <v>34.781818600000001</v>
      </c>
      <c r="C6387" s="18">
        <v>680204.78</v>
      </c>
      <c r="D6387" s="18">
        <v>2736835.98</v>
      </c>
      <c r="E6387" s="18">
        <v>388.45</v>
      </c>
      <c r="F6387" s="18">
        <v>41698.14</v>
      </c>
      <c r="G6387" s="18">
        <v>121832</v>
      </c>
      <c r="H6387" s="18">
        <f t="shared" si="151"/>
        <v>41552.14</v>
      </c>
      <c r="I6387" s="3"/>
    </row>
    <row r="6388" spans="1:9" s="4" customFormat="1" ht="20.25" customHeight="1" x14ac:dyDescent="0.55000000000000004">
      <c r="A6388" s="18">
        <v>24.7355105</v>
      </c>
      <c r="B6388" s="18">
        <v>34.781799499999998</v>
      </c>
      <c r="C6388" s="18">
        <v>680202.86</v>
      </c>
      <c r="D6388" s="18">
        <v>2736834.41</v>
      </c>
      <c r="E6388" s="18">
        <v>388.6</v>
      </c>
      <c r="F6388" s="18">
        <v>41695.120000000003</v>
      </c>
      <c r="G6388" s="18">
        <v>121834</v>
      </c>
      <c r="H6388" s="18">
        <f t="shared" si="151"/>
        <v>41549.120000000003</v>
      </c>
      <c r="I6388" s="3"/>
    </row>
    <row r="6389" spans="1:9" s="4" customFormat="1" ht="20.25" customHeight="1" x14ac:dyDescent="0.55000000000000004">
      <c r="A6389" s="18">
        <v>24.735498199999999</v>
      </c>
      <c r="B6389" s="18">
        <v>34.781779</v>
      </c>
      <c r="C6389" s="18">
        <v>680200.82</v>
      </c>
      <c r="D6389" s="18">
        <v>2736833.02</v>
      </c>
      <c r="E6389" s="18">
        <v>388.72</v>
      </c>
      <c r="F6389" s="18">
        <v>41694.089999999997</v>
      </c>
      <c r="G6389" s="18">
        <v>121836</v>
      </c>
      <c r="H6389" s="18">
        <f t="shared" si="151"/>
        <v>41548.089999999997</v>
      </c>
      <c r="I6389" s="3"/>
    </row>
    <row r="6390" spans="1:9" s="4" customFormat="1" ht="20.25" customHeight="1" x14ac:dyDescent="0.55000000000000004">
      <c r="A6390" s="18">
        <v>24.735485799999999</v>
      </c>
      <c r="B6390" s="18">
        <v>34.781760599999998</v>
      </c>
      <c r="C6390" s="18">
        <v>680198.97</v>
      </c>
      <c r="D6390" s="18">
        <v>2736831.62</v>
      </c>
      <c r="E6390" s="18">
        <v>388.86</v>
      </c>
      <c r="F6390" s="18">
        <v>41681.519999999997</v>
      </c>
      <c r="G6390" s="18">
        <v>121838</v>
      </c>
      <c r="H6390" s="18">
        <f t="shared" si="151"/>
        <v>41535.519999999997</v>
      </c>
      <c r="I6390" s="3"/>
    </row>
    <row r="6391" spans="1:9" s="4" customFormat="1" ht="20.25" customHeight="1" x14ac:dyDescent="0.55000000000000004">
      <c r="A6391" s="18">
        <v>24.735467199999999</v>
      </c>
      <c r="B6391" s="18">
        <v>34.781743900000002</v>
      </c>
      <c r="C6391" s="18">
        <v>680197.31</v>
      </c>
      <c r="D6391" s="18">
        <v>2736829.54</v>
      </c>
      <c r="E6391" s="18">
        <v>389</v>
      </c>
      <c r="F6391" s="18">
        <v>41681.440000000002</v>
      </c>
      <c r="G6391" s="18">
        <v>121840</v>
      </c>
      <c r="H6391" s="18">
        <f t="shared" si="151"/>
        <v>41535.440000000002</v>
      </c>
      <c r="I6391" s="3"/>
    </row>
    <row r="6392" spans="1:9" s="4" customFormat="1" ht="20.25" customHeight="1" x14ac:dyDescent="0.55000000000000004">
      <c r="A6392" s="18">
        <v>24.735450199999999</v>
      </c>
      <c r="B6392" s="18">
        <v>34.7817261</v>
      </c>
      <c r="C6392" s="18">
        <v>680195.53</v>
      </c>
      <c r="D6392" s="18">
        <v>2736827.64</v>
      </c>
      <c r="E6392" s="18">
        <v>389.08</v>
      </c>
      <c r="F6392" s="18">
        <v>41680.769999999997</v>
      </c>
      <c r="G6392" s="18">
        <v>121842</v>
      </c>
      <c r="H6392" s="18">
        <f t="shared" si="151"/>
        <v>41534.769999999997</v>
      </c>
      <c r="I6392" s="3"/>
    </row>
    <row r="6393" spans="1:9" s="4" customFormat="1" ht="20.25" customHeight="1" x14ac:dyDescent="0.55000000000000004">
      <c r="A6393" s="18">
        <v>24.735434000000001</v>
      </c>
      <c r="B6393" s="18">
        <v>34.781711399999999</v>
      </c>
      <c r="C6393" s="18">
        <v>680194.07</v>
      </c>
      <c r="D6393" s="18">
        <v>2736825.83</v>
      </c>
      <c r="E6393" s="18">
        <v>389.32</v>
      </c>
      <c r="F6393" s="18">
        <v>41685.870000000003</v>
      </c>
      <c r="G6393" s="18">
        <v>121844</v>
      </c>
      <c r="H6393" s="18">
        <f t="shared" si="151"/>
        <v>41539.870000000003</v>
      </c>
      <c r="I6393" s="3"/>
    </row>
    <row r="6394" spans="1:9" s="4" customFormat="1" ht="20.25" customHeight="1" x14ac:dyDescent="0.55000000000000004">
      <c r="A6394" s="18">
        <v>24.735415799999998</v>
      </c>
      <c r="B6394" s="18">
        <v>34.7816963</v>
      </c>
      <c r="C6394" s="18">
        <v>680192.57</v>
      </c>
      <c r="D6394" s="18">
        <v>2736823.79</v>
      </c>
      <c r="E6394" s="18">
        <v>389.37</v>
      </c>
      <c r="F6394" s="18">
        <v>41693.910000000003</v>
      </c>
      <c r="G6394" s="18">
        <v>121846</v>
      </c>
      <c r="H6394" s="18">
        <f t="shared" si="151"/>
        <v>41547.910000000003</v>
      </c>
      <c r="I6394" s="3"/>
    </row>
    <row r="6395" spans="1:9" s="4" customFormat="1" ht="20.25" customHeight="1" x14ac:dyDescent="0.55000000000000004">
      <c r="A6395" s="18">
        <v>24.735398100000001</v>
      </c>
      <c r="B6395" s="18">
        <v>34.781681399999997</v>
      </c>
      <c r="C6395" s="18">
        <v>680191.09</v>
      </c>
      <c r="D6395" s="18">
        <v>2736821.81</v>
      </c>
      <c r="E6395" s="18">
        <v>389.66</v>
      </c>
      <c r="F6395" s="18">
        <v>41697.25</v>
      </c>
      <c r="G6395" s="18">
        <v>121848</v>
      </c>
      <c r="H6395" s="18">
        <f t="shared" si="151"/>
        <v>41551.25</v>
      </c>
      <c r="I6395" s="3"/>
    </row>
    <row r="6396" spans="1:9" s="4" customFormat="1" ht="20.25" customHeight="1" x14ac:dyDescent="0.55000000000000004">
      <c r="A6396" s="18">
        <v>24.735379500000001</v>
      </c>
      <c r="B6396" s="18">
        <v>34.781668799999998</v>
      </c>
      <c r="C6396" s="18">
        <v>680189.84</v>
      </c>
      <c r="D6396" s="18">
        <v>2736819.73</v>
      </c>
      <c r="E6396" s="18">
        <v>389.79</v>
      </c>
      <c r="F6396" s="18">
        <v>41695.949999999997</v>
      </c>
      <c r="G6396" s="18">
        <v>121850</v>
      </c>
      <c r="H6396" s="18">
        <f t="shared" si="151"/>
        <v>41549.949999999997</v>
      </c>
      <c r="I6396" s="3"/>
    </row>
    <row r="6397" spans="1:9" s="4" customFormat="1" ht="20.25" customHeight="1" x14ac:dyDescent="0.55000000000000004">
      <c r="A6397" s="18">
        <v>24.735360499999999</v>
      </c>
      <c r="B6397" s="18">
        <v>34.7816574</v>
      </c>
      <c r="C6397" s="18">
        <v>680188.71</v>
      </c>
      <c r="D6397" s="18">
        <v>2736817.62</v>
      </c>
      <c r="E6397" s="18">
        <v>389.9</v>
      </c>
      <c r="F6397" s="18">
        <v>41701.980000000003</v>
      </c>
      <c r="G6397" s="18">
        <v>121852</v>
      </c>
      <c r="H6397" s="18">
        <f t="shared" si="151"/>
        <v>41555.980000000003</v>
      </c>
      <c r="I6397" s="3"/>
    </row>
    <row r="6398" spans="1:9" s="4" customFormat="1" ht="20.25" customHeight="1" x14ac:dyDescent="0.55000000000000004">
      <c r="A6398" s="18">
        <v>24.735341200000001</v>
      </c>
      <c r="B6398" s="18">
        <v>34.7816446</v>
      </c>
      <c r="C6398" s="18">
        <v>680187.44</v>
      </c>
      <c r="D6398" s="18">
        <v>2736815.46</v>
      </c>
      <c r="E6398" s="18">
        <v>389.98</v>
      </c>
      <c r="F6398" s="18">
        <v>41718.58</v>
      </c>
      <c r="G6398" s="18">
        <v>121854</v>
      </c>
      <c r="H6398" s="18">
        <f t="shared" si="151"/>
        <v>41572.58</v>
      </c>
      <c r="I6398" s="3"/>
    </row>
    <row r="6399" spans="1:9" s="4" customFormat="1" ht="20.25" customHeight="1" x14ac:dyDescent="0.55000000000000004">
      <c r="A6399" s="18">
        <v>24.7353214</v>
      </c>
      <c r="B6399" s="18">
        <v>34.781632700000003</v>
      </c>
      <c r="C6399" s="18">
        <v>680186.27</v>
      </c>
      <c r="D6399" s="18">
        <v>2736813.25</v>
      </c>
      <c r="E6399" s="18">
        <v>390.06</v>
      </c>
      <c r="F6399" s="18">
        <v>41696.300000000003</v>
      </c>
      <c r="G6399" s="18">
        <v>121856</v>
      </c>
      <c r="H6399" s="18">
        <f t="shared" si="151"/>
        <v>41550.300000000003</v>
      </c>
      <c r="I6399" s="3"/>
    </row>
    <row r="6400" spans="1:9" s="4" customFormat="1" ht="20.25" customHeight="1" x14ac:dyDescent="0.55000000000000004">
      <c r="A6400" s="18">
        <v>24.735302300000001</v>
      </c>
      <c r="B6400" s="18">
        <v>34.781616399999997</v>
      </c>
      <c r="C6400" s="18">
        <v>680184.64</v>
      </c>
      <c r="D6400" s="18">
        <v>2736811.12</v>
      </c>
      <c r="E6400" s="18">
        <v>390.24</v>
      </c>
      <c r="F6400" s="18">
        <v>41707.11</v>
      </c>
      <c r="G6400" s="18">
        <v>121858</v>
      </c>
      <c r="H6400" s="18">
        <f t="shared" si="151"/>
        <v>41561.11</v>
      </c>
      <c r="I6400" s="3"/>
    </row>
    <row r="6401" spans="1:9" s="4" customFormat="1" ht="20.25" customHeight="1" x14ac:dyDescent="0.55000000000000004">
      <c r="A6401" s="18">
        <v>24.735292600000001</v>
      </c>
      <c r="B6401" s="18">
        <v>34.781603099999998</v>
      </c>
      <c r="C6401" s="18">
        <v>680183.32</v>
      </c>
      <c r="D6401" s="18">
        <v>2736810.03</v>
      </c>
      <c r="E6401" s="18">
        <v>390.44</v>
      </c>
      <c r="F6401" s="18">
        <v>41707.910000000003</v>
      </c>
      <c r="G6401" s="18">
        <v>121900</v>
      </c>
      <c r="H6401" s="18">
        <f t="shared" si="151"/>
        <v>41561.910000000003</v>
      </c>
      <c r="I6401" s="3"/>
    </row>
    <row r="6402" spans="1:9" s="4" customFormat="1" ht="20.25" customHeight="1" x14ac:dyDescent="0.55000000000000004">
      <c r="A6402" s="18">
        <v>24.735291799999999</v>
      </c>
      <c r="B6402" s="18">
        <v>34.781585</v>
      </c>
      <c r="C6402" s="18">
        <v>680181.48</v>
      </c>
      <c r="D6402" s="18">
        <v>2736809.91</v>
      </c>
      <c r="E6402" s="18">
        <v>390.64</v>
      </c>
      <c r="F6402" s="18">
        <v>41725.67</v>
      </c>
      <c r="G6402" s="18">
        <v>121902</v>
      </c>
      <c r="H6402" s="18">
        <f t="shared" si="151"/>
        <v>41579.67</v>
      </c>
      <c r="I6402" s="3"/>
    </row>
    <row r="6403" spans="1:9" s="4" customFormat="1" ht="20.25" customHeight="1" x14ac:dyDescent="0.55000000000000004">
      <c r="A6403" s="18">
        <v>24.735297299999999</v>
      </c>
      <c r="B6403" s="18">
        <v>34.781574499999998</v>
      </c>
      <c r="C6403" s="18">
        <v>680180.42</v>
      </c>
      <c r="D6403" s="18">
        <v>2736810.51</v>
      </c>
      <c r="E6403" s="18">
        <v>391.26</v>
      </c>
      <c r="F6403" s="18">
        <v>41732.43</v>
      </c>
      <c r="G6403" s="18">
        <v>121904</v>
      </c>
      <c r="H6403" s="18">
        <f t="shared" si="151"/>
        <v>41586.43</v>
      </c>
      <c r="I6403" s="3"/>
    </row>
    <row r="6404" spans="1:9" s="4" customFormat="1" ht="20.25" customHeight="1" x14ac:dyDescent="0.55000000000000004">
      <c r="A6404" s="18">
        <v>24.735304599999999</v>
      </c>
      <c r="B6404" s="18">
        <v>34.781560300000002</v>
      </c>
      <c r="C6404" s="18">
        <v>680178.96</v>
      </c>
      <c r="D6404" s="18">
        <v>2736811.3</v>
      </c>
      <c r="E6404" s="18">
        <v>391.62</v>
      </c>
      <c r="F6404" s="18">
        <v>41723.050000000003</v>
      </c>
      <c r="G6404" s="18">
        <v>121906</v>
      </c>
      <c r="H6404" s="18">
        <f t="shared" si="151"/>
        <v>41577.050000000003</v>
      </c>
      <c r="I6404" s="3"/>
    </row>
    <row r="6405" spans="1:9" s="4" customFormat="1" ht="20.25" customHeight="1" x14ac:dyDescent="0.55000000000000004">
      <c r="A6405" s="18">
        <v>24.735313000000001</v>
      </c>
      <c r="B6405" s="18">
        <v>34.781542199999997</v>
      </c>
      <c r="C6405" s="18">
        <v>680177.13</v>
      </c>
      <c r="D6405" s="18">
        <v>2736812.2</v>
      </c>
      <c r="E6405" s="18">
        <v>392.01</v>
      </c>
      <c r="F6405" s="18">
        <v>41707.339999999997</v>
      </c>
      <c r="G6405" s="18">
        <v>121908</v>
      </c>
      <c r="H6405" s="18">
        <f t="shared" si="151"/>
        <v>41561.339999999997</v>
      </c>
      <c r="I6405" s="3"/>
    </row>
    <row r="6406" spans="1:9" s="4" customFormat="1" ht="20.25" customHeight="1" x14ac:dyDescent="0.55000000000000004">
      <c r="A6406" s="18">
        <v>24.7353196</v>
      </c>
      <c r="B6406" s="18">
        <v>34.781524400000002</v>
      </c>
      <c r="C6406" s="18">
        <v>680175.31</v>
      </c>
      <c r="D6406" s="18">
        <v>2736812.91</v>
      </c>
      <c r="E6406" s="18">
        <v>392.3</v>
      </c>
      <c r="F6406" s="18">
        <v>41693.300000000003</v>
      </c>
      <c r="G6406" s="18">
        <v>121910</v>
      </c>
      <c r="H6406" s="18">
        <f t="shared" si="151"/>
        <v>41547.300000000003</v>
      </c>
      <c r="I6406" s="3"/>
    </row>
    <row r="6407" spans="1:9" s="4" customFormat="1" ht="20.25" customHeight="1" x14ac:dyDescent="0.55000000000000004">
      <c r="A6407" s="18">
        <v>24.735326799999999</v>
      </c>
      <c r="B6407" s="18">
        <v>34.781503899999997</v>
      </c>
      <c r="C6407" s="18">
        <v>680173.23</v>
      </c>
      <c r="D6407" s="18">
        <v>2736813.68</v>
      </c>
      <c r="E6407" s="18">
        <v>392.36</v>
      </c>
      <c r="F6407" s="18">
        <v>41691.040000000001</v>
      </c>
      <c r="G6407" s="18">
        <v>121912</v>
      </c>
      <c r="H6407" s="18">
        <f t="shared" si="151"/>
        <v>41545.040000000001</v>
      </c>
      <c r="I6407" s="3"/>
    </row>
    <row r="6408" spans="1:9" s="4" customFormat="1" ht="20.25" customHeight="1" x14ac:dyDescent="0.55000000000000004">
      <c r="A6408" s="18">
        <v>24.735335299999999</v>
      </c>
      <c r="B6408" s="18">
        <v>34.7814853</v>
      </c>
      <c r="C6408" s="18">
        <v>680171.34</v>
      </c>
      <c r="D6408" s="18">
        <v>2736814.6</v>
      </c>
      <c r="E6408" s="18">
        <v>392.52</v>
      </c>
      <c r="F6408" s="18">
        <v>41695.919999999998</v>
      </c>
      <c r="G6408" s="18">
        <v>121914</v>
      </c>
      <c r="H6408" s="18">
        <f t="shared" si="151"/>
        <v>41549.919999999998</v>
      </c>
      <c r="I6408" s="3"/>
    </row>
    <row r="6409" spans="1:9" s="4" customFormat="1" ht="20.25" customHeight="1" x14ac:dyDescent="0.55000000000000004">
      <c r="A6409" s="18">
        <v>24.735341399999999</v>
      </c>
      <c r="B6409" s="18">
        <v>34.781469899999998</v>
      </c>
      <c r="C6409" s="18">
        <v>680169.77</v>
      </c>
      <c r="D6409" s="18">
        <v>2736815.25</v>
      </c>
      <c r="E6409" s="18">
        <v>392.71</v>
      </c>
      <c r="F6409" s="18">
        <v>41695.58</v>
      </c>
      <c r="G6409" s="18">
        <v>121916</v>
      </c>
      <c r="H6409" s="18">
        <f t="shared" si="151"/>
        <v>41549.58</v>
      </c>
      <c r="I6409" s="3"/>
    </row>
    <row r="6410" spans="1:9" s="4" customFormat="1" ht="20.25" customHeight="1" x14ac:dyDescent="0.55000000000000004">
      <c r="A6410" s="18">
        <v>24.735346700000001</v>
      </c>
      <c r="B6410" s="18">
        <v>34.781453200000001</v>
      </c>
      <c r="C6410" s="18">
        <v>680168.08</v>
      </c>
      <c r="D6410" s="18">
        <v>2736815.82</v>
      </c>
      <c r="E6410" s="18">
        <v>392.88</v>
      </c>
      <c r="F6410" s="18">
        <v>41702.51</v>
      </c>
      <c r="G6410" s="18">
        <v>121918</v>
      </c>
      <c r="H6410" s="18">
        <f t="shared" si="151"/>
        <v>41556.51</v>
      </c>
      <c r="I6410" s="3"/>
    </row>
    <row r="6411" spans="1:9" s="4" customFormat="1" ht="20.25" customHeight="1" x14ac:dyDescent="0.55000000000000004">
      <c r="A6411" s="18">
        <v>24.7353497</v>
      </c>
      <c r="B6411" s="18">
        <v>34.781432299999999</v>
      </c>
      <c r="C6411" s="18">
        <v>680165.95</v>
      </c>
      <c r="D6411" s="18">
        <v>2736816.12</v>
      </c>
      <c r="E6411" s="18">
        <v>392.89</v>
      </c>
      <c r="F6411" s="18">
        <v>41698.339999999997</v>
      </c>
      <c r="G6411" s="18">
        <v>121920</v>
      </c>
      <c r="H6411" s="18">
        <f t="shared" si="151"/>
        <v>41552.339999999997</v>
      </c>
      <c r="I6411" s="3"/>
    </row>
    <row r="6412" spans="1:9" s="4" customFormat="1" ht="20.25" customHeight="1" x14ac:dyDescent="0.55000000000000004">
      <c r="A6412" s="18">
        <v>24.735352200000001</v>
      </c>
      <c r="B6412" s="18">
        <v>34.7814087</v>
      </c>
      <c r="C6412" s="18">
        <v>680163.57</v>
      </c>
      <c r="D6412" s="18">
        <v>2736816.37</v>
      </c>
      <c r="E6412" s="18">
        <v>393.04</v>
      </c>
      <c r="F6412" s="18">
        <v>41682.99</v>
      </c>
      <c r="G6412" s="18">
        <v>121922</v>
      </c>
      <c r="H6412" s="18">
        <f t="shared" si="151"/>
        <v>41536.99</v>
      </c>
      <c r="I6412" s="3"/>
    </row>
    <row r="6413" spans="1:9" s="4" customFormat="1" ht="20.25" customHeight="1" x14ac:dyDescent="0.55000000000000004">
      <c r="A6413" s="18">
        <v>24.735353400000001</v>
      </c>
      <c r="B6413" s="18">
        <v>34.7813868</v>
      </c>
      <c r="C6413" s="18">
        <v>680161.35</v>
      </c>
      <c r="D6413" s="18">
        <v>2736816.47</v>
      </c>
      <c r="E6413" s="18">
        <v>393.27</v>
      </c>
      <c r="F6413" s="18">
        <v>41687.99</v>
      </c>
      <c r="G6413" s="18">
        <v>121924</v>
      </c>
      <c r="H6413" s="18">
        <f t="shared" si="151"/>
        <v>41541.99</v>
      </c>
      <c r="I6413" s="3"/>
    </row>
    <row r="6414" spans="1:9" s="4" customFormat="1" ht="20.25" customHeight="1" x14ac:dyDescent="0.55000000000000004">
      <c r="A6414" s="18">
        <v>24.735354699999998</v>
      </c>
      <c r="B6414" s="18">
        <v>34.781365000000001</v>
      </c>
      <c r="C6414" s="18">
        <v>680159.14</v>
      </c>
      <c r="D6414" s="18">
        <v>2736816.59</v>
      </c>
      <c r="E6414" s="18">
        <v>393.43</v>
      </c>
      <c r="F6414" s="18">
        <v>41695.81</v>
      </c>
      <c r="G6414" s="18">
        <v>121926</v>
      </c>
      <c r="H6414" s="18">
        <f t="shared" si="151"/>
        <v>41549.81</v>
      </c>
      <c r="I6414" s="3"/>
    </row>
    <row r="6415" spans="1:9" s="4" customFormat="1" ht="20.25" customHeight="1" x14ac:dyDescent="0.55000000000000004">
      <c r="A6415" s="18">
        <v>24.735360799999999</v>
      </c>
      <c r="B6415" s="18">
        <v>34.781344400000002</v>
      </c>
      <c r="C6415" s="18">
        <v>680157.04</v>
      </c>
      <c r="D6415" s="18">
        <v>2736817.23</v>
      </c>
      <c r="E6415" s="18">
        <v>393.6</v>
      </c>
      <c r="F6415" s="18">
        <v>41689.410000000003</v>
      </c>
      <c r="G6415" s="18">
        <v>121928</v>
      </c>
      <c r="H6415" s="18">
        <f t="shared" si="151"/>
        <v>41543.410000000003</v>
      </c>
      <c r="I6415" s="3"/>
    </row>
    <row r="6416" spans="1:9" s="4" customFormat="1" ht="20.25" customHeight="1" x14ac:dyDescent="0.55000000000000004">
      <c r="A6416" s="18">
        <v>24.735368999999999</v>
      </c>
      <c r="B6416" s="18">
        <v>34.781326499999999</v>
      </c>
      <c r="C6416" s="18">
        <v>680155.23</v>
      </c>
      <c r="D6416" s="18">
        <v>2736818.12</v>
      </c>
      <c r="E6416" s="18">
        <v>393.79</v>
      </c>
      <c r="F6416" s="18">
        <v>41673.519999999997</v>
      </c>
      <c r="G6416" s="18">
        <v>121930</v>
      </c>
      <c r="H6416" s="18">
        <f t="shared" si="151"/>
        <v>41527.519999999997</v>
      </c>
      <c r="I6416" s="3"/>
    </row>
    <row r="6417" spans="1:9" s="4" customFormat="1" ht="20.25" customHeight="1" x14ac:dyDescent="0.55000000000000004">
      <c r="A6417" s="18">
        <v>24.735381</v>
      </c>
      <c r="B6417" s="18">
        <v>34.781305000000003</v>
      </c>
      <c r="C6417" s="18">
        <v>680153.04</v>
      </c>
      <c r="D6417" s="18">
        <v>2736819.42</v>
      </c>
      <c r="E6417" s="18">
        <v>393.93</v>
      </c>
      <c r="F6417" s="18">
        <v>41666.78</v>
      </c>
      <c r="G6417" s="18">
        <v>121932</v>
      </c>
      <c r="H6417" s="18">
        <f t="shared" si="151"/>
        <v>41520.78</v>
      </c>
      <c r="I6417" s="3"/>
    </row>
    <row r="6418" spans="1:9" s="4" customFormat="1" ht="20.25" customHeight="1" x14ac:dyDescent="0.55000000000000004">
      <c r="A6418" s="18">
        <v>24.735388</v>
      </c>
      <c r="B6418" s="18">
        <v>34.781285500000003</v>
      </c>
      <c r="C6418" s="18">
        <v>680151.05</v>
      </c>
      <c r="D6418" s="18">
        <v>2736820.17</v>
      </c>
      <c r="E6418" s="18">
        <v>393.98</v>
      </c>
      <c r="F6418" s="18">
        <v>41673.43</v>
      </c>
      <c r="G6418" s="18">
        <v>121934</v>
      </c>
      <c r="H6418" s="18">
        <f t="shared" si="151"/>
        <v>41527.43</v>
      </c>
      <c r="I6418" s="3"/>
    </row>
    <row r="6419" spans="1:9" s="4" customFormat="1" ht="20.25" customHeight="1" x14ac:dyDescent="0.55000000000000004">
      <c r="A6419" s="18">
        <v>24.735394700000001</v>
      </c>
      <c r="B6419" s="18">
        <v>34.781261999999998</v>
      </c>
      <c r="C6419" s="18">
        <v>680148.66</v>
      </c>
      <c r="D6419" s="18">
        <v>2736820.88</v>
      </c>
      <c r="E6419" s="18">
        <v>394.12</v>
      </c>
      <c r="F6419" s="18">
        <v>41700.239999999998</v>
      </c>
      <c r="G6419" s="18">
        <v>121936</v>
      </c>
      <c r="H6419" s="18">
        <f t="shared" si="151"/>
        <v>41554.239999999998</v>
      </c>
      <c r="I6419" s="3"/>
    </row>
    <row r="6420" spans="1:9" s="4" customFormat="1" ht="20.25" customHeight="1" x14ac:dyDescent="0.55000000000000004">
      <c r="A6420" s="18">
        <v>24.735412799999999</v>
      </c>
      <c r="B6420" s="18">
        <v>34.781249699999996</v>
      </c>
      <c r="C6420" s="18">
        <v>680147.39</v>
      </c>
      <c r="D6420" s="18">
        <v>2736822.87</v>
      </c>
      <c r="E6420" s="18">
        <v>394.43</v>
      </c>
      <c r="F6420" s="18">
        <v>41684.199999999997</v>
      </c>
      <c r="G6420" s="18">
        <v>121938</v>
      </c>
      <c r="H6420" s="18">
        <f t="shared" si="151"/>
        <v>41538.199999999997</v>
      </c>
      <c r="I6420" s="3"/>
    </row>
    <row r="6421" spans="1:9" s="4" customFormat="1" ht="20.25" customHeight="1" x14ac:dyDescent="0.55000000000000004">
      <c r="A6421" s="18">
        <v>24.7354251</v>
      </c>
      <c r="B6421" s="18">
        <v>34.781237900000001</v>
      </c>
      <c r="C6421" s="18">
        <v>680146.18</v>
      </c>
      <c r="D6421" s="18">
        <v>2736824.22</v>
      </c>
      <c r="E6421" s="18">
        <v>394.69</v>
      </c>
      <c r="F6421" s="18">
        <v>41691.08</v>
      </c>
      <c r="G6421" s="18">
        <v>121940</v>
      </c>
      <c r="H6421" s="18">
        <f t="shared" si="151"/>
        <v>41545.08</v>
      </c>
      <c r="I6421" s="3"/>
    </row>
    <row r="6422" spans="1:9" s="4" customFormat="1" ht="20.25" customHeight="1" x14ac:dyDescent="0.55000000000000004">
      <c r="A6422" s="18">
        <v>24.7354339</v>
      </c>
      <c r="B6422" s="18">
        <v>34.781216399999998</v>
      </c>
      <c r="C6422" s="18">
        <v>680144</v>
      </c>
      <c r="D6422" s="18">
        <v>2736825.16</v>
      </c>
      <c r="E6422" s="18">
        <v>394.95</v>
      </c>
      <c r="F6422" s="18">
        <v>41691.32</v>
      </c>
      <c r="G6422" s="18">
        <v>121942</v>
      </c>
      <c r="H6422" s="18">
        <f t="shared" si="151"/>
        <v>41545.32</v>
      </c>
      <c r="I6422" s="3"/>
    </row>
    <row r="6423" spans="1:9" s="4" customFormat="1" ht="20.25" customHeight="1" x14ac:dyDescent="0.55000000000000004">
      <c r="A6423" s="18">
        <v>24.735441399999999</v>
      </c>
      <c r="B6423" s="18">
        <v>34.781193399999999</v>
      </c>
      <c r="C6423" s="18">
        <v>680141.66</v>
      </c>
      <c r="D6423" s="18">
        <v>2736825.96</v>
      </c>
      <c r="E6423" s="18">
        <v>394.88</v>
      </c>
      <c r="F6423" s="18">
        <v>41711.03</v>
      </c>
      <c r="G6423" s="18">
        <v>121944</v>
      </c>
      <c r="H6423" s="18">
        <f t="shared" si="151"/>
        <v>41565.03</v>
      </c>
      <c r="I6423" s="3"/>
    </row>
    <row r="6424" spans="1:9" s="4" customFormat="1" ht="20.25" customHeight="1" x14ac:dyDescent="0.55000000000000004">
      <c r="A6424" s="18">
        <v>24.735449200000001</v>
      </c>
      <c r="B6424" s="18">
        <v>34.781170199999998</v>
      </c>
      <c r="C6424" s="18">
        <v>680139.3</v>
      </c>
      <c r="D6424" s="18">
        <v>2736826.79</v>
      </c>
      <c r="E6424" s="18">
        <v>395.09</v>
      </c>
      <c r="F6424" s="18">
        <v>41723.4</v>
      </c>
      <c r="G6424" s="18">
        <v>121946</v>
      </c>
      <c r="H6424" s="18">
        <f t="shared" si="151"/>
        <v>41577.4</v>
      </c>
      <c r="I6424" s="3"/>
    </row>
    <row r="6425" spans="1:9" s="4" customFormat="1" ht="20.25" customHeight="1" x14ac:dyDescent="0.55000000000000004">
      <c r="A6425" s="18">
        <v>24.735453700000001</v>
      </c>
      <c r="B6425" s="18">
        <v>34.781149200000002</v>
      </c>
      <c r="C6425" s="18">
        <v>680137.17</v>
      </c>
      <c r="D6425" s="18">
        <v>2736827.27</v>
      </c>
      <c r="E6425" s="18">
        <v>395.14</v>
      </c>
      <c r="F6425" s="18">
        <v>41718.49</v>
      </c>
      <c r="G6425" s="18">
        <v>121948</v>
      </c>
      <c r="H6425" s="18">
        <f t="shared" si="151"/>
        <v>41572.49</v>
      </c>
      <c r="I6425" s="3"/>
    </row>
    <row r="6426" spans="1:9" s="4" customFormat="1" ht="20.25" customHeight="1" x14ac:dyDescent="0.55000000000000004">
      <c r="A6426" s="18">
        <v>24.7354631</v>
      </c>
      <c r="B6426" s="18">
        <v>34.781128199999998</v>
      </c>
      <c r="C6426" s="18">
        <v>680135.03</v>
      </c>
      <c r="D6426" s="18">
        <v>2736828.28</v>
      </c>
      <c r="E6426" s="18">
        <v>395.34</v>
      </c>
      <c r="F6426" s="18">
        <v>41720.910000000003</v>
      </c>
      <c r="G6426" s="18">
        <v>121950</v>
      </c>
      <c r="H6426" s="18">
        <f t="shared" si="151"/>
        <v>41574.910000000003</v>
      </c>
      <c r="I6426" s="3"/>
    </row>
    <row r="6427" spans="1:9" s="4" customFormat="1" ht="20.25" customHeight="1" x14ac:dyDescent="0.55000000000000004">
      <c r="A6427" s="18">
        <v>24.7354728</v>
      </c>
      <c r="B6427" s="18">
        <v>34.781107800000001</v>
      </c>
      <c r="C6427" s="18">
        <v>680132.95</v>
      </c>
      <c r="D6427" s="18">
        <v>2736829.33</v>
      </c>
      <c r="E6427" s="18">
        <v>395.36</v>
      </c>
      <c r="F6427" s="18">
        <v>41723.15</v>
      </c>
      <c r="G6427" s="18">
        <v>121952</v>
      </c>
      <c r="H6427" s="18">
        <f t="shared" si="151"/>
        <v>41577.15</v>
      </c>
      <c r="I6427" s="3"/>
    </row>
    <row r="6428" spans="1:9" s="4" customFormat="1" ht="20.25" customHeight="1" x14ac:dyDescent="0.55000000000000004">
      <c r="A6428" s="18">
        <v>24.7354789</v>
      </c>
      <c r="B6428" s="18">
        <v>34.781086899999998</v>
      </c>
      <c r="C6428" s="18">
        <v>680130.83</v>
      </c>
      <c r="D6428" s="18">
        <v>2736829.98</v>
      </c>
      <c r="E6428" s="18">
        <v>395.65</v>
      </c>
      <c r="F6428" s="18">
        <v>41730.660000000003</v>
      </c>
      <c r="G6428" s="18">
        <v>121954</v>
      </c>
      <c r="H6428" s="18">
        <f t="shared" si="151"/>
        <v>41584.660000000003</v>
      </c>
      <c r="I6428" s="3"/>
    </row>
    <row r="6429" spans="1:9" s="4" customFormat="1" ht="20.25" customHeight="1" x14ac:dyDescent="0.55000000000000004">
      <c r="A6429" s="18">
        <v>24.735484799999998</v>
      </c>
      <c r="B6429" s="18">
        <v>34.781064899999997</v>
      </c>
      <c r="C6429" s="18">
        <v>680128.59</v>
      </c>
      <c r="D6429" s="18">
        <v>2736830.61</v>
      </c>
      <c r="E6429" s="18">
        <v>395.57</v>
      </c>
      <c r="F6429" s="18">
        <v>41716.47</v>
      </c>
      <c r="G6429" s="18">
        <v>121956</v>
      </c>
      <c r="H6429" s="18">
        <f t="shared" si="151"/>
        <v>41570.47</v>
      </c>
      <c r="I6429" s="3"/>
    </row>
    <row r="6430" spans="1:9" s="4" customFormat="1" ht="20.25" customHeight="1" x14ac:dyDescent="0.55000000000000004">
      <c r="A6430" s="18">
        <v>24.7354935</v>
      </c>
      <c r="B6430" s="18">
        <v>34.781040500000003</v>
      </c>
      <c r="C6430" s="18">
        <v>680126.11</v>
      </c>
      <c r="D6430" s="18">
        <v>2736831.53</v>
      </c>
      <c r="E6430" s="18">
        <v>395.7</v>
      </c>
      <c r="F6430" s="18">
        <v>41711.949999999997</v>
      </c>
      <c r="G6430" s="18">
        <v>121958</v>
      </c>
      <c r="H6430" s="18">
        <f t="shared" si="151"/>
        <v>41565.949999999997</v>
      </c>
      <c r="I6430" s="3"/>
    </row>
    <row r="6431" spans="1:9" s="4" customFormat="1" ht="20.25" customHeight="1" x14ac:dyDescent="0.55000000000000004">
      <c r="A6431" s="18">
        <v>24.735500600000002</v>
      </c>
      <c r="B6431" s="18">
        <v>34.781016999999999</v>
      </c>
      <c r="C6431" s="18">
        <v>680123.72</v>
      </c>
      <c r="D6431" s="18">
        <v>2736832.29</v>
      </c>
      <c r="E6431" s="18">
        <v>396.03</v>
      </c>
      <c r="F6431" s="18">
        <v>41720.1</v>
      </c>
      <c r="G6431" s="18">
        <v>122000</v>
      </c>
      <c r="H6431" s="18">
        <f t="shared" si="151"/>
        <v>41574.1</v>
      </c>
      <c r="I6431" s="3"/>
    </row>
    <row r="6432" spans="1:9" s="4" customFormat="1" ht="20.25" customHeight="1" x14ac:dyDescent="0.55000000000000004">
      <c r="A6432" s="18">
        <v>24.735507900000002</v>
      </c>
      <c r="B6432" s="18">
        <v>34.780994399999997</v>
      </c>
      <c r="C6432" s="18">
        <v>680121.44</v>
      </c>
      <c r="D6432" s="18">
        <v>2736833.07</v>
      </c>
      <c r="E6432" s="18">
        <v>396.1</v>
      </c>
      <c r="F6432" s="18">
        <v>41725.15</v>
      </c>
      <c r="G6432" s="18">
        <v>122002</v>
      </c>
      <c r="H6432" s="18">
        <f t="shared" si="151"/>
        <v>41579.15</v>
      </c>
      <c r="I6432" s="3"/>
    </row>
    <row r="6433" spans="1:9" s="4" customFormat="1" ht="20.25" customHeight="1" x14ac:dyDescent="0.55000000000000004">
      <c r="A6433" s="18">
        <v>24.735512400000001</v>
      </c>
      <c r="B6433" s="18">
        <v>34.780971700000002</v>
      </c>
      <c r="C6433" s="18">
        <v>680119.13</v>
      </c>
      <c r="D6433" s="18">
        <v>2736833.54</v>
      </c>
      <c r="E6433" s="18">
        <v>396.21</v>
      </c>
      <c r="F6433" s="18">
        <v>41723.550000000003</v>
      </c>
      <c r="G6433" s="18">
        <v>122004</v>
      </c>
      <c r="H6433" s="18">
        <f t="shared" si="151"/>
        <v>41577.550000000003</v>
      </c>
      <c r="I6433" s="3"/>
    </row>
    <row r="6434" spans="1:9" s="4" customFormat="1" ht="20.25" customHeight="1" x14ac:dyDescent="0.55000000000000004">
      <c r="A6434" s="18">
        <v>24.735517900000001</v>
      </c>
      <c r="B6434" s="18">
        <v>34.780948899999999</v>
      </c>
      <c r="C6434" s="18">
        <v>680116.82</v>
      </c>
      <c r="D6434" s="18">
        <v>2736834.12</v>
      </c>
      <c r="E6434" s="18">
        <v>396.25</v>
      </c>
      <c r="F6434" s="18">
        <v>41703.800000000003</v>
      </c>
      <c r="G6434" s="18">
        <v>122006</v>
      </c>
      <c r="H6434" s="18">
        <f t="shared" si="151"/>
        <v>41557.800000000003</v>
      </c>
      <c r="I6434" s="3"/>
    </row>
    <row r="6435" spans="1:9" s="4" customFormat="1" ht="20.25" customHeight="1" x14ac:dyDescent="0.55000000000000004">
      <c r="A6435" s="18">
        <v>24.735520900000001</v>
      </c>
      <c r="B6435" s="18">
        <v>34.780925799999999</v>
      </c>
      <c r="C6435" s="18">
        <v>680114.47</v>
      </c>
      <c r="D6435" s="18">
        <v>2736834.41</v>
      </c>
      <c r="E6435" s="18">
        <v>396.43</v>
      </c>
      <c r="F6435" s="18">
        <v>41709.47</v>
      </c>
      <c r="G6435" s="18">
        <v>122008</v>
      </c>
      <c r="H6435" s="18">
        <f t="shared" si="151"/>
        <v>41563.47</v>
      </c>
      <c r="I6435" s="3"/>
    </row>
    <row r="6436" spans="1:9" s="4" customFormat="1" ht="20.25" customHeight="1" x14ac:dyDescent="0.55000000000000004">
      <c r="A6436" s="18">
        <v>24.735524600000002</v>
      </c>
      <c r="B6436" s="18">
        <v>34.780908599999997</v>
      </c>
      <c r="C6436" s="18">
        <v>680112.73</v>
      </c>
      <c r="D6436" s="18">
        <v>2736834.81</v>
      </c>
      <c r="E6436" s="18">
        <v>396.58</v>
      </c>
      <c r="F6436" s="18">
        <v>41714.269999999997</v>
      </c>
      <c r="G6436" s="18">
        <v>122010</v>
      </c>
      <c r="H6436" s="18">
        <f t="shared" si="151"/>
        <v>41568.269999999997</v>
      </c>
      <c r="I6436" s="3"/>
    </row>
    <row r="6437" spans="1:9" s="4" customFormat="1" ht="20.25" customHeight="1" x14ac:dyDescent="0.55000000000000004">
      <c r="A6437" s="18">
        <v>24.7355248</v>
      </c>
      <c r="B6437" s="18">
        <v>34.780887399999997</v>
      </c>
      <c r="C6437" s="18">
        <v>680110.58</v>
      </c>
      <c r="D6437" s="18">
        <v>2736834.79</v>
      </c>
      <c r="E6437" s="18">
        <v>396.78</v>
      </c>
      <c r="F6437" s="18">
        <v>41713.07</v>
      </c>
      <c r="G6437" s="18">
        <v>122012</v>
      </c>
      <c r="H6437" s="18">
        <f t="shared" ref="H6437:H6500" si="152">SUM(F6437-146)</f>
        <v>41567.07</v>
      </c>
      <c r="I6437" s="3"/>
    </row>
    <row r="6438" spans="1:9" s="4" customFormat="1" ht="20.25" customHeight="1" x14ac:dyDescent="0.55000000000000004">
      <c r="A6438" s="18">
        <v>24.7355299</v>
      </c>
      <c r="B6438" s="18">
        <v>34.780867800000003</v>
      </c>
      <c r="C6438" s="18">
        <v>680108.59</v>
      </c>
      <c r="D6438" s="18">
        <v>2736835.34</v>
      </c>
      <c r="E6438" s="18">
        <v>396.92</v>
      </c>
      <c r="F6438" s="18">
        <v>41699.89</v>
      </c>
      <c r="G6438" s="18">
        <v>122014</v>
      </c>
      <c r="H6438" s="18">
        <f t="shared" si="152"/>
        <v>41553.89</v>
      </c>
      <c r="I6438" s="3"/>
    </row>
    <row r="6439" spans="1:9" s="4" customFormat="1" ht="20.25" customHeight="1" x14ac:dyDescent="0.55000000000000004">
      <c r="A6439" s="18">
        <v>24.735538500000001</v>
      </c>
      <c r="B6439" s="18">
        <v>34.780849000000003</v>
      </c>
      <c r="C6439" s="18">
        <v>680106.68</v>
      </c>
      <c r="D6439" s="18">
        <v>2736836.27</v>
      </c>
      <c r="E6439" s="18">
        <v>397.24</v>
      </c>
      <c r="F6439" s="18">
        <v>41698.76</v>
      </c>
      <c r="G6439" s="18">
        <v>122016</v>
      </c>
      <c r="H6439" s="18">
        <f t="shared" si="152"/>
        <v>41552.76</v>
      </c>
      <c r="I6439" s="3"/>
    </row>
    <row r="6440" spans="1:9" s="4" customFormat="1" ht="20.25" customHeight="1" x14ac:dyDescent="0.55000000000000004">
      <c r="A6440" s="18">
        <v>24.735543799999999</v>
      </c>
      <c r="B6440" s="18">
        <v>34.780828499999998</v>
      </c>
      <c r="C6440" s="18">
        <v>680104.6</v>
      </c>
      <c r="D6440" s="18">
        <v>2736836.83</v>
      </c>
      <c r="E6440" s="18">
        <v>397.43</v>
      </c>
      <c r="F6440" s="18">
        <v>41700.67</v>
      </c>
      <c r="G6440" s="18">
        <v>122018</v>
      </c>
      <c r="H6440" s="18">
        <f t="shared" si="152"/>
        <v>41554.67</v>
      </c>
      <c r="I6440" s="3"/>
    </row>
    <row r="6441" spans="1:9" s="4" customFormat="1" ht="20.25" customHeight="1" x14ac:dyDescent="0.55000000000000004">
      <c r="A6441" s="18">
        <v>24.735545299999998</v>
      </c>
      <c r="B6441" s="18">
        <v>34.780806900000002</v>
      </c>
      <c r="C6441" s="18">
        <v>680102.41</v>
      </c>
      <c r="D6441" s="18">
        <v>2736836.97</v>
      </c>
      <c r="E6441" s="18">
        <v>397.62</v>
      </c>
      <c r="F6441" s="18">
        <v>41699.06</v>
      </c>
      <c r="G6441" s="18">
        <v>122020</v>
      </c>
      <c r="H6441" s="18">
        <f t="shared" si="152"/>
        <v>41553.06</v>
      </c>
      <c r="I6441" s="3"/>
    </row>
    <row r="6442" spans="1:9" s="4" customFormat="1" ht="20.25" customHeight="1" x14ac:dyDescent="0.55000000000000004">
      <c r="A6442" s="18">
        <v>24.735542599999999</v>
      </c>
      <c r="B6442" s="18">
        <v>34.780785999999999</v>
      </c>
      <c r="C6442" s="18">
        <v>680100.3</v>
      </c>
      <c r="D6442" s="18">
        <v>2736836.64</v>
      </c>
      <c r="E6442" s="18">
        <v>397.78</v>
      </c>
      <c r="F6442" s="18">
        <v>41701.81</v>
      </c>
      <c r="G6442" s="18">
        <v>122022</v>
      </c>
      <c r="H6442" s="18">
        <f t="shared" si="152"/>
        <v>41555.81</v>
      </c>
      <c r="I6442" s="3"/>
    </row>
    <row r="6443" spans="1:9" s="4" customFormat="1" ht="20.25" customHeight="1" x14ac:dyDescent="0.55000000000000004">
      <c r="A6443" s="18">
        <v>24.735538500000001</v>
      </c>
      <c r="B6443" s="18">
        <v>34.780766200000002</v>
      </c>
      <c r="C6443" s="18">
        <v>680098.31</v>
      </c>
      <c r="D6443" s="18">
        <v>2736836.16</v>
      </c>
      <c r="E6443" s="18">
        <v>397.96</v>
      </c>
      <c r="F6443" s="18">
        <v>41698.14</v>
      </c>
      <c r="G6443" s="18">
        <v>122024</v>
      </c>
      <c r="H6443" s="18">
        <f t="shared" si="152"/>
        <v>41552.14</v>
      </c>
      <c r="I6443" s="3"/>
    </row>
    <row r="6444" spans="1:9" s="4" customFormat="1" ht="20.25" customHeight="1" x14ac:dyDescent="0.55000000000000004">
      <c r="A6444" s="18">
        <v>24.735545599999998</v>
      </c>
      <c r="B6444" s="18">
        <v>34.780746499999999</v>
      </c>
      <c r="C6444" s="18">
        <v>680096.3</v>
      </c>
      <c r="D6444" s="18">
        <v>2736836.92</v>
      </c>
      <c r="E6444" s="18">
        <v>398.09</v>
      </c>
      <c r="F6444" s="18">
        <v>41703.1</v>
      </c>
      <c r="G6444" s="18">
        <v>122026</v>
      </c>
      <c r="H6444" s="18">
        <f t="shared" si="152"/>
        <v>41557.1</v>
      </c>
      <c r="I6444" s="3"/>
    </row>
    <row r="6445" spans="1:9" s="4" customFormat="1" ht="20.25" customHeight="1" x14ac:dyDescent="0.55000000000000004">
      <c r="A6445" s="18">
        <v>24.735554199999999</v>
      </c>
      <c r="B6445" s="18">
        <v>34.7807247</v>
      </c>
      <c r="C6445" s="18">
        <v>680094.08</v>
      </c>
      <c r="D6445" s="18">
        <v>2736837.84</v>
      </c>
      <c r="E6445" s="18">
        <v>398.29</v>
      </c>
      <c r="F6445" s="18">
        <v>41704.17</v>
      </c>
      <c r="G6445" s="18">
        <v>122028</v>
      </c>
      <c r="H6445" s="18">
        <f t="shared" si="152"/>
        <v>41558.17</v>
      </c>
      <c r="I6445" s="3"/>
    </row>
    <row r="6446" spans="1:9" s="4" customFormat="1" ht="20.25" customHeight="1" x14ac:dyDescent="0.55000000000000004">
      <c r="A6446" s="18">
        <v>24.735556500000001</v>
      </c>
      <c r="B6446" s="18">
        <v>34.780704800000002</v>
      </c>
      <c r="C6446" s="18">
        <v>680092.07</v>
      </c>
      <c r="D6446" s="18">
        <v>2736838.07</v>
      </c>
      <c r="E6446" s="18">
        <v>398.46</v>
      </c>
      <c r="F6446" s="18">
        <v>41711.230000000003</v>
      </c>
      <c r="G6446" s="18">
        <v>122030</v>
      </c>
      <c r="H6446" s="18">
        <f t="shared" si="152"/>
        <v>41565.230000000003</v>
      </c>
      <c r="I6446" s="3"/>
    </row>
    <row r="6447" spans="1:9" s="4" customFormat="1" ht="20.25" customHeight="1" x14ac:dyDescent="0.55000000000000004">
      <c r="A6447" s="18">
        <v>24.735562000000002</v>
      </c>
      <c r="B6447" s="18">
        <v>34.7806845</v>
      </c>
      <c r="C6447" s="18">
        <v>680090</v>
      </c>
      <c r="D6447" s="18">
        <v>2736838.65</v>
      </c>
      <c r="E6447" s="18">
        <v>398.6</v>
      </c>
      <c r="F6447" s="18">
        <v>41712.75</v>
      </c>
      <c r="G6447" s="18">
        <v>122032</v>
      </c>
      <c r="H6447" s="18">
        <f t="shared" si="152"/>
        <v>41566.75</v>
      </c>
      <c r="I6447" s="3"/>
    </row>
    <row r="6448" spans="1:9" s="4" customFormat="1" ht="20.25" customHeight="1" x14ac:dyDescent="0.55000000000000004">
      <c r="A6448" s="18">
        <v>24.7355722</v>
      </c>
      <c r="B6448" s="18">
        <v>34.780664999999999</v>
      </c>
      <c r="C6448" s="18">
        <v>680088.02</v>
      </c>
      <c r="D6448" s="18">
        <v>2736839.75</v>
      </c>
      <c r="E6448" s="18">
        <v>398.75</v>
      </c>
      <c r="F6448" s="18">
        <v>41715.08</v>
      </c>
      <c r="G6448" s="18">
        <v>122034</v>
      </c>
      <c r="H6448" s="18">
        <f t="shared" si="152"/>
        <v>41569.08</v>
      </c>
      <c r="I6448" s="3"/>
    </row>
    <row r="6449" spans="1:9" s="4" customFormat="1" ht="20.25" customHeight="1" x14ac:dyDescent="0.55000000000000004">
      <c r="A6449" s="18">
        <v>24.735583699999999</v>
      </c>
      <c r="B6449" s="18">
        <v>34.780643400000002</v>
      </c>
      <c r="C6449" s="18">
        <v>680085.81</v>
      </c>
      <c r="D6449" s="18">
        <v>2736841</v>
      </c>
      <c r="E6449" s="18">
        <v>398.99</v>
      </c>
      <c r="F6449" s="18">
        <v>41714.589999999997</v>
      </c>
      <c r="G6449" s="18">
        <v>122036</v>
      </c>
      <c r="H6449" s="18">
        <f t="shared" si="152"/>
        <v>41568.589999999997</v>
      </c>
      <c r="I6449" s="3"/>
    </row>
    <row r="6450" spans="1:9" s="4" customFormat="1" ht="20.25" customHeight="1" x14ac:dyDescent="0.55000000000000004">
      <c r="A6450" s="18">
        <v>24.735593399999999</v>
      </c>
      <c r="B6450" s="18">
        <v>34.780620300000002</v>
      </c>
      <c r="C6450" s="18">
        <v>680083.47</v>
      </c>
      <c r="D6450" s="18">
        <v>2736842.04</v>
      </c>
      <c r="E6450" s="18">
        <v>398.98</v>
      </c>
      <c r="F6450" s="18">
        <v>41722.1</v>
      </c>
      <c r="G6450" s="18">
        <v>122038</v>
      </c>
      <c r="H6450" s="18">
        <f t="shared" si="152"/>
        <v>41576.1</v>
      </c>
      <c r="I6450" s="3"/>
    </row>
    <row r="6451" spans="1:9" s="4" customFormat="1" ht="20.25" customHeight="1" x14ac:dyDescent="0.55000000000000004">
      <c r="A6451" s="18">
        <v>24.735605</v>
      </c>
      <c r="B6451" s="18">
        <v>34.780598099999999</v>
      </c>
      <c r="C6451" s="18">
        <v>680081.21</v>
      </c>
      <c r="D6451" s="18">
        <v>2736843.31</v>
      </c>
      <c r="E6451" s="18">
        <v>399.17</v>
      </c>
      <c r="F6451" s="18">
        <v>41713.69</v>
      </c>
      <c r="G6451" s="18">
        <v>122040</v>
      </c>
      <c r="H6451" s="18">
        <f t="shared" si="152"/>
        <v>41567.69</v>
      </c>
      <c r="I6451" s="3"/>
    </row>
    <row r="6452" spans="1:9" s="4" customFormat="1" ht="20.25" customHeight="1" x14ac:dyDescent="0.55000000000000004">
      <c r="A6452" s="18">
        <v>24.735614099999999</v>
      </c>
      <c r="B6452" s="18">
        <v>34.780579099999997</v>
      </c>
      <c r="C6452" s="18">
        <v>680079.26</v>
      </c>
      <c r="D6452" s="18">
        <v>2736844.28</v>
      </c>
      <c r="E6452" s="18">
        <v>399.34</v>
      </c>
      <c r="F6452" s="18">
        <v>41707.980000000003</v>
      </c>
      <c r="G6452" s="18">
        <v>122042</v>
      </c>
      <c r="H6452" s="18">
        <f t="shared" si="152"/>
        <v>41561.980000000003</v>
      </c>
      <c r="I6452" s="3"/>
    </row>
    <row r="6453" spans="1:9" s="4" customFormat="1" ht="20.25" customHeight="1" x14ac:dyDescent="0.55000000000000004">
      <c r="A6453" s="18">
        <v>24.735619</v>
      </c>
      <c r="B6453" s="18">
        <v>34.780556099999998</v>
      </c>
      <c r="C6453" s="18">
        <v>680076.93</v>
      </c>
      <c r="D6453" s="18">
        <v>2736844.7999999998</v>
      </c>
      <c r="E6453" s="18">
        <v>399.48</v>
      </c>
      <c r="F6453" s="18">
        <v>41712.33</v>
      </c>
      <c r="G6453" s="18">
        <v>122044</v>
      </c>
      <c r="H6453" s="18">
        <f t="shared" si="152"/>
        <v>41566.33</v>
      </c>
      <c r="I6453" s="3"/>
    </row>
    <row r="6454" spans="1:9" s="4" customFormat="1" ht="20.25" customHeight="1" x14ac:dyDescent="0.55000000000000004">
      <c r="A6454" s="18">
        <v>24.735627099999999</v>
      </c>
      <c r="B6454" s="18">
        <v>34.780534099999997</v>
      </c>
      <c r="C6454" s="18">
        <v>680074.7</v>
      </c>
      <c r="D6454" s="18">
        <v>2736845.66</v>
      </c>
      <c r="E6454" s="18">
        <v>399.52</v>
      </c>
      <c r="F6454" s="18">
        <v>41709.83</v>
      </c>
      <c r="G6454" s="18">
        <v>122046</v>
      </c>
      <c r="H6454" s="18">
        <f t="shared" si="152"/>
        <v>41563.83</v>
      </c>
      <c r="I6454" s="3"/>
    </row>
    <row r="6455" spans="1:9" s="4" customFormat="1" ht="20.25" customHeight="1" x14ac:dyDescent="0.55000000000000004">
      <c r="A6455" s="18">
        <v>24.735632899999999</v>
      </c>
      <c r="B6455" s="18">
        <v>34.780511599999997</v>
      </c>
      <c r="C6455" s="18">
        <v>680072.42</v>
      </c>
      <c r="D6455" s="18">
        <v>2736846.27</v>
      </c>
      <c r="E6455" s="18">
        <v>399.76</v>
      </c>
      <c r="F6455" s="18">
        <v>41708.720000000001</v>
      </c>
      <c r="G6455" s="18">
        <v>122048</v>
      </c>
      <c r="H6455" s="18">
        <f t="shared" si="152"/>
        <v>41562.720000000001</v>
      </c>
      <c r="I6455" s="3"/>
    </row>
    <row r="6456" spans="1:9" s="4" customFormat="1" ht="20.25" customHeight="1" x14ac:dyDescent="0.55000000000000004">
      <c r="A6456" s="18">
        <v>24.735643100000001</v>
      </c>
      <c r="B6456" s="18">
        <v>34.7804906</v>
      </c>
      <c r="C6456" s="18">
        <v>680070.27</v>
      </c>
      <c r="D6456" s="18">
        <v>2736847.38</v>
      </c>
      <c r="E6456" s="18">
        <v>399.99</v>
      </c>
      <c r="F6456" s="18">
        <v>41705.35</v>
      </c>
      <c r="G6456" s="18">
        <v>122050</v>
      </c>
      <c r="H6456" s="18">
        <f t="shared" si="152"/>
        <v>41559.35</v>
      </c>
      <c r="I6456" s="3"/>
    </row>
    <row r="6457" spans="1:9" s="4" customFormat="1" ht="20.25" customHeight="1" x14ac:dyDescent="0.55000000000000004">
      <c r="A6457" s="18">
        <v>24.735650700000001</v>
      </c>
      <c r="B6457" s="18">
        <v>34.780467600000001</v>
      </c>
      <c r="C6457" s="18">
        <v>680067.93</v>
      </c>
      <c r="D6457" s="18">
        <v>2736848.19</v>
      </c>
      <c r="E6457" s="18">
        <v>400.07</v>
      </c>
      <c r="F6457" s="18">
        <v>41709.22</v>
      </c>
      <c r="G6457" s="18">
        <v>122052</v>
      </c>
      <c r="H6457" s="18">
        <f t="shared" si="152"/>
        <v>41563.22</v>
      </c>
      <c r="I6457" s="3"/>
    </row>
    <row r="6458" spans="1:9" s="4" customFormat="1" ht="20.25" customHeight="1" x14ac:dyDescent="0.55000000000000004">
      <c r="A6458" s="18">
        <v>24.735656500000001</v>
      </c>
      <c r="B6458" s="18">
        <v>34.780443400000003</v>
      </c>
      <c r="C6458" s="18">
        <v>680065.48</v>
      </c>
      <c r="D6458" s="18">
        <v>2736848.8</v>
      </c>
      <c r="E6458" s="18">
        <v>400.11</v>
      </c>
      <c r="F6458" s="18">
        <v>41715.49</v>
      </c>
      <c r="G6458" s="18">
        <v>122054</v>
      </c>
      <c r="H6458" s="18">
        <f t="shared" si="152"/>
        <v>41569.49</v>
      </c>
      <c r="I6458" s="3"/>
    </row>
    <row r="6459" spans="1:9" s="4" customFormat="1" ht="20.25" customHeight="1" x14ac:dyDescent="0.55000000000000004">
      <c r="A6459" s="18">
        <v>24.7356692</v>
      </c>
      <c r="B6459" s="18">
        <v>34.780423900000002</v>
      </c>
      <c r="C6459" s="18">
        <v>680063.48</v>
      </c>
      <c r="D6459" s="18">
        <v>2736850.18</v>
      </c>
      <c r="E6459" s="18">
        <v>400.11</v>
      </c>
      <c r="F6459" s="18">
        <v>41717.339999999997</v>
      </c>
      <c r="G6459" s="18">
        <v>122056</v>
      </c>
      <c r="H6459" s="18">
        <f t="shared" si="152"/>
        <v>41571.339999999997</v>
      </c>
      <c r="I6459" s="3"/>
    </row>
    <row r="6460" spans="1:9" s="4" customFormat="1" ht="20.25" customHeight="1" x14ac:dyDescent="0.55000000000000004">
      <c r="A6460" s="18">
        <v>24.735687200000001</v>
      </c>
      <c r="B6460" s="18">
        <v>34.7804115</v>
      </c>
      <c r="C6460" s="18">
        <v>680062.21</v>
      </c>
      <c r="D6460" s="18">
        <v>2736852.16</v>
      </c>
      <c r="E6460" s="18">
        <v>400.22</v>
      </c>
      <c r="F6460" s="18">
        <v>41703.03</v>
      </c>
      <c r="G6460" s="18">
        <v>122058</v>
      </c>
      <c r="H6460" s="18">
        <f t="shared" si="152"/>
        <v>41557.03</v>
      </c>
      <c r="I6460" s="3"/>
    </row>
    <row r="6461" spans="1:9" s="4" customFormat="1" ht="20.25" customHeight="1" x14ac:dyDescent="0.55000000000000004">
      <c r="A6461" s="18">
        <v>24.735700999999999</v>
      </c>
      <c r="B6461" s="18">
        <v>34.7803963</v>
      </c>
      <c r="C6461" s="18">
        <v>680060.65</v>
      </c>
      <c r="D6461" s="18">
        <v>2736853.67</v>
      </c>
      <c r="E6461" s="18">
        <v>400.34</v>
      </c>
      <c r="F6461" s="18">
        <v>41707.54</v>
      </c>
      <c r="G6461" s="18">
        <v>122100</v>
      </c>
      <c r="H6461" s="18">
        <f t="shared" si="152"/>
        <v>41561.54</v>
      </c>
      <c r="I6461" s="3"/>
    </row>
    <row r="6462" spans="1:9" s="4" customFormat="1" ht="20.25" customHeight="1" x14ac:dyDescent="0.55000000000000004">
      <c r="A6462" s="18">
        <v>24.735712599999999</v>
      </c>
      <c r="B6462" s="18">
        <v>34.780376699999998</v>
      </c>
      <c r="C6462" s="18">
        <v>680058.65</v>
      </c>
      <c r="D6462" s="18">
        <v>2736854.93</v>
      </c>
      <c r="E6462" s="18">
        <v>400.3</v>
      </c>
      <c r="F6462" s="18">
        <v>41713.67</v>
      </c>
      <c r="G6462" s="18">
        <v>122102</v>
      </c>
      <c r="H6462" s="18">
        <f t="shared" si="152"/>
        <v>41567.67</v>
      </c>
      <c r="I6462" s="3"/>
    </row>
    <row r="6463" spans="1:9" s="4" customFormat="1" ht="20.25" customHeight="1" x14ac:dyDescent="0.55000000000000004">
      <c r="A6463" s="18">
        <v>24.735721999999999</v>
      </c>
      <c r="B6463" s="18">
        <v>34.780359099999998</v>
      </c>
      <c r="C6463" s="18">
        <v>680056.86</v>
      </c>
      <c r="D6463" s="18">
        <v>2736855.94</v>
      </c>
      <c r="E6463" s="18">
        <v>400.57</v>
      </c>
      <c r="F6463" s="18">
        <v>41705.9</v>
      </c>
      <c r="G6463" s="18">
        <v>122104</v>
      </c>
      <c r="H6463" s="18">
        <f t="shared" si="152"/>
        <v>41559.9</v>
      </c>
      <c r="I6463" s="3"/>
    </row>
    <row r="6464" spans="1:9" s="4" customFormat="1" ht="20.25" customHeight="1" x14ac:dyDescent="0.55000000000000004">
      <c r="A6464" s="18">
        <v>24.73573</v>
      </c>
      <c r="B6464" s="18">
        <v>34.780337199999998</v>
      </c>
      <c r="C6464" s="18">
        <v>680054.63</v>
      </c>
      <c r="D6464" s="18">
        <v>2736856.8</v>
      </c>
      <c r="E6464" s="18">
        <v>400.64</v>
      </c>
      <c r="F6464" s="18">
        <v>41703.15</v>
      </c>
      <c r="G6464" s="18">
        <v>122106</v>
      </c>
      <c r="H6464" s="18">
        <f t="shared" si="152"/>
        <v>41557.15</v>
      </c>
      <c r="I6464" s="3"/>
    </row>
    <row r="6465" spans="1:9" s="4" customFormat="1" ht="20.25" customHeight="1" x14ac:dyDescent="0.55000000000000004">
      <c r="A6465" s="18">
        <v>24.735739599999999</v>
      </c>
      <c r="B6465" s="18">
        <v>34.780318399999999</v>
      </c>
      <c r="C6465" s="18">
        <v>680052.72</v>
      </c>
      <c r="D6465" s="18">
        <v>2736857.85</v>
      </c>
      <c r="E6465" s="18">
        <v>400.95</v>
      </c>
      <c r="F6465" s="18">
        <v>41722.35</v>
      </c>
      <c r="G6465" s="18">
        <v>122108</v>
      </c>
      <c r="H6465" s="18">
        <f t="shared" si="152"/>
        <v>41576.35</v>
      </c>
      <c r="I6465" s="3"/>
    </row>
    <row r="6466" spans="1:9" s="4" customFormat="1" ht="20.25" customHeight="1" x14ac:dyDescent="0.55000000000000004">
      <c r="A6466" s="18">
        <v>24.735753599999999</v>
      </c>
      <c r="B6466" s="18">
        <v>34.780302200000001</v>
      </c>
      <c r="C6466" s="18">
        <v>680051.05</v>
      </c>
      <c r="D6466" s="18">
        <v>2736859.37</v>
      </c>
      <c r="E6466" s="18">
        <v>401.22</v>
      </c>
      <c r="F6466" s="18">
        <v>41713.440000000002</v>
      </c>
      <c r="G6466" s="18">
        <v>122110</v>
      </c>
      <c r="H6466" s="18">
        <f t="shared" si="152"/>
        <v>41567.440000000002</v>
      </c>
      <c r="I6466" s="3"/>
    </row>
    <row r="6467" spans="1:9" s="4" customFormat="1" ht="20.25" customHeight="1" x14ac:dyDescent="0.55000000000000004">
      <c r="A6467" s="18">
        <v>24.7357665</v>
      </c>
      <c r="B6467" s="18">
        <v>34.780288200000001</v>
      </c>
      <c r="C6467" s="18">
        <v>680049.62</v>
      </c>
      <c r="D6467" s="18">
        <v>2736860.78</v>
      </c>
      <c r="E6467" s="18">
        <v>401.43</v>
      </c>
      <c r="F6467" s="18">
        <v>41715.839999999997</v>
      </c>
      <c r="G6467" s="18">
        <v>122112</v>
      </c>
      <c r="H6467" s="18">
        <f t="shared" si="152"/>
        <v>41569.839999999997</v>
      </c>
      <c r="I6467" s="3"/>
    </row>
    <row r="6468" spans="1:9" s="4" customFormat="1" ht="20.25" customHeight="1" x14ac:dyDescent="0.55000000000000004">
      <c r="A6468" s="18">
        <v>24.735778499999999</v>
      </c>
      <c r="B6468" s="18">
        <v>34.780271800000001</v>
      </c>
      <c r="C6468" s="18">
        <v>680047.94</v>
      </c>
      <c r="D6468" s="18">
        <v>2736862.09</v>
      </c>
      <c r="E6468" s="18">
        <v>401.75</v>
      </c>
      <c r="F6468" s="18">
        <v>41698.74</v>
      </c>
      <c r="G6468" s="18">
        <v>122114</v>
      </c>
      <c r="H6468" s="18">
        <f t="shared" si="152"/>
        <v>41552.74</v>
      </c>
      <c r="I6468" s="3"/>
    </row>
    <row r="6469" spans="1:9" s="4" customFormat="1" ht="20.25" customHeight="1" x14ac:dyDescent="0.55000000000000004">
      <c r="A6469" s="18">
        <v>24.7357896</v>
      </c>
      <c r="B6469" s="18">
        <v>34.780252900000001</v>
      </c>
      <c r="C6469" s="18">
        <v>680046.01</v>
      </c>
      <c r="D6469" s="18">
        <v>2736863.3</v>
      </c>
      <c r="E6469" s="18">
        <v>402.1</v>
      </c>
      <c r="F6469" s="18">
        <v>41700.18</v>
      </c>
      <c r="G6469" s="18">
        <v>122116</v>
      </c>
      <c r="H6469" s="18">
        <f t="shared" si="152"/>
        <v>41554.18</v>
      </c>
      <c r="I6469" s="3"/>
    </row>
    <row r="6470" spans="1:9" s="4" customFormat="1" ht="20.25" customHeight="1" x14ac:dyDescent="0.55000000000000004">
      <c r="A6470" s="18">
        <v>24.735799799999999</v>
      </c>
      <c r="B6470" s="18">
        <v>34.7802358</v>
      </c>
      <c r="C6470" s="18">
        <v>680044.27</v>
      </c>
      <c r="D6470" s="18">
        <v>2736864.4</v>
      </c>
      <c r="E6470" s="18">
        <v>402.33</v>
      </c>
      <c r="F6470" s="18">
        <v>41713.449999999997</v>
      </c>
      <c r="G6470" s="18">
        <v>122118</v>
      </c>
      <c r="H6470" s="18">
        <f t="shared" si="152"/>
        <v>41567.449999999997</v>
      </c>
      <c r="I6470" s="3"/>
    </row>
    <row r="6471" spans="1:9" s="4" customFormat="1" ht="20.25" customHeight="1" x14ac:dyDescent="0.55000000000000004">
      <c r="A6471" s="18">
        <v>24.735812299999999</v>
      </c>
      <c r="B6471" s="18">
        <v>34.780222000000002</v>
      </c>
      <c r="C6471" s="18">
        <v>680042.86</v>
      </c>
      <c r="D6471" s="18">
        <v>2736865.76</v>
      </c>
      <c r="E6471" s="18">
        <v>402.55</v>
      </c>
      <c r="F6471" s="18">
        <v>41731.47</v>
      </c>
      <c r="G6471" s="18">
        <v>122120</v>
      </c>
      <c r="H6471" s="18">
        <f t="shared" si="152"/>
        <v>41585.47</v>
      </c>
      <c r="I6471" s="3"/>
    </row>
    <row r="6472" spans="1:9" s="4" customFormat="1" ht="20.25" customHeight="1" x14ac:dyDescent="0.55000000000000004">
      <c r="A6472" s="18">
        <v>24.7358245</v>
      </c>
      <c r="B6472" s="18">
        <v>34.780203200000003</v>
      </c>
      <c r="C6472" s="18">
        <v>680040.94</v>
      </c>
      <c r="D6472" s="18">
        <v>2736867.09</v>
      </c>
      <c r="E6472" s="18">
        <v>402.84</v>
      </c>
      <c r="F6472" s="18">
        <v>41726.47</v>
      </c>
      <c r="G6472" s="18">
        <v>122122</v>
      </c>
      <c r="H6472" s="18">
        <f t="shared" si="152"/>
        <v>41580.47</v>
      </c>
      <c r="I6472" s="3"/>
    </row>
    <row r="6473" spans="1:9" s="4" customFormat="1" ht="20.25" customHeight="1" x14ac:dyDescent="0.55000000000000004">
      <c r="A6473" s="18">
        <v>24.735833100000001</v>
      </c>
      <c r="B6473" s="18">
        <v>34.780192</v>
      </c>
      <c r="C6473" s="18">
        <v>680039.79</v>
      </c>
      <c r="D6473" s="18">
        <v>2736868.03</v>
      </c>
      <c r="E6473" s="18">
        <v>403.14</v>
      </c>
      <c r="F6473" s="18">
        <v>41724.230000000003</v>
      </c>
      <c r="G6473" s="18">
        <v>122124</v>
      </c>
      <c r="H6473" s="18">
        <f t="shared" si="152"/>
        <v>41578.230000000003</v>
      </c>
      <c r="I6473" s="3"/>
    </row>
    <row r="6474" spans="1:9" s="4" customFormat="1" ht="20.25" customHeight="1" x14ac:dyDescent="0.55000000000000004">
      <c r="A6474" s="18">
        <v>24.735842900000002</v>
      </c>
      <c r="B6474" s="18">
        <v>34.7801762</v>
      </c>
      <c r="C6474" s="18">
        <v>680038.18</v>
      </c>
      <c r="D6474" s="18">
        <v>2736869.09</v>
      </c>
      <c r="E6474" s="18">
        <v>403.34</v>
      </c>
      <c r="F6474" s="18">
        <v>41735.57</v>
      </c>
      <c r="G6474" s="18">
        <v>122126</v>
      </c>
      <c r="H6474" s="18">
        <f t="shared" si="152"/>
        <v>41589.57</v>
      </c>
      <c r="I6474" s="3"/>
    </row>
    <row r="6475" spans="1:9" s="4" customFormat="1" ht="20.25" customHeight="1" x14ac:dyDescent="0.55000000000000004">
      <c r="A6475" s="18">
        <v>24.735854700000001</v>
      </c>
      <c r="B6475" s="18">
        <v>34.7801616</v>
      </c>
      <c r="C6475" s="18">
        <v>680036.69</v>
      </c>
      <c r="D6475" s="18">
        <v>2736870.38</v>
      </c>
      <c r="E6475" s="18">
        <v>403.53</v>
      </c>
      <c r="F6475" s="18">
        <v>41711.99</v>
      </c>
      <c r="G6475" s="18">
        <v>122128</v>
      </c>
      <c r="H6475" s="18">
        <f t="shared" si="152"/>
        <v>41565.99</v>
      </c>
      <c r="I6475" s="3"/>
    </row>
    <row r="6476" spans="1:9" s="4" customFormat="1" ht="20.25" customHeight="1" x14ac:dyDescent="0.55000000000000004">
      <c r="A6476" s="18">
        <v>24.735871499999998</v>
      </c>
      <c r="B6476" s="18">
        <v>34.780155600000001</v>
      </c>
      <c r="C6476" s="18">
        <v>680036.06</v>
      </c>
      <c r="D6476" s="18">
        <v>2736872.24</v>
      </c>
      <c r="E6476" s="18">
        <v>403.98</v>
      </c>
      <c r="F6476" s="18">
        <v>41693.910000000003</v>
      </c>
      <c r="G6476" s="18">
        <v>122130</v>
      </c>
      <c r="H6476" s="18">
        <f t="shared" si="152"/>
        <v>41547.910000000003</v>
      </c>
      <c r="I6476" s="3"/>
    </row>
    <row r="6477" spans="1:9" s="4" customFormat="1" ht="20.25" customHeight="1" x14ac:dyDescent="0.55000000000000004">
      <c r="A6477" s="18">
        <v>24.735886199999999</v>
      </c>
      <c r="B6477" s="18">
        <v>34.780149600000001</v>
      </c>
      <c r="C6477" s="18">
        <v>680035.42</v>
      </c>
      <c r="D6477" s="18">
        <v>2736873.86</v>
      </c>
      <c r="E6477" s="18">
        <v>404.3</v>
      </c>
      <c r="F6477" s="18">
        <v>41723.199999999997</v>
      </c>
      <c r="G6477" s="18">
        <v>122132</v>
      </c>
      <c r="H6477" s="18">
        <f t="shared" si="152"/>
        <v>41577.199999999997</v>
      </c>
      <c r="I6477" s="3"/>
    </row>
    <row r="6478" spans="1:9" s="4" customFormat="1" ht="20.25" customHeight="1" x14ac:dyDescent="0.55000000000000004">
      <c r="A6478" s="18">
        <v>24.735899400000001</v>
      </c>
      <c r="B6478" s="18">
        <v>34.780131599999997</v>
      </c>
      <c r="C6478" s="18">
        <v>680033.59</v>
      </c>
      <c r="D6478" s="18">
        <v>2736875.29</v>
      </c>
      <c r="E6478" s="18">
        <v>404.27</v>
      </c>
      <c r="F6478" s="18">
        <v>41744.300000000003</v>
      </c>
      <c r="G6478" s="18">
        <v>122134</v>
      </c>
      <c r="H6478" s="18">
        <f t="shared" si="152"/>
        <v>41598.300000000003</v>
      </c>
      <c r="I6478" s="3"/>
    </row>
    <row r="6479" spans="1:9" s="4" customFormat="1" ht="20.25" customHeight="1" x14ac:dyDescent="0.55000000000000004">
      <c r="A6479" s="18">
        <v>24.735913</v>
      </c>
      <c r="B6479" s="18">
        <v>34.7801197</v>
      </c>
      <c r="C6479" s="18">
        <v>680032.36</v>
      </c>
      <c r="D6479" s="18">
        <v>2736876.79</v>
      </c>
      <c r="E6479" s="18">
        <v>404.71</v>
      </c>
      <c r="F6479" s="18">
        <v>41755.879999999997</v>
      </c>
      <c r="G6479" s="18">
        <v>122136</v>
      </c>
      <c r="H6479" s="18">
        <f t="shared" si="152"/>
        <v>41609.879999999997</v>
      </c>
      <c r="I6479" s="3"/>
    </row>
    <row r="6480" spans="1:9" s="4" customFormat="1" ht="20.25" customHeight="1" x14ac:dyDescent="0.55000000000000004">
      <c r="A6480" s="18">
        <v>24.7359255</v>
      </c>
      <c r="B6480" s="18">
        <v>34.780109400000001</v>
      </c>
      <c r="C6480" s="18">
        <v>680031.31</v>
      </c>
      <c r="D6480" s="18">
        <v>2736878.15</v>
      </c>
      <c r="E6480" s="18">
        <v>405.08</v>
      </c>
      <c r="F6480" s="18">
        <v>41731.69</v>
      </c>
      <c r="G6480" s="18">
        <v>122138</v>
      </c>
      <c r="H6480" s="18">
        <f t="shared" si="152"/>
        <v>41585.69</v>
      </c>
      <c r="I6480" s="3"/>
    </row>
    <row r="6481" spans="1:9" s="4" customFormat="1" ht="20.25" customHeight="1" x14ac:dyDescent="0.55000000000000004">
      <c r="A6481" s="18">
        <v>24.735934799999999</v>
      </c>
      <c r="B6481" s="18">
        <v>34.7800972</v>
      </c>
      <c r="C6481" s="18">
        <v>680030.06</v>
      </c>
      <c r="D6481" s="18">
        <v>2736879.17</v>
      </c>
      <c r="E6481" s="18">
        <v>405.34</v>
      </c>
      <c r="F6481" s="18">
        <v>41725.870000000003</v>
      </c>
      <c r="G6481" s="18">
        <v>122140</v>
      </c>
      <c r="H6481" s="18">
        <f t="shared" si="152"/>
        <v>41579.870000000003</v>
      </c>
      <c r="I6481" s="3"/>
    </row>
    <row r="6482" spans="1:9" s="4" customFormat="1" ht="20.25" customHeight="1" x14ac:dyDescent="0.55000000000000004">
      <c r="A6482" s="18">
        <v>24.7359486</v>
      </c>
      <c r="B6482" s="18">
        <v>34.780085100000001</v>
      </c>
      <c r="C6482" s="18">
        <v>680028.81</v>
      </c>
      <c r="D6482" s="18">
        <v>2736880.69</v>
      </c>
      <c r="E6482" s="18">
        <v>405.58</v>
      </c>
      <c r="F6482" s="18">
        <v>41721.360000000001</v>
      </c>
      <c r="G6482" s="18">
        <v>122142</v>
      </c>
      <c r="H6482" s="18">
        <f t="shared" si="152"/>
        <v>41575.360000000001</v>
      </c>
      <c r="I6482" s="3"/>
    </row>
    <row r="6483" spans="1:9" s="4" customFormat="1" ht="20.25" customHeight="1" x14ac:dyDescent="0.55000000000000004">
      <c r="A6483" s="18">
        <v>24.735956399999999</v>
      </c>
      <c r="B6483" s="18">
        <v>34.780072099999998</v>
      </c>
      <c r="C6483" s="18">
        <v>680027.49</v>
      </c>
      <c r="D6483" s="18">
        <v>2736881.52</v>
      </c>
      <c r="E6483" s="18">
        <v>405.83</v>
      </c>
      <c r="F6483" s="18">
        <v>41747.9</v>
      </c>
      <c r="G6483" s="18">
        <v>122144</v>
      </c>
      <c r="H6483" s="18">
        <f t="shared" si="152"/>
        <v>41601.9</v>
      </c>
      <c r="I6483" s="3"/>
    </row>
    <row r="6484" spans="1:9" s="4" customFormat="1" ht="20.25" customHeight="1" x14ac:dyDescent="0.55000000000000004">
      <c r="A6484" s="18">
        <v>24.7359671</v>
      </c>
      <c r="B6484" s="18">
        <v>34.780056399999999</v>
      </c>
      <c r="C6484" s="18">
        <v>680025.88</v>
      </c>
      <c r="D6484" s="18">
        <v>2736882.69</v>
      </c>
      <c r="E6484" s="18">
        <v>406.07</v>
      </c>
      <c r="F6484" s="18">
        <v>41755.94</v>
      </c>
      <c r="G6484" s="18">
        <v>122146</v>
      </c>
      <c r="H6484" s="18">
        <f t="shared" si="152"/>
        <v>41609.94</v>
      </c>
      <c r="I6484" s="3"/>
    </row>
    <row r="6485" spans="1:9" s="4" customFormat="1" ht="20.25" customHeight="1" x14ac:dyDescent="0.55000000000000004">
      <c r="A6485" s="18">
        <v>24.735973099999999</v>
      </c>
      <c r="B6485" s="18">
        <v>34.780035699999999</v>
      </c>
      <c r="C6485" s="18">
        <v>680023.78</v>
      </c>
      <c r="D6485" s="18">
        <v>2736883.34</v>
      </c>
      <c r="E6485" s="18">
        <v>406.26</v>
      </c>
      <c r="F6485" s="18">
        <v>41739.730000000003</v>
      </c>
      <c r="G6485" s="18">
        <v>122148</v>
      </c>
      <c r="H6485" s="18">
        <f t="shared" si="152"/>
        <v>41593.730000000003</v>
      </c>
      <c r="I6485" s="3"/>
    </row>
    <row r="6486" spans="1:9" s="4" customFormat="1" ht="20.25" customHeight="1" x14ac:dyDescent="0.55000000000000004">
      <c r="A6486" s="18">
        <v>24.735976399999998</v>
      </c>
      <c r="B6486" s="18">
        <v>34.780018200000001</v>
      </c>
      <c r="C6486" s="18">
        <v>680022.01</v>
      </c>
      <c r="D6486" s="18">
        <v>2736883.67</v>
      </c>
      <c r="E6486" s="18">
        <v>406.4</v>
      </c>
      <c r="F6486" s="18">
        <v>41740</v>
      </c>
      <c r="G6486" s="18">
        <v>122150</v>
      </c>
      <c r="H6486" s="18">
        <f t="shared" si="152"/>
        <v>41594</v>
      </c>
      <c r="I6486" s="3"/>
    </row>
    <row r="6487" spans="1:9" s="4" customFormat="1" ht="20.25" customHeight="1" x14ac:dyDescent="0.55000000000000004">
      <c r="A6487" s="18">
        <v>24.735980999999999</v>
      </c>
      <c r="B6487" s="18">
        <v>34.779997600000002</v>
      </c>
      <c r="C6487" s="18">
        <v>680019.91</v>
      </c>
      <c r="D6487" s="18">
        <v>2736884.16</v>
      </c>
      <c r="E6487" s="18">
        <v>406.63</v>
      </c>
      <c r="F6487" s="18">
        <v>41733.919999999998</v>
      </c>
      <c r="G6487" s="18">
        <v>122152</v>
      </c>
      <c r="H6487" s="18">
        <f t="shared" si="152"/>
        <v>41587.919999999998</v>
      </c>
      <c r="I6487" s="3"/>
    </row>
    <row r="6488" spans="1:9" s="4" customFormat="1" ht="20.25" customHeight="1" x14ac:dyDescent="0.55000000000000004">
      <c r="A6488" s="18">
        <v>24.735985800000002</v>
      </c>
      <c r="B6488" s="18">
        <v>34.7799774</v>
      </c>
      <c r="C6488" s="18">
        <v>680017.87</v>
      </c>
      <c r="D6488" s="18">
        <v>2736884.66</v>
      </c>
      <c r="E6488" s="18">
        <v>406.92</v>
      </c>
      <c r="F6488" s="18">
        <v>41743.61</v>
      </c>
      <c r="G6488" s="18">
        <v>122154</v>
      </c>
      <c r="H6488" s="18">
        <f t="shared" si="152"/>
        <v>41597.61</v>
      </c>
      <c r="I6488" s="3"/>
    </row>
    <row r="6489" spans="1:9" s="4" customFormat="1" ht="20.25" customHeight="1" x14ac:dyDescent="0.55000000000000004">
      <c r="A6489" s="18">
        <v>24.735994999999999</v>
      </c>
      <c r="B6489" s="18">
        <v>34.779962300000001</v>
      </c>
      <c r="C6489" s="18">
        <v>680016.32</v>
      </c>
      <c r="D6489" s="18">
        <v>2736885.66</v>
      </c>
      <c r="E6489" s="18">
        <v>407.19</v>
      </c>
      <c r="F6489" s="18">
        <v>41713.910000000003</v>
      </c>
      <c r="G6489" s="18">
        <v>122156</v>
      </c>
      <c r="H6489" s="18">
        <f t="shared" si="152"/>
        <v>41567.910000000003</v>
      </c>
      <c r="I6489" s="3"/>
    </row>
    <row r="6490" spans="1:9" s="4" customFormat="1" ht="20.25" customHeight="1" x14ac:dyDescent="0.55000000000000004">
      <c r="A6490" s="18">
        <v>24.736006</v>
      </c>
      <c r="B6490" s="18">
        <v>34.779946799999998</v>
      </c>
      <c r="C6490" s="18">
        <v>680014.74</v>
      </c>
      <c r="D6490" s="18">
        <v>2736886.86</v>
      </c>
      <c r="E6490" s="18">
        <v>407.45</v>
      </c>
      <c r="F6490" s="18">
        <v>41723.160000000003</v>
      </c>
      <c r="G6490" s="18">
        <v>122158</v>
      </c>
      <c r="H6490" s="18">
        <f t="shared" si="152"/>
        <v>41577.160000000003</v>
      </c>
      <c r="I6490" s="3"/>
    </row>
    <row r="6491" spans="1:9" s="4" customFormat="1" ht="20.25" customHeight="1" x14ac:dyDescent="0.55000000000000004">
      <c r="A6491" s="18">
        <v>24.736018900000001</v>
      </c>
      <c r="B6491" s="18">
        <v>34.7799312</v>
      </c>
      <c r="C6491" s="18">
        <v>680013.14</v>
      </c>
      <c r="D6491" s="18">
        <v>2736888.27</v>
      </c>
      <c r="E6491" s="18">
        <v>407.82</v>
      </c>
      <c r="F6491" s="18">
        <v>41720.129999999997</v>
      </c>
      <c r="G6491" s="18">
        <v>122200</v>
      </c>
      <c r="H6491" s="18">
        <f t="shared" si="152"/>
        <v>41574.129999999997</v>
      </c>
      <c r="I6491" s="3"/>
    </row>
    <row r="6492" spans="1:9" s="4" customFormat="1" ht="20.25" customHeight="1" x14ac:dyDescent="0.55000000000000004">
      <c r="A6492" s="18">
        <v>24.7360328</v>
      </c>
      <c r="B6492" s="18">
        <v>34.779916100000001</v>
      </c>
      <c r="C6492" s="18">
        <v>680011.6</v>
      </c>
      <c r="D6492" s="18">
        <v>2736889.78</v>
      </c>
      <c r="E6492" s="18">
        <v>408.24</v>
      </c>
      <c r="F6492" s="18">
        <v>41741.4</v>
      </c>
      <c r="G6492" s="18">
        <v>122202</v>
      </c>
      <c r="H6492" s="18">
        <f t="shared" si="152"/>
        <v>41595.4</v>
      </c>
      <c r="I6492" s="3"/>
    </row>
    <row r="6493" spans="1:9" s="4" customFormat="1" ht="20.25" customHeight="1" x14ac:dyDescent="0.55000000000000004">
      <c r="A6493" s="18">
        <v>24.736053500000001</v>
      </c>
      <c r="B6493" s="18">
        <v>34.779905999999997</v>
      </c>
      <c r="C6493" s="18">
        <v>680010.55</v>
      </c>
      <c r="D6493" s="18">
        <v>2736892.06</v>
      </c>
      <c r="E6493" s="18">
        <v>408.37</v>
      </c>
      <c r="F6493" s="18">
        <v>41751.230000000003</v>
      </c>
      <c r="G6493" s="18">
        <v>122204</v>
      </c>
      <c r="H6493" s="18">
        <f t="shared" si="152"/>
        <v>41605.230000000003</v>
      </c>
      <c r="I6493" s="3"/>
    </row>
    <row r="6494" spans="1:9" s="4" customFormat="1" ht="20.25" customHeight="1" x14ac:dyDescent="0.55000000000000004">
      <c r="A6494" s="18">
        <v>24.736073300000001</v>
      </c>
      <c r="B6494" s="18">
        <v>34.7798984</v>
      </c>
      <c r="C6494" s="18">
        <v>680009.75</v>
      </c>
      <c r="D6494" s="18">
        <v>2736894.24</v>
      </c>
      <c r="E6494" s="18">
        <v>408.78</v>
      </c>
      <c r="F6494" s="18">
        <v>41763.83</v>
      </c>
      <c r="G6494" s="18">
        <v>122206</v>
      </c>
      <c r="H6494" s="18">
        <f t="shared" si="152"/>
        <v>41617.83</v>
      </c>
      <c r="I6494" s="3"/>
    </row>
    <row r="6495" spans="1:9" s="4" customFormat="1" ht="20.25" customHeight="1" x14ac:dyDescent="0.55000000000000004">
      <c r="A6495" s="18">
        <v>24.736088899999999</v>
      </c>
      <c r="B6495" s="18">
        <v>34.779888999999997</v>
      </c>
      <c r="C6495" s="18">
        <v>680008.77</v>
      </c>
      <c r="D6495" s="18">
        <v>2736895.96</v>
      </c>
      <c r="E6495" s="18">
        <v>409.09</v>
      </c>
      <c r="F6495" s="18">
        <v>41739.18</v>
      </c>
      <c r="G6495" s="18">
        <v>122208</v>
      </c>
      <c r="H6495" s="18">
        <f t="shared" si="152"/>
        <v>41593.18</v>
      </c>
      <c r="I6495" s="3"/>
    </row>
    <row r="6496" spans="1:9" s="4" customFormat="1" ht="20.25" customHeight="1" x14ac:dyDescent="0.55000000000000004">
      <c r="A6496" s="18">
        <v>24.736103400000001</v>
      </c>
      <c r="B6496" s="18">
        <v>34.779874999999997</v>
      </c>
      <c r="C6496" s="18">
        <v>680007.34</v>
      </c>
      <c r="D6496" s="18">
        <v>2736897.55</v>
      </c>
      <c r="E6496" s="18">
        <v>409.36</v>
      </c>
      <c r="F6496" s="18">
        <v>41756.89</v>
      </c>
      <c r="G6496" s="18">
        <v>122210</v>
      </c>
      <c r="H6496" s="18">
        <f t="shared" si="152"/>
        <v>41610.89</v>
      </c>
      <c r="I6496" s="3"/>
    </row>
    <row r="6497" spans="1:9" s="4" customFormat="1" ht="20.25" customHeight="1" x14ac:dyDescent="0.55000000000000004">
      <c r="A6497" s="18">
        <v>24.736121199999999</v>
      </c>
      <c r="B6497" s="18">
        <v>34.7798637</v>
      </c>
      <c r="C6497" s="18">
        <v>680006.17</v>
      </c>
      <c r="D6497" s="18">
        <v>2736899.51</v>
      </c>
      <c r="E6497" s="18">
        <v>409.76</v>
      </c>
      <c r="F6497" s="18">
        <v>41792.080000000002</v>
      </c>
      <c r="G6497" s="18">
        <v>122212</v>
      </c>
      <c r="H6497" s="18">
        <f t="shared" si="152"/>
        <v>41646.080000000002</v>
      </c>
      <c r="I6497" s="3"/>
    </row>
    <row r="6498" spans="1:9" s="4" customFormat="1" ht="20.25" customHeight="1" x14ac:dyDescent="0.55000000000000004">
      <c r="A6498" s="18">
        <v>24.736137800000002</v>
      </c>
      <c r="B6498" s="18">
        <v>34.779852599999998</v>
      </c>
      <c r="C6498" s="18">
        <v>680005.02</v>
      </c>
      <c r="D6498" s="18">
        <v>2736901.33</v>
      </c>
      <c r="E6498" s="18">
        <v>409.77</v>
      </c>
      <c r="F6498" s="18">
        <v>41660.910000000003</v>
      </c>
      <c r="G6498" s="18">
        <v>122214</v>
      </c>
      <c r="H6498" s="18">
        <f t="shared" si="152"/>
        <v>41514.910000000003</v>
      </c>
      <c r="I6498" s="3"/>
    </row>
    <row r="6499" spans="1:9" s="4" customFormat="1" ht="20.25" customHeight="1" x14ac:dyDescent="0.55000000000000004">
      <c r="A6499" s="18">
        <v>24.736151199999998</v>
      </c>
      <c r="B6499" s="18">
        <v>34.779843</v>
      </c>
      <c r="C6499" s="18">
        <v>680004.03</v>
      </c>
      <c r="D6499" s="18">
        <v>2736902.8</v>
      </c>
      <c r="E6499" s="18">
        <v>410.22</v>
      </c>
      <c r="F6499" s="18">
        <v>41732.379999999997</v>
      </c>
      <c r="G6499" s="18">
        <v>122216</v>
      </c>
      <c r="H6499" s="18">
        <f t="shared" si="152"/>
        <v>41586.379999999997</v>
      </c>
      <c r="I6499" s="3"/>
    </row>
    <row r="6500" spans="1:9" s="4" customFormat="1" ht="20.25" customHeight="1" x14ac:dyDescent="0.55000000000000004">
      <c r="A6500" s="18">
        <v>24.736167300000002</v>
      </c>
      <c r="B6500" s="18">
        <v>34.779831100000003</v>
      </c>
      <c r="C6500" s="18">
        <v>680002.81</v>
      </c>
      <c r="D6500" s="18">
        <v>2736904.57</v>
      </c>
      <c r="E6500" s="18">
        <v>410.33</v>
      </c>
      <c r="F6500" s="18">
        <v>41756.79</v>
      </c>
      <c r="G6500" s="18">
        <v>122218</v>
      </c>
      <c r="H6500" s="18">
        <f t="shared" si="152"/>
        <v>41610.79</v>
      </c>
      <c r="I6500" s="3"/>
    </row>
    <row r="6501" spans="1:9" s="4" customFormat="1" ht="20.25" customHeight="1" x14ac:dyDescent="0.55000000000000004">
      <c r="A6501" s="18">
        <v>24.7361811</v>
      </c>
      <c r="B6501" s="18">
        <v>34.779815800000002</v>
      </c>
      <c r="C6501" s="18">
        <v>680001.24</v>
      </c>
      <c r="D6501" s="18">
        <v>2736906.08</v>
      </c>
      <c r="E6501" s="18">
        <v>410.48</v>
      </c>
      <c r="F6501" s="18">
        <v>41732.9</v>
      </c>
      <c r="G6501" s="18">
        <v>122220</v>
      </c>
      <c r="H6501" s="18">
        <f t="shared" ref="H6501:H6564" si="153">SUM(F6501-146)</f>
        <v>41586.9</v>
      </c>
      <c r="I6501" s="3"/>
    </row>
    <row r="6502" spans="1:9" s="4" customFormat="1" ht="20.25" customHeight="1" x14ac:dyDescent="0.55000000000000004">
      <c r="A6502" s="18">
        <v>24.736188899999998</v>
      </c>
      <c r="B6502" s="18">
        <v>34.7798011</v>
      </c>
      <c r="C6502" s="18">
        <v>679999.74</v>
      </c>
      <c r="D6502" s="18">
        <v>2736906.93</v>
      </c>
      <c r="E6502" s="18">
        <v>410.62</v>
      </c>
      <c r="F6502" s="18">
        <v>41714</v>
      </c>
      <c r="G6502" s="18">
        <v>122222</v>
      </c>
      <c r="H6502" s="18">
        <f t="shared" si="153"/>
        <v>41568</v>
      </c>
      <c r="I6502" s="3"/>
    </row>
    <row r="6503" spans="1:9" s="4" customFormat="1" ht="20.25" customHeight="1" x14ac:dyDescent="0.55000000000000004">
      <c r="A6503" s="18">
        <v>24.736200499999999</v>
      </c>
      <c r="B6503" s="18">
        <v>34.779781900000003</v>
      </c>
      <c r="C6503" s="18">
        <v>679997.78</v>
      </c>
      <c r="D6503" s="18">
        <v>2736908.18</v>
      </c>
      <c r="E6503" s="18">
        <v>410.56</v>
      </c>
      <c r="F6503" s="18">
        <v>41738.589999999997</v>
      </c>
      <c r="G6503" s="18">
        <v>122224</v>
      </c>
      <c r="H6503" s="18">
        <f t="shared" si="153"/>
        <v>41592.589999999997</v>
      </c>
      <c r="I6503" s="3"/>
    </row>
    <row r="6504" spans="1:9" s="4" customFormat="1" ht="20.25" customHeight="1" x14ac:dyDescent="0.55000000000000004">
      <c r="A6504" s="18">
        <v>24.736212800000001</v>
      </c>
      <c r="B6504" s="18">
        <v>34.779760099999997</v>
      </c>
      <c r="C6504" s="18">
        <v>679995.55</v>
      </c>
      <c r="D6504" s="18">
        <v>2736909.52</v>
      </c>
      <c r="E6504" s="18">
        <v>410.39</v>
      </c>
      <c r="F6504" s="18">
        <v>41725.96</v>
      </c>
      <c r="G6504" s="18">
        <v>122226</v>
      </c>
      <c r="H6504" s="18">
        <f t="shared" si="153"/>
        <v>41579.96</v>
      </c>
      <c r="I6504" s="3"/>
    </row>
    <row r="6505" spans="1:9" s="4" customFormat="1" ht="20.25" customHeight="1" x14ac:dyDescent="0.55000000000000004">
      <c r="A6505" s="18">
        <v>24.7362219</v>
      </c>
      <c r="B6505" s="18">
        <v>34.779742400000003</v>
      </c>
      <c r="C6505" s="18">
        <v>679993.76</v>
      </c>
      <c r="D6505" s="18">
        <v>2736910.5</v>
      </c>
      <c r="E6505" s="18">
        <v>410.48</v>
      </c>
      <c r="F6505" s="18">
        <v>41731.74</v>
      </c>
      <c r="G6505" s="18">
        <v>122228</v>
      </c>
      <c r="H6505" s="18">
        <f t="shared" si="153"/>
        <v>41585.74</v>
      </c>
      <c r="I6505" s="3"/>
    </row>
    <row r="6506" spans="1:9" s="4" customFormat="1" ht="20.25" customHeight="1" x14ac:dyDescent="0.55000000000000004">
      <c r="A6506" s="18">
        <v>24.736229600000001</v>
      </c>
      <c r="B6506" s="18">
        <v>34.779719499999999</v>
      </c>
      <c r="C6506" s="18">
        <v>679991.43</v>
      </c>
      <c r="D6506" s="18">
        <v>2736911.32</v>
      </c>
      <c r="E6506" s="18">
        <v>410.01</v>
      </c>
      <c r="F6506" s="18">
        <v>41748.449999999997</v>
      </c>
      <c r="G6506" s="18">
        <v>122230</v>
      </c>
      <c r="H6506" s="18">
        <f t="shared" si="153"/>
        <v>41602.449999999997</v>
      </c>
      <c r="I6506" s="3"/>
    </row>
    <row r="6507" spans="1:9" s="4" customFormat="1" ht="20.25" customHeight="1" x14ac:dyDescent="0.55000000000000004">
      <c r="A6507" s="18">
        <v>24.736246000000001</v>
      </c>
      <c r="B6507" s="18">
        <v>34.779703300000001</v>
      </c>
      <c r="C6507" s="18">
        <v>679989.77</v>
      </c>
      <c r="D6507" s="18">
        <v>2736913.12</v>
      </c>
      <c r="E6507" s="18">
        <v>410.22</v>
      </c>
      <c r="F6507" s="18">
        <v>41761.22</v>
      </c>
      <c r="G6507" s="18">
        <v>122232</v>
      </c>
      <c r="H6507" s="18">
        <f t="shared" si="153"/>
        <v>41615.22</v>
      </c>
      <c r="I6507" s="3"/>
    </row>
    <row r="6508" spans="1:9" s="4" customFormat="1" ht="20.25" customHeight="1" x14ac:dyDescent="0.55000000000000004">
      <c r="A6508" s="18">
        <v>24.736264599999998</v>
      </c>
      <c r="B6508" s="18">
        <v>34.779687799999998</v>
      </c>
      <c r="C6508" s="18">
        <v>679988.17</v>
      </c>
      <c r="D6508" s="18">
        <v>2736915.16</v>
      </c>
      <c r="E6508" s="18">
        <v>410.2</v>
      </c>
      <c r="F6508" s="18">
        <v>41691.74</v>
      </c>
      <c r="G6508" s="18">
        <v>122234</v>
      </c>
      <c r="H6508" s="18">
        <f t="shared" si="153"/>
        <v>41545.74</v>
      </c>
      <c r="I6508" s="3"/>
    </row>
    <row r="6509" spans="1:9" s="4" customFormat="1" ht="20.25" customHeight="1" x14ac:dyDescent="0.55000000000000004">
      <c r="A6509" s="18">
        <v>24.736281000000002</v>
      </c>
      <c r="B6509" s="18">
        <v>34.7796728</v>
      </c>
      <c r="C6509" s="18">
        <v>679986.63</v>
      </c>
      <c r="D6509" s="18">
        <v>2736916.95</v>
      </c>
      <c r="E6509" s="18">
        <v>410.39</v>
      </c>
      <c r="F6509" s="18">
        <v>41713.75</v>
      </c>
      <c r="G6509" s="18">
        <v>122236</v>
      </c>
      <c r="H6509" s="18">
        <f t="shared" si="153"/>
        <v>41567.75</v>
      </c>
      <c r="I6509" s="3"/>
    </row>
    <row r="6510" spans="1:9" s="4" customFormat="1" ht="20.25" customHeight="1" x14ac:dyDescent="0.55000000000000004">
      <c r="A6510" s="18">
        <v>24.736299500000001</v>
      </c>
      <c r="B6510" s="18">
        <v>34.779666599999999</v>
      </c>
      <c r="C6510" s="18">
        <v>679985.98</v>
      </c>
      <c r="D6510" s="18">
        <v>2736919</v>
      </c>
      <c r="E6510" s="18">
        <v>410.72</v>
      </c>
      <c r="F6510" s="18">
        <v>41686.699999999997</v>
      </c>
      <c r="G6510" s="18">
        <v>122238</v>
      </c>
      <c r="H6510" s="18">
        <f t="shared" si="153"/>
        <v>41540.699999999997</v>
      </c>
      <c r="I6510" s="3"/>
    </row>
    <row r="6511" spans="1:9" s="4" customFormat="1" ht="20.25" customHeight="1" x14ac:dyDescent="0.55000000000000004">
      <c r="A6511" s="18">
        <v>24.7363176</v>
      </c>
      <c r="B6511" s="18">
        <v>34.779659600000002</v>
      </c>
      <c r="C6511" s="18">
        <v>679985.24</v>
      </c>
      <c r="D6511" s="18">
        <v>2736920.99</v>
      </c>
      <c r="E6511" s="18">
        <v>410.73</v>
      </c>
      <c r="F6511" s="18">
        <v>41721.56</v>
      </c>
      <c r="G6511" s="18">
        <v>122240</v>
      </c>
      <c r="H6511" s="18">
        <f t="shared" si="153"/>
        <v>41575.56</v>
      </c>
      <c r="I6511" s="3"/>
    </row>
    <row r="6512" spans="1:9" s="4" customFormat="1" ht="20.25" customHeight="1" x14ac:dyDescent="0.55000000000000004">
      <c r="A6512" s="18">
        <v>24.736333500000001</v>
      </c>
      <c r="B6512" s="18">
        <v>34.779653799999998</v>
      </c>
      <c r="C6512" s="18">
        <v>679984.63</v>
      </c>
      <c r="D6512" s="18">
        <v>2736922.75</v>
      </c>
      <c r="E6512" s="18">
        <v>411.02</v>
      </c>
      <c r="F6512" s="18">
        <v>41705.72</v>
      </c>
      <c r="G6512" s="18">
        <v>122242</v>
      </c>
      <c r="H6512" s="18">
        <f t="shared" si="153"/>
        <v>41559.72</v>
      </c>
      <c r="I6512" s="3"/>
    </row>
    <row r="6513" spans="1:9" s="4" customFormat="1" ht="20.25" customHeight="1" x14ac:dyDescent="0.55000000000000004">
      <c r="A6513" s="18">
        <v>24.7363532</v>
      </c>
      <c r="B6513" s="18">
        <v>34.779648899999998</v>
      </c>
      <c r="C6513" s="18">
        <v>679984.11</v>
      </c>
      <c r="D6513" s="18">
        <v>2736924.93</v>
      </c>
      <c r="E6513" s="18">
        <v>410.89</v>
      </c>
      <c r="F6513" s="18">
        <v>41701.31</v>
      </c>
      <c r="G6513" s="18">
        <v>122244</v>
      </c>
      <c r="H6513" s="18">
        <f t="shared" si="153"/>
        <v>41555.31</v>
      </c>
      <c r="I6513" s="3"/>
    </row>
    <row r="6514" spans="1:9" s="4" customFormat="1" ht="20.25" customHeight="1" x14ac:dyDescent="0.55000000000000004">
      <c r="A6514" s="18">
        <v>24.736369100000001</v>
      </c>
      <c r="B6514" s="18">
        <v>34.779643700000001</v>
      </c>
      <c r="C6514" s="18">
        <v>679983.55</v>
      </c>
      <c r="D6514" s="18">
        <v>2736926.68</v>
      </c>
      <c r="E6514" s="18">
        <v>411.19</v>
      </c>
      <c r="F6514" s="18">
        <v>41733.01</v>
      </c>
      <c r="G6514" s="18">
        <v>122246</v>
      </c>
      <c r="H6514" s="18">
        <f t="shared" si="153"/>
        <v>41587.01</v>
      </c>
      <c r="I6514" s="3"/>
    </row>
    <row r="6515" spans="1:9" s="4" customFormat="1" ht="20.25" customHeight="1" x14ac:dyDescent="0.55000000000000004">
      <c r="A6515" s="18">
        <v>24.736386299999999</v>
      </c>
      <c r="B6515" s="18">
        <v>34.779637299999997</v>
      </c>
      <c r="C6515" s="18">
        <v>679982.89</v>
      </c>
      <c r="D6515" s="18">
        <v>2736928.57</v>
      </c>
      <c r="E6515" s="18">
        <v>411.32</v>
      </c>
      <c r="F6515" s="18">
        <v>41696.120000000003</v>
      </c>
      <c r="G6515" s="18">
        <v>122248</v>
      </c>
      <c r="H6515" s="18">
        <f t="shared" si="153"/>
        <v>41550.120000000003</v>
      </c>
      <c r="I6515" s="3"/>
    </row>
    <row r="6516" spans="1:9" s="4" customFormat="1" ht="20.25" customHeight="1" x14ac:dyDescent="0.55000000000000004">
      <c r="A6516" s="18">
        <v>24.7363982</v>
      </c>
      <c r="B6516" s="18">
        <v>34.779632700000001</v>
      </c>
      <c r="C6516" s="18">
        <v>679982.4</v>
      </c>
      <c r="D6516" s="18">
        <v>2736929.88</v>
      </c>
      <c r="E6516" s="18">
        <v>411.51</v>
      </c>
      <c r="F6516" s="18">
        <v>41696.699999999997</v>
      </c>
      <c r="G6516" s="18">
        <v>122250</v>
      </c>
      <c r="H6516" s="18">
        <f t="shared" si="153"/>
        <v>41550.699999999997</v>
      </c>
      <c r="I6516" s="3"/>
    </row>
    <row r="6517" spans="1:9" s="4" customFormat="1" ht="20.25" customHeight="1" x14ac:dyDescent="0.55000000000000004">
      <c r="A6517" s="18">
        <v>24.736412399999999</v>
      </c>
      <c r="B6517" s="18">
        <v>34.779619099999998</v>
      </c>
      <c r="C6517" s="18">
        <v>679981.01</v>
      </c>
      <c r="D6517" s="18">
        <v>2736931.44</v>
      </c>
      <c r="E6517" s="18">
        <v>411.49</v>
      </c>
      <c r="F6517" s="18">
        <v>41713.5</v>
      </c>
      <c r="G6517" s="18">
        <v>122252</v>
      </c>
      <c r="H6517" s="18">
        <f t="shared" si="153"/>
        <v>41567.5</v>
      </c>
      <c r="I6517" s="3"/>
    </row>
    <row r="6518" spans="1:9" s="4" customFormat="1" ht="20.25" customHeight="1" x14ac:dyDescent="0.55000000000000004">
      <c r="A6518" s="18">
        <v>24.7364313</v>
      </c>
      <c r="B6518" s="18">
        <v>34.7796114</v>
      </c>
      <c r="C6518" s="18">
        <v>679980.2</v>
      </c>
      <c r="D6518" s="18">
        <v>2736933.53</v>
      </c>
      <c r="E6518" s="18">
        <v>411.61</v>
      </c>
      <c r="F6518" s="18">
        <v>41705.08</v>
      </c>
      <c r="G6518" s="18">
        <v>122254</v>
      </c>
      <c r="H6518" s="18">
        <f t="shared" si="153"/>
        <v>41559.08</v>
      </c>
      <c r="I6518" s="3"/>
    </row>
    <row r="6519" spans="1:9" s="4" customFormat="1" ht="20.25" customHeight="1" x14ac:dyDescent="0.55000000000000004">
      <c r="A6519" s="18">
        <v>24.736450099999999</v>
      </c>
      <c r="B6519" s="18">
        <v>34.7796144</v>
      </c>
      <c r="C6519" s="18">
        <v>679980.48</v>
      </c>
      <c r="D6519" s="18">
        <v>2736935.61</v>
      </c>
      <c r="E6519" s="18">
        <v>411.7</v>
      </c>
      <c r="F6519" s="18">
        <v>41688.5</v>
      </c>
      <c r="G6519" s="18">
        <v>122256</v>
      </c>
      <c r="H6519" s="18">
        <f t="shared" si="153"/>
        <v>41542.5</v>
      </c>
      <c r="I6519" s="3"/>
    </row>
    <row r="6520" spans="1:9" s="4" customFormat="1" ht="20.25" customHeight="1" x14ac:dyDescent="0.55000000000000004">
      <c r="A6520" s="18">
        <v>24.736471300000002</v>
      </c>
      <c r="B6520" s="18">
        <v>34.779614500000001</v>
      </c>
      <c r="C6520" s="18">
        <v>679980.46</v>
      </c>
      <c r="D6520" s="18">
        <v>2736937.95</v>
      </c>
      <c r="E6520" s="18">
        <v>411.9</v>
      </c>
      <c r="F6520" s="18">
        <v>41693.68</v>
      </c>
      <c r="G6520" s="18">
        <v>122258</v>
      </c>
      <c r="H6520" s="18">
        <f t="shared" si="153"/>
        <v>41547.68</v>
      </c>
      <c r="I6520" s="3"/>
    </row>
    <row r="6521" spans="1:9" s="4" customFormat="1" ht="20.25" customHeight="1" x14ac:dyDescent="0.55000000000000004">
      <c r="A6521" s="18">
        <v>24.736485500000001</v>
      </c>
      <c r="B6521" s="18">
        <v>34.779610499999997</v>
      </c>
      <c r="C6521" s="18">
        <v>679980.03</v>
      </c>
      <c r="D6521" s="18">
        <v>2736939.53</v>
      </c>
      <c r="E6521" s="18">
        <v>412.37</v>
      </c>
      <c r="F6521" s="18">
        <v>41710.449999999997</v>
      </c>
      <c r="G6521" s="18">
        <v>122300</v>
      </c>
      <c r="H6521" s="18">
        <f t="shared" si="153"/>
        <v>41564.449999999997</v>
      </c>
      <c r="I6521" s="3"/>
    </row>
    <row r="6522" spans="1:9" s="4" customFormat="1" ht="20.25" customHeight="1" x14ac:dyDescent="0.55000000000000004">
      <c r="A6522" s="18">
        <v>24.7365019</v>
      </c>
      <c r="B6522" s="18">
        <v>34.779611600000003</v>
      </c>
      <c r="C6522" s="18">
        <v>679980.12</v>
      </c>
      <c r="D6522" s="18">
        <v>2736941.35</v>
      </c>
      <c r="E6522" s="18">
        <v>412.45</v>
      </c>
      <c r="F6522" s="18">
        <v>41750.870000000003</v>
      </c>
      <c r="G6522" s="18">
        <v>122302</v>
      </c>
      <c r="H6522" s="18">
        <f t="shared" si="153"/>
        <v>41604.870000000003</v>
      </c>
      <c r="I6522" s="3"/>
    </row>
    <row r="6523" spans="1:9" s="4" customFormat="1" ht="20.25" customHeight="1" x14ac:dyDescent="0.55000000000000004">
      <c r="A6523" s="18">
        <v>24.7365146</v>
      </c>
      <c r="B6523" s="18">
        <v>34.779609200000003</v>
      </c>
      <c r="C6523" s="18">
        <v>679979.86</v>
      </c>
      <c r="D6523" s="18">
        <v>2736942.74</v>
      </c>
      <c r="E6523" s="18">
        <v>412.86</v>
      </c>
      <c r="F6523" s="18">
        <v>41758.32</v>
      </c>
      <c r="G6523" s="18">
        <v>122304</v>
      </c>
      <c r="H6523" s="18">
        <f t="shared" si="153"/>
        <v>41612.32</v>
      </c>
      <c r="I6523" s="3"/>
    </row>
    <row r="6524" spans="1:9" s="4" customFormat="1" ht="20.25" customHeight="1" x14ac:dyDescent="0.55000000000000004">
      <c r="A6524" s="18">
        <v>24.736531599999999</v>
      </c>
      <c r="B6524" s="18">
        <v>34.779606800000003</v>
      </c>
      <c r="C6524" s="18">
        <v>679979.59</v>
      </c>
      <c r="D6524" s="18">
        <v>2736944.63</v>
      </c>
      <c r="E6524" s="18">
        <v>413.02</v>
      </c>
      <c r="F6524" s="18">
        <v>41762.660000000003</v>
      </c>
      <c r="G6524" s="18">
        <v>122306</v>
      </c>
      <c r="H6524" s="18">
        <f t="shared" si="153"/>
        <v>41616.660000000003</v>
      </c>
      <c r="I6524" s="3"/>
    </row>
    <row r="6525" spans="1:9" s="4" customFormat="1" ht="20.25" customHeight="1" x14ac:dyDescent="0.55000000000000004">
      <c r="A6525" s="18">
        <v>24.736547999999999</v>
      </c>
      <c r="B6525" s="18">
        <v>34.779604900000002</v>
      </c>
      <c r="C6525" s="18">
        <v>679979.38</v>
      </c>
      <c r="D6525" s="18">
        <v>2736946.44</v>
      </c>
      <c r="E6525" s="18">
        <v>413.44</v>
      </c>
      <c r="F6525" s="18">
        <v>41782.22</v>
      </c>
      <c r="G6525" s="18">
        <v>122308</v>
      </c>
      <c r="H6525" s="18">
        <f t="shared" si="153"/>
        <v>41636.22</v>
      </c>
      <c r="I6525" s="3"/>
    </row>
    <row r="6526" spans="1:9" s="4" customFormat="1" ht="20.25" customHeight="1" x14ac:dyDescent="0.55000000000000004">
      <c r="A6526" s="18">
        <v>24.736564399999999</v>
      </c>
      <c r="B6526" s="18">
        <v>34.779595200000003</v>
      </c>
      <c r="C6526" s="18">
        <v>679978.37</v>
      </c>
      <c r="D6526" s="18">
        <v>2736948.24</v>
      </c>
      <c r="E6526" s="18">
        <v>413.59</v>
      </c>
      <c r="F6526" s="18">
        <v>41696.76</v>
      </c>
      <c r="G6526" s="18">
        <v>122310</v>
      </c>
      <c r="H6526" s="18">
        <f t="shared" si="153"/>
        <v>41550.76</v>
      </c>
      <c r="I6526" s="3"/>
    </row>
    <row r="6527" spans="1:9" s="4" customFormat="1" ht="20.25" customHeight="1" x14ac:dyDescent="0.55000000000000004">
      <c r="A6527" s="18">
        <v>24.736587499999999</v>
      </c>
      <c r="B6527" s="18">
        <v>34.779586399999999</v>
      </c>
      <c r="C6527" s="18">
        <v>679977.45</v>
      </c>
      <c r="D6527" s="18">
        <v>2736950.79</v>
      </c>
      <c r="E6527" s="18">
        <v>413.67</v>
      </c>
      <c r="F6527" s="18">
        <v>41699.18</v>
      </c>
      <c r="G6527" s="18">
        <v>122312</v>
      </c>
      <c r="H6527" s="18">
        <f t="shared" si="153"/>
        <v>41553.18</v>
      </c>
      <c r="I6527" s="3"/>
    </row>
    <row r="6528" spans="1:9" s="4" customFormat="1" ht="20.25" customHeight="1" x14ac:dyDescent="0.55000000000000004">
      <c r="A6528" s="18">
        <v>24.736602399999999</v>
      </c>
      <c r="B6528" s="18">
        <v>34.779580299999999</v>
      </c>
      <c r="C6528" s="18">
        <v>679976.81</v>
      </c>
      <c r="D6528" s="18">
        <v>2736952.43</v>
      </c>
      <c r="E6528" s="18">
        <v>414.03</v>
      </c>
      <c r="F6528" s="18">
        <v>41748.14</v>
      </c>
      <c r="G6528" s="18">
        <v>122314</v>
      </c>
      <c r="H6528" s="18">
        <f t="shared" si="153"/>
        <v>41602.14</v>
      </c>
      <c r="I6528" s="3"/>
    </row>
    <row r="6529" spans="1:9" s="4" customFormat="1" ht="20.25" customHeight="1" x14ac:dyDescent="0.55000000000000004">
      <c r="A6529" s="18">
        <v>24.736619600000001</v>
      </c>
      <c r="B6529" s="18">
        <v>34.779576400000003</v>
      </c>
      <c r="C6529" s="18">
        <v>679976.39</v>
      </c>
      <c r="D6529" s="18">
        <v>2736954.34</v>
      </c>
      <c r="E6529" s="18">
        <v>414.17</v>
      </c>
      <c r="F6529" s="18">
        <v>41811.620000000003</v>
      </c>
      <c r="G6529" s="18">
        <v>122316</v>
      </c>
      <c r="H6529" s="18">
        <f t="shared" si="153"/>
        <v>41665.620000000003</v>
      </c>
      <c r="I6529" s="3"/>
    </row>
    <row r="6530" spans="1:9" s="4" customFormat="1" ht="20.25" customHeight="1" x14ac:dyDescent="0.55000000000000004">
      <c r="A6530" s="18">
        <v>24.736633999999999</v>
      </c>
      <c r="B6530" s="18">
        <v>34.779565699999999</v>
      </c>
      <c r="C6530" s="18">
        <v>679975.28</v>
      </c>
      <c r="D6530" s="18">
        <v>2736955.92</v>
      </c>
      <c r="E6530" s="18">
        <v>414.32</v>
      </c>
      <c r="F6530" s="18">
        <v>41808.959999999999</v>
      </c>
      <c r="G6530" s="18">
        <v>122318</v>
      </c>
      <c r="H6530" s="18">
        <f t="shared" si="153"/>
        <v>41662.959999999999</v>
      </c>
      <c r="I6530" s="3"/>
    </row>
    <row r="6531" spans="1:9" s="4" customFormat="1" ht="20.25" customHeight="1" x14ac:dyDescent="0.55000000000000004">
      <c r="A6531" s="18">
        <v>24.736645200000002</v>
      </c>
      <c r="B6531" s="18">
        <v>34.779555799999997</v>
      </c>
      <c r="C6531" s="18">
        <v>679974.26</v>
      </c>
      <c r="D6531" s="18">
        <v>2736957.15</v>
      </c>
      <c r="E6531" s="18">
        <v>414.69</v>
      </c>
      <c r="F6531" s="18">
        <v>41766.660000000003</v>
      </c>
      <c r="G6531" s="18">
        <v>122320</v>
      </c>
      <c r="H6531" s="18">
        <f t="shared" si="153"/>
        <v>41620.660000000003</v>
      </c>
      <c r="I6531" s="3"/>
    </row>
    <row r="6532" spans="1:9" s="4" customFormat="1" ht="20.25" customHeight="1" x14ac:dyDescent="0.55000000000000004">
      <c r="A6532" s="18">
        <v>24.736660000000001</v>
      </c>
      <c r="B6532" s="18">
        <v>34.779551099999999</v>
      </c>
      <c r="C6532" s="18">
        <v>679973.77</v>
      </c>
      <c r="D6532" s="18">
        <v>2736958.77</v>
      </c>
      <c r="E6532" s="18">
        <v>414.87</v>
      </c>
      <c r="F6532" s="18">
        <v>41736.78</v>
      </c>
      <c r="G6532" s="18">
        <v>122322</v>
      </c>
      <c r="H6532" s="18">
        <f t="shared" si="153"/>
        <v>41590.78</v>
      </c>
      <c r="I6532" s="3"/>
    </row>
    <row r="6533" spans="1:9" s="4" customFormat="1" ht="20.25" customHeight="1" x14ac:dyDescent="0.55000000000000004">
      <c r="A6533" s="18">
        <v>24.736673499999998</v>
      </c>
      <c r="B6533" s="18">
        <v>34.779538899999999</v>
      </c>
      <c r="C6533" s="18">
        <v>679972.52</v>
      </c>
      <c r="D6533" s="18">
        <v>2736960.25</v>
      </c>
      <c r="E6533" s="18">
        <v>415.07</v>
      </c>
      <c r="F6533" s="18">
        <v>41778.480000000003</v>
      </c>
      <c r="G6533" s="18">
        <v>122324</v>
      </c>
      <c r="H6533" s="18">
        <f t="shared" si="153"/>
        <v>41632.480000000003</v>
      </c>
      <c r="I6533" s="3"/>
    </row>
    <row r="6534" spans="1:9" s="4" customFormat="1" ht="20.25" customHeight="1" x14ac:dyDescent="0.55000000000000004">
      <c r="A6534" s="18">
        <v>24.736681300000001</v>
      </c>
      <c r="B6534" s="18">
        <v>34.779529400000001</v>
      </c>
      <c r="C6534" s="18">
        <v>679971.55</v>
      </c>
      <c r="D6534" s="18">
        <v>2736961.1</v>
      </c>
      <c r="E6534" s="18">
        <v>415.31</v>
      </c>
      <c r="F6534" s="18">
        <v>41779.449999999997</v>
      </c>
      <c r="G6534" s="18">
        <v>122326</v>
      </c>
      <c r="H6534" s="18">
        <f t="shared" si="153"/>
        <v>41633.449999999997</v>
      </c>
      <c r="I6534" s="3"/>
    </row>
    <row r="6535" spans="1:9" s="4" customFormat="1" ht="20.25" customHeight="1" x14ac:dyDescent="0.55000000000000004">
      <c r="A6535" s="18">
        <v>24.736693299999999</v>
      </c>
      <c r="B6535" s="18">
        <v>34.779516899999997</v>
      </c>
      <c r="C6535" s="18">
        <v>679970.27</v>
      </c>
      <c r="D6535" s="18">
        <v>2736962.42</v>
      </c>
      <c r="E6535" s="18">
        <v>415.53</v>
      </c>
      <c r="F6535" s="18">
        <v>41748</v>
      </c>
      <c r="G6535" s="18">
        <v>122328</v>
      </c>
      <c r="H6535" s="18">
        <f t="shared" si="153"/>
        <v>41602</v>
      </c>
      <c r="I6535" s="3"/>
    </row>
    <row r="6536" spans="1:9" s="4" customFormat="1" ht="20.25" customHeight="1" x14ac:dyDescent="0.55000000000000004">
      <c r="A6536" s="18">
        <v>24.736707800000001</v>
      </c>
      <c r="B6536" s="18">
        <v>34.779512500000003</v>
      </c>
      <c r="C6536" s="18">
        <v>679969.8</v>
      </c>
      <c r="D6536" s="18">
        <v>2736964.01</v>
      </c>
      <c r="E6536" s="18">
        <v>415.7</v>
      </c>
      <c r="F6536" s="18">
        <v>41748.26</v>
      </c>
      <c r="G6536" s="18">
        <v>122330</v>
      </c>
      <c r="H6536" s="18">
        <f t="shared" si="153"/>
        <v>41602.26</v>
      </c>
      <c r="I6536" s="3"/>
    </row>
    <row r="6537" spans="1:9" s="4" customFormat="1" ht="20.25" customHeight="1" x14ac:dyDescent="0.55000000000000004">
      <c r="A6537" s="18">
        <v>24.736723300000001</v>
      </c>
      <c r="B6537" s="18">
        <v>34.779502000000001</v>
      </c>
      <c r="C6537" s="18">
        <v>679968.71</v>
      </c>
      <c r="D6537" s="18">
        <v>2736965.72</v>
      </c>
      <c r="E6537" s="18">
        <v>415.79</v>
      </c>
      <c r="F6537" s="18">
        <v>41768.15</v>
      </c>
      <c r="G6537" s="18">
        <v>122332</v>
      </c>
      <c r="H6537" s="18">
        <f t="shared" si="153"/>
        <v>41622.15</v>
      </c>
      <c r="I6537" s="3"/>
    </row>
    <row r="6538" spans="1:9" s="4" customFormat="1" ht="20.25" customHeight="1" x14ac:dyDescent="0.55000000000000004">
      <c r="A6538" s="18">
        <v>24.736737300000001</v>
      </c>
      <c r="B6538" s="18">
        <v>34.779494300000003</v>
      </c>
      <c r="C6538" s="18">
        <v>679967.91</v>
      </c>
      <c r="D6538" s="18">
        <v>2736967.27</v>
      </c>
      <c r="E6538" s="18">
        <v>415.98</v>
      </c>
      <c r="F6538" s="18">
        <v>41823.21</v>
      </c>
      <c r="G6538" s="18">
        <v>122334</v>
      </c>
      <c r="H6538" s="18">
        <f t="shared" si="153"/>
        <v>41677.21</v>
      </c>
      <c r="I6538" s="3"/>
    </row>
    <row r="6539" spans="1:9" s="4" customFormat="1" ht="20.25" customHeight="1" x14ac:dyDescent="0.55000000000000004">
      <c r="A6539" s="18">
        <v>24.736756</v>
      </c>
      <c r="B6539" s="18">
        <v>34.779491</v>
      </c>
      <c r="C6539" s="18">
        <v>679967.55</v>
      </c>
      <c r="D6539" s="18">
        <v>2736969.33</v>
      </c>
      <c r="E6539" s="18">
        <v>416.24</v>
      </c>
      <c r="F6539" s="18">
        <v>41790.83</v>
      </c>
      <c r="G6539" s="18">
        <v>122336</v>
      </c>
      <c r="H6539" s="18">
        <f t="shared" si="153"/>
        <v>41644.83</v>
      </c>
      <c r="I6539" s="3"/>
    </row>
    <row r="6540" spans="1:9" s="4" customFormat="1" ht="20.25" customHeight="1" x14ac:dyDescent="0.55000000000000004">
      <c r="A6540" s="18">
        <v>24.7367752</v>
      </c>
      <c r="B6540" s="18">
        <v>34.7794873</v>
      </c>
      <c r="C6540" s="18">
        <v>679967.15</v>
      </c>
      <c r="D6540" s="18">
        <v>2736971.46</v>
      </c>
      <c r="E6540" s="18">
        <v>416.26</v>
      </c>
      <c r="F6540" s="18">
        <v>41709.17</v>
      </c>
      <c r="G6540" s="18">
        <v>122338</v>
      </c>
      <c r="H6540" s="18">
        <f t="shared" si="153"/>
        <v>41563.17</v>
      </c>
      <c r="I6540" s="3"/>
    </row>
    <row r="6541" spans="1:9" s="4" customFormat="1" ht="20.25" customHeight="1" x14ac:dyDescent="0.55000000000000004">
      <c r="A6541" s="18">
        <v>24.736789900000002</v>
      </c>
      <c r="B6541" s="18">
        <v>34.779477900000003</v>
      </c>
      <c r="C6541" s="18">
        <v>679966.18</v>
      </c>
      <c r="D6541" s="18">
        <v>2736973.06</v>
      </c>
      <c r="E6541" s="18">
        <v>416.41</v>
      </c>
      <c r="F6541" s="18">
        <v>41679.85</v>
      </c>
      <c r="G6541" s="18">
        <v>122340</v>
      </c>
      <c r="H6541" s="18">
        <f t="shared" si="153"/>
        <v>41533.85</v>
      </c>
      <c r="I6541" s="3"/>
    </row>
    <row r="6542" spans="1:9" s="4" customFormat="1" ht="20.25" customHeight="1" x14ac:dyDescent="0.55000000000000004">
      <c r="A6542" s="18">
        <v>24.736808499999999</v>
      </c>
      <c r="B6542" s="18">
        <v>34.779476699999996</v>
      </c>
      <c r="C6542" s="18">
        <v>679966.03</v>
      </c>
      <c r="D6542" s="18">
        <v>2736975.12</v>
      </c>
      <c r="E6542" s="18">
        <v>416.46</v>
      </c>
      <c r="F6542" s="18">
        <v>41657.93</v>
      </c>
      <c r="G6542" s="18">
        <v>122342</v>
      </c>
      <c r="H6542" s="18">
        <f t="shared" si="153"/>
        <v>41511.93</v>
      </c>
      <c r="I6542" s="3"/>
    </row>
    <row r="6543" spans="1:9" s="4" customFormat="1" ht="20.25" customHeight="1" x14ac:dyDescent="0.55000000000000004">
      <c r="A6543" s="18">
        <v>24.736825100000001</v>
      </c>
      <c r="B6543" s="18">
        <v>34.779471899999997</v>
      </c>
      <c r="C6543" s="18">
        <v>679965.52</v>
      </c>
      <c r="D6543" s="18">
        <v>2736976.96</v>
      </c>
      <c r="E6543" s="18">
        <v>416.66</v>
      </c>
      <c r="F6543" s="18">
        <v>41665.089999999997</v>
      </c>
      <c r="G6543" s="18">
        <v>122344</v>
      </c>
      <c r="H6543" s="18">
        <f t="shared" si="153"/>
        <v>41519.089999999997</v>
      </c>
      <c r="I6543" s="3"/>
    </row>
    <row r="6544" spans="1:9" s="4" customFormat="1" ht="20.25" customHeight="1" x14ac:dyDescent="0.55000000000000004">
      <c r="A6544" s="18">
        <v>24.7368402</v>
      </c>
      <c r="B6544" s="18">
        <v>34.779464400000002</v>
      </c>
      <c r="C6544" s="18">
        <v>679964.74</v>
      </c>
      <c r="D6544" s="18">
        <v>2736978.62</v>
      </c>
      <c r="E6544" s="18">
        <v>416.91</v>
      </c>
      <c r="F6544" s="18">
        <v>41730.720000000001</v>
      </c>
      <c r="G6544" s="18">
        <v>122346</v>
      </c>
      <c r="H6544" s="18">
        <f t="shared" si="153"/>
        <v>41584.720000000001</v>
      </c>
      <c r="I6544" s="3"/>
    </row>
    <row r="6545" spans="1:9" s="4" customFormat="1" ht="20.25" customHeight="1" x14ac:dyDescent="0.55000000000000004">
      <c r="A6545" s="18">
        <v>24.736849200000002</v>
      </c>
      <c r="B6545" s="18">
        <v>34.779454399999999</v>
      </c>
      <c r="C6545" s="18">
        <v>679963.72</v>
      </c>
      <c r="D6545" s="18">
        <v>2736979.6</v>
      </c>
      <c r="E6545" s="18">
        <v>417.23</v>
      </c>
      <c r="F6545" s="18">
        <v>41812.089999999997</v>
      </c>
      <c r="G6545" s="18">
        <v>122348</v>
      </c>
      <c r="H6545" s="18">
        <f t="shared" si="153"/>
        <v>41666.089999999997</v>
      </c>
      <c r="I6545" s="3"/>
    </row>
    <row r="6546" spans="1:9" s="4" customFormat="1" ht="20.25" customHeight="1" x14ac:dyDescent="0.55000000000000004">
      <c r="A6546" s="18">
        <v>24.736858300000002</v>
      </c>
      <c r="B6546" s="18">
        <v>34.779441900000002</v>
      </c>
      <c r="C6546" s="18">
        <v>679962.44</v>
      </c>
      <c r="D6546" s="18">
        <v>2736980.6</v>
      </c>
      <c r="E6546" s="18">
        <v>417.57</v>
      </c>
      <c r="F6546" s="18">
        <v>41783.300000000003</v>
      </c>
      <c r="G6546" s="18">
        <v>122350</v>
      </c>
      <c r="H6546" s="18">
        <f t="shared" si="153"/>
        <v>41637.300000000003</v>
      </c>
      <c r="I6546" s="3"/>
    </row>
    <row r="6547" spans="1:9" s="4" customFormat="1" ht="20.25" customHeight="1" x14ac:dyDescent="0.55000000000000004">
      <c r="A6547" s="18">
        <v>24.736865099999999</v>
      </c>
      <c r="B6547" s="18">
        <v>34.779426800000003</v>
      </c>
      <c r="C6547" s="18">
        <v>679960.91</v>
      </c>
      <c r="D6547" s="18">
        <v>2736981.33</v>
      </c>
      <c r="E6547" s="18">
        <v>417.87</v>
      </c>
      <c r="F6547" s="18">
        <v>41781.56</v>
      </c>
      <c r="G6547" s="18">
        <v>122352</v>
      </c>
      <c r="H6547" s="18">
        <f t="shared" si="153"/>
        <v>41635.56</v>
      </c>
      <c r="I6547" s="3"/>
    </row>
    <row r="6548" spans="1:9" s="4" customFormat="1" ht="20.25" customHeight="1" x14ac:dyDescent="0.55000000000000004">
      <c r="A6548" s="18">
        <v>24.736870199999998</v>
      </c>
      <c r="B6548" s="18">
        <v>34.779410200000001</v>
      </c>
      <c r="C6548" s="18">
        <v>679959.22</v>
      </c>
      <c r="D6548" s="18">
        <v>2736981.88</v>
      </c>
      <c r="E6548" s="18">
        <v>418.25</v>
      </c>
      <c r="F6548" s="18">
        <v>41837.14</v>
      </c>
      <c r="G6548" s="18">
        <v>122354</v>
      </c>
      <c r="H6548" s="18">
        <f t="shared" si="153"/>
        <v>41691.14</v>
      </c>
      <c r="I6548" s="3"/>
    </row>
    <row r="6549" spans="1:9" s="4" customFormat="1" ht="20.25" customHeight="1" x14ac:dyDescent="0.55000000000000004">
      <c r="A6549" s="18">
        <v>24.736875000000001</v>
      </c>
      <c r="B6549" s="18">
        <v>34.779396200000001</v>
      </c>
      <c r="C6549" s="18">
        <v>679957.79</v>
      </c>
      <c r="D6549" s="18">
        <v>2736982.39</v>
      </c>
      <c r="E6549" s="18">
        <v>418.19</v>
      </c>
      <c r="F6549" s="18">
        <v>41901.64</v>
      </c>
      <c r="G6549" s="18">
        <v>122356</v>
      </c>
      <c r="H6549" s="18">
        <f t="shared" si="153"/>
        <v>41755.64</v>
      </c>
      <c r="I6549" s="3"/>
    </row>
    <row r="6550" spans="1:9" s="4" customFormat="1" ht="20.25" customHeight="1" x14ac:dyDescent="0.55000000000000004">
      <c r="A6550" s="18">
        <v>24.7368767</v>
      </c>
      <c r="B6550" s="18">
        <v>34.779379800000001</v>
      </c>
      <c r="C6550" s="18">
        <v>679956.13</v>
      </c>
      <c r="D6550" s="18">
        <v>2736982.56</v>
      </c>
      <c r="E6550" s="18">
        <v>418.53</v>
      </c>
      <c r="F6550" s="18">
        <v>41873.86</v>
      </c>
      <c r="G6550" s="18">
        <v>122358</v>
      </c>
      <c r="H6550" s="18">
        <f t="shared" si="153"/>
        <v>41727.86</v>
      </c>
      <c r="I6550" s="3"/>
    </row>
    <row r="6551" spans="1:9" s="4" customFormat="1" ht="20.25" customHeight="1" x14ac:dyDescent="0.55000000000000004">
      <c r="A6551" s="18">
        <v>24.7368822</v>
      </c>
      <c r="B6551" s="18">
        <v>34.779361700000003</v>
      </c>
      <c r="C6551" s="18">
        <v>679954.3</v>
      </c>
      <c r="D6551" s="18">
        <v>2736983.14</v>
      </c>
      <c r="E6551" s="18">
        <v>418.98</v>
      </c>
      <c r="F6551" s="18">
        <v>41914.32</v>
      </c>
      <c r="G6551" s="18">
        <v>122400</v>
      </c>
      <c r="H6551" s="18">
        <f t="shared" si="153"/>
        <v>41768.32</v>
      </c>
      <c r="I6551" s="3"/>
    </row>
    <row r="6552" spans="1:9" s="4" customFormat="1" ht="20.25" customHeight="1" x14ac:dyDescent="0.55000000000000004">
      <c r="A6552" s="18">
        <v>24.7368883</v>
      </c>
      <c r="B6552" s="18">
        <v>34.779350000000001</v>
      </c>
      <c r="C6552" s="18">
        <v>679953.1</v>
      </c>
      <c r="D6552" s="18">
        <v>2736983.8</v>
      </c>
      <c r="E6552" s="18">
        <v>419.33</v>
      </c>
      <c r="F6552" s="18">
        <v>41882.080000000002</v>
      </c>
      <c r="G6552" s="18">
        <v>122402</v>
      </c>
      <c r="H6552" s="18">
        <f t="shared" si="153"/>
        <v>41736.080000000002</v>
      </c>
      <c r="I6552" s="3"/>
    </row>
    <row r="6553" spans="1:9" s="4" customFormat="1" ht="20.25" customHeight="1" x14ac:dyDescent="0.55000000000000004">
      <c r="A6553" s="18">
        <v>24.736902700000002</v>
      </c>
      <c r="B6553" s="18">
        <v>34.779341299999999</v>
      </c>
      <c r="C6553" s="18">
        <v>679952.2</v>
      </c>
      <c r="D6553" s="18">
        <v>2736985.38</v>
      </c>
      <c r="E6553" s="18">
        <v>419.86</v>
      </c>
      <c r="F6553" s="18">
        <v>41828.18</v>
      </c>
      <c r="G6553" s="18">
        <v>122404</v>
      </c>
      <c r="H6553" s="18">
        <f t="shared" si="153"/>
        <v>41682.18</v>
      </c>
      <c r="I6553" s="3"/>
    </row>
    <row r="6554" spans="1:9" s="4" customFormat="1" ht="20.25" customHeight="1" x14ac:dyDescent="0.55000000000000004">
      <c r="A6554" s="18">
        <v>24.736910900000002</v>
      </c>
      <c r="B6554" s="18">
        <v>34.779325900000003</v>
      </c>
      <c r="C6554" s="18">
        <v>679950.63</v>
      </c>
      <c r="D6554" s="18">
        <v>2736986.27</v>
      </c>
      <c r="E6554" s="18">
        <v>420.18</v>
      </c>
      <c r="F6554" s="18">
        <v>41830.199999999997</v>
      </c>
      <c r="G6554" s="18">
        <v>122406</v>
      </c>
      <c r="H6554" s="18">
        <f t="shared" si="153"/>
        <v>41684.199999999997</v>
      </c>
      <c r="I6554" s="3"/>
    </row>
    <row r="6555" spans="1:9" s="4" customFormat="1" ht="20.25" customHeight="1" x14ac:dyDescent="0.55000000000000004">
      <c r="A6555" s="18">
        <v>24.736920600000001</v>
      </c>
      <c r="B6555" s="18">
        <v>34.779308999999998</v>
      </c>
      <c r="C6555" s="18">
        <v>679948.91</v>
      </c>
      <c r="D6555" s="18">
        <v>2736987.33</v>
      </c>
      <c r="E6555" s="18">
        <v>420.49</v>
      </c>
      <c r="F6555" s="18">
        <v>41804.75</v>
      </c>
      <c r="G6555" s="18">
        <v>122408</v>
      </c>
      <c r="H6555" s="18">
        <f t="shared" si="153"/>
        <v>41658.75</v>
      </c>
      <c r="I6555" s="3"/>
    </row>
    <row r="6556" spans="1:9" s="4" customFormat="1" ht="20.25" customHeight="1" x14ac:dyDescent="0.55000000000000004">
      <c r="A6556" s="18">
        <v>24.7369317</v>
      </c>
      <c r="B6556" s="18">
        <v>34.779298900000001</v>
      </c>
      <c r="C6556" s="18">
        <v>679947.87</v>
      </c>
      <c r="D6556" s="18">
        <v>2736988.54</v>
      </c>
      <c r="E6556" s="18">
        <v>420.76</v>
      </c>
      <c r="F6556" s="18">
        <v>41761.39</v>
      </c>
      <c r="G6556" s="18">
        <v>122410</v>
      </c>
      <c r="H6556" s="18">
        <f t="shared" si="153"/>
        <v>41615.39</v>
      </c>
      <c r="I6556" s="3"/>
    </row>
    <row r="6557" spans="1:9" s="4" customFormat="1" ht="20.25" customHeight="1" x14ac:dyDescent="0.55000000000000004">
      <c r="A6557" s="18">
        <v>24.7369418</v>
      </c>
      <c r="B6557" s="18">
        <v>34.779285299999998</v>
      </c>
      <c r="C6557" s="18">
        <v>679946.48</v>
      </c>
      <c r="D6557" s="18">
        <v>2736989.64</v>
      </c>
      <c r="E6557" s="18">
        <v>420.95</v>
      </c>
      <c r="F6557" s="18">
        <v>41753.4</v>
      </c>
      <c r="G6557" s="18">
        <v>122412</v>
      </c>
      <c r="H6557" s="18">
        <f t="shared" si="153"/>
        <v>41607.4</v>
      </c>
      <c r="I6557" s="3"/>
    </row>
    <row r="6558" spans="1:9" s="4" customFormat="1" ht="20.25" customHeight="1" x14ac:dyDescent="0.55000000000000004">
      <c r="A6558" s="18">
        <v>24.736949800000001</v>
      </c>
      <c r="B6558" s="18">
        <v>34.7792709</v>
      </c>
      <c r="C6558" s="18">
        <v>679945.01</v>
      </c>
      <c r="D6558" s="18">
        <v>2736990.5</v>
      </c>
      <c r="E6558" s="18">
        <v>421.03</v>
      </c>
      <c r="F6558" s="18">
        <v>41749.5</v>
      </c>
      <c r="G6558" s="18">
        <v>122414</v>
      </c>
      <c r="H6558" s="18">
        <f t="shared" si="153"/>
        <v>41603.5</v>
      </c>
      <c r="I6558" s="3"/>
    </row>
    <row r="6559" spans="1:9" s="4" customFormat="1" ht="20.25" customHeight="1" x14ac:dyDescent="0.55000000000000004">
      <c r="A6559" s="18">
        <v>24.7369649</v>
      </c>
      <c r="B6559" s="18">
        <v>34.779262199999998</v>
      </c>
      <c r="C6559" s="18">
        <v>679944.11</v>
      </c>
      <c r="D6559" s="18">
        <v>2736992.16</v>
      </c>
      <c r="E6559" s="18">
        <v>421.17</v>
      </c>
      <c r="F6559" s="18">
        <v>41714.300000000003</v>
      </c>
      <c r="G6559" s="18">
        <v>122416</v>
      </c>
      <c r="H6559" s="18">
        <f t="shared" si="153"/>
        <v>41568.300000000003</v>
      </c>
      <c r="I6559" s="3"/>
    </row>
    <row r="6560" spans="1:9" s="4" customFormat="1" ht="20.25" customHeight="1" x14ac:dyDescent="0.55000000000000004">
      <c r="A6560" s="18">
        <v>24.736981799999999</v>
      </c>
      <c r="B6560" s="18">
        <v>34.779256199999999</v>
      </c>
      <c r="C6560" s="18">
        <v>679943.48</v>
      </c>
      <c r="D6560" s="18">
        <v>2736994.03</v>
      </c>
      <c r="E6560" s="18">
        <v>421.37</v>
      </c>
      <c r="F6560" s="18">
        <v>41659.480000000003</v>
      </c>
      <c r="G6560" s="18">
        <v>122418</v>
      </c>
      <c r="H6560" s="18">
        <f t="shared" si="153"/>
        <v>41513.480000000003</v>
      </c>
      <c r="I6560" s="3"/>
    </row>
    <row r="6561" spans="1:9" s="4" customFormat="1" ht="20.25" customHeight="1" x14ac:dyDescent="0.55000000000000004">
      <c r="A6561" s="18">
        <v>24.737000399999999</v>
      </c>
      <c r="B6561" s="18">
        <v>34.7792526</v>
      </c>
      <c r="C6561" s="18">
        <v>679943.09</v>
      </c>
      <c r="D6561" s="18">
        <v>2736996.08</v>
      </c>
      <c r="E6561" s="18">
        <v>421.46</v>
      </c>
      <c r="F6561" s="18">
        <v>41724.51</v>
      </c>
      <c r="G6561" s="18">
        <v>122420</v>
      </c>
      <c r="H6561" s="18">
        <f t="shared" si="153"/>
        <v>41578.51</v>
      </c>
      <c r="I6561" s="3"/>
    </row>
    <row r="6562" spans="1:9" s="4" customFormat="1" ht="20.25" customHeight="1" x14ac:dyDescent="0.55000000000000004">
      <c r="A6562" s="18">
        <v>24.737017000000002</v>
      </c>
      <c r="B6562" s="18">
        <v>34.779250699999999</v>
      </c>
      <c r="C6562" s="18">
        <v>679942.87</v>
      </c>
      <c r="D6562" s="18">
        <v>2736997.93</v>
      </c>
      <c r="E6562" s="18">
        <v>421.77</v>
      </c>
      <c r="F6562" s="18">
        <v>41762.949999999997</v>
      </c>
      <c r="G6562" s="18">
        <v>122422</v>
      </c>
      <c r="H6562" s="18">
        <f t="shared" si="153"/>
        <v>41616.949999999997</v>
      </c>
      <c r="I6562" s="3"/>
    </row>
    <row r="6563" spans="1:9" s="4" customFormat="1" ht="20.25" customHeight="1" x14ac:dyDescent="0.55000000000000004">
      <c r="A6563" s="18">
        <v>24.737029499999998</v>
      </c>
      <c r="B6563" s="18">
        <v>34.779239400000002</v>
      </c>
      <c r="C6563" s="18">
        <v>679941.71</v>
      </c>
      <c r="D6563" s="18">
        <v>2736999.29</v>
      </c>
      <c r="E6563" s="18">
        <v>421.91</v>
      </c>
      <c r="F6563" s="18">
        <v>41784.949999999997</v>
      </c>
      <c r="G6563" s="18">
        <v>122424</v>
      </c>
      <c r="H6563" s="18">
        <f t="shared" si="153"/>
        <v>41638.949999999997</v>
      </c>
      <c r="I6563" s="3"/>
    </row>
    <row r="6564" spans="1:9" s="4" customFormat="1" ht="20.25" customHeight="1" x14ac:dyDescent="0.55000000000000004">
      <c r="A6564" s="18">
        <v>24.737038200000001</v>
      </c>
      <c r="B6564" s="18">
        <v>34.779224300000003</v>
      </c>
      <c r="C6564" s="18">
        <v>679940.17</v>
      </c>
      <c r="D6564" s="18">
        <v>2737000.24</v>
      </c>
      <c r="E6564" s="18">
        <v>422.18</v>
      </c>
      <c r="F6564" s="18">
        <v>41773.870000000003</v>
      </c>
      <c r="G6564" s="18">
        <v>122426</v>
      </c>
      <c r="H6564" s="18">
        <f t="shared" si="153"/>
        <v>41627.870000000003</v>
      </c>
      <c r="I6564" s="3"/>
    </row>
    <row r="6565" spans="1:9" s="4" customFormat="1" ht="20.25" customHeight="1" x14ac:dyDescent="0.55000000000000004">
      <c r="A6565" s="18">
        <v>24.737052899999998</v>
      </c>
      <c r="B6565" s="18">
        <v>34.779209999999999</v>
      </c>
      <c r="C6565" s="18">
        <v>679938.7</v>
      </c>
      <c r="D6565" s="18">
        <v>2737001.85</v>
      </c>
      <c r="E6565" s="18">
        <v>422.55</v>
      </c>
      <c r="F6565" s="18">
        <v>41757.440000000002</v>
      </c>
      <c r="G6565" s="18">
        <v>122428</v>
      </c>
      <c r="H6565" s="18">
        <f t="shared" ref="H6565:H6628" si="154">SUM(F6565-146)</f>
        <v>41611.440000000002</v>
      </c>
      <c r="I6565" s="3"/>
    </row>
    <row r="6566" spans="1:9" s="4" customFormat="1" ht="20.25" customHeight="1" x14ac:dyDescent="0.55000000000000004">
      <c r="A6566" s="18">
        <v>24.737061199999999</v>
      </c>
      <c r="B6566" s="18">
        <v>34.779197400000001</v>
      </c>
      <c r="C6566" s="18">
        <v>679937.42</v>
      </c>
      <c r="D6566" s="18">
        <v>2737002.74</v>
      </c>
      <c r="E6566" s="18">
        <v>422.99</v>
      </c>
      <c r="F6566" s="18">
        <v>41822.44</v>
      </c>
      <c r="G6566" s="18">
        <v>122430</v>
      </c>
      <c r="H6566" s="18">
        <f t="shared" si="154"/>
        <v>41676.44</v>
      </c>
      <c r="I6566" s="3"/>
    </row>
    <row r="6567" spans="1:9" s="4" customFormat="1" ht="20.25" customHeight="1" x14ac:dyDescent="0.55000000000000004">
      <c r="A6567" s="18">
        <v>24.737070800000001</v>
      </c>
      <c r="B6567" s="18">
        <v>34.779186099999997</v>
      </c>
      <c r="C6567" s="18">
        <v>679936.26</v>
      </c>
      <c r="D6567" s="18">
        <v>2737003.79</v>
      </c>
      <c r="E6567" s="18">
        <v>423.04</v>
      </c>
      <c r="F6567" s="18">
        <v>41830.620000000003</v>
      </c>
      <c r="G6567" s="18">
        <v>122432</v>
      </c>
      <c r="H6567" s="18">
        <f t="shared" si="154"/>
        <v>41684.620000000003</v>
      </c>
      <c r="I6567" s="3"/>
    </row>
    <row r="6568" spans="1:9" s="4" customFormat="1" ht="20.25" customHeight="1" x14ac:dyDescent="0.55000000000000004">
      <c r="A6568" s="18">
        <v>24.737069999999999</v>
      </c>
      <c r="B6568" s="18">
        <v>34.779190100000001</v>
      </c>
      <c r="C6568" s="18">
        <v>679936.66</v>
      </c>
      <c r="D6568" s="18">
        <v>2737003.71</v>
      </c>
      <c r="E6568" s="18">
        <v>423.23</v>
      </c>
      <c r="F6568" s="18">
        <v>41820.67</v>
      </c>
      <c r="G6568" s="18">
        <v>122434</v>
      </c>
      <c r="H6568" s="18">
        <f t="shared" si="154"/>
        <v>41674.67</v>
      </c>
      <c r="I6568" s="3"/>
    </row>
    <row r="6569" spans="1:9" s="4" customFormat="1" ht="20.25" customHeight="1" x14ac:dyDescent="0.55000000000000004">
      <c r="A6569" s="18">
        <v>24.737071100000001</v>
      </c>
      <c r="B6569" s="18">
        <v>34.779189100000004</v>
      </c>
      <c r="C6569" s="18">
        <v>679936.57</v>
      </c>
      <c r="D6569" s="18">
        <v>2737003.84</v>
      </c>
      <c r="E6569" s="18">
        <v>423.25</v>
      </c>
      <c r="F6569" s="18">
        <v>41814.74</v>
      </c>
      <c r="G6569" s="18">
        <v>122436</v>
      </c>
      <c r="H6569" s="18">
        <f t="shared" si="154"/>
        <v>41668.74</v>
      </c>
      <c r="I6569" s="3"/>
    </row>
    <row r="6570" spans="1:9" s="4" customFormat="1" ht="20.25" customHeight="1" x14ac:dyDescent="0.55000000000000004">
      <c r="A6570" s="18">
        <v>24.737071400000001</v>
      </c>
      <c r="B6570" s="18">
        <v>34.779189700000003</v>
      </c>
      <c r="C6570" s="18">
        <v>679936.63</v>
      </c>
      <c r="D6570" s="18">
        <v>2737003.87</v>
      </c>
      <c r="E6570" s="18">
        <v>423.22</v>
      </c>
      <c r="F6570" s="18">
        <v>41810.65</v>
      </c>
      <c r="G6570" s="18">
        <v>122438</v>
      </c>
      <c r="H6570" s="18">
        <f t="shared" si="154"/>
        <v>41664.65</v>
      </c>
      <c r="I6570" s="3"/>
    </row>
    <row r="6571" spans="1:9" s="4" customFormat="1" ht="20.25" customHeight="1" x14ac:dyDescent="0.55000000000000004">
      <c r="A6571" s="18">
        <v>24.737071400000001</v>
      </c>
      <c r="B6571" s="18">
        <v>34.77919</v>
      </c>
      <c r="C6571" s="18">
        <v>679936.65</v>
      </c>
      <c r="D6571" s="18">
        <v>2737003.87</v>
      </c>
      <c r="E6571" s="18">
        <v>423.14</v>
      </c>
      <c r="F6571" s="18">
        <v>41814.300000000003</v>
      </c>
      <c r="G6571" s="18">
        <v>122440</v>
      </c>
      <c r="H6571" s="18">
        <f t="shared" si="154"/>
        <v>41668.300000000003</v>
      </c>
      <c r="I6571" s="3"/>
    </row>
    <row r="6572" spans="1:9" s="4" customFormat="1" ht="20.25" customHeight="1" x14ac:dyDescent="0.55000000000000004">
      <c r="A6572" s="18">
        <v>24.7370716</v>
      </c>
      <c r="B6572" s="18">
        <v>34.779188699999999</v>
      </c>
      <c r="C6572" s="18">
        <v>679936.52</v>
      </c>
      <c r="D6572" s="18">
        <v>2737003.88</v>
      </c>
      <c r="E6572" s="18">
        <v>423.02</v>
      </c>
      <c r="F6572" s="18">
        <v>41815.089999999997</v>
      </c>
      <c r="G6572" s="18">
        <v>122442</v>
      </c>
      <c r="H6572" s="18">
        <f t="shared" si="154"/>
        <v>41669.089999999997</v>
      </c>
      <c r="I6572" s="3"/>
    </row>
    <row r="6573" spans="1:9" s="4" customFormat="1" ht="20.25" customHeight="1" x14ac:dyDescent="0.55000000000000004">
      <c r="A6573" s="18">
        <v>24.737069000000002</v>
      </c>
      <c r="B6573" s="18">
        <v>34.779177300000001</v>
      </c>
      <c r="C6573" s="18">
        <v>679935.37</v>
      </c>
      <c r="D6573" s="18">
        <v>2737003.59</v>
      </c>
      <c r="E6573" s="18">
        <v>423.11</v>
      </c>
      <c r="F6573" s="18">
        <v>41812.980000000003</v>
      </c>
      <c r="G6573" s="18">
        <v>122444</v>
      </c>
      <c r="H6573" s="18">
        <f t="shared" si="154"/>
        <v>41666.980000000003</v>
      </c>
      <c r="I6573" s="3"/>
    </row>
    <row r="6574" spans="1:9" s="4" customFormat="1" ht="20.25" customHeight="1" x14ac:dyDescent="0.55000000000000004">
      <c r="A6574" s="18">
        <v>24.737059800000001</v>
      </c>
      <c r="B6574" s="18">
        <v>34.779165999999996</v>
      </c>
      <c r="C6574" s="18">
        <v>679934.24</v>
      </c>
      <c r="D6574" s="18">
        <v>2737002.55</v>
      </c>
      <c r="E6574" s="18">
        <v>423.28</v>
      </c>
      <c r="F6574" s="18">
        <v>41822.54</v>
      </c>
      <c r="G6574" s="18">
        <v>122446</v>
      </c>
      <c r="H6574" s="18">
        <f t="shared" si="154"/>
        <v>41676.54</v>
      </c>
      <c r="I6574" s="3"/>
    </row>
    <row r="6575" spans="1:9" s="4" customFormat="1" ht="20.25" customHeight="1" x14ac:dyDescent="0.55000000000000004">
      <c r="A6575" s="18">
        <v>24.737048000000001</v>
      </c>
      <c r="B6575" s="18">
        <v>34.779156399999998</v>
      </c>
      <c r="C6575" s="18">
        <v>679933.28</v>
      </c>
      <c r="D6575" s="18">
        <v>2737001.23</v>
      </c>
      <c r="E6575" s="18">
        <v>423.2</v>
      </c>
      <c r="F6575" s="18">
        <v>41823.19</v>
      </c>
      <c r="G6575" s="18">
        <v>122448</v>
      </c>
      <c r="H6575" s="18">
        <f t="shared" si="154"/>
        <v>41677.19</v>
      </c>
      <c r="I6575" s="3"/>
    </row>
    <row r="6576" spans="1:9" s="4" customFormat="1" ht="20.25" customHeight="1" x14ac:dyDescent="0.55000000000000004">
      <c r="A6576" s="18">
        <v>24.737037600000001</v>
      </c>
      <c r="B6576" s="18">
        <v>34.779143300000001</v>
      </c>
      <c r="C6576" s="18">
        <v>679931.98</v>
      </c>
      <c r="D6576" s="18">
        <v>2737000.06</v>
      </c>
      <c r="E6576" s="18">
        <v>423.09</v>
      </c>
      <c r="F6576" s="18">
        <v>41837.480000000003</v>
      </c>
      <c r="G6576" s="18">
        <v>122450</v>
      </c>
      <c r="H6576" s="18">
        <f t="shared" si="154"/>
        <v>41691.480000000003</v>
      </c>
      <c r="I6576" s="3"/>
    </row>
    <row r="6577" spans="1:9" s="4" customFormat="1" ht="20.25" customHeight="1" x14ac:dyDescent="0.55000000000000004">
      <c r="A6577" s="18">
        <v>24.7370324</v>
      </c>
      <c r="B6577" s="18">
        <v>34.7791268</v>
      </c>
      <c r="C6577" s="18">
        <v>679930.31</v>
      </c>
      <c r="D6577" s="18">
        <v>2736999.47</v>
      </c>
      <c r="E6577" s="18">
        <v>423.02</v>
      </c>
      <c r="F6577" s="18">
        <v>41795.550000000003</v>
      </c>
      <c r="G6577" s="18">
        <v>122452</v>
      </c>
      <c r="H6577" s="18">
        <f t="shared" si="154"/>
        <v>41649.550000000003</v>
      </c>
      <c r="I6577" s="3"/>
    </row>
    <row r="6578" spans="1:9" s="4" customFormat="1" ht="20.25" customHeight="1" x14ac:dyDescent="0.55000000000000004">
      <c r="A6578" s="18">
        <v>24.737023600000001</v>
      </c>
      <c r="B6578" s="18">
        <v>34.779105899999998</v>
      </c>
      <c r="C6578" s="18">
        <v>679928.22</v>
      </c>
      <c r="D6578" s="18">
        <v>2736998.46</v>
      </c>
      <c r="E6578" s="18">
        <v>422.99</v>
      </c>
      <c r="F6578" s="18">
        <v>41776.82</v>
      </c>
      <c r="G6578" s="18">
        <v>122454</v>
      </c>
      <c r="H6578" s="18">
        <f t="shared" si="154"/>
        <v>41630.82</v>
      </c>
      <c r="I6578" s="3"/>
    </row>
    <row r="6579" spans="1:9" s="4" customFormat="1" ht="20.25" customHeight="1" x14ac:dyDescent="0.55000000000000004">
      <c r="A6579" s="18">
        <v>24.7370184</v>
      </c>
      <c r="B6579" s="18">
        <v>34.779082099999997</v>
      </c>
      <c r="C6579" s="18">
        <v>679925.82</v>
      </c>
      <c r="D6579" s="18">
        <v>2736997.85</v>
      </c>
      <c r="E6579" s="18">
        <v>423.03</v>
      </c>
      <c r="F6579" s="18">
        <v>41834.35</v>
      </c>
      <c r="G6579" s="18">
        <v>122456</v>
      </c>
      <c r="H6579" s="18">
        <f t="shared" si="154"/>
        <v>41688.35</v>
      </c>
      <c r="I6579" s="3"/>
    </row>
    <row r="6580" spans="1:9" s="4" customFormat="1" ht="20.25" customHeight="1" x14ac:dyDescent="0.55000000000000004">
      <c r="A6580" s="18">
        <v>24.737015199999998</v>
      </c>
      <c r="B6580" s="18">
        <v>34.779060100000002</v>
      </c>
      <c r="C6580" s="18">
        <v>679923.6</v>
      </c>
      <c r="D6580" s="18">
        <v>2736997.48</v>
      </c>
      <c r="E6580" s="18">
        <v>423.02</v>
      </c>
      <c r="F6580" s="18">
        <v>41804.29</v>
      </c>
      <c r="G6580" s="18">
        <v>122458</v>
      </c>
      <c r="H6580" s="18">
        <f t="shared" si="154"/>
        <v>41658.29</v>
      </c>
      <c r="I6580" s="3"/>
    </row>
    <row r="6581" spans="1:9" s="4" customFormat="1" ht="20.25" customHeight="1" x14ac:dyDescent="0.55000000000000004">
      <c r="A6581" s="18">
        <v>24.737013399999999</v>
      </c>
      <c r="B6581" s="18">
        <v>34.779036900000001</v>
      </c>
      <c r="C6581" s="18">
        <v>679921.25</v>
      </c>
      <c r="D6581" s="18">
        <v>2736997.24</v>
      </c>
      <c r="E6581" s="18">
        <v>422.96</v>
      </c>
      <c r="F6581" s="18">
        <v>41701.75</v>
      </c>
      <c r="G6581" s="18">
        <v>122500</v>
      </c>
      <c r="H6581" s="18">
        <f t="shared" si="154"/>
        <v>41555.75</v>
      </c>
      <c r="I6581" s="3"/>
    </row>
    <row r="6582" spans="1:9" s="4" customFormat="1" ht="20.25" customHeight="1" x14ac:dyDescent="0.55000000000000004">
      <c r="A6582" s="18">
        <v>24.737010300000001</v>
      </c>
      <c r="B6582" s="18">
        <v>34.779019900000002</v>
      </c>
      <c r="C6582" s="18">
        <v>679919.54</v>
      </c>
      <c r="D6582" s="18">
        <v>2736996.87</v>
      </c>
      <c r="E6582" s="18">
        <v>423.11</v>
      </c>
      <c r="F6582" s="18">
        <v>41759.97</v>
      </c>
      <c r="G6582" s="18">
        <v>122502</v>
      </c>
      <c r="H6582" s="18">
        <f t="shared" si="154"/>
        <v>41613.97</v>
      </c>
      <c r="I6582" s="3"/>
    </row>
    <row r="6583" spans="1:9" s="4" customFormat="1" ht="20.25" customHeight="1" x14ac:dyDescent="0.55000000000000004">
      <c r="A6583" s="18">
        <v>24.737003300000001</v>
      </c>
      <c r="B6583" s="18">
        <v>34.779004999999998</v>
      </c>
      <c r="C6583" s="18">
        <v>679918.04</v>
      </c>
      <c r="D6583" s="18">
        <v>2736996.08</v>
      </c>
      <c r="E6583" s="18">
        <v>423.35</v>
      </c>
      <c r="F6583" s="18">
        <v>41806.01</v>
      </c>
      <c r="G6583" s="18">
        <v>122504</v>
      </c>
      <c r="H6583" s="18">
        <f t="shared" si="154"/>
        <v>41660.01</v>
      </c>
      <c r="I6583" s="3"/>
    </row>
    <row r="6584" spans="1:9" s="4" customFormat="1" ht="20.25" customHeight="1" x14ac:dyDescent="0.55000000000000004">
      <c r="A6584" s="18">
        <v>24.737000500000001</v>
      </c>
      <c r="B6584" s="18">
        <v>34.778996999999997</v>
      </c>
      <c r="C6584" s="18">
        <v>679917.23</v>
      </c>
      <c r="D6584" s="18">
        <v>2736995.76</v>
      </c>
      <c r="E6584" s="18">
        <v>423.5</v>
      </c>
      <c r="F6584" s="18">
        <v>41806.199999999997</v>
      </c>
      <c r="G6584" s="18">
        <v>122506</v>
      </c>
      <c r="H6584" s="18">
        <f t="shared" si="154"/>
        <v>41660.199999999997</v>
      </c>
      <c r="I6584" s="3"/>
    </row>
    <row r="6585" spans="1:9" s="4" customFormat="1" ht="20.25" customHeight="1" x14ac:dyDescent="0.55000000000000004">
      <c r="A6585" s="18">
        <v>24.736993500000001</v>
      </c>
      <c r="B6585" s="18">
        <v>34.778978799999997</v>
      </c>
      <c r="C6585" s="18">
        <v>679915.41</v>
      </c>
      <c r="D6585" s="18">
        <v>2736994.96</v>
      </c>
      <c r="E6585" s="18">
        <v>423.29</v>
      </c>
      <c r="F6585" s="18">
        <v>41766.35</v>
      </c>
      <c r="G6585" s="18">
        <v>122508</v>
      </c>
      <c r="H6585" s="18">
        <f t="shared" si="154"/>
        <v>41620.35</v>
      </c>
      <c r="I6585" s="3"/>
    </row>
    <row r="6586" spans="1:9" s="4" customFormat="1" ht="20.25" customHeight="1" x14ac:dyDescent="0.55000000000000004">
      <c r="A6586" s="18">
        <v>24.7369865</v>
      </c>
      <c r="B6586" s="18">
        <v>34.778959</v>
      </c>
      <c r="C6586" s="18">
        <v>679913.41</v>
      </c>
      <c r="D6586" s="18">
        <v>2736994.16</v>
      </c>
      <c r="E6586" s="18">
        <v>423.62</v>
      </c>
      <c r="F6586" s="18">
        <v>41753.21</v>
      </c>
      <c r="G6586" s="18">
        <v>122510</v>
      </c>
      <c r="H6586" s="18">
        <f t="shared" si="154"/>
        <v>41607.21</v>
      </c>
      <c r="I6586" s="3"/>
    </row>
    <row r="6587" spans="1:9" s="4" customFormat="1" ht="20.25" customHeight="1" x14ac:dyDescent="0.55000000000000004">
      <c r="A6587" s="18">
        <v>24.736977499999998</v>
      </c>
      <c r="B6587" s="18">
        <v>34.778942100000002</v>
      </c>
      <c r="C6587" s="18">
        <v>679911.71</v>
      </c>
      <c r="D6587" s="18">
        <v>2736993.14</v>
      </c>
      <c r="E6587" s="18">
        <v>423.55</v>
      </c>
      <c r="F6587" s="18">
        <v>41713.49</v>
      </c>
      <c r="G6587" s="18">
        <v>122512</v>
      </c>
      <c r="H6587" s="18">
        <f t="shared" si="154"/>
        <v>41567.49</v>
      </c>
      <c r="I6587" s="3"/>
    </row>
    <row r="6588" spans="1:9" s="4" customFormat="1" ht="20.25" customHeight="1" x14ac:dyDescent="0.55000000000000004">
      <c r="A6588" s="18">
        <v>24.736972900000001</v>
      </c>
      <c r="B6588" s="18">
        <v>34.778919000000002</v>
      </c>
      <c r="C6588" s="18">
        <v>679909.38</v>
      </c>
      <c r="D6588" s="18">
        <v>2736992.6</v>
      </c>
      <c r="E6588" s="18">
        <v>423.37</v>
      </c>
      <c r="F6588" s="18">
        <v>41809.49</v>
      </c>
      <c r="G6588" s="18">
        <v>122514</v>
      </c>
      <c r="H6588" s="18">
        <f t="shared" si="154"/>
        <v>41663.49</v>
      </c>
      <c r="I6588" s="3"/>
    </row>
    <row r="6589" spans="1:9" s="4" customFormat="1" ht="20.25" customHeight="1" x14ac:dyDescent="0.55000000000000004">
      <c r="A6589" s="18">
        <v>24.736963500000002</v>
      </c>
      <c r="B6589" s="18">
        <v>34.778901699999999</v>
      </c>
      <c r="C6589" s="18">
        <v>679907.64</v>
      </c>
      <c r="D6589" s="18">
        <v>2736991.53</v>
      </c>
      <c r="E6589" s="18">
        <v>423.27</v>
      </c>
      <c r="F6589" s="18">
        <v>41804.720000000001</v>
      </c>
      <c r="G6589" s="18">
        <v>122516</v>
      </c>
      <c r="H6589" s="18">
        <f t="shared" si="154"/>
        <v>41658.720000000001</v>
      </c>
      <c r="I6589" s="3"/>
    </row>
    <row r="6590" spans="1:9" s="4" customFormat="1" ht="20.25" customHeight="1" x14ac:dyDescent="0.55000000000000004">
      <c r="A6590" s="18">
        <v>24.736953199999999</v>
      </c>
      <c r="B6590" s="18">
        <v>34.778886</v>
      </c>
      <c r="C6590" s="18">
        <v>679906.07</v>
      </c>
      <c r="D6590" s="18">
        <v>2736990.37</v>
      </c>
      <c r="E6590" s="18">
        <v>423.13</v>
      </c>
      <c r="F6590" s="18">
        <v>41843.050000000003</v>
      </c>
      <c r="G6590" s="18">
        <v>122518</v>
      </c>
      <c r="H6590" s="18">
        <f t="shared" si="154"/>
        <v>41697.050000000003</v>
      </c>
      <c r="I6590" s="3"/>
    </row>
    <row r="6591" spans="1:9" s="4" customFormat="1" ht="20.25" customHeight="1" x14ac:dyDescent="0.55000000000000004">
      <c r="A6591" s="18">
        <v>24.7369512</v>
      </c>
      <c r="B6591" s="18">
        <v>34.778866600000001</v>
      </c>
      <c r="C6591" s="18">
        <v>679904.11</v>
      </c>
      <c r="D6591" s="18">
        <v>2736990.13</v>
      </c>
      <c r="E6591" s="18">
        <v>423.28</v>
      </c>
      <c r="F6591" s="18">
        <v>41826.300000000003</v>
      </c>
      <c r="G6591" s="18">
        <v>122520</v>
      </c>
      <c r="H6591" s="18">
        <f t="shared" si="154"/>
        <v>41680.300000000003</v>
      </c>
      <c r="I6591" s="3"/>
    </row>
    <row r="6592" spans="1:9" s="4" customFormat="1" ht="20.25" customHeight="1" x14ac:dyDescent="0.55000000000000004">
      <c r="A6592" s="18">
        <v>24.736943100000001</v>
      </c>
      <c r="B6592" s="18">
        <v>34.778856400000002</v>
      </c>
      <c r="C6592" s="18">
        <v>679903.09</v>
      </c>
      <c r="D6592" s="18">
        <v>2736989.22</v>
      </c>
      <c r="E6592" s="18">
        <v>423.28</v>
      </c>
      <c r="F6592" s="18">
        <v>41815.800000000003</v>
      </c>
      <c r="G6592" s="18">
        <v>122522</v>
      </c>
      <c r="H6592" s="18">
        <f t="shared" si="154"/>
        <v>41669.800000000003</v>
      </c>
      <c r="I6592" s="3"/>
    </row>
    <row r="6593" spans="1:9" s="4" customFormat="1" ht="20.25" customHeight="1" x14ac:dyDescent="0.55000000000000004">
      <c r="A6593" s="18">
        <v>24.7369299</v>
      </c>
      <c r="B6593" s="18">
        <v>34.778849999999998</v>
      </c>
      <c r="C6593" s="18">
        <v>679902.46</v>
      </c>
      <c r="D6593" s="18">
        <v>2736987.75</v>
      </c>
      <c r="E6593" s="18">
        <v>423</v>
      </c>
      <c r="F6593" s="18">
        <v>41858.83</v>
      </c>
      <c r="G6593" s="18">
        <v>122524</v>
      </c>
      <c r="H6593" s="18">
        <f t="shared" si="154"/>
        <v>41712.83</v>
      </c>
      <c r="I6593" s="3"/>
    </row>
    <row r="6594" spans="1:9" s="4" customFormat="1" ht="20.25" customHeight="1" x14ac:dyDescent="0.55000000000000004">
      <c r="A6594" s="18">
        <v>24.736919700000001</v>
      </c>
      <c r="B6594" s="18">
        <v>34.778841</v>
      </c>
      <c r="C6594" s="18">
        <v>679901.57</v>
      </c>
      <c r="D6594" s="18">
        <v>2736986.61</v>
      </c>
      <c r="E6594" s="18">
        <v>422.8</v>
      </c>
      <c r="F6594" s="18">
        <v>41867.370000000003</v>
      </c>
      <c r="G6594" s="18">
        <v>122526</v>
      </c>
      <c r="H6594" s="18">
        <f t="shared" si="154"/>
        <v>41721.370000000003</v>
      </c>
      <c r="I6594" s="3"/>
    </row>
    <row r="6595" spans="1:9" s="4" customFormat="1" ht="20.25" customHeight="1" x14ac:dyDescent="0.55000000000000004">
      <c r="A6595" s="18">
        <v>24.736908799999998</v>
      </c>
      <c r="B6595" s="18">
        <v>34.778829299999998</v>
      </c>
      <c r="C6595" s="18">
        <v>679900.4</v>
      </c>
      <c r="D6595" s="18">
        <v>2736985.38</v>
      </c>
      <c r="E6595" s="18">
        <v>422.6</v>
      </c>
      <c r="F6595" s="18">
        <v>41904.629999999997</v>
      </c>
      <c r="G6595" s="18">
        <v>122528</v>
      </c>
      <c r="H6595" s="18">
        <f t="shared" si="154"/>
        <v>41758.629999999997</v>
      </c>
      <c r="I6595" s="3"/>
    </row>
    <row r="6596" spans="1:9" s="4" customFormat="1" ht="20.25" customHeight="1" x14ac:dyDescent="0.55000000000000004">
      <c r="A6596" s="18">
        <v>24.736893999999999</v>
      </c>
      <c r="B6596" s="18">
        <v>34.778815799999997</v>
      </c>
      <c r="C6596" s="18">
        <v>679899.06</v>
      </c>
      <c r="D6596" s="18">
        <v>2736983.73</v>
      </c>
      <c r="E6596" s="18">
        <v>422.54</v>
      </c>
      <c r="F6596" s="18">
        <v>41856.06</v>
      </c>
      <c r="G6596" s="18">
        <v>122530</v>
      </c>
      <c r="H6596" s="18">
        <f t="shared" si="154"/>
        <v>41710.06</v>
      </c>
      <c r="I6596" s="3"/>
    </row>
    <row r="6597" spans="1:9" s="4" customFormat="1" ht="20.25" customHeight="1" x14ac:dyDescent="0.55000000000000004">
      <c r="A6597" s="18">
        <v>24.7368813</v>
      </c>
      <c r="B6597" s="18">
        <v>34.778799399999997</v>
      </c>
      <c r="C6597" s="18">
        <v>679897.42</v>
      </c>
      <c r="D6597" s="18">
        <v>2736982.3</v>
      </c>
      <c r="E6597" s="18">
        <v>422.33</v>
      </c>
      <c r="F6597" s="18">
        <v>41778.29</v>
      </c>
      <c r="G6597" s="18">
        <v>122532</v>
      </c>
      <c r="H6597" s="18">
        <f t="shared" si="154"/>
        <v>41632.29</v>
      </c>
      <c r="I6597" s="3"/>
    </row>
    <row r="6598" spans="1:9" s="4" customFormat="1" ht="20.25" customHeight="1" x14ac:dyDescent="0.55000000000000004">
      <c r="A6598" s="18">
        <v>24.736878399999998</v>
      </c>
      <c r="B6598" s="18">
        <v>34.778780500000003</v>
      </c>
      <c r="C6598" s="18">
        <v>679895.51</v>
      </c>
      <c r="D6598" s="18">
        <v>2736981.95</v>
      </c>
      <c r="E6598" s="18">
        <v>422.34</v>
      </c>
      <c r="F6598" s="18">
        <v>41757.370000000003</v>
      </c>
      <c r="G6598" s="18">
        <v>122534</v>
      </c>
      <c r="H6598" s="18">
        <f t="shared" si="154"/>
        <v>41611.370000000003</v>
      </c>
      <c r="I6598" s="3"/>
    </row>
    <row r="6599" spans="1:9" s="4" customFormat="1" ht="20.25" customHeight="1" x14ac:dyDescent="0.55000000000000004">
      <c r="A6599" s="18">
        <v>24.736878399999998</v>
      </c>
      <c r="B6599" s="18">
        <v>34.778763699999999</v>
      </c>
      <c r="C6599" s="18">
        <v>679893.81</v>
      </c>
      <c r="D6599" s="18">
        <v>2736981.93</v>
      </c>
      <c r="E6599" s="18">
        <v>422.16</v>
      </c>
      <c r="F6599" s="18">
        <v>41747.360000000001</v>
      </c>
      <c r="G6599" s="18">
        <v>122536</v>
      </c>
      <c r="H6599" s="18">
        <f t="shared" si="154"/>
        <v>41601.360000000001</v>
      </c>
      <c r="I6599" s="3"/>
    </row>
    <row r="6600" spans="1:9" s="4" customFormat="1" ht="20.25" customHeight="1" x14ac:dyDescent="0.55000000000000004">
      <c r="A6600" s="18">
        <v>24.7368685</v>
      </c>
      <c r="B6600" s="18">
        <v>34.778747000000003</v>
      </c>
      <c r="C6600" s="18">
        <v>679892.13</v>
      </c>
      <c r="D6600" s="18">
        <v>2736980.82</v>
      </c>
      <c r="E6600" s="18">
        <v>422.09</v>
      </c>
      <c r="F6600" s="18">
        <v>41771.33</v>
      </c>
      <c r="G6600" s="18">
        <v>122538</v>
      </c>
      <c r="H6600" s="18">
        <f t="shared" si="154"/>
        <v>41625.33</v>
      </c>
      <c r="I6600" s="3"/>
    </row>
    <row r="6601" spans="1:9" s="4" customFormat="1" ht="20.25" customHeight="1" x14ac:dyDescent="0.55000000000000004">
      <c r="A6601" s="18">
        <v>24.736854999999998</v>
      </c>
      <c r="B6601" s="18">
        <v>34.778734200000002</v>
      </c>
      <c r="C6601" s="18">
        <v>679890.86</v>
      </c>
      <c r="D6601" s="18">
        <v>2736979.3</v>
      </c>
      <c r="E6601" s="18">
        <v>422.1</v>
      </c>
      <c r="F6601" s="18">
        <v>41781.99</v>
      </c>
      <c r="G6601" s="18">
        <v>122540</v>
      </c>
      <c r="H6601" s="18">
        <f t="shared" si="154"/>
        <v>41635.99</v>
      </c>
      <c r="I6601" s="3"/>
    </row>
    <row r="6602" spans="1:9" s="4" customFormat="1" ht="20.25" customHeight="1" x14ac:dyDescent="0.55000000000000004">
      <c r="A6602" s="18">
        <v>24.736840099999998</v>
      </c>
      <c r="B6602" s="18">
        <v>34.778726300000002</v>
      </c>
      <c r="C6602" s="18">
        <v>679890.08</v>
      </c>
      <c r="D6602" s="18">
        <v>2736977.64</v>
      </c>
      <c r="E6602" s="18">
        <v>421.97</v>
      </c>
      <c r="F6602" s="18">
        <v>41812.01</v>
      </c>
      <c r="G6602" s="18">
        <v>122542</v>
      </c>
      <c r="H6602" s="18">
        <f t="shared" si="154"/>
        <v>41666.01</v>
      </c>
      <c r="I6602" s="3"/>
    </row>
    <row r="6603" spans="1:9" s="4" customFormat="1" ht="20.25" customHeight="1" x14ac:dyDescent="0.55000000000000004">
      <c r="A6603" s="18">
        <v>24.736827099999999</v>
      </c>
      <c r="B6603" s="18">
        <v>34.7787127</v>
      </c>
      <c r="C6603" s="18">
        <v>679888.72</v>
      </c>
      <c r="D6603" s="18">
        <v>2736976.18</v>
      </c>
      <c r="E6603" s="18">
        <v>421.66</v>
      </c>
      <c r="F6603" s="18">
        <v>41783.26</v>
      </c>
      <c r="G6603" s="18">
        <v>122544</v>
      </c>
      <c r="H6603" s="18">
        <f t="shared" si="154"/>
        <v>41637.26</v>
      </c>
      <c r="I6603" s="3"/>
    </row>
    <row r="6604" spans="1:9" s="4" customFormat="1" ht="20.25" customHeight="1" x14ac:dyDescent="0.55000000000000004">
      <c r="A6604" s="18">
        <v>24.736817599999998</v>
      </c>
      <c r="B6604" s="18">
        <v>34.778693099999998</v>
      </c>
      <c r="C6604" s="18">
        <v>679886.75</v>
      </c>
      <c r="D6604" s="18">
        <v>2736975.1</v>
      </c>
      <c r="E6604" s="18">
        <v>421.56</v>
      </c>
      <c r="F6604" s="18">
        <v>41806.15</v>
      </c>
      <c r="G6604" s="18">
        <v>122546</v>
      </c>
      <c r="H6604" s="18">
        <f t="shared" si="154"/>
        <v>41660.15</v>
      </c>
      <c r="I6604" s="3"/>
    </row>
    <row r="6605" spans="1:9" s="4" customFormat="1" ht="20.25" customHeight="1" x14ac:dyDescent="0.55000000000000004">
      <c r="A6605" s="18">
        <v>24.736809099999999</v>
      </c>
      <c r="B6605" s="18">
        <v>34.778672499999999</v>
      </c>
      <c r="C6605" s="18">
        <v>679884.68</v>
      </c>
      <c r="D6605" s="18">
        <v>2736974.13</v>
      </c>
      <c r="E6605" s="18">
        <v>421.3</v>
      </c>
      <c r="F6605" s="18">
        <v>41785.910000000003</v>
      </c>
      <c r="G6605" s="18">
        <v>122548</v>
      </c>
      <c r="H6605" s="18">
        <f t="shared" si="154"/>
        <v>41639.910000000003</v>
      </c>
      <c r="I6605" s="3"/>
    </row>
    <row r="6606" spans="1:9" s="4" customFormat="1" ht="20.25" customHeight="1" x14ac:dyDescent="0.55000000000000004">
      <c r="A6606" s="18">
        <v>24.736810899999998</v>
      </c>
      <c r="B6606" s="18">
        <v>34.778651600000003</v>
      </c>
      <c r="C6606" s="18">
        <v>679882.56</v>
      </c>
      <c r="D6606" s="18">
        <v>2736974.31</v>
      </c>
      <c r="E6606" s="18">
        <v>421.42</v>
      </c>
      <c r="F6606" s="18">
        <v>41787.61</v>
      </c>
      <c r="G6606" s="18">
        <v>122550</v>
      </c>
      <c r="H6606" s="18">
        <f t="shared" si="154"/>
        <v>41641.61</v>
      </c>
      <c r="I6606" s="3"/>
    </row>
    <row r="6607" spans="1:9" s="4" customFormat="1" ht="20.25" customHeight="1" x14ac:dyDescent="0.55000000000000004">
      <c r="A6607" s="18">
        <v>24.736812199999999</v>
      </c>
      <c r="B6607" s="18">
        <v>34.778633800000001</v>
      </c>
      <c r="C6607" s="18">
        <v>679880.76</v>
      </c>
      <c r="D6607" s="18">
        <v>2736974.42</v>
      </c>
      <c r="E6607" s="18">
        <v>421.3</v>
      </c>
      <c r="F6607" s="18">
        <v>41809.53</v>
      </c>
      <c r="G6607" s="18">
        <v>122552</v>
      </c>
      <c r="H6607" s="18">
        <f t="shared" si="154"/>
        <v>41663.53</v>
      </c>
      <c r="I6607" s="3"/>
    </row>
    <row r="6608" spans="1:9" s="4" customFormat="1" ht="20.25" customHeight="1" x14ac:dyDescent="0.55000000000000004">
      <c r="A6608" s="18">
        <v>24.736809399999999</v>
      </c>
      <c r="B6608" s="18">
        <v>34.778612199999998</v>
      </c>
      <c r="C6608" s="18">
        <v>679878.58</v>
      </c>
      <c r="D6608" s="18">
        <v>2736974.09</v>
      </c>
      <c r="E6608" s="18">
        <v>421.09</v>
      </c>
      <c r="F6608" s="18">
        <v>41821.46</v>
      </c>
      <c r="G6608" s="18">
        <v>122554</v>
      </c>
      <c r="H6608" s="18">
        <f t="shared" si="154"/>
        <v>41675.46</v>
      </c>
      <c r="I6608" s="3"/>
    </row>
    <row r="6609" spans="1:9" s="4" customFormat="1" ht="20.25" customHeight="1" x14ac:dyDescent="0.55000000000000004">
      <c r="A6609" s="18">
        <v>24.736806300000001</v>
      </c>
      <c r="B6609" s="18">
        <v>34.778592500000002</v>
      </c>
      <c r="C6609" s="18">
        <v>679876.59</v>
      </c>
      <c r="D6609" s="18">
        <v>2736973.72</v>
      </c>
      <c r="E6609" s="18">
        <v>420.75</v>
      </c>
      <c r="F6609" s="18">
        <v>41766.550000000003</v>
      </c>
      <c r="G6609" s="18">
        <v>122556</v>
      </c>
      <c r="H6609" s="18">
        <f t="shared" si="154"/>
        <v>41620.550000000003</v>
      </c>
      <c r="I6609" s="3"/>
    </row>
    <row r="6610" spans="1:9" s="4" customFormat="1" ht="20.25" customHeight="1" x14ac:dyDescent="0.55000000000000004">
      <c r="A6610" s="18">
        <v>24.736796500000001</v>
      </c>
      <c r="B6610" s="18">
        <v>34.778572699999998</v>
      </c>
      <c r="C6610" s="18">
        <v>679874.61</v>
      </c>
      <c r="D6610" s="18">
        <v>2736972.61</v>
      </c>
      <c r="E6610" s="18">
        <v>420.58</v>
      </c>
      <c r="F6610" s="18">
        <v>41802.730000000003</v>
      </c>
      <c r="G6610" s="18">
        <v>122558</v>
      </c>
      <c r="H6610" s="18">
        <f t="shared" si="154"/>
        <v>41656.730000000003</v>
      </c>
      <c r="I6610" s="3"/>
    </row>
    <row r="6611" spans="1:9" s="4" customFormat="1" ht="20.25" customHeight="1" x14ac:dyDescent="0.55000000000000004">
      <c r="A6611" s="18">
        <v>24.7367922</v>
      </c>
      <c r="B6611" s="18">
        <v>34.778561500000002</v>
      </c>
      <c r="C6611" s="18">
        <v>679873.48</v>
      </c>
      <c r="D6611" s="18">
        <v>2736972.12</v>
      </c>
      <c r="E6611" s="18">
        <v>420.31</v>
      </c>
      <c r="F6611" s="18">
        <v>41840.6</v>
      </c>
      <c r="G6611" s="18">
        <v>122600</v>
      </c>
      <c r="H6611" s="18">
        <f t="shared" si="154"/>
        <v>41694.6</v>
      </c>
      <c r="I6611" s="3"/>
    </row>
    <row r="6612" spans="1:9" s="4" customFormat="1" ht="20.25" customHeight="1" x14ac:dyDescent="0.55000000000000004">
      <c r="A6612" s="18">
        <v>24.736785999999999</v>
      </c>
      <c r="B6612" s="18">
        <v>34.778549400000003</v>
      </c>
      <c r="C6612" s="18">
        <v>679872.26</v>
      </c>
      <c r="D6612" s="18">
        <v>2736971.41</v>
      </c>
      <c r="E6612" s="18">
        <v>420.39</v>
      </c>
      <c r="F6612" s="18">
        <v>41800.26</v>
      </c>
      <c r="G6612" s="18">
        <v>122602</v>
      </c>
      <c r="H6612" s="18">
        <f t="shared" si="154"/>
        <v>41654.26</v>
      </c>
      <c r="I6612" s="3"/>
    </row>
    <row r="6613" spans="1:9" s="4" customFormat="1" ht="20.25" customHeight="1" x14ac:dyDescent="0.55000000000000004">
      <c r="A6613" s="18">
        <v>24.736777199999999</v>
      </c>
      <c r="B6613" s="18">
        <v>34.778542000000002</v>
      </c>
      <c r="C6613" s="18">
        <v>679871.53</v>
      </c>
      <c r="D6613" s="18">
        <v>2736970.42</v>
      </c>
      <c r="E6613" s="18">
        <v>420.31</v>
      </c>
      <c r="F6613" s="18">
        <v>41788.06</v>
      </c>
      <c r="G6613" s="18">
        <v>122604</v>
      </c>
      <c r="H6613" s="18">
        <f t="shared" si="154"/>
        <v>41642.06</v>
      </c>
      <c r="I6613" s="3"/>
    </row>
    <row r="6614" spans="1:9" s="4" customFormat="1" ht="20.25" customHeight="1" x14ac:dyDescent="0.55000000000000004">
      <c r="A6614" s="18">
        <v>24.736759899999999</v>
      </c>
      <c r="B6614" s="18">
        <v>34.7785309</v>
      </c>
      <c r="C6614" s="18">
        <v>679870.43</v>
      </c>
      <c r="D6614" s="18">
        <v>2736968.5</v>
      </c>
      <c r="E6614" s="18">
        <v>420.15</v>
      </c>
      <c r="F6614" s="18">
        <v>41770.67</v>
      </c>
      <c r="G6614" s="18">
        <v>122606</v>
      </c>
      <c r="H6614" s="18">
        <f t="shared" si="154"/>
        <v>41624.67</v>
      </c>
      <c r="I6614" s="3"/>
    </row>
    <row r="6615" spans="1:9" s="4" customFormat="1" ht="20.25" customHeight="1" x14ac:dyDescent="0.55000000000000004">
      <c r="A6615" s="18">
        <v>24.736745299999999</v>
      </c>
      <c r="B6615" s="18">
        <v>34.7785242</v>
      </c>
      <c r="C6615" s="18">
        <v>679869.78</v>
      </c>
      <c r="D6615" s="18">
        <v>2736966.88</v>
      </c>
      <c r="E6615" s="18">
        <v>420.02</v>
      </c>
      <c r="F6615" s="18">
        <v>41763.25</v>
      </c>
      <c r="G6615" s="18">
        <v>122608</v>
      </c>
      <c r="H6615" s="18">
        <f t="shared" si="154"/>
        <v>41617.25</v>
      </c>
      <c r="I6615" s="3"/>
    </row>
    <row r="6616" spans="1:9" s="4" customFormat="1" ht="20.25" customHeight="1" x14ac:dyDescent="0.55000000000000004">
      <c r="A6616" s="18">
        <v>24.736733900000001</v>
      </c>
      <c r="B6616" s="18">
        <v>34.778521599999998</v>
      </c>
      <c r="C6616" s="18">
        <v>679869.53</v>
      </c>
      <c r="D6616" s="18">
        <v>2736965.6</v>
      </c>
      <c r="E6616" s="18">
        <v>419.97</v>
      </c>
      <c r="F6616" s="18">
        <v>41776.26</v>
      </c>
      <c r="G6616" s="18">
        <v>122610</v>
      </c>
      <c r="H6616" s="18">
        <f t="shared" si="154"/>
        <v>41630.26</v>
      </c>
      <c r="I6616" s="3"/>
    </row>
    <row r="6617" spans="1:9" s="4" customFormat="1" ht="20.25" customHeight="1" x14ac:dyDescent="0.55000000000000004">
      <c r="A6617" s="18">
        <v>24.736718799999998</v>
      </c>
      <c r="B6617" s="18">
        <v>34.778519199999998</v>
      </c>
      <c r="C6617" s="18">
        <v>679869.31</v>
      </c>
      <c r="D6617" s="18">
        <v>2736963.93</v>
      </c>
      <c r="E6617" s="18">
        <v>419.73</v>
      </c>
      <c r="F6617" s="18">
        <v>41810.17</v>
      </c>
      <c r="G6617" s="18">
        <v>122612</v>
      </c>
      <c r="H6617" s="18">
        <f t="shared" si="154"/>
        <v>41664.17</v>
      </c>
      <c r="I6617" s="3"/>
    </row>
    <row r="6618" spans="1:9" s="4" customFormat="1" ht="20.25" customHeight="1" x14ac:dyDescent="0.55000000000000004">
      <c r="A6618" s="18">
        <v>24.7366995</v>
      </c>
      <c r="B6618" s="18">
        <v>34.7785072</v>
      </c>
      <c r="C6618" s="18">
        <v>679868.12</v>
      </c>
      <c r="D6618" s="18">
        <v>2736961.78</v>
      </c>
      <c r="E6618" s="18">
        <v>419.55</v>
      </c>
      <c r="F6618" s="18">
        <v>41804.080000000002</v>
      </c>
      <c r="G6618" s="18">
        <v>122614</v>
      </c>
      <c r="H6618" s="18">
        <f t="shared" si="154"/>
        <v>41658.080000000002</v>
      </c>
      <c r="I6618" s="3"/>
    </row>
    <row r="6619" spans="1:9" s="4" customFormat="1" ht="20.25" customHeight="1" x14ac:dyDescent="0.55000000000000004">
      <c r="A6619" s="18">
        <v>24.736680700000001</v>
      </c>
      <c r="B6619" s="18">
        <v>34.7785042</v>
      </c>
      <c r="C6619" s="18">
        <v>679867.85</v>
      </c>
      <c r="D6619" s="18">
        <v>2736959.69</v>
      </c>
      <c r="E6619" s="18">
        <v>419.52</v>
      </c>
      <c r="F6619" s="18">
        <v>41788.800000000003</v>
      </c>
      <c r="G6619" s="18">
        <v>122616</v>
      </c>
      <c r="H6619" s="18">
        <f t="shared" si="154"/>
        <v>41642.800000000003</v>
      </c>
      <c r="I6619" s="3"/>
    </row>
    <row r="6620" spans="1:9" s="4" customFormat="1" ht="20.25" customHeight="1" x14ac:dyDescent="0.55000000000000004">
      <c r="A6620" s="18">
        <v>24.736666899999999</v>
      </c>
      <c r="B6620" s="18">
        <v>34.778507599999998</v>
      </c>
      <c r="C6620" s="18">
        <v>679868.21</v>
      </c>
      <c r="D6620" s="18">
        <v>2736958.17</v>
      </c>
      <c r="E6620" s="18">
        <v>419.48</v>
      </c>
      <c r="F6620" s="18">
        <v>41794.42</v>
      </c>
      <c r="G6620" s="18">
        <v>122618</v>
      </c>
      <c r="H6620" s="18">
        <f t="shared" si="154"/>
        <v>41648.42</v>
      </c>
      <c r="I6620" s="3"/>
    </row>
    <row r="6621" spans="1:9" s="4" customFormat="1" ht="20.25" customHeight="1" x14ac:dyDescent="0.55000000000000004">
      <c r="A6621" s="18">
        <v>24.736653700000002</v>
      </c>
      <c r="B6621" s="18">
        <v>34.778511100000003</v>
      </c>
      <c r="C6621" s="18">
        <v>679868.58</v>
      </c>
      <c r="D6621" s="18">
        <v>2736956.71</v>
      </c>
      <c r="E6621" s="18">
        <v>419.34</v>
      </c>
      <c r="F6621" s="18">
        <v>41789.01</v>
      </c>
      <c r="G6621" s="18">
        <v>122620</v>
      </c>
      <c r="H6621" s="18">
        <f t="shared" si="154"/>
        <v>41643.01</v>
      </c>
      <c r="I6621" s="3"/>
    </row>
    <row r="6622" spans="1:9" s="4" customFormat="1" ht="20.25" customHeight="1" x14ac:dyDescent="0.55000000000000004">
      <c r="A6622" s="18">
        <v>24.736643699999998</v>
      </c>
      <c r="B6622" s="18">
        <v>34.778499699999998</v>
      </c>
      <c r="C6622" s="18">
        <v>679867.44</v>
      </c>
      <c r="D6622" s="18">
        <v>2736955.59</v>
      </c>
      <c r="E6622" s="18">
        <v>419.23</v>
      </c>
      <c r="F6622" s="18">
        <v>41783.19</v>
      </c>
      <c r="G6622" s="18">
        <v>122622</v>
      </c>
      <c r="H6622" s="18">
        <f t="shared" si="154"/>
        <v>41637.19</v>
      </c>
      <c r="I6622" s="3"/>
    </row>
    <row r="6623" spans="1:9" s="4" customFormat="1" ht="20.25" customHeight="1" x14ac:dyDescent="0.55000000000000004">
      <c r="A6623" s="18">
        <v>24.7366277</v>
      </c>
      <c r="B6623" s="18">
        <v>34.778493500000003</v>
      </c>
      <c r="C6623" s="18">
        <v>679866.84</v>
      </c>
      <c r="D6623" s="18">
        <v>2736953.81</v>
      </c>
      <c r="E6623" s="18">
        <v>419.22</v>
      </c>
      <c r="F6623" s="18">
        <v>41784.36</v>
      </c>
      <c r="G6623" s="18">
        <v>122624</v>
      </c>
      <c r="H6623" s="18">
        <f t="shared" si="154"/>
        <v>41638.36</v>
      </c>
      <c r="I6623" s="3"/>
    </row>
    <row r="6624" spans="1:9" s="4" customFormat="1" ht="20.25" customHeight="1" x14ac:dyDescent="0.55000000000000004">
      <c r="A6624" s="18">
        <v>24.736611100000001</v>
      </c>
      <c r="B6624" s="18">
        <v>34.778491099999997</v>
      </c>
      <c r="C6624" s="18">
        <v>679866.62</v>
      </c>
      <c r="D6624" s="18">
        <v>2736951.97</v>
      </c>
      <c r="E6624" s="18">
        <v>419.02</v>
      </c>
      <c r="F6624" s="18">
        <v>41760.74</v>
      </c>
      <c r="G6624" s="18">
        <v>122626</v>
      </c>
      <c r="H6624" s="18">
        <f t="shared" si="154"/>
        <v>41614.74</v>
      </c>
      <c r="I6624" s="3"/>
    </row>
    <row r="6625" spans="1:9" s="4" customFormat="1" ht="20.25" customHeight="1" x14ac:dyDescent="0.55000000000000004">
      <c r="A6625" s="18">
        <v>24.736594199999999</v>
      </c>
      <c r="B6625" s="18">
        <v>34.778489499999999</v>
      </c>
      <c r="C6625" s="18">
        <v>679866.49</v>
      </c>
      <c r="D6625" s="18">
        <v>2736950.09</v>
      </c>
      <c r="E6625" s="18">
        <v>418.94</v>
      </c>
      <c r="F6625" s="18">
        <v>41744.65</v>
      </c>
      <c r="G6625" s="18">
        <v>122628</v>
      </c>
      <c r="H6625" s="18">
        <f t="shared" si="154"/>
        <v>41598.65</v>
      </c>
      <c r="I6625" s="3"/>
    </row>
    <row r="6626" spans="1:9" s="4" customFormat="1" ht="20.25" customHeight="1" x14ac:dyDescent="0.55000000000000004">
      <c r="A6626" s="18">
        <v>24.736577700000002</v>
      </c>
      <c r="B6626" s="18">
        <v>34.778485000000003</v>
      </c>
      <c r="C6626" s="18">
        <v>679866.05</v>
      </c>
      <c r="D6626" s="18">
        <v>2736948.26</v>
      </c>
      <c r="E6626" s="18">
        <v>418.83</v>
      </c>
      <c r="F6626" s="18">
        <v>41735.08</v>
      </c>
      <c r="G6626" s="18">
        <v>122630</v>
      </c>
      <c r="H6626" s="18">
        <f t="shared" si="154"/>
        <v>41589.08</v>
      </c>
      <c r="I6626" s="3"/>
    </row>
    <row r="6627" spans="1:9" s="4" customFormat="1" ht="20.25" customHeight="1" x14ac:dyDescent="0.55000000000000004">
      <c r="A6627" s="18">
        <v>24.736567699999998</v>
      </c>
      <c r="B6627" s="18">
        <v>34.778469700000002</v>
      </c>
      <c r="C6627" s="18">
        <v>679864.51</v>
      </c>
      <c r="D6627" s="18">
        <v>2736947.13</v>
      </c>
      <c r="E6627" s="18">
        <v>418.97</v>
      </c>
      <c r="F6627" s="18">
        <v>41752.01</v>
      </c>
      <c r="G6627" s="18">
        <v>122632</v>
      </c>
      <c r="H6627" s="18">
        <f t="shared" si="154"/>
        <v>41606.01</v>
      </c>
      <c r="I6627" s="3"/>
    </row>
    <row r="6628" spans="1:9" s="4" customFormat="1" ht="20.25" customHeight="1" x14ac:dyDescent="0.55000000000000004">
      <c r="A6628" s="18">
        <v>24.736558800000001</v>
      </c>
      <c r="B6628" s="18">
        <v>34.778455899999997</v>
      </c>
      <c r="C6628" s="18">
        <v>679863.13</v>
      </c>
      <c r="D6628" s="18">
        <v>2736946.13</v>
      </c>
      <c r="E6628" s="18">
        <v>418.81</v>
      </c>
      <c r="F6628" s="18">
        <v>41732.379999999997</v>
      </c>
      <c r="G6628" s="18">
        <v>122634</v>
      </c>
      <c r="H6628" s="18">
        <f t="shared" si="154"/>
        <v>41586.379999999997</v>
      </c>
      <c r="I6628" s="3"/>
    </row>
    <row r="6629" spans="1:9" s="4" customFormat="1" ht="20.25" customHeight="1" x14ac:dyDescent="0.55000000000000004">
      <c r="A6629" s="18">
        <v>24.7365441</v>
      </c>
      <c r="B6629" s="18">
        <v>34.778442599999998</v>
      </c>
      <c r="C6629" s="18">
        <v>679861.81</v>
      </c>
      <c r="D6629" s="18">
        <v>2736944.48</v>
      </c>
      <c r="E6629" s="18">
        <v>419</v>
      </c>
      <c r="F6629" s="18">
        <v>41707.620000000003</v>
      </c>
      <c r="G6629" s="18">
        <v>122636</v>
      </c>
      <c r="H6629" s="18">
        <f t="shared" ref="H6629:H6692" si="155">SUM(F6629-146)</f>
        <v>41561.620000000003</v>
      </c>
      <c r="I6629" s="3"/>
    </row>
    <row r="6630" spans="1:9" s="4" customFormat="1" ht="20.25" customHeight="1" x14ac:dyDescent="0.55000000000000004">
      <c r="A6630" s="18">
        <v>24.736533900000001</v>
      </c>
      <c r="B6630" s="18">
        <v>34.778442900000002</v>
      </c>
      <c r="C6630" s="18">
        <v>679861.85</v>
      </c>
      <c r="D6630" s="18">
        <v>2736943.36</v>
      </c>
      <c r="E6630" s="18">
        <v>419.74</v>
      </c>
      <c r="F6630" s="18">
        <v>41732.75</v>
      </c>
      <c r="G6630" s="18">
        <v>122638</v>
      </c>
      <c r="H6630" s="18">
        <f t="shared" si="155"/>
        <v>41586.75</v>
      </c>
      <c r="I6630" s="3"/>
    </row>
    <row r="6631" spans="1:9" s="4" customFormat="1" ht="20.25" customHeight="1" x14ac:dyDescent="0.55000000000000004">
      <c r="A6631" s="18">
        <v>24.736522900000001</v>
      </c>
      <c r="B6631" s="18">
        <v>34.778438000000001</v>
      </c>
      <c r="C6631" s="18">
        <v>679861.38</v>
      </c>
      <c r="D6631" s="18">
        <v>2736942.12</v>
      </c>
      <c r="E6631" s="18">
        <v>420.16</v>
      </c>
      <c r="F6631" s="18">
        <v>41745.81</v>
      </c>
      <c r="G6631" s="18">
        <v>122640</v>
      </c>
      <c r="H6631" s="18">
        <f t="shared" si="155"/>
        <v>41599.81</v>
      </c>
      <c r="I6631" s="3"/>
    </row>
    <row r="6632" spans="1:9" s="4" customFormat="1" ht="20.25" customHeight="1" x14ac:dyDescent="0.55000000000000004">
      <c r="A6632" s="18">
        <v>24.7365052</v>
      </c>
      <c r="B6632" s="18">
        <v>34.7784263</v>
      </c>
      <c r="C6632" s="18">
        <v>679860.21</v>
      </c>
      <c r="D6632" s="18">
        <v>2736940.15</v>
      </c>
      <c r="E6632" s="18">
        <v>420.15</v>
      </c>
      <c r="F6632" s="18">
        <v>41736.5</v>
      </c>
      <c r="G6632" s="18">
        <v>122642</v>
      </c>
      <c r="H6632" s="18">
        <f t="shared" si="155"/>
        <v>41590.5</v>
      </c>
      <c r="I6632" s="3"/>
    </row>
    <row r="6633" spans="1:9" s="4" customFormat="1" ht="20.25" customHeight="1" x14ac:dyDescent="0.55000000000000004">
      <c r="A6633" s="18">
        <v>24.736484799999999</v>
      </c>
      <c r="B6633" s="18">
        <v>34.778417300000001</v>
      </c>
      <c r="C6633" s="18">
        <v>679859.33</v>
      </c>
      <c r="D6633" s="18">
        <v>2736937.88</v>
      </c>
      <c r="E6633" s="18">
        <v>420.4</v>
      </c>
      <c r="F6633" s="18">
        <v>41705.82</v>
      </c>
      <c r="G6633" s="18">
        <v>122644</v>
      </c>
      <c r="H6633" s="18">
        <f t="shared" si="155"/>
        <v>41559.82</v>
      </c>
      <c r="I6633" s="3"/>
    </row>
    <row r="6634" spans="1:9" s="4" customFormat="1" ht="20.25" customHeight="1" x14ac:dyDescent="0.55000000000000004">
      <c r="A6634" s="18">
        <v>24.736468800000001</v>
      </c>
      <c r="B6634" s="18">
        <v>34.7784057</v>
      </c>
      <c r="C6634" s="18">
        <v>679858.19</v>
      </c>
      <c r="D6634" s="18">
        <v>2736936.09</v>
      </c>
      <c r="E6634" s="18">
        <v>420.5</v>
      </c>
      <c r="F6634" s="18">
        <v>41734.25</v>
      </c>
      <c r="G6634" s="18">
        <v>122646</v>
      </c>
      <c r="H6634" s="18">
        <f t="shared" si="155"/>
        <v>41588.25</v>
      </c>
      <c r="I6634" s="3"/>
    </row>
    <row r="6635" spans="1:9" s="4" customFormat="1" ht="20.25" customHeight="1" x14ac:dyDescent="0.55000000000000004">
      <c r="A6635" s="18">
        <v>24.7364538</v>
      </c>
      <c r="B6635" s="18">
        <v>34.778393100000002</v>
      </c>
      <c r="C6635" s="18">
        <v>679856.93</v>
      </c>
      <c r="D6635" s="18">
        <v>2736934.41</v>
      </c>
      <c r="E6635" s="18">
        <v>420.86</v>
      </c>
      <c r="F6635" s="18">
        <v>41740.300000000003</v>
      </c>
      <c r="G6635" s="18">
        <v>122648</v>
      </c>
      <c r="H6635" s="18">
        <f t="shared" si="155"/>
        <v>41594.300000000003</v>
      </c>
      <c r="I6635" s="3"/>
    </row>
    <row r="6636" spans="1:9" s="4" customFormat="1" ht="20.25" customHeight="1" x14ac:dyDescent="0.55000000000000004">
      <c r="A6636" s="18">
        <v>24.736441299999999</v>
      </c>
      <c r="B6636" s="18">
        <v>34.778383099999999</v>
      </c>
      <c r="C6636" s="18">
        <v>679855.93</v>
      </c>
      <c r="D6636" s="18">
        <v>2736933.02</v>
      </c>
      <c r="E6636" s="18">
        <v>420.75</v>
      </c>
      <c r="F6636" s="18">
        <v>41750.269999999997</v>
      </c>
      <c r="G6636" s="18">
        <v>122650</v>
      </c>
      <c r="H6636" s="18">
        <f t="shared" si="155"/>
        <v>41604.269999999997</v>
      </c>
      <c r="I6636" s="3"/>
    </row>
    <row r="6637" spans="1:9" s="4" customFormat="1" ht="20.25" customHeight="1" x14ac:dyDescent="0.55000000000000004">
      <c r="A6637" s="18">
        <v>24.736422000000001</v>
      </c>
      <c r="B6637" s="18">
        <v>34.778370500000001</v>
      </c>
      <c r="C6637" s="18">
        <v>679854.69</v>
      </c>
      <c r="D6637" s="18">
        <v>2736930.87</v>
      </c>
      <c r="E6637" s="18">
        <v>421.04</v>
      </c>
      <c r="F6637" s="18">
        <v>41761.870000000003</v>
      </c>
      <c r="G6637" s="18">
        <v>122652</v>
      </c>
      <c r="H6637" s="18">
        <f t="shared" si="155"/>
        <v>41615.870000000003</v>
      </c>
      <c r="I6637" s="3"/>
    </row>
    <row r="6638" spans="1:9" s="4" customFormat="1" ht="20.25" customHeight="1" x14ac:dyDescent="0.55000000000000004">
      <c r="A6638" s="18">
        <v>24.736407799999999</v>
      </c>
      <c r="B6638" s="18">
        <v>34.778361500000003</v>
      </c>
      <c r="C6638" s="18">
        <v>679853.8</v>
      </c>
      <c r="D6638" s="18">
        <v>2736929.27</v>
      </c>
      <c r="E6638" s="18">
        <v>421.21</v>
      </c>
      <c r="F6638" s="18">
        <v>41765.58</v>
      </c>
      <c r="G6638" s="18">
        <v>122654</v>
      </c>
      <c r="H6638" s="18">
        <f t="shared" si="155"/>
        <v>41619.58</v>
      </c>
      <c r="I6638" s="3"/>
    </row>
    <row r="6639" spans="1:9" s="4" customFormat="1" ht="20.25" customHeight="1" x14ac:dyDescent="0.55000000000000004">
      <c r="A6639" s="18">
        <v>24.736387700000002</v>
      </c>
      <c r="B6639" s="18">
        <v>34.7783582</v>
      </c>
      <c r="C6639" s="18">
        <v>679853.5</v>
      </c>
      <c r="D6639" s="18">
        <v>2736927.05</v>
      </c>
      <c r="E6639" s="18">
        <v>421.3</v>
      </c>
      <c r="F6639" s="18">
        <v>41781.01</v>
      </c>
      <c r="G6639" s="18">
        <v>122656</v>
      </c>
      <c r="H6639" s="18">
        <f t="shared" si="155"/>
        <v>41635.01</v>
      </c>
      <c r="I6639" s="3"/>
    </row>
    <row r="6640" spans="1:9" s="4" customFormat="1" ht="20.25" customHeight="1" x14ac:dyDescent="0.55000000000000004">
      <c r="A6640" s="18">
        <v>24.7363702</v>
      </c>
      <c r="B6640" s="18">
        <v>34.778352599999998</v>
      </c>
      <c r="C6640" s="18">
        <v>679852.96</v>
      </c>
      <c r="D6640" s="18">
        <v>2736925.1</v>
      </c>
      <c r="E6640" s="18">
        <v>421.17</v>
      </c>
      <c r="F6640" s="18">
        <v>41744.910000000003</v>
      </c>
      <c r="G6640" s="18">
        <v>122658</v>
      </c>
      <c r="H6640" s="18">
        <f t="shared" si="155"/>
        <v>41598.910000000003</v>
      </c>
      <c r="I6640" s="3"/>
    </row>
    <row r="6641" spans="1:9" s="4" customFormat="1" ht="20.25" customHeight="1" x14ac:dyDescent="0.55000000000000004">
      <c r="A6641" s="18">
        <v>24.736350099999999</v>
      </c>
      <c r="B6641" s="18">
        <v>34.778341099999999</v>
      </c>
      <c r="C6641" s="18">
        <v>679851.82</v>
      </c>
      <c r="D6641" s="18">
        <v>2736922.86</v>
      </c>
      <c r="E6641" s="18">
        <v>421.35</v>
      </c>
      <c r="F6641" s="18">
        <v>41757.57</v>
      </c>
      <c r="G6641" s="18">
        <v>122700</v>
      </c>
      <c r="H6641" s="18">
        <f t="shared" si="155"/>
        <v>41611.57</v>
      </c>
      <c r="I6641" s="3"/>
    </row>
    <row r="6642" spans="1:9" s="4" customFormat="1" ht="20.25" customHeight="1" x14ac:dyDescent="0.55000000000000004">
      <c r="A6642" s="18">
        <v>24.736334100000001</v>
      </c>
      <c r="B6642" s="18">
        <v>34.778334600000001</v>
      </c>
      <c r="C6642" s="18">
        <v>679851.19</v>
      </c>
      <c r="D6642" s="18">
        <v>2736921.08</v>
      </c>
      <c r="E6642" s="18">
        <v>421.53</v>
      </c>
      <c r="F6642" s="18">
        <v>41754.15</v>
      </c>
      <c r="G6642" s="18">
        <v>122702</v>
      </c>
      <c r="H6642" s="18">
        <f t="shared" si="155"/>
        <v>41608.15</v>
      </c>
      <c r="I6642" s="3"/>
    </row>
    <row r="6643" spans="1:9" s="4" customFormat="1" ht="20.25" customHeight="1" x14ac:dyDescent="0.55000000000000004">
      <c r="A6643" s="18">
        <v>24.736319600000002</v>
      </c>
      <c r="B6643" s="18">
        <v>34.778324099999999</v>
      </c>
      <c r="C6643" s="18">
        <v>679850.15</v>
      </c>
      <c r="D6643" s="18">
        <v>2736919.46</v>
      </c>
      <c r="E6643" s="18">
        <v>421.56</v>
      </c>
      <c r="F6643" s="18">
        <v>41780.370000000003</v>
      </c>
      <c r="G6643" s="18">
        <v>122704</v>
      </c>
      <c r="H6643" s="18">
        <f t="shared" si="155"/>
        <v>41634.370000000003</v>
      </c>
      <c r="I6643" s="3"/>
    </row>
    <row r="6644" spans="1:9" s="4" customFormat="1" ht="20.25" customHeight="1" x14ac:dyDescent="0.55000000000000004">
      <c r="A6644" s="18">
        <v>24.736305099999999</v>
      </c>
      <c r="B6644" s="18">
        <v>34.7783102</v>
      </c>
      <c r="C6644" s="18">
        <v>679848.76</v>
      </c>
      <c r="D6644" s="18">
        <v>2736917.84</v>
      </c>
      <c r="E6644" s="18">
        <v>421.61</v>
      </c>
      <c r="F6644" s="18">
        <v>41771.360000000001</v>
      </c>
      <c r="G6644" s="18">
        <v>122706</v>
      </c>
      <c r="H6644" s="18">
        <f t="shared" si="155"/>
        <v>41625.360000000001</v>
      </c>
      <c r="I6644" s="3"/>
    </row>
    <row r="6645" spans="1:9" s="4" customFormat="1" ht="20.25" customHeight="1" x14ac:dyDescent="0.55000000000000004">
      <c r="A6645" s="18">
        <v>24.736295299999998</v>
      </c>
      <c r="B6645" s="18">
        <v>34.778300399999999</v>
      </c>
      <c r="C6645" s="18">
        <v>679847.78</v>
      </c>
      <c r="D6645" s="18">
        <v>2736916.73</v>
      </c>
      <c r="E6645" s="18">
        <v>421.65</v>
      </c>
      <c r="F6645" s="18">
        <v>41766.83</v>
      </c>
      <c r="G6645" s="18">
        <v>122708</v>
      </c>
      <c r="H6645" s="18">
        <f t="shared" si="155"/>
        <v>41620.83</v>
      </c>
      <c r="I6645" s="3"/>
    </row>
    <row r="6646" spans="1:9" s="4" customFormat="1" ht="20.25" customHeight="1" x14ac:dyDescent="0.55000000000000004">
      <c r="A6646" s="18">
        <v>24.7362824</v>
      </c>
      <c r="B6646" s="18">
        <v>34.778279900000001</v>
      </c>
      <c r="C6646" s="18">
        <v>679845.73</v>
      </c>
      <c r="D6646" s="18">
        <v>2736915.28</v>
      </c>
      <c r="E6646" s="18">
        <v>421.77</v>
      </c>
      <c r="F6646" s="18">
        <v>41750.6</v>
      </c>
      <c r="G6646" s="18">
        <v>122710</v>
      </c>
      <c r="H6646" s="18">
        <f t="shared" si="155"/>
        <v>41604.6</v>
      </c>
      <c r="I6646" s="3"/>
    </row>
    <row r="6647" spans="1:9" s="4" customFormat="1" ht="20.25" customHeight="1" x14ac:dyDescent="0.55000000000000004">
      <c r="A6647" s="18">
        <v>24.736278599999999</v>
      </c>
      <c r="B6647" s="18">
        <v>34.778258600000001</v>
      </c>
      <c r="C6647" s="18">
        <v>679843.57</v>
      </c>
      <c r="D6647" s="18">
        <v>2736914.84</v>
      </c>
      <c r="E6647" s="18">
        <v>422.08</v>
      </c>
      <c r="F6647" s="18">
        <v>41749.99</v>
      </c>
      <c r="G6647" s="18">
        <v>122712</v>
      </c>
      <c r="H6647" s="18">
        <f t="shared" si="155"/>
        <v>41603.99</v>
      </c>
      <c r="I6647" s="3"/>
    </row>
    <row r="6648" spans="1:9" s="4" customFormat="1" ht="20.25" customHeight="1" x14ac:dyDescent="0.55000000000000004">
      <c r="A6648" s="18">
        <v>24.7362723</v>
      </c>
      <c r="B6648" s="18">
        <v>34.778238700000003</v>
      </c>
      <c r="C6648" s="18">
        <v>679841.58</v>
      </c>
      <c r="D6648" s="18">
        <v>2736914.1</v>
      </c>
      <c r="E6648" s="18">
        <v>422.36</v>
      </c>
      <c r="F6648" s="18">
        <v>41744.230000000003</v>
      </c>
      <c r="G6648" s="18">
        <v>122714</v>
      </c>
      <c r="H6648" s="18">
        <f t="shared" si="155"/>
        <v>41598.230000000003</v>
      </c>
      <c r="I6648" s="3"/>
    </row>
    <row r="6649" spans="1:9" s="4" customFormat="1" ht="20.25" customHeight="1" x14ac:dyDescent="0.55000000000000004">
      <c r="A6649" s="18">
        <v>24.7362723</v>
      </c>
      <c r="B6649" s="18">
        <v>34.778219300000003</v>
      </c>
      <c r="C6649" s="18">
        <v>679839.61</v>
      </c>
      <c r="D6649" s="18">
        <v>2736914.08</v>
      </c>
      <c r="E6649" s="18">
        <v>422.64</v>
      </c>
      <c r="F6649" s="18">
        <v>41757.94</v>
      </c>
      <c r="G6649" s="18">
        <v>122716</v>
      </c>
      <c r="H6649" s="18">
        <f t="shared" si="155"/>
        <v>41611.94</v>
      </c>
      <c r="I6649" s="3"/>
    </row>
    <row r="6650" spans="1:9" s="4" customFormat="1" ht="20.25" customHeight="1" x14ac:dyDescent="0.55000000000000004">
      <c r="A6650" s="18">
        <v>24.7362708</v>
      </c>
      <c r="B6650" s="18">
        <v>34.778200200000001</v>
      </c>
      <c r="C6650" s="18">
        <v>679837.68</v>
      </c>
      <c r="D6650" s="18">
        <v>2736913.89</v>
      </c>
      <c r="E6650" s="18">
        <v>422.91</v>
      </c>
      <c r="F6650" s="18">
        <v>41783.949999999997</v>
      </c>
      <c r="G6650" s="18">
        <v>122718</v>
      </c>
      <c r="H6650" s="18">
        <f t="shared" si="155"/>
        <v>41637.949999999997</v>
      </c>
      <c r="I6650" s="3"/>
    </row>
    <row r="6651" spans="1:9" s="4" customFormat="1" ht="20.25" customHeight="1" x14ac:dyDescent="0.55000000000000004">
      <c r="A6651" s="18">
        <v>24.7362696</v>
      </c>
      <c r="B6651" s="18">
        <v>34.7781752</v>
      </c>
      <c r="C6651" s="18">
        <v>679835.15</v>
      </c>
      <c r="D6651" s="18">
        <v>2736913.73</v>
      </c>
      <c r="E6651" s="18">
        <v>422.83</v>
      </c>
      <c r="F6651" s="18">
        <v>41816.19</v>
      </c>
      <c r="G6651" s="18">
        <v>122720</v>
      </c>
      <c r="H6651" s="18">
        <f t="shared" si="155"/>
        <v>41670.19</v>
      </c>
      <c r="I6651" s="3"/>
    </row>
    <row r="6652" spans="1:9" s="4" customFormat="1" ht="20.25" customHeight="1" x14ac:dyDescent="0.55000000000000004">
      <c r="A6652" s="18">
        <v>24.736265800000002</v>
      </c>
      <c r="B6652" s="18">
        <v>34.778153099999997</v>
      </c>
      <c r="C6652" s="18">
        <v>679832.92</v>
      </c>
      <c r="D6652" s="18">
        <v>2736913.27</v>
      </c>
      <c r="E6652" s="18">
        <v>423.2</v>
      </c>
      <c r="F6652" s="18">
        <v>41830.39</v>
      </c>
      <c r="G6652" s="18">
        <v>122722</v>
      </c>
      <c r="H6652" s="18">
        <f t="shared" si="155"/>
        <v>41684.39</v>
      </c>
      <c r="I6652" s="3"/>
    </row>
    <row r="6653" spans="1:9" s="4" customFormat="1" ht="20.25" customHeight="1" x14ac:dyDescent="0.55000000000000004">
      <c r="A6653" s="18">
        <v>24.736270699999999</v>
      </c>
      <c r="B6653" s="18">
        <v>34.778129900000003</v>
      </c>
      <c r="C6653" s="18">
        <v>679830.58</v>
      </c>
      <c r="D6653" s="18">
        <v>2736913.79</v>
      </c>
      <c r="E6653" s="18">
        <v>423.36</v>
      </c>
      <c r="F6653" s="18">
        <v>41823.96</v>
      </c>
      <c r="G6653" s="18">
        <v>122724</v>
      </c>
      <c r="H6653" s="18">
        <f t="shared" si="155"/>
        <v>41677.96</v>
      </c>
      <c r="I6653" s="3"/>
    </row>
    <row r="6654" spans="1:9" s="4" customFormat="1" ht="20.25" customHeight="1" x14ac:dyDescent="0.55000000000000004">
      <c r="A6654" s="18">
        <v>24.7362723</v>
      </c>
      <c r="B6654" s="18">
        <v>34.778106700000002</v>
      </c>
      <c r="C6654" s="18">
        <v>679828.22</v>
      </c>
      <c r="D6654" s="18">
        <v>2736913.94</v>
      </c>
      <c r="E6654" s="18">
        <v>423.84</v>
      </c>
      <c r="F6654" s="18">
        <v>41773.410000000003</v>
      </c>
      <c r="G6654" s="18">
        <v>122726</v>
      </c>
      <c r="H6654" s="18">
        <f t="shared" si="155"/>
        <v>41627.410000000003</v>
      </c>
      <c r="I6654" s="3"/>
    </row>
    <row r="6655" spans="1:9" s="4" customFormat="1" ht="20.25" customHeight="1" x14ac:dyDescent="0.55000000000000004">
      <c r="A6655" s="18">
        <v>24.7362708</v>
      </c>
      <c r="B6655" s="18">
        <v>34.778085099999998</v>
      </c>
      <c r="C6655" s="18">
        <v>679826.04</v>
      </c>
      <c r="D6655" s="18">
        <v>2736913.74</v>
      </c>
      <c r="E6655" s="18">
        <v>424.23</v>
      </c>
      <c r="F6655" s="18">
        <v>41780.03</v>
      </c>
      <c r="G6655" s="18">
        <v>122728</v>
      </c>
      <c r="H6655" s="18">
        <f t="shared" si="155"/>
        <v>41634.03</v>
      </c>
      <c r="I6655" s="3"/>
    </row>
    <row r="6656" spans="1:9" s="4" customFormat="1" ht="20.25" customHeight="1" x14ac:dyDescent="0.55000000000000004">
      <c r="A6656" s="18">
        <v>24.736272599999999</v>
      </c>
      <c r="B6656" s="18">
        <v>34.778063400000001</v>
      </c>
      <c r="C6656" s="18">
        <v>679823.84</v>
      </c>
      <c r="D6656" s="18">
        <v>2736913.91</v>
      </c>
      <c r="E6656" s="18">
        <v>424.62</v>
      </c>
      <c r="F6656" s="18">
        <v>41815.480000000003</v>
      </c>
      <c r="G6656" s="18">
        <v>122730</v>
      </c>
      <c r="H6656" s="18">
        <f t="shared" si="155"/>
        <v>41669.480000000003</v>
      </c>
      <c r="I6656" s="3"/>
    </row>
    <row r="6657" spans="1:9" s="4" customFormat="1" ht="20.25" customHeight="1" x14ac:dyDescent="0.55000000000000004">
      <c r="A6657" s="18">
        <v>24.736272899999999</v>
      </c>
      <c r="B6657" s="18">
        <v>34.7780421</v>
      </c>
      <c r="C6657" s="18">
        <v>679821.68</v>
      </c>
      <c r="D6657" s="18">
        <v>2736913.91</v>
      </c>
      <c r="E6657" s="18">
        <v>424.71</v>
      </c>
      <c r="F6657" s="18">
        <v>41815.300000000003</v>
      </c>
      <c r="G6657" s="18">
        <v>122732</v>
      </c>
      <c r="H6657" s="18">
        <f t="shared" si="155"/>
        <v>41669.300000000003</v>
      </c>
      <c r="I6657" s="3"/>
    </row>
    <row r="6658" spans="1:9" s="4" customFormat="1" ht="20.25" customHeight="1" x14ac:dyDescent="0.55000000000000004">
      <c r="A6658" s="18">
        <v>24.736275200000001</v>
      </c>
      <c r="B6658" s="18">
        <v>34.778018299999999</v>
      </c>
      <c r="C6658" s="18">
        <v>679819.27</v>
      </c>
      <c r="D6658" s="18">
        <v>2736914.14</v>
      </c>
      <c r="E6658" s="18">
        <v>424.95</v>
      </c>
      <c r="F6658" s="18">
        <v>41804.480000000003</v>
      </c>
      <c r="G6658" s="18">
        <v>122734</v>
      </c>
      <c r="H6658" s="18">
        <f t="shared" si="155"/>
        <v>41658.480000000003</v>
      </c>
      <c r="I6658" s="3"/>
    </row>
    <row r="6659" spans="1:9" s="4" customFormat="1" ht="20.25" customHeight="1" x14ac:dyDescent="0.55000000000000004">
      <c r="A6659" s="18">
        <v>24.7362787</v>
      </c>
      <c r="B6659" s="18">
        <v>34.777996100000003</v>
      </c>
      <c r="C6659" s="18">
        <v>679817.02</v>
      </c>
      <c r="D6659" s="18">
        <v>2736914.49</v>
      </c>
      <c r="E6659" s="18">
        <v>425.2</v>
      </c>
      <c r="F6659" s="18">
        <v>41795.57</v>
      </c>
      <c r="G6659" s="18">
        <v>122736</v>
      </c>
      <c r="H6659" s="18">
        <f t="shared" si="155"/>
        <v>41649.57</v>
      </c>
      <c r="I6659" s="3"/>
    </row>
    <row r="6660" spans="1:9" s="4" customFormat="1" ht="20.25" customHeight="1" x14ac:dyDescent="0.55000000000000004">
      <c r="A6660" s="18">
        <v>24.7362799</v>
      </c>
      <c r="B6660" s="18">
        <v>34.777976500000001</v>
      </c>
      <c r="C6660" s="18">
        <v>679815.04</v>
      </c>
      <c r="D6660" s="18">
        <v>2736914.61</v>
      </c>
      <c r="E6660" s="18">
        <v>425.39</v>
      </c>
      <c r="F6660" s="18">
        <v>41775.949999999997</v>
      </c>
      <c r="G6660" s="18">
        <v>122738</v>
      </c>
      <c r="H6660" s="18">
        <f t="shared" si="155"/>
        <v>41629.949999999997</v>
      </c>
      <c r="I6660" s="3"/>
    </row>
    <row r="6661" spans="1:9" s="4" customFormat="1" ht="20.25" customHeight="1" x14ac:dyDescent="0.55000000000000004">
      <c r="A6661" s="18">
        <v>24.736276799999999</v>
      </c>
      <c r="B6661" s="18">
        <v>34.7779563</v>
      </c>
      <c r="C6661" s="18">
        <v>679813</v>
      </c>
      <c r="D6661" s="18">
        <v>2736914.24</v>
      </c>
      <c r="E6661" s="18">
        <v>425.37</v>
      </c>
      <c r="F6661" s="18">
        <v>41780.36</v>
      </c>
      <c r="G6661" s="18">
        <v>122740</v>
      </c>
      <c r="H6661" s="18">
        <f t="shared" si="155"/>
        <v>41634.36</v>
      </c>
      <c r="I6661" s="3"/>
    </row>
    <row r="6662" spans="1:9" s="4" customFormat="1" ht="20.25" customHeight="1" x14ac:dyDescent="0.55000000000000004">
      <c r="A6662" s="18">
        <v>24.736267699999999</v>
      </c>
      <c r="B6662" s="18">
        <v>34.7779369</v>
      </c>
      <c r="C6662" s="18">
        <v>679811.05</v>
      </c>
      <c r="D6662" s="18">
        <v>2736913.21</v>
      </c>
      <c r="E6662" s="18">
        <v>425.33</v>
      </c>
      <c r="F6662" s="18">
        <v>41798.53</v>
      </c>
      <c r="G6662" s="18">
        <v>122742</v>
      </c>
      <c r="H6662" s="18">
        <f t="shared" si="155"/>
        <v>41652.53</v>
      </c>
      <c r="I6662" s="3"/>
    </row>
    <row r="6663" spans="1:9" s="4" customFormat="1" ht="20.25" customHeight="1" x14ac:dyDescent="0.55000000000000004">
      <c r="A6663" s="18">
        <v>24.736267000000002</v>
      </c>
      <c r="B6663" s="18">
        <v>34.777919599999997</v>
      </c>
      <c r="C6663" s="18">
        <v>679809.31</v>
      </c>
      <c r="D6663" s="18">
        <v>2736913.11</v>
      </c>
      <c r="E6663" s="18">
        <v>425.67</v>
      </c>
      <c r="F6663" s="18">
        <v>41795.980000000003</v>
      </c>
      <c r="G6663" s="18">
        <v>122744</v>
      </c>
      <c r="H6663" s="18">
        <f t="shared" si="155"/>
        <v>41649.980000000003</v>
      </c>
      <c r="I6663" s="3"/>
    </row>
    <row r="6664" spans="1:9" s="4" customFormat="1" ht="20.25" customHeight="1" x14ac:dyDescent="0.55000000000000004">
      <c r="A6664" s="18">
        <v>24.736261599999999</v>
      </c>
      <c r="B6664" s="18">
        <v>34.777901499999999</v>
      </c>
      <c r="C6664" s="18">
        <v>679807.48</v>
      </c>
      <c r="D6664" s="18">
        <v>2736912.47</v>
      </c>
      <c r="E6664" s="18">
        <v>425.87</v>
      </c>
      <c r="F6664" s="18">
        <v>41812.35</v>
      </c>
      <c r="G6664" s="18">
        <v>122746</v>
      </c>
      <c r="H6664" s="18">
        <f t="shared" si="155"/>
        <v>41666.35</v>
      </c>
      <c r="I6664" s="3"/>
    </row>
    <row r="6665" spans="1:9" s="4" customFormat="1" ht="20.25" customHeight="1" x14ac:dyDescent="0.55000000000000004">
      <c r="A6665" s="18">
        <v>24.7362562</v>
      </c>
      <c r="B6665" s="18">
        <v>34.777878999999999</v>
      </c>
      <c r="C6665" s="18">
        <v>679805.21</v>
      </c>
      <c r="D6665" s="18">
        <v>2736911.85</v>
      </c>
      <c r="E6665" s="18">
        <v>426.03</v>
      </c>
      <c r="F6665" s="18">
        <v>41809.599999999999</v>
      </c>
      <c r="G6665" s="18">
        <v>122748</v>
      </c>
      <c r="H6665" s="18">
        <f t="shared" si="155"/>
        <v>41663.599999999999</v>
      </c>
      <c r="I6665" s="3"/>
    </row>
    <row r="6666" spans="1:9" s="4" customFormat="1" ht="20.25" customHeight="1" x14ac:dyDescent="0.55000000000000004">
      <c r="A6666" s="18">
        <v>24.736249399999998</v>
      </c>
      <c r="B6666" s="18">
        <v>34.7778627</v>
      </c>
      <c r="C6666" s="18">
        <v>679803.57</v>
      </c>
      <c r="D6666" s="18">
        <v>2736911.07</v>
      </c>
      <c r="E6666" s="18">
        <v>426.03</v>
      </c>
      <c r="F6666" s="18">
        <v>41816.29</v>
      </c>
      <c r="G6666" s="18">
        <v>122750</v>
      </c>
      <c r="H6666" s="18">
        <f t="shared" si="155"/>
        <v>41670.29</v>
      </c>
      <c r="I6666" s="3"/>
    </row>
    <row r="6667" spans="1:9" s="4" customFormat="1" ht="20.25" customHeight="1" x14ac:dyDescent="0.55000000000000004">
      <c r="A6667" s="18">
        <v>24.7362416</v>
      </c>
      <c r="B6667" s="18">
        <v>34.777844100000003</v>
      </c>
      <c r="C6667" s="18">
        <v>679801.71</v>
      </c>
      <c r="D6667" s="18">
        <v>2736910.19</v>
      </c>
      <c r="E6667" s="18">
        <v>425.89</v>
      </c>
      <c r="F6667" s="18">
        <v>41793.39</v>
      </c>
      <c r="G6667" s="18">
        <v>122752</v>
      </c>
      <c r="H6667" s="18">
        <f t="shared" si="155"/>
        <v>41647.39</v>
      </c>
      <c r="I6667" s="3"/>
    </row>
    <row r="6668" spans="1:9" s="4" customFormat="1" ht="20.25" customHeight="1" x14ac:dyDescent="0.55000000000000004">
      <c r="A6668" s="18">
        <v>24.736235099999998</v>
      </c>
      <c r="B6668" s="18">
        <v>34.777824299999999</v>
      </c>
      <c r="C6668" s="18">
        <v>679799.71</v>
      </c>
      <c r="D6668" s="18">
        <v>2736909.45</v>
      </c>
      <c r="E6668" s="18">
        <v>426.14</v>
      </c>
      <c r="F6668" s="18">
        <v>41783.050000000003</v>
      </c>
      <c r="G6668" s="18">
        <v>122754</v>
      </c>
      <c r="H6668" s="18">
        <f t="shared" si="155"/>
        <v>41637.050000000003</v>
      </c>
      <c r="I6668" s="3"/>
    </row>
    <row r="6669" spans="1:9" s="4" customFormat="1" ht="20.25" customHeight="1" x14ac:dyDescent="0.55000000000000004">
      <c r="A6669" s="18">
        <v>24.736225999999998</v>
      </c>
      <c r="B6669" s="18">
        <v>34.777808</v>
      </c>
      <c r="C6669" s="18">
        <v>679798.07</v>
      </c>
      <c r="D6669" s="18">
        <v>2736908.41</v>
      </c>
      <c r="E6669" s="18">
        <v>426.32</v>
      </c>
      <c r="F6669" s="18">
        <v>41781.33</v>
      </c>
      <c r="G6669" s="18">
        <v>122756</v>
      </c>
      <c r="H6669" s="18">
        <f t="shared" si="155"/>
        <v>41635.33</v>
      </c>
      <c r="I6669" s="3"/>
    </row>
    <row r="6670" spans="1:9" s="4" customFormat="1" ht="20.25" customHeight="1" x14ac:dyDescent="0.55000000000000004">
      <c r="A6670" s="18">
        <v>24.736212299999998</v>
      </c>
      <c r="B6670" s="18">
        <v>34.777790199999998</v>
      </c>
      <c r="C6670" s="18">
        <v>679796.29</v>
      </c>
      <c r="D6670" s="18">
        <v>2736906.87</v>
      </c>
      <c r="E6670" s="18">
        <v>426.42</v>
      </c>
      <c r="F6670" s="18">
        <v>41796.160000000003</v>
      </c>
      <c r="G6670" s="18">
        <v>122758</v>
      </c>
      <c r="H6670" s="18">
        <f t="shared" si="155"/>
        <v>41650.160000000003</v>
      </c>
      <c r="I6670" s="3"/>
    </row>
    <row r="6671" spans="1:9" s="4" customFormat="1" ht="20.25" customHeight="1" x14ac:dyDescent="0.55000000000000004">
      <c r="A6671" s="18">
        <v>24.736207799999999</v>
      </c>
      <c r="B6671" s="18">
        <v>34.777772499999998</v>
      </c>
      <c r="C6671" s="18">
        <v>679794.51</v>
      </c>
      <c r="D6671" s="18">
        <v>2736906.35</v>
      </c>
      <c r="E6671" s="18">
        <v>426.67</v>
      </c>
      <c r="F6671" s="18">
        <v>41805.019999999997</v>
      </c>
      <c r="G6671" s="18">
        <v>122800</v>
      </c>
      <c r="H6671" s="18">
        <f t="shared" si="155"/>
        <v>41659.019999999997</v>
      </c>
      <c r="I6671" s="3"/>
    </row>
    <row r="6672" spans="1:9" s="4" customFormat="1" ht="20.25" customHeight="1" x14ac:dyDescent="0.55000000000000004">
      <c r="A6672" s="18">
        <v>24.736212399999999</v>
      </c>
      <c r="B6672" s="18">
        <v>34.777751799999997</v>
      </c>
      <c r="C6672" s="18">
        <v>679792.41</v>
      </c>
      <c r="D6672" s="18">
        <v>2736906.83</v>
      </c>
      <c r="E6672" s="18">
        <v>426.94</v>
      </c>
      <c r="F6672" s="18">
        <v>41797.620000000003</v>
      </c>
      <c r="G6672" s="18">
        <v>122802</v>
      </c>
      <c r="H6672" s="18">
        <f t="shared" si="155"/>
        <v>41651.620000000003</v>
      </c>
      <c r="I6672" s="3"/>
    </row>
    <row r="6673" spans="1:9" s="4" customFormat="1" ht="20.25" customHeight="1" x14ac:dyDescent="0.55000000000000004">
      <c r="A6673" s="18">
        <v>24.736207700000001</v>
      </c>
      <c r="B6673" s="18">
        <v>34.777734700000003</v>
      </c>
      <c r="C6673" s="18">
        <v>679790.69</v>
      </c>
      <c r="D6673" s="18">
        <v>2736906.29</v>
      </c>
      <c r="E6673" s="18">
        <v>427.08</v>
      </c>
      <c r="F6673" s="18">
        <v>41816.339999999997</v>
      </c>
      <c r="G6673" s="18">
        <v>122804</v>
      </c>
      <c r="H6673" s="18">
        <f t="shared" si="155"/>
        <v>41670.339999999997</v>
      </c>
      <c r="I6673" s="3"/>
    </row>
    <row r="6674" spans="1:9" s="4" customFormat="1" ht="20.25" customHeight="1" x14ac:dyDescent="0.55000000000000004">
      <c r="A6674" s="18">
        <v>24.736201999999999</v>
      </c>
      <c r="B6674" s="18">
        <v>34.7777137</v>
      </c>
      <c r="C6674" s="18">
        <v>679788.57</v>
      </c>
      <c r="D6674" s="18">
        <v>2736905.63</v>
      </c>
      <c r="E6674" s="18">
        <v>427.05</v>
      </c>
      <c r="F6674" s="18">
        <v>41767.129999999997</v>
      </c>
      <c r="G6674" s="18">
        <v>122806</v>
      </c>
      <c r="H6674" s="18">
        <f t="shared" si="155"/>
        <v>41621.129999999997</v>
      </c>
      <c r="I6674" s="3"/>
    </row>
    <row r="6675" spans="1:9" s="4" customFormat="1" ht="20.25" customHeight="1" x14ac:dyDescent="0.55000000000000004">
      <c r="A6675" s="18">
        <v>24.736194699999999</v>
      </c>
      <c r="B6675" s="18">
        <v>34.777692199999997</v>
      </c>
      <c r="C6675" s="18">
        <v>679786.41</v>
      </c>
      <c r="D6675" s="18">
        <v>2736904.79</v>
      </c>
      <c r="E6675" s="18">
        <v>427.1</v>
      </c>
      <c r="F6675" s="18">
        <v>41758.400000000001</v>
      </c>
      <c r="G6675" s="18">
        <v>122808</v>
      </c>
      <c r="H6675" s="18">
        <f t="shared" si="155"/>
        <v>41612.400000000001</v>
      </c>
      <c r="I6675" s="3"/>
    </row>
    <row r="6676" spans="1:9" s="4" customFormat="1" ht="20.25" customHeight="1" x14ac:dyDescent="0.55000000000000004">
      <c r="A6676" s="18">
        <v>24.736189299999999</v>
      </c>
      <c r="B6676" s="18">
        <v>34.777675799999997</v>
      </c>
      <c r="C6676" s="18">
        <v>679784.76</v>
      </c>
      <c r="D6676" s="18">
        <v>2736904.18</v>
      </c>
      <c r="E6676" s="18">
        <v>426.91</v>
      </c>
      <c r="F6676" s="18">
        <v>41752.93</v>
      </c>
      <c r="G6676" s="18">
        <v>122810</v>
      </c>
      <c r="H6676" s="18">
        <f t="shared" si="155"/>
        <v>41606.93</v>
      </c>
      <c r="I6676" s="3"/>
    </row>
    <row r="6677" spans="1:9" s="4" customFormat="1" ht="20.25" customHeight="1" x14ac:dyDescent="0.55000000000000004">
      <c r="A6677" s="18">
        <v>24.736186799999999</v>
      </c>
      <c r="B6677" s="18">
        <v>34.777657900000001</v>
      </c>
      <c r="C6677" s="18">
        <v>679782.94</v>
      </c>
      <c r="D6677" s="18">
        <v>2736903.88</v>
      </c>
      <c r="E6677" s="18">
        <v>426.78</v>
      </c>
      <c r="F6677" s="18">
        <v>41766.92</v>
      </c>
      <c r="G6677" s="18">
        <v>122812</v>
      </c>
      <c r="H6677" s="18">
        <f t="shared" si="155"/>
        <v>41620.92</v>
      </c>
      <c r="I6677" s="3"/>
    </row>
    <row r="6678" spans="1:9" s="4" customFormat="1" ht="20.25" customHeight="1" x14ac:dyDescent="0.55000000000000004">
      <c r="A6678" s="18">
        <v>24.736183499999999</v>
      </c>
      <c r="B6678" s="18">
        <v>34.7776347</v>
      </c>
      <c r="C6678" s="18">
        <v>679780.61</v>
      </c>
      <c r="D6678" s="18">
        <v>2736903.48</v>
      </c>
      <c r="E6678" s="18">
        <v>427.08</v>
      </c>
      <c r="F6678" s="18">
        <v>41785.24</v>
      </c>
      <c r="G6678" s="18">
        <v>122814</v>
      </c>
      <c r="H6678" s="18">
        <f t="shared" si="155"/>
        <v>41639.24</v>
      </c>
      <c r="I6678" s="3"/>
    </row>
    <row r="6679" spans="1:9" s="4" customFormat="1" ht="20.25" customHeight="1" x14ac:dyDescent="0.55000000000000004">
      <c r="A6679" s="18">
        <v>24.736177099999999</v>
      </c>
      <c r="B6679" s="18">
        <v>34.777613799999997</v>
      </c>
      <c r="C6679" s="18">
        <v>679778.5</v>
      </c>
      <c r="D6679" s="18">
        <v>2736902.74</v>
      </c>
      <c r="E6679" s="18">
        <v>427.11</v>
      </c>
      <c r="F6679" s="18">
        <v>41796.74</v>
      </c>
      <c r="G6679" s="18">
        <v>122816</v>
      </c>
      <c r="H6679" s="18">
        <f t="shared" si="155"/>
        <v>41650.74</v>
      </c>
      <c r="I6679" s="3"/>
    </row>
    <row r="6680" spans="1:9" s="4" customFormat="1" ht="20.25" customHeight="1" x14ac:dyDescent="0.55000000000000004">
      <c r="A6680" s="18">
        <v>24.736174999999999</v>
      </c>
      <c r="B6680" s="18">
        <v>34.777595699999999</v>
      </c>
      <c r="C6680" s="18">
        <v>679776.67</v>
      </c>
      <c r="D6680" s="18">
        <v>2736902.48</v>
      </c>
      <c r="E6680" s="18">
        <v>427.15</v>
      </c>
      <c r="F6680" s="18">
        <v>41798.300000000003</v>
      </c>
      <c r="G6680" s="18">
        <v>122818</v>
      </c>
      <c r="H6680" s="18">
        <f t="shared" si="155"/>
        <v>41652.300000000003</v>
      </c>
      <c r="I6680" s="3"/>
    </row>
    <row r="6681" spans="1:9" s="4" customFormat="1" ht="20.25" customHeight="1" x14ac:dyDescent="0.55000000000000004">
      <c r="A6681" s="18">
        <v>24.736171299999999</v>
      </c>
      <c r="B6681" s="18">
        <v>34.777576600000003</v>
      </c>
      <c r="C6681" s="18">
        <v>679774.74</v>
      </c>
      <c r="D6681" s="18">
        <v>2736902.05</v>
      </c>
      <c r="E6681" s="18">
        <v>427.18</v>
      </c>
      <c r="F6681" s="18">
        <v>41796.199999999997</v>
      </c>
      <c r="G6681" s="18">
        <v>122820</v>
      </c>
      <c r="H6681" s="18">
        <f t="shared" si="155"/>
        <v>41650.199999999997</v>
      </c>
      <c r="I6681" s="3"/>
    </row>
    <row r="6682" spans="1:9" s="4" customFormat="1" ht="20.25" customHeight="1" x14ac:dyDescent="0.55000000000000004">
      <c r="A6682" s="18">
        <v>24.736170699999999</v>
      </c>
      <c r="B6682" s="18">
        <v>34.777568799999997</v>
      </c>
      <c r="C6682" s="18">
        <v>679773.96</v>
      </c>
      <c r="D6682" s="18">
        <v>2736901.97</v>
      </c>
      <c r="E6682" s="18">
        <v>427.19</v>
      </c>
      <c r="F6682" s="18">
        <v>41787.47</v>
      </c>
      <c r="G6682" s="18">
        <v>122822</v>
      </c>
      <c r="H6682" s="18">
        <f t="shared" si="155"/>
        <v>41641.47</v>
      </c>
      <c r="I6682" s="3"/>
    </row>
    <row r="6683" spans="1:9" s="4" customFormat="1" ht="20.25" customHeight="1" x14ac:dyDescent="0.55000000000000004">
      <c r="A6683" s="18">
        <v>24.736162799999999</v>
      </c>
      <c r="B6683" s="18">
        <v>34.777554100000003</v>
      </c>
      <c r="C6683" s="18">
        <v>679772.48</v>
      </c>
      <c r="D6683" s="18">
        <v>2736901.08</v>
      </c>
      <c r="E6683" s="18">
        <v>427.18</v>
      </c>
      <c r="F6683" s="18">
        <v>41797.660000000003</v>
      </c>
      <c r="G6683" s="18">
        <v>122824</v>
      </c>
      <c r="H6683" s="18">
        <f t="shared" si="155"/>
        <v>41651.660000000003</v>
      </c>
      <c r="I6683" s="3"/>
    </row>
    <row r="6684" spans="1:9" s="4" customFormat="1" ht="20.25" customHeight="1" x14ac:dyDescent="0.55000000000000004">
      <c r="A6684" s="18">
        <v>24.736158499999998</v>
      </c>
      <c r="B6684" s="18">
        <v>34.777537000000002</v>
      </c>
      <c r="C6684" s="18">
        <v>679770.76</v>
      </c>
      <c r="D6684" s="18">
        <v>2736900.58</v>
      </c>
      <c r="E6684" s="18">
        <v>427.29</v>
      </c>
      <c r="F6684" s="18">
        <v>41821.17</v>
      </c>
      <c r="G6684" s="18">
        <v>122826</v>
      </c>
      <c r="H6684" s="18">
        <f t="shared" si="155"/>
        <v>41675.17</v>
      </c>
      <c r="I6684" s="3"/>
    </row>
    <row r="6685" spans="1:9" s="4" customFormat="1" ht="20.25" customHeight="1" x14ac:dyDescent="0.55000000000000004">
      <c r="A6685" s="18">
        <v>24.7361602</v>
      </c>
      <c r="B6685" s="18">
        <v>34.777518999999998</v>
      </c>
      <c r="C6685" s="18">
        <v>679768.93</v>
      </c>
      <c r="D6685" s="18">
        <v>2736900.75</v>
      </c>
      <c r="E6685" s="18">
        <v>427.19</v>
      </c>
      <c r="F6685" s="18">
        <v>41836.33</v>
      </c>
      <c r="G6685" s="18">
        <v>122828</v>
      </c>
      <c r="H6685" s="18">
        <f t="shared" si="155"/>
        <v>41690.33</v>
      </c>
      <c r="I6685" s="3"/>
    </row>
    <row r="6686" spans="1:9" s="4" customFormat="1" ht="20.25" customHeight="1" x14ac:dyDescent="0.55000000000000004">
      <c r="A6686" s="18">
        <v>24.736159799999999</v>
      </c>
      <c r="B6686" s="18">
        <v>34.777502599999998</v>
      </c>
      <c r="C6686" s="18">
        <v>679767.28</v>
      </c>
      <c r="D6686" s="18">
        <v>2736900.68</v>
      </c>
      <c r="E6686" s="18">
        <v>426.96</v>
      </c>
      <c r="F6686" s="18">
        <v>41800.019999999997</v>
      </c>
      <c r="G6686" s="18">
        <v>122830</v>
      </c>
      <c r="H6686" s="18">
        <f t="shared" si="155"/>
        <v>41654.019999999997</v>
      </c>
      <c r="I6686" s="3"/>
    </row>
    <row r="6687" spans="1:9" s="4" customFormat="1" ht="20.25" customHeight="1" x14ac:dyDescent="0.55000000000000004">
      <c r="A6687" s="18">
        <v>24.736155</v>
      </c>
      <c r="B6687" s="18">
        <v>34.777489000000003</v>
      </c>
      <c r="C6687" s="18">
        <v>679765.91</v>
      </c>
      <c r="D6687" s="18">
        <v>2736900.14</v>
      </c>
      <c r="E6687" s="18">
        <v>426.65</v>
      </c>
      <c r="F6687" s="18">
        <v>41798.230000000003</v>
      </c>
      <c r="G6687" s="18">
        <v>122832</v>
      </c>
      <c r="H6687" s="18">
        <f t="shared" si="155"/>
        <v>41652.230000000003</v>
      </c>
      <c r="I6687" s="3"/>
    </row>
    <row r="6688" spans="1:9" s="4" customFormat="1" ht="20.25" customHeight="1" x14ac:dyDescent="0.55000000000000004">
      <c r="A6688" s="18">
        <v>24.736138100000002</v>
      </c>
      <c r="B6688" s="18">
        <v>34.777479800000002</v>
      </c>
      <c r="C6688" s="18">
        <v>679765</v>
      </c>
      <c r="D6688" s="18">
        <v>2736898.25</v>
      </c>
      <c r="E6688" s="18">
        <v>426.43</v>
      </c>
      <c r="F6688" s="18">
        <v>41794.559999999998</v>
      </c>
      <c r="G6688" s="18">
        <v>122834</v>
      </c>
      <c r="H6688" s="18">
        <f t="shared" si="155"/>
        <v>41648.559999999998</v>
      </c>
      <c r="I6688" s="3"/>
    </row>
    <row r="6689" spans="1:9" s="4" customFormat="1" ht="20.25" customHeight="1" x14ac:dyDescent="0.55000000000000004">
      <c r="A6689" s="18">
        <v>24.736120499999998</v>
      </c>
      <c r="B6689" s="18">
        <v>34.777475000000003</v>
      </c>
      <c r="C6689" s="18">
        <v>679764.54</v>
      </c>
      <c r="D6689" s="18">
        <v>2736896.29</v>
      </c>
      <c r="E6689" s="18">
        <v>426.23</v>
      </c>
      <c r="F6689" s="18">
        <v>41793.33</v>
      </c>
      <c r="G6689" s="18">
        <v>122836</v>
      </c>
      <c r="H6689" s="18">
        <f t="shared" si="155"/>
        <v>41647.33</v>
      </c>
      <c r="I6689" s="3"/>
    </row>
    <row r="6690" spans="1:9" s="4" customFormat="1" ht="20.25" customHeight="1" x14ac:dyDescent="0.55000000000000004">
      <c r="A6690" s="18">
        <v>24.736105500000001</v>
      </c>
      <c r="B6690" s="18">
        <v>34.777463300000001</v>
      </c>
      <c r="C6690" s="18">
        <v>679763.38</v>
      </c>
      <c r="D6690" s="18">
        <v>2736894.61</v>
      </c>
      <c r="E6690" s="18">
        <v>425.97</v>
      </c>
      <c r="F6690" s="18">
        <v>41816.870000000003</v>
      </c>
      <c r="G6690" s="18">
        <v>122838</v>
      </c>
      <c r="H6690" s="18">
        <f t="shared" si="155"/>
        <v>41670.870000000003</v>
      </c>
      <c r="I6690" s="3"/>
    </row>
    <row r="6691" spans="1:9" s="4" customFormat="1" ht="20.25" customHeight="1" x14ac:dyDescent="0.55000000000000004">
      <c r="A6691" s="18">
        <v>24.7361009</v>
      </c>
      <c r="B6691" s="18">
        <v>34.777447700000003</v>
      </c>
      <c r="C6691" s="18">
        <v>679761.81</v>
      </c>
      <c r="D6691" s="18">
        <v>2736894.09</v>
      </c>
      <c r="E6691" s="18">
        <v>425.82</v>
      </c>
      <c r="F6691" s="18">
        <v>41762.31</v>
      </c>
      <c r="G6691" s="18">
        <v>122840</v>
      </c>
      <c r="H6691" s="18">
        <f t="shared" si="155"/>
        <v>41616.31</v>
      </c>
      <c r="I6691" s="3"/>
    </row>
    <row r="6692" spans="1:9" s="4" customFormat="1" ht="20.25" customHeight="1" x14ac:dyDescent="0.55000000000000004">
      <c r="A6692" s="18">
        <v>24.7360954</v>
      </c>
      <c r="B6692" s="18">
        <v>34.777433799999997</v>
      </c>
      <c r="C6692" s="18">
        <v>679760.41</v>
      </c>
      <c r="D6692" s="18">
        <v>2736893.46</v>
      </c>
      <c r="E6692" s="18">
        <v>425.55</v>
      </c>
      <c r="F6692" s="18">
        <v>41686.17</v>
      </c>
      <c r="G6692" s="18">
        <v>122842</v>
      </c>
      <c r="H6692" s="18">
        <f t="shared" si="155"/>
        <v>41540.17</v>
      </c>
      <c r="I6692" s="3"/>
    </row>
    <row r="6693" spans="1:9" s="4" customFormat="1" ht="20.25" customHeight="1" x14ac:dyDescent="0.55000000000000004">
      <c r="A6693" s="18">
        <v>24.7360933</v>
      </c>
      <c r="B6693" s="18">
        <v>34.777414700000001</v>
      </c>
      <c r="C6693" s="18">
        <v>679758.48</v>
      </c>
      <c r="D6693" s="18">
        <v>2736893.2</v>
      </c>
      <c r="E6693" s="18">
        <v>424.99</v>
      </c>
      <c r="F6693" s="18">
        <v>41683.5</v>
      </c>
      <c r="G6693" s="18">
        <v>122844</v>
      </c>
      <c r="H6693" s="18">
        <f t="shared" ref="H6693:H6756" si="156">SUM(F6693-146)</f>
        <v>41537.5</v>
      </c>
      <c r="I6693" s="3"/>
    </row>
    <row r="6694" spans="1:9" s="4" customFormat="1" ht="20.25" customHeight="1" x14ac:dyDescent="0.55000000000000004">
      <c r="A6694" s="18">
        <v>24.736086799999999</v>
      </c>
      <c r="B6694" s="18">
        <v>34.777410199999998</v>
      </c>
      <c r="C6694" s="18">
        <v>679758.03</v>
      </c>
      <c r="D6694" s="18">
        <v>2736892.47</v>
      </c>
      <c r="E6694" s="18">
        <v>424.95</v>
      </c>
      <c r="F6694" s="18">
        <v>41730.980000000003</v>
      </c>
      <c r="G6694" s="18">
        <v>122846</v>
      </c>
      <c r="H6694" s="18">
        <f t="shared" si="156"/>
        <v>41584.980000000003</v>
      </c>
      <c r="I6694" s="3"/>
    </row>
    <row r="6695" spans="1:9" s="4" customFormat="1" ht="20.25" customHeight="1" x14ac:dyDescent="0.55000000000000004">
      <c r="A6695" s="18">
        <v>24.7360854</v>
      </c>
      <c r="B6695" s="18">
        <v>34.777411299999997</v>
      </c>
      <c r="C6695" s="18">
        <v>679758.15</v>
      </c>
      <c r="D6695" s="18">
        <v>2736892.32</v>
      </c>
      <c r="E6695" s="18">
        <v>424.93</v>
      </c>
      <c r="F6695" s="18">
        <v>41728.339999999997</v>
      </c>
      <c r="G6695" s="18">
        <v>122848</v>
      </c>
      <c r="H6695" s="18">
        <f t="shared" si="156"/>
        <v>41582.339999999997</v>
      </c>
      <c r="I6695" s="3"/>
    </row>
    <row r="6696" spans="1:9" s="4" customFormat="1" ht="20.25" customHeight="1" x14ac:dyDescent="0.55000000000000004">
      <c r="A6696" s="18">
        <v>24.736085299999999</v>
      </c>
      <c r="B6696" s="18">
        <v>34.777411800000003</v>
      </c>
      <c r="C6696" s="18">
        <v>679758.2</v>
      </c>
      <c r="D6696" s="18">
        <v>2736892.31</v>
      </c>
      <c r="E6696" s="18">
        <v>424.89</v>
      </c>
      <c r="F6696" s="18">
        <v>41725.800000000003</v>
      </c>
      <c r="G6696" s="18">
        <v>122850</v>
      </c>
      <c r="H6696" s="18">
        <f t="shared" si="156"/>
        <v>41579.800000000003</v>
      </c>
      <c r="I6696" s="3"/>
    </row>
    <row r="6697" spans="1:9" s="4" customFormat="1" ht="20.25" customHeight="1" x14ac:dyDescent="0.55000000000000004">
      <c r="A6697" s="18">
        <v>24.7360854</v>
      </c>
      <c r="B6697" s="18">
        <v>34.777411600000001</v>
      </c>
      <c r="C6697" s="18">
        <v>679758.18</v>
      </c>
      <c r="D6697" s="18">
        <v>2736892.32</v>
      </c>
      <c r="E6697" s="18">
        <v>424.88</v>
      </c>
      <c r="F6697" s="18">
        <v>41725.449999999997</v>
      </c>
      <c r="G6697" s="18">
        <v>122852</v>
      </c>
      <c r="H6697" s="18">
        <f t="shared" si="156"/>
        <v>41579.449999999997</v>
      </c>
      <c r="I6697" s="3"/>
    </row>
    <row r="6698" spans="1:9" s="4" customFormat="1" ht="20.25" customHeight="1" x14ac:dyDescent="0.55000000000000004">
      <c r="A6698" s="18">
        <v>24.736085599999999</v>
      </c>
      <c r="B6698" s="18">
        <v>34.777409400000003</v>
      </c>
      <c r="C6698" s="18">
        <v>679757.96</v>
      </c>
      <c r="D6698" s="18">
        <v>2736892.34</v>
      </c>
      <c r="E6698" s="18">
        <v>424.8</v>
      </c>
      <c r="F6698" s="18">
        <v>41721.339999999997</v>
      </c>
      <c r="G6698" s="18">
        <v>122854</v>
      </c>
      <c r="H6698" s="18">
        <f t="shared" si="156"/>
        <v>41575.339999999997</v>
      </c>
      <c r="I6698" s="3"/>
    </row>
    <row r="6699" spans="1:9" s="4" customFormat="1" ht="20.25" customHeight="1" x14ac:dyDescent="0.55000000000000004">
      <c r="A6699" s="18">
        <v>24.736084999999999</v>
      </c>
      <c r="B6699" s="18">
        <v>34.7773982</v>
      </c>
      <c r="C6699" s="18">
        <v>679756.82</v>
      </c>
      <c r="D6699" s="18">
        <v>2736892.26</v>
      </c>
      <c r="E6699" s="18">
        <v>424.69</v>
      </c>
      <c r="F6699" s="18">
        <v>41711.83</v>
      </c>
      <c r="G6699" s="18">
        <v>122856</v>
      </c>
      <c r="H6699" s="18">
        <f t="shared" si="156"/>
        <v>41565.83</v>
      </c>
      <c r="I6699" s="3"/>
    </row>
    <row r="6700" spans="1:9" s="4" customFormat="1" ht="20.25" customHeight="1" x14ac:dyDescent="0.55000000000000004">
      <c r="A6700" s="18">
        <v>24.736103100000001</v>
      </c>
      <c r="B6700" s="18">
        <v>34.777400999999998</v>
      </c>
      <c r="C6700" s="18">
        <v>679757.08</v>
      </c>
      <c r="D6700" s="18">
        <v>2736894.26</v>
      </c>
      <c r="E6700" s="18">
        <v>424.78</v>
      </c>
      <c r="F6700" s="18">
        <v>41692.660000000003</v>
      </c>
      <c r="G6700" s="18">
        <v>122858</v>
      </c>
      <c r="H6700" s="18">
        <f t="shared" si="156"/>
        <v>41546.660000000003</v>
      </c>
      <c r="I6700" s="3"/>
    </row>
    <row r="6701" spans="1:9" s="4" customFormat="1" ht="20.25" customHeight="1" x14ac:dyDescent="0.55000000000000004">
      <c r="A6701" s="18">
        <v>24.736122399999999</v>
      </c>
      <c r="B6701" s="18">
        <v>34.777399199999998</v>
      </c>
      <c r="C6701" s="18">
        <v>679756.87</v>
      </c>
      <c r="D6701" s="18">
        <v>2736896.4</v>
      </c>
      <c r="E6701" s="18">
        <v>425.19</v>
      </c>
      <c r="F6701" s="18">
        <v>41695.160000000003</v>
      </c>
      <c r="G6701" s="18">
        <v>122900</v>
      </c>
      <c r="H6701" s="18">
        <f t="shared" si="156"/>
        <v>41549.160000000003</v>
      </c>
      <c r="I6701" s="3"/>
    </row>
    <row r="6702" spans="1:9" s="4" customFormat="1" ht="20.25" customHeight="1" x14ac:dyDescent="0.55000000000000004">
      <c r="A6702" s="18">
        <v>24.736137599999999</v>
      </c>
      <c r="B6702" s="18">
        <v>34.777393199999999</v>
      </c>
      <c r="C6702" s="18">
        <v>679756.24</v>
      </c>
      <c r="D6702" s="18">
        <v>2736898.07</v>
      </c>
      <c r="E6702" s="18">
        <v>425.51</v>
      </c>
      <c r="F6702" s="18">
        <v>41855.800000000003</v>
      </c>
      <c r="G6702" s="18">
        <v>122902</v>
      </c>
      <c r="H6702" s="18">
        <f t="shared" si="156"/>
        <v>41709.800000000003</v>
      </c>
      <c r="I6702" s="3"/>
    </row>
    <row r="6703" spans="1:9" s="4" customFormat="1" ht="20.25" customHeight="1" x14ac:dyDescent="0.55000000000000004">
      <c r="A6703" s="18">
        <v>24.736155700000001</v>
      </c>
      <c r="B6703" s="18">
        <v>34.777387099999999</v>
      </c>
      <c r="C6703" s="18">
        <v>679755.6</v>
      </c>
      <c r="D6703" s="18">
        <v>2736900.07</v>
      </c>
      <c r="E6703" s="18">
        <v>425.45</v>
      </c>
      <c r="F6703" s="18">
        <v>41648.42</v>
      </c>
      <c r="G6703" s="18">
        <v>122904</v>
      </c>
      <c r="H6703" s="18">
        <f t="shared" si="156"/>
        <v>41502.42</v>
      </c>
      <c r="I6703" s="3"/>
    </row>
    <row r="6704" spans="1:9" s="4" customFormat="1" ht="20.25" customHeight="1" x14ac:dyDescent="0.55000000000000004">
      <c r="A6704" s="18">
        <v>24.736174699999999</v>
      </c>
      <c r="B6704" s="18">
        <v>34.777377700000002</v>
      </c>
      <c r="C6704" s="18">
        <v>679754.62</v>
      </c>
      <c r="D6704" s="18">
        <v>2736902.17</v>
      </c>
      <c r="E6704" s="18">
        <v>425.54</v>
      </c>
      <c r="F6704" s="18">
        <v>41697.61</v>
      </c>
      <c r="G6704" s="18">
        <v>122906</v>
      </c>
      <c r="H6704" s="18">
        <f t="shared" si="156"/>
        <v>41551.61</v>
      </c>
      <c r="I6704" s="3"/>
    </row>
    <row r="6705" spans="1:9" s="4" customFormat="1" ht="20.25" customHeight="1" x14ac:dyDescent="0.55000000000000004">
      <c r="A6705" s="18">
        <v>24.7361912</v>
      </c>
      <c r="B6705" s="18">
        <v>34.777368799999998</v>
      </c>
      <c r="C6705" s="18">
        <v>679753.7</v>
      </c>
      <c r="D6705" s="18">
        <v>2736903.98</v>
      </c>
      <c r="E6705" s="18">
        <v>425.94</v>
      </c>
      <c r="F6705" s="18">
        <v>41778.92</v>
      </c>
      <c r="G6705" s="18">
        <v>122908</v>
      </c>
      <c r="H6705" s="18">
        <f t="shared" si="156"/>
        <v>41632.92</v>
      </c>
      <c r="I6705" s="3"/>
    </row>
    <row r="6706" spans="1:9" s="4" customFormat="1" ht="20.25" customHeight="1" x14ac:dyDescent="0.55000000000000004">
      <c r="A6706" s="18">
        <v>24.7362097</v>
      </c>
      <c r="B6706" s="18">
        <v>34.777358100000001</v>
      </c>
      <c r="C6706" s="18">
        <v>679752.59</v>
      </c>
      <c r="D6706" s="18">
        <v>2736906.02</v>
      </c>
      <c r="E6706" s="18">
        <v>426.34</v>
      </c>
      <c r="F6706" s="18">
        <v>41750.230000000003</v>
      </c>
      <c r="G6706" s="18">
        <v>122910</v>
      </c>
      <c r="H6706" s="18">
        <f t="shared" si="156"/>
        <v>41604.230000000003</v>
      </c>
      <c r="I6706" s="3"/>
    </row>
    <row r="6707" spans="1:9" s="4" customFormat="1" ht="20.25" customHeight="1" x14ac:dyDescent="0.55000000000000004">
      <c r="A6707" s="18">
        <v>24.736228100000002</v>
      </c>
      <c r="B6707" s="18">
        <v>34.777351199999998</v>
      </c>
      <c r="C6707" s="18">
        <v>679751.86</v>
      </c>
      <c r="D6707" s="18">
        <v>2736908.05</v>
      </c>
      <c r="E6707" s="18">
        <v>426.68</v>
      </c>
      <c r="F6707" s="18">
        <v>41667.230000000003</v>
      </c>
      <c r="G6707" s="18">
        <v>122912</v>
      </c>
      <c r="H6707" s="18">
        <f t="shared" si="156"/>
        <v>41521.230000000003</v>
      </c>
      <c r="I6707" s="3"/>
    </row>
    <row r="6708" spans="1:9" s="4" customFormat="1" ht="20.25" customHeight="1" x14ac:dyDescent="0.55000000000000004">
      <c r="A6708" s="18">
        <v>24.736243399999999</v>
      </c>
      <c r="B6708" s="18">
        <v>34.777350400000003</v>
      </c>
      <c r="C6708" s="18">
        <v>679751.76</v>
      </c>
      <c r="D6708" s="18">
        <v>2736909.74</v>
      </c>
      <c r="E6708" s="18">
        <v>427.08</v>
      </c>
      <c r="F6708" s="18">
        <v>41671.43</v>
      </c>
      <c r="G6708" s="18">
        <v>122914</v>
      </c>
      <c r="H6708" s="18">
        <f t="shared" si="156"/>
        <v>41525.43</v>
      </c>
      <c r="I6708" s="3"/>
    </row>
    <row r="6709" spans="1:9" s="4" customFormat="1" ht="20.25" customHeight="1" x14ac:dyDescent="0.55000000000000004">
      <c r="A6709" s="18">
        <v>24.736259799999999</v>
      </c>
      <c r="B6709" s="18">
        <v>34.777345799999999</v>
      </c>
      <c r="C6709" s="18">
        <v>679751.27</v>
      </c>
      <c r="D6709" s="18">
        <v>2736911.55</v>
      </c>
      <c r="E6709" s="18">
        <v>427.32</v>
      </c>
      <c r="F6709" s="18">
        <v>41792.46</v>
      </c>
      <c r="G6709" s="18">
        <v>122916</v>
      </c>
      <c r="H6709" s="18">
        <f t="shared" si="156"/>
        <v>41646.46</v>
      </c>
      <c r="I6709" s="3"/>
    </row>
    <row r="6710" spans="1:9" s="4" customFormat="1" ht="20.25" customHeight="1" x14ac:dyDescent="0.55000000000000004">
      <c r="A6710" s="18">
        <v>24.736276700000001</v>
      </c>
      <c r="B6710" s="18">
        <v>34.777352700000002</v>
      </c>
      <c r="C6710" s="18">
        <v>679751.95</v>
      </c>
      <c r="D6710" s="18">
        <v>2736913.43</v>
      </c>
      <c r="E6710" s="18">
        <v>427.57</v>
      </c>
      <c r="F6710" s="18">
        <v>41638.53</v>
      </c>
      <c r="G6710" s="18">
        <v>122918</v>
      </c>
      <c r="H6710" s="18">
        <f t="shared" si="156"/>
        <v>41492.53</v>
      </c>
      <c r="I6710" s="3"/>
    </row>
    <row r="6711" spans="1:9" s="4" customFormat="1" ht="20.25" customHeight="1" x14ac:dyDescent="0.55000000000000004">
      <c r="A6711" s="18">
        <v>24.7362976</v>
      </c>
      <c r="B6711" s="18">
        <v>34.777349899999997</v>
      </c>
      <c r="C6711" s="18">
        <v>679751.63</v>
      </c>
      <c r="D6711" s="18">
        <v>2736915.75</v>
      </c>
      <c r="E6711" s="18">
        <v>427.82</v>
      </c>
      <c r="F6711" s="18">
        <v>41785.17</v>
      </c>
      <c r="G6711" s="18">
        <v>122920</v>
      </c>
      <c r="H6711" s="18">
        <f t="shared" si="156"/>
        <v>41639.17</v>
      </c>
      <c r="I6711" s="3"/>
    </row>
    <row r="6712" spans="1:9" s="4" customFormat="1" ht="20.25" customHeight="1" x14ac:dyDescent="0.55000000000000004">
      <c r="A6712" s="18">
        <v>24.7363179</v>
      </c>
      <c r="B6712" s="18">
        <v>34.777349899999997</v>
      </c>
      <c r="C6712" s="18">
        <v>679751.61</v>
      </c>
      <c r="D6712" s="18">
        <v>2736917.99</v>
      </c>
      <c r="E6712" s="18">
        <v>428.2</v>
      </c>
      <c r="F6712" s="18">
        <v>41880.5</v>
      </c>
      <c r="G6712" s="18">
        <v>122922</v>
      </c>
      <c r="H6712" s="18">
        <f t="shared" si="156"/>
        <v>41734.5</v>
      </c>
      <c r="I6712" s="3"/>
    </row>
    <row r="6713" spans="1:9" s="4" customFormat="1" ht="20.25" customHeight="1" x14ac:dyDescent="0.55000000000000004">
      <c r="A6713" s="18">
        <v>24.736339600000001</v>
      </c>
      <c r="B6713" s="18">
        <v>34.7773447</v>
      </c>
      <c r="C6713" s="18">
        <v>679751.04</v>
      </c>
      <c r="D6713" s="18">
        <v>2736920.39</v>
      </c>
      <c r="E6713" s="18">
        <v>428.42</v>
      </c>
      <c r="F6713" s="18">
        <v>41854.49</v>
      </c>
      <c r="G6713" s="18">
        <v>122924</v>
      </c>
      <c r="H6713" s="18">
        <f t="shared" si="156"/>
        <v>41708.49</v>
      </c>
      <c r="I6713" s="3"/>
    </row>
    <row r="6714" spans="1:9" s="4" customFormat="1" ht="20.25" customHeight="1" x14ac:dyDescent="0.55000000000000004">
      <c r="A6714" s="18">
        <v>24.736356700000002</v>
      </c>
      <c r="B6714" s="18">
        <v>34.777335700000002</v>
      </c>
      <c r="C6714" s="18">
        <v>679750.11</v>
      </c>
      <c r="D6714" s="18">
        <v>2736922.27</v>
      </c>
      <c r="E6714" s="18">
        <v>428.53</v>
      </c>
      <c r="F6714" s="18">
        <v>41825.07</v>
      </c>
      <c r="G6714" s="18">
        <v>122926</v>
      </c>
      <c r="H6714" s="18">
        <f t="shared" si="156"/>
        <v>41679.07</v>
      </c>
      <c r="I6714" s="3"/>
    </row>
    <row r="6715" spans="1:9" s="4" customFormat="1" ht="20.25" customHeight="1" x14ac:dyDescent="0.55000000000000004">
      <c r="A6715" s="18">
        <v>24.736376</v>
      </c>
      <c r="B6715" s="18">
        <v>34.777318100000002</v>
      </c>
      <c r="C6715" s="18">
        <v>679748.3</v>
      </c>
      <c r="D6715" s="18">
        <v>2736924.38</v>
      </c>
      <c r="E6715" s="18">
        <v>428.59</v>
      </c>
      <c r="F6715" s="18">
        <v>41769.440000000002</v>
      </c>
      <c r="G6715" s="18">
        <v>122928</v>
      </c>
      <c r="H6715" s="18">
        <f t="shared" si="156"/>
        <v>41623.440000000002</v>
      </c>
      <c r="I6715" s="3"/>
    </row>
    <row r="6716" spans="1:9" s="4" customFormat="1" ht="20.25" customHeight="1" x14ac:dyDescent="0.55000000000000004">
      <c r="A6716" s="18">
        <v>24.736393100000001</v>
      </c>
      <c r="B6716" s="18">
        <v>34.777304200000003</v>
      </c>
      <c r="C6716" s="18">
        <v>679746.87</v>
      </c>
      <c r="D6716" s="18">
        <v>2736926.26</v>
      </c>
      <c r="E6716" s="18">
        <v>428.5</v>
      </c>
      <c r="F6716" s="18">
        <v>41876.39</v>
      </c>
      <c r="G6716" s="18">
        <v>122930</v>
      </c>
      <c r="H6716" s="18">
        <f t="shared" si="156"/>
        <v>41730.39</v>
      </c>
      <c r="I6716" s="3"/>
    </row>
    <row r="6717" spans="1:9" s="4" customFormat="1" ht="20.25" customHeight="1" x14ac:dyDescent="0.55000000000000004">
      <c r="A6717" s="18">
        <v>24.736408600000001</v>
      </c>
      <c r="B6717" s="18">
        <v>34.777294099999999</v>
      </c>
      <c r="C6717" s="18">
        <v>679745.83</v>
      </c>
      <c r="D6717" s="18">
        <v>2736927.96</v>
      </c>
      <c r="E6717" s="18">
        <v>428.75</v>
      </c>
      <c r="F6717" s="18">
        <v>42081.599999999999</v>
      </c>
      <c r="G6717" s="18">
        <v>122932</v>
      </c>
      <c r="H6717" s="18">
        <f t="shared" si="156"/>
        <v>41935.599999999999</v>
      </c>
      <c r="I6717" s="3"/>
    </row>
    <row r="6718" spans="1:9" s="4" customFormat="1" ht="20.25" customHeight="1" x14ac:dyDescent="0.55000000000000004">
      <c r="A6718" s="18">
        <v>24.736420800000001</v>
      </c>
      <c r="B6718" s="18">
        <v>34.777281000000002</v>
      </c>
      <c r="C6718" s="18">
        <v>679744.48</v>
      </c>
      <c r="D6718" s="18">
        <v>2736929.29</v>
      </c>
      <c r="E6718" s="18">
        <v>429.29</v>
      </c>
      <c r="F6718" s="18">
        <v>41883.99</v>
      </c>
      <c r="G6718" s="18">
        <v>122934</v>
      </c>
      <c r="H6718" s="18">
        <f t="shared" si="156"/>
        <v>41737.99</v>
      </c>
      <c r="I6718" s="3"/>
    </row>
    <row r="6719" spans="1:9" s="4" customFormat="1" ht="20.25" customHeight="1" x14ac:dyDescent="0.55000000000000004">
      <c r="A6719" s="18">
        <v>24.736430800000001</v>
      </c>
      <c r="B6719" s="18">
        <v>34.777268599999999</v>
      </c>
      <c r="C6719" s="18">
        <v>679743.21</v>
      </c>
      <c r="D6719" s="18">
        <v>2736930.39</v>
      </c>
      <c r="E6719" s="18">
        <v>430.03</v>
      </c>
      <c r="F6719" s="18">
        <v>42000.02</v>
      </c>
      <c r="G6719" s="18">
        <v>122936</v>
      </c>
      <c r="H6719" s="18">
        <f t="shared" si="156"/>
        <v>41854.019999999997</v>
      </c>
      <c r="I6719" s="3"/>
    </row>
    <row r="6720" spans="1:9" s="4" customFormat="1" ht="20.25" customHeight="1" x14ac:dyDescent="0.55000000000000004">
      <c r="A6720" s="18">
        <v>24.736444200000001</v>
      </c>
      <c r="B6720" s="18">
        <v>34.7772595</v>
      </c>
      <c r="C6720" s="18">
        <v>679742.28</v>
      </c>
      <c r="D6720" s="18">
        <v>2736931.86</v>
      </c>
      <c r="E6720" s="18">
        <v>430.57</v>
      </c>
      <c r="F6720" s="18">
        <v>41820.28</v>
      </c>
      <c r="G6720" s="18">
        <v>122938</v>
      </c>
      <c r="H6720" s="18">
        <f t="shared" si="156"/>
        <v>41674.28</v>
      </c>
      <c r="I6720" s="3"/>
    </row>
    <row r="6721" spans="1:9" s="4" customFormat="1" ht="20.25" customHeight="1" x14ac:dyDescent="0.55000000000000004">
      <c r="A6721" s="18">
        <v>24.736458500000001</v>
      </c>
      <c r="B6721" s="18">
        <v>34.777248899999996</v>
      </c>
      <c r="C6721" s="18">
        <v>679741.18</v>
      </c>
      <c r="D6721" s="18">
        <v>2736933.43</v>
      </c>
      <c r="E6721" s="18">
        <v>430.85</v>
      </c>
      <c r="F6721" s="18">
        <v>41726.800000000003</v>
      </c>
      <c r="G6721" s="18">
        <v>122940</v>
      </c>
      <c r="H6721" s="18">
        <f t="shared" si="156"/>
        <v>41580.800000000003</v>
      </c>
      <c r="I6721" s="3"/>
    </row>
    <row r="6722" spans="1:9" s="4" customFormat="1" ht="20.25" customHeight="1" x14ac:dyDescent="0.55000000000000004">
      <c r="A6722" s="18">
        <v>24.736474999999999</v>
      </c>
      <c r="B6722" s="18">
        <v>34.7772443</v>
      </c>
      <c r="C6722" s="18">
        <v>679740.7</v>
      </c>
      <c r="D6722" s="18">
        <v>2736935.25</v>
      </c>
      <c r="E6722" s="18">
        <v>431.18</v>
      </c>
      <c r="F6722" s="18">
        <v>41757.47</v>
      </c>
      <c r="G6722" s="18">
        <v>122942</v>
      </c>
      <c r="H6722" s="18">
        <f t="shared" si="156"/>
        <v>41611.47</v>
      </c>
      <c r="I6722" s="3"/>
    </row>
    <row r="6723" spans="1:9" s="4" customFormat="1" ht="20.25" customHeight="1" x14ac:dyDescent="0.55000000000000004">
      <c r="A6723" s="18">
        <v>24.7364876</v>
      </c>
      <c r="B6723" s="18">
        <v>34.777233600000002</v>
      </c>
      <c r="C6723" s="18">
        <v>679739.59</v>
      </c>
      <c r="D6723" s="18">
        <v>2736936.63</v>
      </c>
      <c r="E6723" s="18">
        <v>431.44</v>
      </c>
      <c r="F6723" s="18">
        <v>41712.26</v>
      </c>
      <c r="G6723" s="18">
        <v>122944</v>
      </c>
      <c r="H6723" s="18">
        <f t="shared" si="156"/>
        <v>41566.26</v>
      </c>
      <c r="I6723" s="3"/>
    </row>
    <row r="6724" spans="1:9" s="4" customFormat="1" ht="20.25" customHeight="1" x14ac:dyDescent="0.55000000000000004">
      <c r="A6724" s="18">
        <v>24.736503899999999</v>
      </c>
      <c r="B6724" s="18">
        <v>34.777222100000003</v>
      </c>
      <c r="C6724" s="18">
        <v>679738.41</v>
      </c>
      <c r="D6724" s="18">
        <v>2736938.43</v>
      </c>
      <c r="E6724" s="18">
        <v>431.5</v>
      </c>
      <c r="F6724" s="18">
        <v>41572.769999999997</v>
      </c>
      <c r="G6724" s="18">
        <v>122946</v>
      </c>
      <c r="H6724" s="18">
        <f t="shared" si="156"/>
        <v>41426.769999999997</v>
      </c>
      <c r="I6724" s="3"/>
    </row>
    <row r="6725" spans="1:9" s="4" customFormat="1" ht="20.25" customHeight="1" x14ac:dyDescent="0.55000000000000004">
      <c r="A6725" s="18">
        <v>24.736518700000001</v>
      </c>
      <c r="B6725" s="18">
        <v>34.777209800000001</v>
      </c>
      <c r="C6725" s="18">
        <v>679737.14</v>
      </c>
      <c r="D6725" s="18">
        <v>2736940.05</v>
      </c>
      <c r="E6725" s="18">
        <v>431.91</v>
      </c>
      <c r="F6725" s="18">
        <v>41433.26</v>
      </c>
      <c r="G6725" s="18">
        <v>122948</v>
      </c>
      <c r="H6725" s="18">
        <f t="shared" si="156"/>
        <v>41287.26</v>
      </c>
      <c r="I6725" s="3"/>
    </row>
    <row r="6726" spans="1:9" s="4" customFormat="1" ht="20.25" customHeight="1" x14ac:dyDescent="0.55000000000000004">
      <c r="A6726" s="18">
        <v>24.736536600000001</v>
      </c>
      <c r="B6726" s="18">
        <v>34.7772018</v>
      </c>
      <c r="C6726" s="18">
        <v>679736.31</v>
      </c>
      <c r="D6726" s="18">
        <v>2736942.02</v>
      </c>
      <c r="E6726" s="18">
        <v>432.21</v>
      </c>
      <c r="F6726" s="18">
        <v>41698.1</v>
      </c>
      <c r="G6726" s="18">
        <v>122950</v>
      </c>
      <c r="H6726" s="18">
        <f t="shared" si="156"/>
        <v>41552.1</v>
      </c>
      <c r="I6726" s="3"/>
    </row>
    <row r="6727" spans="1:9" s="4" customFormat="1" ht="20.25" customHeight="1" x14ac:dyDescent="0.55000000000000004">
      <c r="A6727" s="18">
        <v>24.7365496</v>
      </c>
      <c r="B6727" s="18">
        <v>34.777195599999999</v>
      </c>
      <c r="C6727" s="18">
        <v>679735.66</v>
      </c>
      <c r="D6727" s="18">
        <v>2736943.45</v>
      </c>
      <c r="E6727" s="18">
        <v>432.43</v>
      </c>
      <c r="F6727" s="18">
        <v>41705.46</v>
      </c>
      <c r="G6727" s="18">
        <v>122952</v>
      </c>
      <c r="H6727" s="18">
        <f t="shared" si="156"/>
        <v>41559.46</v>
      </c>
      <c r="I6727" s="3"/>
    </row>
    <row r="6728" spans="1:9" s="4" customFormat="1" ht="20.25" customHeight="1" x14ac:dyDescent="0.55000000000000004">
      <c r="A6728" s="18">
        <v>24.7365697</v>
      </c>
      <c r="B6728" s="18">
        <v>34.7771884</v>
      </c>
      <c r="C6728" s="18">
        <v>679734.9</v>
      </c>
      <c r="D6728" s="18">
        <v>2736945.66</v>
      </c>
      <c r="E6728" s="18">
        <v>432.87</v>
      </c>
      <c r="F6728" s="18">
        <v>41723.11</v>
      </c>
      <c r="G6728" s="18">
        <v>122954</v>
      </c>
      <c r="H6728" s="18">
        <f t="shared" si="156"/>
        <v>41577.11</v>
      </c>
      <c r="I6728" s="3"/>
    </row>
    <row r="6729" spans="1:9" s="4" customFormat="1" ht="20.25" customHeight="1" x14ac:dyDescent="0.55000000000000004">
      <c r="A6729" s="18">
        <v>24.736584700000002</v>
      </c>
      <c r="B6729" s="18">
        <v>34.777181599999999</v>
      </c>
      <c r="C6729" s="18">
        <v>679734.19</v>
      </c>
      <c r="D6729" s="18">
        <v>2736947.32</v>
      </c>
      <c r="E6729" s="18">
        <v>433.09</v>
      </c>
      <c r="F6729" s="18">
        <v>41767.269999999997</v>
      </c>
      <c r="G6729" s="18">
        <v>122956</v>
      </c>
      <c r="H6729" s="18">
        <f t="shared" si="156"/>
        <v>41621.269999999997</v>
      </c>
      <c r="I6729" s="3"/>
    </row>
    <row r="6730" spans="1:9" s="4" customFormat="1" ht="20.25" customHeight="1" x14ac:dyDescent="0.55000000000000004">
      <c r="A6730" s="18">
        <v>24.736602099999999</v>
      </c>
      <c r="B6730" s="18">
        <v>34.777169600000001</v>
      </c>
      <c r="C6730" s="18">
        <v>679732.95</v>
      </c>
      <c r="D6730" s="18">
        <v>2736949.23</v>
      </c>
      <c r="E6730" s="18">
        <v>433.16</v>
      </c>
      <c r="F6730" s="18">
        <v>41772.120000000003</v>
      </c>
      <c r="G6730" s="18">
        <v>122958</v>
      </c>
      <c r="H6730" s="18">
        <f t="shared" si="156"/>
        <v>41626.120000000003</v>
      </c>
      <c r="I6730" s="3"/>
    </row>
    <row r="6731" spans="1:9" s="4" customFormat="1" ht="20.25" customHeight="1" x14ac:dyDescent="0.55000000000000004">
      <c r="A6731" s="18">
        <v>24.736617500000001</v>
      </c>
      <c r="B6731" s="18">
        <v>34.777155499999999</v>
      </c>
      <c r="C6731" s="18">
        <v>679731.51</v>
      </c>
      <c r="D6731" s="18">
        <v>2736950.92</v>
      </c>
      <c r="E6731" s="18">
        <v>433.4</v>
      </c>
      <c r="F6731" s="18">
        <v>41792.410000000003</v>
      </c>
      <c r="G6731" s="18">
        <v>123000</v>
      </c>
      <c r="H6731" s="18">
        <f t="shared" si="156"/>
        <v>41646.410000000003</v>
      </c>
      <c r="I6731" s="3"/>
    </row>
    <row r="6732" spans="1:9" s="4" customFormat="1" ht="20.25" customHeight="1" x14ac:dyDescent="0.55000000000000004">
      <c r="A6732" s="18">
        <v>24.736629600000001</v>
      </c>
      <c r="B6732" s="18">
        <v>34.777140699999997</v>
      </c>
      <c r="C6732" s="18">
        <v>679730</v>
      </c>
      <c r="D6732" s="18">
        <v>2736952.24</v>
      </c>
      <c r="E6732" s="18">
        <v>433.79</v>
      </c>
      <c r="F6732" s="18">
        <v>41681.339999999997</v>
      </c>
      <c r="G6732" s="18">
        <v>123002</v>
      </c>
      <c r="H6732" s="18">
        <f t="shared" si="156"/>
        <v>41535.339999999997</v>
      </c>
      <c r="I6732" s="3"/>
    </row>
    <row r="6733" spans="1:9" s="4" customFormat="1" ht="20.25" customHeight="1" x14ac:dyDescent="0.55000000000000004">
      <c r="A6733" s="18">
        <v>24.736640600000001</v>
      </c>
      <c r="B6733" s="18">
        <v>34.777128900000001</v>
      </c>
      <c r="C6733" s="18">
        <v>679728.78</v>
      </c>
      <c r="D6733" s="18">
        <v>2736953.45</v>
      </c>
      <c r="E6733" s="18">
        <v>434.23</v>
      </c>
      <c r="F6733" s="18">
        <v>41752.050000000003</v>
      </c>
      <c r="G6733" s="18">
        <v>123004</v>
      </c>
      <c r="H6733" s="18">
        <f t="shared" si="156"/>
        <v>41606.050000000003</v>
      </c>
      <c r="I6733" s="3"/>
    </row>
    <row r="6734" spans="1:9" s="4" customFormat="1" ht="20.25" customHeight="1" x14ac:dyDescent="0.55000000000000004">
      <c r="A6734" s="18">
        <v>24.7366539</v>
      </c>
      <c r="B6734" s="18">
        <v>34.777117099999998</v>
      </c>
      <c r="C6734" s="18">
        <v>679727.56</v>
      </c>
      <c r="D6734" s="18">
        <v>2736954.9</v>
      </c>
      <c r="E6734" s="18">
        <v>434.79</v>
      </c>
      <c r="F6734" s="18">
        <v>41713.480000000003</v>
      </c>
      <c r="G6734" s="18">
        <v>123006</v>
      </c>
      <c r="H6734" s="18">
        <f t="shared" si="156"/>
        <v>41567.480000000003</v>
      </c>
      <c r="I6734" s="3"/>
    </row>
    <row r="6735" spans="1:9" s="4" customFormat="1" ht="20.25" customHeight="1" x14ac:dyDescent="0.55000000000000004">
      <c r="A6735" s="18">
        <v>24.736666700000001</v>
      </c>
      <c r="B6735" s="18">
        <v>34.777101299999998</v>
      </c>
      <c r="C6735" s="18">
        <v>679725.95</v>
      </c>
      <c r="D6735" s="18">
        <v>2736956.29</v>
      </c>
      <c r="E6735" s="18">
        <v>435</v>
      </c>
      <c r="F6735" s="18">
        <v>41606.65</v>
      </c>
      <c r="G6735" s="18">
        <v>123008</v>
      </c>
      <c r="H6735" s="18">
        <f t="shared" si="156"/>
        <v>41460.65</v>
      </c>
      <c r="I6735" s="3"/>
    </row>
    <row r="6736" spans="1:9" s="4" customFormat="1" ht="20.25" customHeight="1" x14ac:dyDescent="0.55000000000000004">
      <c r="A6736" s="18">
        <v>24.7366803</v>
      </c>
      <c r="B6736" s="18">
        <v>34.777087000000002</v>
      </c>
      <c r="C6736" s="18">
        <v>679724.49</v>
      </c>
      <c r="D6736" s="18">
        <v>2736957.79</v>
      </c>
      <c r="E6736" s="18">
        <v>435.22</v>
      </c>
      <c r="F6736" s="18">
        <v>41629.03</v>
      </c>
      <c r="G6736" s="18">
        <v>123010</v>
      </c>
      <c r="H6736" s="18">
        <f t="shared" si="156"/>
        <v>41483.03</v>
      </c>
      <c r="I6736" s="3"/>
    </row>
    <row r="6737" spans="1:9" s="4" customFormat="1" ht="20.25" customHeight="1" x14ac:dyDescent="0.55000000000000004">
      <c r="A6737" s="18">
        <v>24.736686500000001</v>
      </c>
      <c r="B6737" s="18">
        <v>34.777069099999999</v>
      </c>
      <c r="C6737" s="18">
        <v>679722.67</v>
      </c>
      <c r="D6737" s="18">
        <v>2736958.45</v>
      </c>
      <c r="E6737" s="18">
        <v>435.71</v>
      </c>
      <c r="F6737" s="18">
        <v>41713.01</v>
      </c>
      <c r="G6737" s="18">
        <v>123012</v>
      </c>
      <c r="H6737" s="18">
        <f t="shared" si="156"/>
        <v>41567.01</v>
      </c>
      <c r="I6737" s="3"/>
    </row>
    <row r="6738" spans="1:9" s="4" customFormat="1" ht="20.25" customHeight="1" x14ac:dyDescent="0.55000000000000004">
      <c r="A6738" s="18">
        <v>24.736699000000002</v>
      </c>
      <c r="B6738" s="18">
        <v>34.777056700000003</v>
      </c>
      <c r="C6738" s="18">
        <v>679721.39</v>
      </c>
      <c r="D6738" s="18">
        <v>2736959.82</v>
      </c>
      <c r="E6738" s="18">
        <v>436.07</v>
      </c>
      <c r="F6738" s="18">
        <v>41782.89</v>
      </c>
      <c r="G6738" s="18">
        <v>123014</v>
      </c>
      <c r="H6738" s="18">
        <f t="shared" si="156"/>
        <v>41636.89</v>
      </c>
      <c r="I6738" s="3"/>
    </row>
    <row r="6739" spans="1:9" s="4" customFormat="1" ht="20.25" customHeight="1" x14ac:dyDescent="0.55000000000000004">
      <c r="A6739" s="18">
        <v>24.736716399999999</v>
      </c>
      <c r="B6739" s="18">
        <v>34.777048999999998</v>
      </c>
      <c r="C6739" s="18">
        <v>679720.59</v>
      </c>
      <c r="D6739" s="18">
        <v>2736961.73</v>
      </c>
      <c r="E6739" s="18">
        <v>436.25</v>
      </c>
      <c r="F6739" s="18">
        <v>41815.839999999997</v>
      </c>
      <c r="G6739" s="18">
        <v>123016</v>
      </c>
      <c r="H6739" s="18">
        <f t="shared" si="156"/>
        <v>41669.839999999997</v>
      </c>
      <c r="I6739" s="3"/>
    </row>
    <row r="6740" spans="1:9" s="4" customFormat="1" ht="20.25" customHeight="1" x14ac:dyDescent="0.55000000000000004">
      <c r="A6740" s="18">
        <v>24.736727800000001</v>
      </c>
      <c r="B6740" s="18">
        <v>34.777039000000002</v>
      </c>
      <c r="C6740" s="18">
        <v>679719.57</v>
      </c>
      <c r="D6740" s="18">
        <v>2736962.98</v>
      </c>
      <c r="E6740" s="18">
        <v>436.6</v>
      </c>
      <c r="F6740" s="18">
        <v>41744.1</v>
      </c>
      <c r="G6740" s="18">
        <v>123018</v>
      </c>
      <c r="H6740" s="18">
        <f t="shared" si="156"/>
        <v>41598.1</v>
      </c>
      <c r="I6740" s="3"/>
    </row>
    <row r="6741" spans="1:9" s="4" customFormat="1" ht="20.25" customHeight="1" x14ac:dyDescent="0.55000000000000004">
      <c r="A6741" s="18">
        <v>24.736735100000001</v>
      </c>
      <c r="B6741" s="18">
        <v>34.777023999999997</v>
      </c>
      <c r="C6741" s="18">
        <v>679718.03</v>
      </c>
      <c r="D6741" s="18">
        <v>2736963.77</v>
      </c>
      <c r="E6741" s="18">
        <v>436.99</v>
      </c>
      <c r="F6741" s="18">
        <v>41727.269999999997</v>
      </c>
      <c r="G6741" s="18">
        <v>123020</v>
      </c>
      <c r="H6741" s="18">
        <f t="shared" si="156"/>
        <v>41581.269999999997</v>
      </c>
      <c r="I6741" s="3"/>
    </row>
    <row r="6742" spans="1:9" s="4" customFormat="1" ht="20.25" customHeight="1" x14ac:dyDescent="0.55000000000000004">
      <c r="A6742" s="18">
        <v>24.7367445</v>
      </c>
      <c r="B6742" s="18">
        <v>34.777004300000002</v>
      </c>
      <c r="C6742" s="18">
        <v>679716.03</v>
      </c>
      <c r="D6742" s="18">
        <v>2736964.79</v>
      </c>
      <c r="E6742" s="18">
        <v>437.27</v>
      </c>
      <c r="F6742" s="18">
        <v>41771.339999999997</v>
      </c>
      <c r="G6742" s="18">
        <v>123022</v>
      </c>
      <c r="H6742" s="18">
        <f t="shared" si="156"/>
        <v>41625.339999999997</v>
      </c>
      <c r="I6742" s="3"/>
    </row>
    <row r="6743" spans="1:9" s="4" customFormat="1" ht="20.25" customHeight="1" x14ac:dyDescent="0.55000000000000004">
      <c r="A6743" s="18">
        <v>24.736743799999999</v>
      </c>
      <c r="B6743" s="18">
        <v>34.776986100000002</v>
      </c>
      <c r="C6743" s="18">
        <v>679714.19</v>
      </c>
      <c r="D6743" s="18">
        <v>2736964.69</v>
      </c>
      <c r="E6743" s="18">
        <v>437.57</v>
      </c>
      <c r="F6743" s="18">
        <v>41784.47</v>
      </c>
      <c r="G6743" s="18">
        <v>123024</v>
      </c>
      <c r="H6743" s="18">
        <f t="shared" si="156"/>
        <v>41638.47</v>
      </c>
      <c r="I6743" s="3"/>
    </row>
    <row r="6744" spans="1:9" s="4" customFormat="1" ht="20.25" customHeight="1" x14ac:dyDescent="0.55000000000000004">
      <c r="A6744" s="18">
        <v>24.736743499999999</v>
      </c>
      <c r="B6744" s="18">
        <v>34.7769707</v>
      </c>
      <c r="C6744" s="18">
        <v>679712.63</v>
      </c>
      <c r="D6744" s="18">
        <v>2736964.64</v>
      </c>
      <c r="E6744" s="18">
        <v>437.93</v>
      </c>
      <c r="F6744" s="18">
        <v>41798.76</v>
      </c>
      <c r="G6744" s="18">
        <v>123026</v>
      </c>
      <c r="H6744" s="18">
        <f t="shared" si="156"/>
        <v>41652.76</v>
      </c>
      <c r="I6744" s="3"/>
    </row>
    <row r="6745" spans="1:9" s="4" customFormat="1" ht="20.25" customHeight="1" x14ac:dyDescent="0.55000000000000004">
      <c r="A6745" s="18">
        <v>24.736751900000002</v>
      </c>
      <c r="B6745" s="18">
        <v>34.776952600000001</v>
      </c>
      <c r="C6745" s="18">
        <v>679710.78</v>
      </c>
      <c r="D6745" s="18">
        <v>2736965.54</v>
      </c>
      <c r="E6745" s="18">
        <v>438.33</v>
      </c>
      <c r="F6745" s="18">
        <v>41636.78</v>
      </c>
      <c r="G6745" s="18">
        <v>123028</v>
      </c>
      <c r="H6745" s="18">
        <f t="shared" si="156"/>
        <v>41490.78</v>
      </c>
      <c r="I6745" s="3"/>
    </row>
    <row r="6746" spans="1:9" s="4" customFormat="1" ht="20.25" customHeight="1" x14ac:dyDescent="0.55000000000000004">
      <c r="A6746" s="18">
        <v>24.736758600000002</v>
      </c>
      <c r="B6746" s="18">
        <v>34.776936900000003</v>
      </c>
      <c r="C6746" s="18">
        <v>679709.19</v>
      </c>
      <c r="D6746" s="18">
        <v>2736966.26</v>
      </c>
      <c r="E6746" s="18">
        <v>438.72</v>
      </c>
      <c r="F6746" s="18">
        <v>41591.15</v>
      </c>
      <c r="G6746" s="18">
        <v>123030</v>
      </c>
      <c r="H6746" s="18">
        <f t="shared" si="156"/>
        <v>41445.15</v>
      </c>
      <c r="I6746" s="3"/>
    </row>
    <row r="6747" spans="1:9" s="4" customFormat="1" ht="20.25" customHeight="1" x14ac:dyDescent="0.55000000000000004">
      <c r="A6747" s="18">
        <v>24.736768600000001</v>
      </c>
      <c r="B6747" s="18">
        <v>34.7769221</v>
      </c>
      <c r="C6747" s="18">
        <v>679707.68</v>
      </c>
      <c r="D6747" s="18">
        <v>2736967.35</v>
      </c>
      <c r="E6747" s="18">
        <v>439.27</v>
      </c>
      <c r="F6747" s="18">
        <v>41591.58</v>
      </c>
      <c r="G6747" s="18">
        <v>123032</v>
      </c>
      <c r="H6747" s="18">
        <f t="shared" si="156"/>
        <v>41445.58</v>
      </c>
      <c r="I6747" s="3"/>
    </row>
    <row r="6748" spans="1:9" s="4" customFormat="1" ht="20.25" customHeight="1" x14ac:dyDescent="0.55000000000000004">
      <c r="A6748" s="18">
        <v>24.736784700000001</v>
      </c>
      <c r="B6748" s="18">
        <v>34.776905599999999</v>
      </c>
      <c r="C6748" s="18">
        <v>679705.98</v>
      </c>
      <c r="D6748" s="18">
        <v>2736969.11</v>
      </c>
      <c r="E6748" s="18">
        <v>439.29</v>
      </c>
      <c r="F6748" s="18">
        <v>41669.22</v>
      </c>
      <c r="G6748" s="18">
        <v>123034</v>
      </c>
      <c r="H6748" s="18">
        <f t="shared" si="156"/>
        <v>41523.22</v>
      </c>
      <c r="I6748" s="3"/>
    </row>
    <row r="6749" spans="1:9" s="4" customFormat="1" ht="20.25" customHeight="1" x14ac:dyDescent="0.55000000000000004">
      <c r="A6749" s="18">
        <v>24.736795300000001</v>
      </c>
      <c r="B6749" s="18">
        <v>34.7768862</v>
      </c>
      <c r="C6749" s="18">
        <v>679704.01</v>
      </c>
      <c r="D6749" s="18">
        <v>2736970.26</v>
      </c>
      <c r="E6749" s="18">
        <v>439.77</v>
      </c>
      <c r="F6749" s="18">
        <v>42080.160000000003</v>
      </c>
      <c r="G6749" s="18">
        <v>123036</v>
      </c>
      <c r="H6749" s="18">
        <f t="shared" si="156"/>
        <v>41934.160000000003</v>
      </c>
      <c r="I6749" s="3"/>
    </row>
    <row r="6750" spans="1:9" s="4" customFormat="1" ht="20.25" customHeight="1" x14ac:dyDescent="0.55000000000000004">
      <c r="A6750" s="18">
        <v>24.736799000000001</v>
      </c>
      <c r="B6750" s="18">
        <v>34.7768686</v>
      </c>
      <c r="C6750" s="18">
        <v>679702.22</v>
      </c>
      <c r="D6750" s="18">
        <v>2736970.65</v>
      </c>
      <c r="E6750" s="18">
        <v>440.04</v>
      </c>
      <c r="F6750" s="18">
        <v>42270.51</v>
      </c>
      <c r="G6750" s="18">
        <v>123038</v>
      </c>
      <c r="H6750" s="18">
        <f t="shared" si="156"/>
        <v>42124.51</v>
      </c>
      <c r="I6750" s="3"/>
    </row>
    <row r="6751" spans="1:9" s="4" customFormat="1" ht="20.25" customHeight="1" x14ac:dyDescent="0.55000000000000004">
      <c r="A6751" s="18">
        <v>24.736800200000001</v>
      </c>
      <c r="B6751" s="18">
        <v>34.776866300000002</v>
      </c>
      <c r="C6751" s="18">
        <v>679701.99</v>
      </c>
      <c r="D6751" s="18">
        <v>2736970.78</v>
      </c>
      <c r="E6751" s="18">
        <v>440.22</v>
      </c>
      <c r="F6751" s="18">
        <v>42207.79</v>
      </c>
      <c r="G6751" s="18">
        <v>123040</v>
      </c>
      <c r="H6751" s="18">
        <f t="shared" si="156"/>
        <v>42061.79</v>
      </c>
      <c r="I6751" s="3"/>
    </row>
    <row r="6752" spans="1:9" s="4" customFormat="1" ht="20.25" customHeight="1" x14ac:dyDescent="0.55000000000000004">
      <c r="A6752" s="18">
        <v>24.736805700000001</v>
      </c>
      <c r="B6752" s="18">
        <v>34.776854299999997</v>
      </c>
      <c r="C6752" s="18">
        <v>679700.76</v>
      </c>
      <c r="D6752" s="18">
        <v>2736971.37</v>
      </c>
      <c r="E6752" s="18">
        <v>440.28</v>
      </c>
      <c r="F6752" s="18">
        <v>42150.13</v>
      </c>
      <c r="G6752" s="18">
        <v>123042</v>
      </c>
      <c r="H6752" s="18">
        <f t="shared" si="156"/>
        <v>42004.13</v>
      </c>
      <c r="I6752" s="3"/>
    </row>
    <row r="6753" spans="1:9" s="4" customFormat="1" ht="20.25" customHeight="1" x14ac:dyDescent="0.55000000000000004">
      <c r="A6753" s="18">
        <v>24.736813900000001</v>
      </c>
      <c r="B6753" s="18">
        <v>34.776837700000002</v>
      </c>
      <c r="C6753" s="18">
        <v>679699.07</v>
      </c>
      <c r="D6753" s="18">
        <v>2736972.25</v>
      </c>
      <c r="E6753" s="18">
        <v>440.69</v>
      </c>
      <c r="F6753" s="18">
        <v>41954.78</v>
      </c>
      <c r="G6753" s="18">
        <v>123044</v>
      </c>
      <c r="H6753" s="18">
        <f t="shared" si="156"/>
        <v>41808.78</v>
      </c>
      <c r="I6753" s="3"/>
    </row>
    <row r="6754" spans="1:9" s="4" customFormat="1" ht="20.25" customHeight="1" x14ac:dyDescent="0.55000000000000004">
      <c r="A6754" s="18">
        <v>24.736824200000001</v>
      </c>
      <c r="B6754" s="18">
        <v>34.776827500000003</v>
      </c>
      <c r="C6754" s="18">
        <v>679698.03</v>
      </c>
      <c r="D6754" s="18">
        <v>2736973.39</v>
      </c>
      <c r="E6754" s="18">
        <v>441.06</v>
      </c>
      <c r="F6754" s="18">
        <v>41853.19</v>
      </c>
      <c r="G6754" s="18">
        <v>123046</v>
      </c>
      <c r="H6754" s="18">
        <f t="shared" si="156"/>
        <v>41707.19</v>
      </c>
      <c r="I6754" s="3"/>
    </row>
    <row r="6755" spans="1:9" s="4" customFormat="1" ht="20.25" customHeight="1" x14ac:dyDescent="0.55000000000000004">
      <c r="A6755" s="18">
        <v>24.736831299999999</v>
      </c>
      <c r="B6755" s="18">
        <v>34.776807599999998</v>
      </c>
      <c r="C6755" s="18">
        <v>679696</v>
      </c>
      <c r="D6755" s="18">
        <v>2736974.14</v>
      </c>
      <c r="E6755" s="18">
        <v>441.22</v>
      </c>
      <c r="F6755" s="18">
        <v>41823.120000000003</v>
      </c>
      <c r="G6755" s="18">
        <v>123048</v>
      </c>
      <c r="H6755" s="18">
        <f t="shared" si="156"/>
        <v>41677.120000000003</v>
      </c>
      <c r="I6755" s="3"/>
    </row>
    <row r="6756" spans="1:9" s="4" customFormat="1" ht="20.25" customHeight="1" x14ac:dyDescent="0.55000000000000004">
      <c r="A6756" s="18">
        <v>24.7368448</v>
      </c>
      <c r="B6756" s="18">
        <v>34.776791000000003</v>
      </c>
      <c r="C6756" s="18">
        <v>679694.31</v>
      </c>
      <c r="D6756" s="18">
        <v>2736975.61</v>
      </c>
      <c r="E6756" s="18">
        <v>441.45</v>
      </c>
      <c r="F6756" s="18">
        <v>41892.120000000003</v>
      </c>
      <c r="G6756" s="18">
        <v>123050</v>
      </c>
      <c r="H6756" s="18">
        <f t="shared" si="156"/>
        <v>41746.120000000003</v>
      </c>
      <c r="I6756" s="3"/>
    </row>
    <row r="6757" spans="1:9" s="4" customFormat="1" ht="20.25" customHeight="1" x14ac:dyDescent="0.55000000000000004">
      <c r="A6757" s="18">
        <v>24.736860400000001</v>
      </c>
      <c r="B6757" s="18">
        <v>34.776779900000001</v>
      </c>
      <c r="C6757" s="18">
        <v>679693.17</v>
      </c>
      <c r="D6757" s="18">
        <v>2736977.33</v>
      </c>
      <c r="E6757" s="18">
        <v>441.77</v>
      </c>
      <c r="F6757" s="18">
        <v>41999.839999999997</v>
      </c>
      <c r="G6757" s="18">
        <v>123052</v>
      </c>
      <c r="H6757" s="18">
        <f t="shared" ref="H6757:H6760" si="157">SUM(F6757-146)</f>
        <v>41853.839999999997</v>
      </c>
      <c r="I6757" s="3"/>
    </row>
    <row r="6758" spans="1:9" s="4" customFormat="1" ht="20.25" customHeight="1" x14ac:dyDescent="0.55000000000000004">
      <c r="A6758" s="18">
        <v>24.7368679</v>
      </c>
      <c r="B6758" s="18">
        <v>34.776764800000002</v>
      </c>
      <c r="C6758" s="18">
        <v>679691.63</v>
      </c>
      <c r="D6758" s="18">
        <v>2736978.14</v>
      </c>
      <c r="E6758" s="18">
        <v>442.14</v>
      </c>
      <c r="F6758" s="18">
        <v>42104.79</v>
      </c>
      <c r="G6758" s="18">
        <v>123054</v>
      </c>
      <c r="H6758" s="18">
        <f t="shared" si="157"/>
        <v>41958.79</v>
      </c>
      <c r="I6758" s="3"/>
    </row>
    <row r="6759" spans="1:9" s="4" customFormat="1" ht="20.25" customHeight="1" x14ac:dyDescent="0.55000000000000004">
      <c r="A6759" s="18">
        <v>24.736878300000001</v>
      </c>
      <c r="B6759" s="18">
        <v>34.776747999999998</v>
      </c>
      <c r="C6759" s="18">
        <v>679689.91</v>
      </c>
      <c r="D6759" s="18">
        <v>2736979.27</v>
      </c>
      <c r="E6759" s="18">
        <v>442.37</v>
      </c>
      <c r="F6759" s="18">
        <v>41875.599999999999</v>
      </c>
      <c r="G6759" s="18">
        <v>123056</v>
      </c>
      <c r="H6759" s="18">
        <f t="shared" si="157"/>
        <v>41729.599999999999</v>
      </c>
      <c r="I6759" s="3"/>
    </row>
    <row r="6760" spans="1:9" s="4" customFormat="1" ht="20.25" customHeight="1" x14ac:dyDescent="0.55000000000000004">
      <c r="A6760" s="18">
        <v>24.7368904</v>
      </c>
      <c r="B6760" s="18">
        <v>34.776733700000001</v>
      </c>
      <c r="C6760" s="18">
        <v>679688.45</v>
      </c>
      <c r="D6760" s="18">
        <v>2736980.59</v>
      </c>
      <c r="E6760" s="18">
        <v>442.67</v>
      </c>
      <c r="F6760" s="18">
        <v>41687.47</v>
      </c>
      <c r="G6760" s="18">
        <v>123058</v>
      </c>
      <c r="H6760" s="18">
        <f t="shared" si="157"/>
        <v>41541.47</v>
      </c>
      <c r="I6760" s="3"/>
    </row>
    <row r="6761" spans="1:9" s="4" customFormat="1" ht="20.25" customHeight="1" x14ac:dyDescent="0.55000000000000004">
      <c r="A6761" s="18">
        <v>24.736894499999998</v>
      </c>
      <c r="B6761" s="18">
        <v>34.776714800000001</v>
      </c>
      <c r="C6761" s="18">
        <v>679686.53</v>
      </c>
      <c r="D6761" s="18">
        <v>2736981.02</v>
      </c>
      <c r="E6761" s="18">
        <v>443.02</v>
      </c>
      <c r="F6761" s="18">
        <v>41721.53</v>
      </c>
      <c r="G6761" s="18">
        <v>123100</v>
      </c>
      <c r="H6761" s="18">
        <f>SUM(F6761-150)</f>
        <v>41571.53</v>
      </c>
      <c r="I6761" s="3"/>
    </row>
    <row r="6762" spans="1:9" s="4" customFormat="1" ht="20.25" customHeight="1" x14ac:dyDescent="0.55000000000000004">
      <c r="A6762" s="18">
        <v>24.7368968</v>
      </c>
      <c r="B6762" s="18">
        <v>34.776700900000002</v>
      </c>
      <c r="C6762" s="18">
        <v>679685.11</v>
      </c>
      <c r="D6762" s="18">
        <v>2736981.26</v>
      </c>
      <c r="E6762" s="18">
        <v>443.44</v>
      </c>
      <c r="F6762" s="18">
        <v>41617.67</v>
      </c>
      <c r="G6762" s="18">
        <v>123102</v>
      </c>
      <c r="H6762" s="18">
        <f t="shared" ref="H6762:H6825" si="158">SUM(F6762-150)</f>
        <v>41467.67</v>
      </c>
      <c r="I6762" s="3"/>
    </row>
    <row r="6763" spans="1:9" s="4" customFormat="1" ht="20.25" customHeight="1" x14ac:dyDescent="0.55000000000000004">
      <c r="A6763" s="18">
        <v>24.736899399999999</v>
      </c>
      <c r="B6763" s="18">
        <v>34.776680599999999</v>
      </c>
      <c r="C6763" s="18">
        <v>679683.07</v>
      </c>
      <c r="D6763" s="18">
        <v>2736981.52</v>
      </c>
      <c r="E6763" s="18">
        <v>443.71</v>
      </c>
      <c r="F6763" s="18">
        <v>41665.230000000003</v>
      </c>
      <c r="G6763" s="18">
        <v>123104</v>
      </c>
      <c r="H6763" s="18">
        <f t="shared" si="158"/>
        <v>41515.230000000003</v>
      </c>
      <c r="I6763" s="3"/>
    </row>
    <row r="6764" spans="1:9" s="4" customFormat="1" ht="20.25" customHeight="1" x14ac:dyDescent="0.55000000000000004">
      <c r="A6764" s="18">
        <v>24.736909199999999</v>
      </c>
      <c r="B6764" s="18">
        <v>34.776668600000001</v>
      </c>
      <c r="C6764" s="18">
        <v>679681.83</v>
      </c>
      <c r="D6764" s="18">
        <v>2736982.59</v>
      </c>
      <c r="E6764" s="18">
        <v>444.21</v>
      </c>
      <c r="F6764" s="18">
        <v>41782.15</v>
      </c>
      <c r="G6764" s="18">
        <v>123106</v>
      </c>
      <c r="H6764" s="18">
        <f t="shared" si="158"/>
        <v>41632.15</v>
      </c>
      <c r="I6764" s="3"/>
    </row>
    <row r="6765" spans="1:9" s="4" customFormat="1" ht="20.25" customHeight="1" x14ac:dyDescent="0.55000000000000004">
      <c r="A6765" s="18">
        <v>24.736913000000001</v>
      </c>
      <c r="B6765" s="18">
        <v>34.776654899999997</v>
      </c>
      <c r="C6765" s="18">
        <v>679680.44</v>
      </c>
      <c r="D6765" s="18">
        <v>2736982.99</v>
      </c>
      <c r="E6765" s="18">
        <v>444.73</v>
      </c>
      <c r="F6765" s="18">
        <v>41781.160000000003</v>
      </c>
      <c r="G6765" s="18">
        <v>123108</v>
      </c>
      <c r="H6765" s="18">
        <f t="shared" si="158"/>
        <v>41631.160000000003</v>
      </c>
      <c r="I6765" s="3"/>
    </row>
    <row r="6766" spans="1:9" s="4" customFormat="1" ht="20.25" customHeight="1" x14ac:dyDescent="0.55000000000000004">
      <c r="A6766" s="18">
        <v>24.736917800000001</v>
      </c>
      <c r="B6766" s="18">
        <v>34.7766375</v>
      </c>
      <c r="C6766" s="18">
        <v>679678.67</v>
      </c>
      <c r="D6766" s="18">
        <v>2736983.5</v>
      </c>
      <c r="E6766" s="18">
        <v>445.31</v>
      </c>
      <c r="F6766" s="18">
        <v>42194.59</v>
      </c>
      <c r="G6766" s="18">
        <v>123110</v>
      </c>
      <c r="H6766" s="18">
        <f t="shared" si="158"/>
        <v>42044.59</v>
      </c>
      <c r="I6766" s="3"/>
    </row>
    <row r="6767" spans="1:9" s="4" customFormat="1" ht="20.25" customHeight="1" x14ac:dyDescent="0.55000000000000004">
      <c r="A6767" s="18">
        <v>24.736920600000001</v>
      </c>
      <c r="B6767" s="18">
        <v>34.776621599999999</v>
      </c>
      <c r="C6767" s="18">
        <v>679677.07</v>
      </c>
      <c r="D6767" s="18">
        <v>2736983.79</v>
      </c>
      <c r="E6767" s="18">
        <v>445.65</v>
      </c>
      <c r="F6767" s="18">
        <v>42317.42</v>
      </c>
      <c r="G6767" s="18">
        <v>123112</v>
      </c>
      <c r="H6767" s="18">
        <f t="shared" si="158"/>
        <v>42167.42</v>
      </c>
      <c r="I6767" s="3"/>
    </row>
    <row r="6768" spans="1:9" s="4" customFormat="1" ht="20.25" customHeight="1" x14ac:dyDescent="0.55000000000000004">
      <c r="A6768" s="18">
        <v>24.736926799999999</v>
      </c>
      <c r="B6768" s="18">
        <v>34.776606899999997</v>
      </c>
      <c r="C6768" s="18">
        <v>679675.56</v>
      </c>
      <c r="D6768" s="18">
        <v>2736984.46</v>
      </c>
      <c r="E6768" s="18">
        <v>446.03</v>
      </c>
      <c r="F6768" s="18">
        <v>42575.25</v>
      </c>
      <c r="G6768" s="18">
        <v>123114</v>
      </c>
      <c r="H6768" s="18">
        <f t="shared" si="158"/>
        <v>42425.25</v>
      </c>
      <c r="I6768" s="3"/>
    </row>
    <row r="6769" spans="1:9" s="4" customFormat="1" ht="20.25" customHeight="1" x14ac:dyDescent="0.55000000000000004">
      <c r="A6769" s="18">
        <v>24.736932700000001</v>
      </c>
      <c r="B6769" s="18">
        <v>34.776590599999999</v>
      </c>
      <c r="C6769" s="18">
        <v>679673.91</v>
      </c>
      <c r="D6769" s="18">
        <v>2736985.09</v>
      </c>
      <c r="E6769" s="18">
        <v>446.47</v>
      </c>
      <c r="F6769" s="18">
        <v>42517.1</v>
      </c>
      <c r="G6769" s="18">
        <v>123116</v>
      </c>
      <c r="H6769" s="18">
        <f t="shared" si="158"/>
        <v>42367.1</v>
      </c>
      <c r="I6769" s="3"/>
    </row>
    <row r="6770" spans="1:9" s="4" customFormat="1" ht="20.25" customHeight="1" x14ac:dyDescent="0.55000000000000004">
      <c r="A6770" s="18">
        <v>24.736939</v>
      </c>
      <c r="B6770" s="18">
        <v>34.776576599999999</v>
      </c>
      <c r="C6770" s="18">
        <v>679672.48</v>
      </c>
      <c r="D6770" s="18">
        <v>2736985.77</v>
      </c>
      <c r="E6770" s="18">
        <v>446.82</v>
      </c>
      <c r="F6770" s="18">
        <v>42259.17</v>
      </c>
      <c r="G6770" s="18">
        <v>123118</v>
      </c>
      <c r="H6770" s="18">
        <f t="shared" si="158"/>
        <v>42109.17</v>
      </c>
      <c r="I6770" s="3"/>
    </row>
    <row r="6771" spans="1:9" s="4" customFormat="1" ht="20.25" customHeight="1" x14ac:dyDescent="0.55000000000000004">
      <c r="A6771" s="18">
        <v>24.736949200000002</v>
      </c>
      <c r="B6771" s="18">
        <v>34.776561899999997</v>
      </c>
      <c r="C6771" s="18">
        <v>679670.98</v>
      </c>
      <c r="D6771" s="18">
        <v>2736986.88</v>
      </c>
      <c r="E6771" s="18">
        <v>447.16</v>
      </c>
      <c r="F6771" s="18">
        <v>41923.730000000003</v>
      </c>
      <c r="G6771" s="18">
        <v>123120</v>
      </c>
      <c r="H6771" s="18">
        <f t="shared" si="158"/>
        <v>41773.730000000003</v>
      </c>
      <c r="I6771" s="3"/>
    </row>
    <row r="6772" spans="1:9" s="4" customFormat="1" ht="20.25" customHeight="1" x14ac:dyDescent="0.55000000000000004">
      <c r="A6772" s="18">
        <v>24.736950499999999</v>
      </c>
      <c r="B6772" s="18">
        <v>34.776544800000003</v>
      </c>
      <c r="C6772" s="18">
        <v>679669.26</v>
      </c>
      <c r="D6772" s="18">
        <v>2736987</v>
      </c>
      <c r="E6772" s="18">
        <v>447.59</v>
      </c>
      <c r="F6772" s="18">
        <v>41740.36</v>
      </c>
      <c r="G6772" s="18">
        <v>123122</v>
      </c>
      <c r="H6772" s="18">
        <f t="shared" si="158"/>
        <v>41590.36</v>
      </c>
      <c r="I6772" s="3"/>
    </row>
    <row r="6773" spans="1:9" s="4" customFormat="1" ht="20.25" customHeight="1" x14ac:dyDescent="0.55000000000000004">
      <c r="A6773" s="18">
        <v>24.736960700000001</v>
      </c>
      <c r="B6773" s="18">
        <v>34.776533800000003</v>
      </c>
      <c r="C6773" s="18">
        <v>679668.12</v>
      </c>
      <c r="D6773" s="18">
        <v>2736988.11</v>
      </c>
      <c r="E6773" s="18">
        <v>447.94</v>
      </c>
      <c r="F6773" s="18">
        <v>41748.61</v>
      </c>
      <c r="G6773" s="18">
        <v>123124</v>
      </c>
      <c r="H6773" s="18">
        <f t="shared" si="158"/>
        <v>41598.61</v>
      </c>
      <c r="I6773" s="3"/>
    </row>
    <row r="6774" spans="1:9" s="4" customFormat="1" ht="20.25" customHeight="1" x14ac:dyDescent="0.55000000000000004">
      <c r="A6774" s="18">
        <v>24.736965399999999</v>
      </c>
      <c r="B6774" s="18">
        <v>34.7765208</v>
      </c>
      <c r="C6774" s="18">
        <v>679666.81</v>
      </c>
      <c r="D6774" s="18">
        <v>2736988.62</v>
      </c>
      <c r="E6774" s="18">
        <v>448.08</v>
      </c>
      <c r="F6774" s="18">
        <v>41802.21</v>
      </c>
      <c r="G6774" s="18">
        <v>123126</v>
      </c>
      <c r="H6774" s="18">
        <f t="shared" si="158"/>
        <v>41652.21</v>
      </c>
      <c r="I6774" s="3"/>
    </row>
    <row r="6775" spans="1:9" s="4" customFormat="1" ht="20.25" customHeight="1" x14ac:dyDescent="0.55000000000000004">
      <c r="A6775" s="18">
        <v>24.736969899999998</v>
      </c>
      <c r="B6775" s="18">
        <v>34.776507899999999</v>
      </c>
      <c r="C6775" s="18">
        <v>679665.49</v>
      </c>
      <c r="D6775" s="18">
        <v>2736989.1</v>
      </c>
      <c r="E6775" s="18">
        <v>448.31</v>
      </c>
      <c r="F6775" s="18">
        <v>41804.82</v>
      </c>
      <c r="G6775" s="18">
        <v>123128</v>
      </c>
      <c r="H6775" s="18">
        <f t="shared" si="158"/>
        <v>41654.82</v>
      </c>
      <c r="I6775" s="3"/>
    </row>
    <row r="6776" spans="1:9" s="4" customFormat="1" ht="20.25" customHeight="1" x14ac:dyDescent="0.55000000000000004">
      <c r="A6776" s="18">
        <v>24.736979300000002</v>
      </c>
      <c r="B6776" s="18">
        <v>34.776494700000001</v>
      </c>
      <c r="C6776" s="18">
        <v>679664.14</v>
      </c>
      <c r="D6776" s="18">
        <v>2736990.12</v>
      </c>
      <c r="E6776" s="18">
        <v>448.38</v>
      </c>
      <c r="F6776" s="18">
        <v>41791.230000000003</v>
      </c>
      <c r="G6776" s="18">
        <v>123130</v>
      </c>
      <c r="H6776" s="18">
        <f t="shared" si="158"/>
        <v>41641.230000000003</v>
      </c>
      <c r="I6776" s="3"/>
    </row>
    <row r="6777" spans="1:9" s="4" customFormat="1" ht="20.25" customHeight="1" x14ac:dyDescent="0.55000000000000004">
      <c r="A6777" s="18">
        <v>24.736986099999999</v>
      </c>
      <c r="B6777" s="18">
        <v>34.776483599999999</v>
      </c>
      <c r="C6777" s="18">
        <v>679663.01</v>
      </c>
      <c r="D6777" s="18">
        <v>2736990.86</v>
      </c>
      <c r="E6777" s="18">
        <v>448.44</v>
      </c>
      <c r="F6777" s="18">
        <v>41896.199999999997</v>
      </c>
      <c r="G6777" s="18">
        <v>123132</v>
      </c>
      <c r="H6777" s="18">
        <f t="shared" si="158"/>
        <v>41746.199999999997</v>
      </c>
      <c r="I6777" s="3"/>
    </row>
    <row r="6778" spans="1:9" s="4" customFormat="1" ht="20.25" customHeight="1" x14ac:dyDescent="0.55000000000000004">
      <c r="A6778" s="18">
        <v>24.736992399999998</v>
      </c>
      <c r="B6778" s="18">
        <v>34.776474200000003</v>
      </c>
      <c r="C6778" s="18">
        <v>679662.05</v>
      </c>
      <c r="D6778" s="18">
        <v>2736991.55</v>
      </c>
      <c r="E6778" s="18">
        <v>448.56</v>
      </c>
      <c r="F6778" s="18">
        <v>41865.339999999997</v>
      </c>
      <c r="G6778" s="18">
        <v>123134</v>
      </c>
      <c r="H6778" s="18">
        <f t="shared" si="158"/>
        <v>41715.339999999997</v>
      </c>
      <c r="I6778" s="3"/>
    </row>
    <row r="6779" spans="1:9" s="4" customFormat="1" ht="20.25" customHeight="1" x14ac:dyDescent="0.55000000000000004">
      <c r="A6779" s="18">
        <v>24.7369959</v>
      </c>
      <c r="B6779" s="18">
        <v>34.776460800000002</v>
      </c>
      <c r="C6779" s="18">
        <v>679660.69</v>
      </c>
      <c r="D6779" s="18">
        <v>2736991.92</v>
      </c>
      <c r="E6779" s="18">
        <v>448.99</v>
      </c>
      <c r="F6779" s="18">
        <v>41529.19</v>
      </c>
      <c r="G6779" s="18">
        <v>123136</v>
      </c>
      <c r="H6779" s="18">
        <f t="shared" si="158"/>
        <v>41379.19</v>
      </c>
      <c r="I6779" s="3"/>
    </row>
    <row r="6780" spans="1:9" s="4" customFormat="1" ht="20.25" customHeight="1" x14ac:dyDescent="0.55000000000000004">
      <c r="A6780" s="18">
        <v>24.7369941</v>
      </c>
      <c r="B6780" s="18">
        <v>34.776451700000003</v>
      </c>
      <c r="C6780" s="18">
        <v>679659.77</v>
      </c>
      <c r="D6780" s="18">
        <v>2736991.71</v>
      </c>
      <c r="E6780" s="18">
        <v>449.02</v>
      </c>
      <c r="F6780" s="18">
        <v>41546.01</v>
      </c>
      <c r="G6780" s="18">
        <v>123138</v>
      </c>
      <c r="H6780" s="18">
        <f t="shared" si="158"/>
        <v>41396.01</v>
      </c>
      <c r="I6780" s="3"/>
    </row>
    <row r="6781" spans="1:9" s="4" customFormat="1" ht="20.25" customHeight="1" x14ac:dyDescent="0.55000000000000004">
      <c r="A6781" s="18">
        <v>24.736985799999999</v>
      </c>
      <c r="B6781" s="18">
        <v>34.7764436</v>
      </c>
      <c r="C6781" s="18">
        <v>679658.96</v>
      </c>
      <c r="D6781" s="18">
        <v>2736990.77</v>
      </c>
      <c r="E6781" s="18">
        <v>449</v>
      </c>
      <c r="F6781" s="18">
        <v>41818.78</v>
      </c>
      <c r="G6781" s="18">
        <v>123140</v>
      </c>
      <c r="H6781" s="18">
        <f t="shared" si="158"/>
        <v>41668.78</v>
      </c>
      <c r="I6781" s="3"/>
    </row>
    <row r="6782" spans="1:9" s="4" customFormat="1" ht="20.25" customHeight="1" x14ac:dyDescent="0.55000000000000004">
      <c r="A6782" s="18">
        <v>24.736971799999999</v>
      </c>
      <c r="B6782" s="18">
        <v>34.776437700000002</v>
      </c>
      <c r="C6782" s="18">
        <v>679658.39</v>
      </c>
      <c r="D6782" s="18">
        <v>2736989.22</v>
      </c>
      <c r="E6782" s="18">
        <v>448.73</v>
      </c>
      <c r="F6782" s="18">
        <v>42026.63</v>
      </c>
      <c r="G6782" s="18">
        <v>123142</v>
      </c>
      <c r="H6782" s="18">
        <f t="shared" si="158"/>
        <v>41876.629999999997</v>
      </c>
      <c r="I6782" s="3"/>
    </row>
    <row r="6783" spans="1:9" s="4" customFormat="1" ht="20.25" customHeight="1" x14ac:dyDescent="0.55000000000000004">
      <c r="A6783" s="18">
        <v>24.7369573</v>
      </c>
      <c r="B6783" s="18">
        <v>34.776429499999999</v>
      </c>
      <c r="C6783" s="18">
        <v>679657.58</v>
      </c>
      <c r="D6783" s="18">
        <v>2736987.6</v>
      </c>
      <c r="E6783" s="18">
        <v>448.18</v>
      </c>
      <c r="F6783" s="18">
        <v>42072.27</v>
      </c>
      <c r="G6783" s="18">
        <v>123144</v>
      </c>
      <c r="H6783" s="18">
        <f t="shared" si="158"/>
        <v>41922.269999999997</v>
      </c>
      <c r="I6783" s="3"/>
    </row>
    <row r="6784" spans="1:9" s="4" customFormat="1" ht="20.25" customHeight="1" x14ac:dyDescent="0.55000000000000004">
      <c r="A6784" s="18">
        <v>24.736943</v>
      </c>
      <c r="B6784" s="18">
        <v>34.776431299999999</v>
      </c>
      <c r="C6784" s="18">
        <v>679657.79</v>
      </c>
      <c r="D6784" s="18">
        <v>2736986.02</v>
      </c>
      <c r="E6784" s="18">
        <v>447.79</v>
      </c>
      <c r="F6784" s="18">
        <v>41769.74</v>
      </c>
      <c r="G6784" s="18">
        <v>123146</v>
      </c>
      <c r="H6784" s="18">
        <f t="shared" si="158"/>
        <v>41619.74</v>
      </c>
      <c r="I6784" s="3"/>
    </row>
    <row r="6785" spans="1:9" s="4" customFormat="1" ht="20.25" customHeight="1" x14ac:dyDescent="0.55000000000000004">
      <c r="A6785" s="18">
        <v>24.7369214</v>
      </c>
      <c r="B6785" s="18">
        <v>34.776433400000002</v>
      </c>
      <c r="C6785" s="18">
        <v>679658.02</v>
      </c>
      <c r="D6785" s="18">
        <v>2736983.63</v>
      </c>
      <c r="E6785" s="18">
        <v>447.53</v>
      </c>
      <c r="F6785" s="18">
        <v>41758.14</v>
      </c>
      <c r="G6785" s="18">
        <v>123148</v>
      </c>
      <c r="H6785" s="18">
        <f t="shared" si="158"/>
        <v>41608.14</v>
      </c>
      <c r="I6785" s="3"/>
    </row>
    <row r="6786" spans="1:9" s="4" customFormat="1" ht="20.25" customHeight="1" x14ac:dyDescent="0.55000000000000004">
      <c r="A6786" s="18">
        <v>24.736906600000001</v>
      </c>
      <c r="B6786" s="18">
        <v>34.776442500000002</v>
      </c>
      <c r="C6786" s="18">
        <v>679658.97</v>
      </c>
      <c r="D6786" s="18">
        <v>2736982</v>
      </c>
      <c r="E6786" s="18">
        <v>447.47</v>
      </c>
      <c r="F6786" s="18">
        <v>41794.54</v>
      </c>
      <c r="G6786" s="18">
        <v>123150</v>
      </c>
      <c r="H6786" s="18">
        <f t="shared" si="158"/>
        <v>41644.54</v>
      </c>
      <c r="I6786" s="3"/>
    </row>
    <row r="6787" spans="1:9" s="4" customFormat="1" ht="20.25" customHeight="1" x14ac:dyDescent="0.55000000000000004">
      <c r="A6787" s="18">
        <v>24.736892900000001</v>
      </c>
      <c r="B6787" s="18">
        <v>34.776458099999999</v>
      </c>
      <c r="C6787" s="18">
        <v>679660.56</v>
      </c>
      <c r="D6787" s="18">
        <v>2736980.51</v>
      </c>
      <c r="E6787" s="18">
        <v>447.15</v>
      </c>
      <c r="F6787" s="18">
        <v>41831.440000000002</v>
      </c>
      <c r="G6787" s="18">
        <v>123152</v>
      </c>
      <c r="H6787" s="18">
        <f t="shared" si="158"/>
        <v>41681.440000000002</v>
      </c>
      <c r="I6787" s="3"/>
    </row>
    <row r="6788" spans="1:9" s="4" customFormat="1" ht="20.25" customHeight="1" x14ac:dyDescent="0.55000000000000004">
      <c r="A6788" s="18">
        <v>24.736879900000002</v>
      </c>
      <c r="B6788" s="18">
        <v>34.776469599999999</v>
      </c>
      <c r="C6788" s="18">
        <v>679661.75</v>
      </c>
      <c r="D6788" s="18">
        <v>2736979.08</v>
      </c>
      <c r="E6788" s="18">
        <v>446.65</v>
      </c>
      <c r="F6788" s="18">
        <v>41907.4</v>
      </c>
      <c r="G6788" s="18">
        <v>123154</v>
      </c>
      <c r="H6788" s="18">
        <f t="shared" si="158"/>
        <v>41757.4</v>
      </c>
      <c r="I6788" s="3"/>
    </row>
    <row r="6789" spans="1:9" s="4" customFormat="1" ht="20.25" customHeight="1" x14ac:dyDescent="0.55000000000000004">
      <c r="A6789" s="18">
        <v>24.7368655</v>
      </c>
      <c r="B6789" s="18">
        <v>34.776477900000003</v>
      </c>
      <c r="C6789" s="18">
        <v>679662.6</v>
      </c>
      <c r="D6789" s="18">
        <v>2736977.49</v>
      </c>
      <c r="E6789" s="18">
        <v>445.96</v>
      </c>
      <c r="F6789" s="18">
        <v>41891.629999999997</v>
      </c>
      <c r="G6789" s="18">
        <v>123156</v>
      </c>
      <c r="H6789" s="18">
        <f t="shared" si="158"/>
        <v>41741.629999999997</v>
      </c>
      <c r="I6789" s="3"/>
    </row>
    <row r="6790" spans="1:9" s="4" customFormat="1" ht="20.25" customHeight="1" x14ac:dyDescent="0.55000000000000004">
      <c r="A6790" s="18">
        <v>24.736851300000001</v>
      </c>
      <c r="B6790" s="18">
        <v>34.776483499999998</v>
      </c>
      <c r="C6790" s="18">
        <v>679663.19</v>
      </c>
      <c r="D6790" s="18">
        <v>2736975.94</v>
      </c>
      <c r="E6790" s="18">
        <v>445.39</v>
      </c>
      <c r="F6790" s="18">
        <v>41839.53</v>
      </c>
      <c r="G6790" s="18">
        <v>123158</v>
      </c>
      <c r="H6790" s="18">
        <f t="shared" si="158"/>
        <v>41689.53</v>
      </c>
      <c r="I6790" s="3"/>
    </row>
    <row r="6791" spans="1:9" s="4" customFormat="1" ht="20.25" customHeight="1" x14ac:dyDescent="0.55000000000000004">
      <c r="A6791" s="18">
        <v>24.7368317</v>
      </c>
      <c r="B6791" s="18">
        <v>34.776494100000001</v>
      </c>
      <c r="C6791" s="18">
        <v>679664.29</v>
      </c>
      <c r="D6791" s="18">
        <v>2736973.78</v>
      </c>
      <c r="E6791" s="18">
        <v>445.31</v>
      </c>
      <c r="F6791" s="18">
        <v>41825.65</v>
      </c>
      <c r="G6791" s="18">
        <v>123200</v>
      </c>
      <c r="H6791" s="18">
        <f t="shared" si="158"/>
        <v>41675.65</v>
      </c>
      <c r="I6791" s="3"/>
    </row>
    <row r="6792" spans="1:9" s="4" customFormat="1" ht="20.25" customHeight="1" x14ac:dyDescent="0.55000000000000004">
      <c r="A6792" s="18">
        <v>24.7368208</v>
      </c>
      <c r="B6792" s="18">
        <v>34.776502800000003</v>
      </c>
      <c r="C6792" s="18">
        <v>679665.19</v>
      </c>
      <c r="D6792" s="18">
        <v>2736972.58</v>
      </c>
      <c r="E6792" s="18">
        <v>444.81</v>
      </c>
      <c r="F6792" s="18">
        <v>41832.22</v>
      </c>
      <c r="G6792" s="18">
        <v>123202</v>
      </c>
      <c r="H6792" s="18">
        <f t="shared" si="158"/>
        <v>41682.22</v>
      </c>
      <c r="I6792" s="3"/>
    </row>
    <row r="6793" spans="1:9" s="4" customFormat="1" ht="20.25" customHeight="1" x14ac:dyDescent="0.55000000000000004">
      <c r="A6793" s="18">
        <v>24.736813900000001</v>
      </c>
      <c r="B6793" s="18">
        <v>34.776518299999999</v>
      </c>
      <c r="C6793" s="18">
        <v>679666.77</v>
      </c>
      <c r="D6793" s="18">
        <v>2736971.84</v>
      </c>
      <c r="E6793" s="18">
        <v>444.09</v>
      </c>
      <c r="F6793" s="18">
        <v>41811.230000000003</v>
      </c>
      <c r="G6793" s="18">
        <v>123204</v>
      </c>
      <c r="H6793" s="18">
        <f t="shared" si="158"/>
        <v>41661.230000000003</v>
      </c>
      <c r="I6793" s="3"/>
    </row>
    <row r="6794" spans="1:9" s="4" customFormat="1" ht="20.25" customHeight="1" x14ac:dyDescent="0.55000000000000004">
      <c r="A6794" s="18">
        <v>24.736808499999999</v>
      </c>
      <c r="B6794" s="18">
        <v>34.776536</v>
      </c>
      <c r="C6794" s="18">
        <v>679668.56</v>
      </c>
      <c r="D6794" s="18">
        <v>2736971.26</v>
      </c>
      <c r="E6794" s="18">
        <v>443.26</v>
      </c>
      <c r="F6794" s="18">
        <v>41829.32</v>
      </c>
      <c r="G6794" s="18">
        <v>123206</v>
      </c>
      <c r="H6794" s="18">
        <f t="shared" si="158"/>
        <v>41679.32</v>
      </c>
      <c r="I6794" s="3"/>
    </row>
    <row r="6795" spans="1:9" s="4" customFormat="1" ht="20.25" customHeight="1" x14ac:dyDescent="0.55000000000000004">
      <c r="A6795" s="18">
        <v>24.7367928</v>
      </c>
      <c r="B6795" s="18">
        <v>34.776551599999998</v>
      </c>
      <c r="C6795" s="18">
        <v>679670.17</v>
      </c>
      <c r="D6795" s="18">
        <v>2736969.54</v>
      </c>
      <c r="E6795" s="18">
        <v>443.23</v>
      </c>
      <c r="F6795" s="18">
        <v>41822.26</v>
      </c>
      <c r="G6795" s="18">
        <v>123208</v>
      </c>
      <c r="H6795" s="18">
        <f t="shared" si="158"/>
        <v>41672.26</v>
      </c>
      <c r="I6795" s="3"/>
    </row>
    <row r="6796" spans="1:9" s="4" customFormat="1" ht="20.25" customHeight="1" x14ac:dyDescent="0.55000000000000004">
      <c r="A6796" s="18">
        <v>24.736777</v>
      </c>
      <c r="B6796" s="18">
        <v>34.776558700000002</v>
      </c>
      <c r="C6796" s="18">
        <v>679670.91</v>
      </c>
      <c r="D6796" s="18">
        <v>2736967.8</v>
      </c>
      <c r="E6796" s="18">
        <v>443.25</v>
      </c>
      <c r="F6796" s="18">
        <v>41811.43</v>
      </c>
      <c r="G6796" s="18">
        <v>123210</v>
      </c>
      <c r="H6796" s="18">
        <f t="shared" si="158"/>
        <v>41661.43</v>
      </c>
      <c r="I6796" s="3"/>
    </row>
    <row r="6797" spans="1:9" s="4" customFormat="1" ht="20.25" customHeight="1" x14ac:dyDescent="0.55000000000000004">
      <c r="A6797" s="18">
        <v>24.736761699999999</v>
      </c>
      <c r="B6797" s="18">
        <v>34.776556800000002</v>
      </c>
      <c r="C6797" s="18">
        <v>679670.74</v>
      </c>
      <c r="D6797" s="18">
        <v>2736966.1</v>
      </c>
      <c r="E6797" s="18">
        <v>443.55</v>
      </c>
      <c r="F6797" s="18">
        <v>41804.65</v>
      </c>
      <c r="G6797" s="18">
        <v>123212</v>
      </c>
      <c r="H6797" s="18">
        <f t="shared" si="158"/>
        <v>41654.65</v>
      </c>
      <c r="I6797" s="3"/>
    </row>
    <row r="6798" spans="1:9" s="4" customFormat="1" ht="20.25" customHeight="1" x14ac:dyDescent="0.55000000000000004">
      <c r="A6798" s="18">
        <v>24.7367472</v>
      </c>
      <c r="B6798" s="18">
        <v>34.776566600000002</v>
      </c>
      <c r="C6798" s="18">
        <v>679671.75</v>
      </c>
      <c r="D6798" s="18">
        <v>2736964.52</v>
      </c>
      <c r="E6798" s="18">
        <v>442.95</v>
      </c>
      <c r="F6798" s="18">
        <v>41804.300000000003</v>
      </c>
      <c r="G6798" s="18">
        <v>123214</v>
      </c>
      <c r="H6798" s="18">
        <f t="shared" si="158"/>
        <v>41654.300000000003</v>
      </c>
      <c r="I6798" s="3"/>
    </row>
    <row r="6799" spans="1:9" s="4" customFormat="1" ht="20.25" customHeight="1" x14ac:dyDescent="0.55000000000000004">
      <c r="A6799" s="18">
        <v>24.736732100000001</v>
      </c>
      <c r="B6799" s="18">
        <v>34.776579400000003</v>
      </c>
      <c r="C6799" s="18">
        <v>679673.06</v>
      </c>
      <c r="D6799" s="18">
        <v>2736962.86</v>
      </c>
      <c r="E6799" s="18">
        <v>442.31</v>
      </c>
      <c r="F6799" s="18">
        <v>41805.29</v>
      </c>
      <c r="G6799" s="18">
        <v>123216</v>
      </c>
      <c r="H6799" s="18">
        <f t="shared" si="158"/>
        <v>41655.29</v>
      </c>
      <c r="I6799" s="3"/>
    </row>
    <row r="6800" spans="1:9" s="4" customFormat="1" ht="20.25" customHeight="1" x14ac:dyDescent="0.55000000000000004">
      <c r="A6800" s="18">
        <v>24.736709600000001</v>
      </c>
      <c r="B6800" s="18">
        <v>34.776586100000003</v>
      </c>
      <c r="C6800" s="18">
        <v>679673.77</v>
      </c>
      <c r="D6800" s="18">
        <v>2736960.37</v>
      </c>
      <c r="E6800" s="18">
        <v>442.43</v>
      </c>
      <c r="F6800" s="18">
        <v>41805.480000000003</v>
      </c>
      <c r="G6800" s="18">
        <v>123218</v>
      </c>
      <c r="H6800" s="18">
        <f t="shared" si="158"/>
        <v>41655.480000000003</v>
      </c>
      <c r="I6800" s="3"/>
    </row>
    <row r="6801" spans="1:9" s="4" customFormat="1" ht="20.25" customHeight="1" x14ac:dyDescent="0.55000000000000004">
      <c r="A6801" s="18">
        <v>24.736699099999999</v>
      </c>
      <c r="B6801" s="18">
        <v>34.776587499999998</v>
      </c>
      <c r="C6801" s="18">
        <v>679673.93</v>
      </c>
      <c r="D6801" s="18">
        <v>2736959.21</v>
      </c>
      <c r="E6801" s="18">
        <v>442.41</v>
      </c>
      <c r="F6801" s="18">
        <v>41806.33</v>
      </c>
      <c r="G6801" s="18">
        <v>123220</v>
      </c>
      <c r="H6801" s="18">
        <f t="shared" si="158"/>
        <v>41656.33</v>
      </c>
      <c r="I6801" s="3"/>
    </row>
    <row r="6802" spans="1:9" s="4" customFormat="1" ht="20.25" customHeight="1" x14ac:dyDescent="0.55000000000000004">
      <c r="A6802" s="18">
        <v>24.7366855</v>
      </c>
      <c r="B6802" s="18">
        <v>34.7765998</v>
      </c>
      <c r="C6802" s="18">
        <v>679675.2</v>
      </c>
      <c r="D6802" s="18">
        <v>2736957.72</v>
      </c>
      <c r="E6802" s="18">
        <v>441.68</v>
      </c>
      <c r="F6802" s="18">
        <v>41807.279999999999</v>
      </c>
      <c r="G6802" s="18">
        <v>123222</v>
      </c>
      <c r="H6802" s="18">
        <f t="shared" si="158"/>
        <v>41657.279999999999</v>
      </c>
      <c r="I6802" s="3"/>
    </row>
    <row r="6803" spans="1:9" s="4" customFormat="1" ht="20.25" customHeight="1" x14ac:dyDescent="0.55000000000000004">
      <c r="A6803" s="18">
        <v>24.736674699999998</v>
      </c>
      <c r="B6803" s="18">
        <v>34.776609399999998</v>
      </c>
      <c r="C6803" s="18">
        <v>679676.18</v>
      </c>
      <c r="D6803" s="18">
        <v>2736956.54</v>
      </c>
      <c r="E6803" s="18">
        <v>441.02</v>
      </c>
      <c r="F6803" s="18">
        <v>41809.21</v>
      </c>
      <c r="G6803" s="18">
        <v>123224</v>
      </c>
      <c r="H6803" s="18">
        <f t="shared" si="158"/>
        <v>41659.21</v>
      </c>
      <c r="I6803" s="3"/>
    </row>
    <row r="6804" spans="1:9" s="4" customFormat="1" ht="20.25" customHeight="1" x14ac:dyDescent="0.55000000000000004">
      <c r="A6804" s="18">
        <v>24.736663</v>
      </c>
      <c r="B6804" s="18">
        <v>34.776619799999999</v>
      </c>
      <c r="C6804" s="18">
        <v>679677.25</v>
      </c>
      <c r="D6804" s="18">
        <v>2736955.25</v>
      </c>
      <c r="E6804" s="18">
        <v>440.8</v>
      </c>
      <c r="F6804" s="18">
        <v>41810.22</v>
      </c>
      <c r="G6804" s="18">
        <v>123226</v>
      </c>
      <c r="H6804" s="18">
        <f t="shared" si="158"/>
        <v>41660.22</v>
      </c>
      <c r="I6804" s="3"/>
    </row>
    <row r="6805" spans="1:9" s="4" customFormat="1" ht="20.25" customHeight="1" x14ac:dyDescent="0.55000000000000004">
      <c r="A6805" s="18">
        <v>24.736654300000001</v>
      </c>
      <c r="B6805" s="18">
        <v>34.776629300000003</v>
      </c>
      <c r="C6805" s="18">
        <v>679678.22</v>
      </c>
      <c r="D6805" s="18">
        <v>2736954.31</v>
      </c>
      <c r="E6805" s="18">
        <v>440.79</v>
      </c>
      <c r="F6805" s="18">
        <v>41809.69</v>
      </c>
      <c r="G6805" s="18">
        <v>123228</v>
      </c>
      <c r="H6805" s="18">
        <f t="shared" si="158"/>
        <v>41659.69</v>
      </c>
      <c r="I6805" s="3"/>
    </row>
    <row r="6806" spans="1:9" s="4" customFormat="1" ht="20.25" customHeight="1" x14ac:dyDescent="0.55000000000000004">
      <c r="A6806" s="18">
        <v>24.736644399999999</v>
      </c>
      <c r="B6806" s="18">
        <v>34.776639099999997</v>
      </c>
      <c r="C6806" s="18">
        <v>679679.23</v>
      </c>
      <c r="D6806" s="18">
        <v>2736953.22</v>
      </c>
      <c r="E6806" s="18">
        <v>441</v>
      </c>
      <c r="F6806" s="18">
        <v>41815.089999999997</v>
      </c>
      <c r="G6806" s="18">
        <v>123230</v>
      </c>
      <c r="H6806" s="18">
        <f t="shared" si="158"/>
        <v>41665.089999999997</v>
      </c>
      <c r="I6806" s="3"/>
    </row>
    <row r="6807" spans="1:9" s="4" customFormat="1" ht="20.25" customHeight="1" x14ac:dyDescent="0.55000000000000004">
      <c r="A6807" s="18">
        <v>24.736633699999999</v>
      </c>
      <c r="B6807" s="18">
        <v>34.776644400000002</v>
      </c>
      <c r="C6807" s="18">
        <v>679679.79</v>
      </c>
      <c r="D6807" s="18">
        <v>2736952.04</v>
      </c>
      <c r="E6807" s="18">
        <v>440.97</v>
      </c>
      <c r="F6807" s="18">
        <v>41817.78</v>
      </c>
      <c r="G6807" s="18">
        <v>123232</v>
      </c>
      <c r="H6807" s="18">
        <f t="shared" si="158"/>
        <v>41667.78</v>
      </c>
      <c r="I6807" s="3"/>
    </row>
    <row r="6808" spans="1:9" s="4" customFormat="1" ht="20.25" customHeight="1" x14ac:dyDescent="0.55000000000000004">
      <c r="A6808" s="18">
        <v>24.736619000000001</v>
      </c>
      <c r="B6808" s="18">
        <v>34.776647199999999</v>
      </c>
      <c r="C6808" s="18">
        <v>679680.09</v>
      </c>
      <c r="D6808" s="18">
        <v>2736950.42</v>
      </c>
      <c r="E6808" s="18">
        <v>440.93</v>
      </c>
      <c r="F6808" s="18">
        <v>41816.959999999999</v>
      </c>
      <c r="G6808" s="18">
        <v>123234</v>
      </c>
      <c r="H6808" s="18">
        <f t="shared" si="158"/>
        <v>41666.959999999999</v>
      </c>
      <c r="I6808" s="3"/>
    </row>
    <row r="6809" spans="1:9" s="4" customFormat="1" ht="20.25" customHeight="1" x14ac:dyDescent="0.55000000000000004">
      <c r="A6809" s="18">
        <v>24.736607299999999</v>
      </c>
      <c r="B6809" s="18">
        <v>34.776648899999998</v>
      </c>
      <c r="C6809" s="18">
        <v>679680.27</v>
      </c>
      <c r="D6809" s="18">
        <v>2736949.13</v>
      </c>
      <c r="E6809" s="18">
        <v>441.19</v>
      </c>
      <c r="F6809" s="18">
        <v>41817.25</v>
      </c>
      <c r="G6809" s="18">
        <v>123236</v>
      </c>
      <c r="H6809" s="18">
        <f t="shared" si="158"/>
        <v>41667.25</v>
      </c>
      <c r="I6809" s="3"/>
    </row>
    <row r="6810" spans="1:9" s="4" customFormat="1" ht="20.25" customHeight="1" x14ac:dyDescent="0.55000000000000004">
      <c r="A6810" s="18">
        <v>24.736599900000002</v>
      </c>
      <c r="B6810" s="18">
        <v>34.776654100000002</v>
      </c>
      <c r="C6810" s="18">
        <v>679680.81</v>
      </c>
      <c r="D6810" s="18">
        <v>2736948.31</v>
      </c>
      <c r="E6810" s="18">
        <v>441.44</v>
      </c>
      <c r="F6810" s="18">
        <v>41817.18</v>
      </c>
      <c r="G6810" s="18">
        <v>123238</v>
      </c>
      <c r="H6810" s="18">
        <f t="shared" si="158"/>
        <v>41667.18</v>
      </c>
      <c r="I6810" s="3"/>
    </row>
    <row r="6811" spans="1:9" s="4" customFormat="1" ht="20.25" customHeight="1" x14ac:dyDescent="0.55000000000000004">
      <c r="A6811" s="18">
        <v>24.736587199999999</v>
      </c>
      <c r="B6811" s="18">
        <v>34.776651999999999</v>
      </c>
      <c r="C6811" s="18">
        <v>679680.62</v>
      </c>
      <c r="D6811" s="18">
        <v>2736946.9</v>
      </c>
      <c r="E6811" s="18">
        <v>441.8</v>
      </c>
      <c r="F6811" s="18">
        <v>41815.19</v>
      </c>
      <c r="G6811" s="18">
        <v>123240</v>
      </c>
      <c r="H6811" s="18">
        <f t="shared" si="158"/>
        <v>41665.19</v>
      </c>
      <c r="I6811" s="3"/>
    </row>
    <row r="6812" spans="1:9" s="4" customFormat="1" ht="20.25" customHeight="1" x14ac:dyDescent="0.55000000000000004">
      <c r="A6812" s="18">
        <v>24.736575599999998</v>
      </c>
      <c r="B6812" s="18">
        <v>34.776660200000002</v>
      </c>
      <c r="C6812" s="18">
        <v>679681.46</v>
      </c>
      <c r="D6812" s="18">
        <v>2736945.62</v>
      </c>
      <c r="E6812" s="18">
        <v>441.87</v>
      </c>
      <c r="F6812" s="18">
        <v>41813.22</v>
      </c>
      <c r="G6812" s="18">
        <v>123242</v>
      </c>
      <c r="H6812" s="18">
        <f t="shared" si="158"/>
        <v>41663.22</v>
      </c>
      <c r="I6812" s="3"/>
    </row>
    <row r="6813" spans="1:9" s="4" customFormat="1" ht="20.25" customHeight="1" x14ac:dyDescent="0.55000000000000004">
      <c r="A6813" s="18">
        <v>24.736575599999998</v>
      </c>
      <c r="B6813" s="18">
        <v>34.776665399999999</v>
      </c>
      <c r="C6813" s="18">
        <v>679681.99</v>
      </c>
      <c r="D6813" s="18">
        <v>2736945.64</v>
      </c>
      <c r="E6813" s="18">
        <v>441.94</v>
      </c>
      <c r="F6813" s="18">
        <v>41814.07</v>
      </c>
      <c r="G6813" s="18">
        <v>123244</v>
      </c>
      <c r="H6813" s="18">
        <f t="shared" si="158"/>
        <v>41664.07</v>
      </c>
      <c r="I6813" s="3"/>
    </row>
    <row r="6814" spans="1:9" s="4" customFormat="1" ht="20.25" customHeight="1" x14ac:dyDescent="0.55000000000000004">
      <c r="A6814" s="18">
        <v>24.7365621</v>
      </c>
      <c r="B6814" s="18">
        <v>34.776671700000001</v>
      </c>
      <c r="C6814" s="18">
        <v>679682.65</v>
      </c>
      <c r="D6814" s="18">
        <v>2736944.15</v>
      </c>
      <c r="E6814" s="18">
        <v>442.16</v>
      </c>
      <c r="F6814" s="18">
        <v>41812.870000000003</v>
      </c>
      <c r="G6814" s="18">
        <v>123246</v>
      </c>
      <c r="H6814" s="18">
        <f t="shared" si="158"/>
        <v>41662.870000000003</v>
      </c>
      <c r="I6814" s="3"/>
    </row>
    <row r="6815" spans="1:9" s="4" customFormat="1" ht="20.25" customHeight="1" x14ac:dyDescent="0.55000000000000004">
      <c r="A6815" s="18">
        <v>24.736552799999998</v>
      </c>
      <c r="B6815" s="18">
        <v>34.776676100000003</v>
      </c>
      <c r="C6815" s="18">
        <v>679683.1</v>
      </c>
      <c r="D6815" s="18">
        <v>2736943.12</v>
      </c>
      <c r="E6815" s="18">
        <v>442</v>
      </c>
      <c r="F6815" s="18">
        <v>41811.660000000003</v>
      </c>
      <c r="G6815" s="18">
        <v>123248</v>
      </c>
      <c r="H6815" s="18">
        <f t="shared" si="158"/>
        <v>41661.660000000003</v>
      </c>
      <c r="I6815" s="3"/>
    </row>
    <row r="6816" spans="1:9" s="4" customFormat="1" ht="20.25" customHeight="1" x14ac:dyDescent="0.55000000000000004">
      <c r="A6816" s="18">
        <v>24.736540999999999</v>
      </c>
      <c r="B6816" s="18">
        <v>34.776681199999999</v>
      </c>
      <c r="C6816" s="18">
        <v>679683.63</v>
      </c>
      <c r="D6816" s="18">
        <v>2736941.82</v>
      </c>
      <c r="E6816" s="18">
        <v>441.95</v>
      </c>
      <c r="F6816" s="18">
        <v>41811.230000000003</v>
      </c>
      <c r="G6816" s="18">
        <v>123250</v>
      </c>
      <c r="H6816" s="18">
        <f t="shared" si="158"/>
        <v>41661.230000000003</v>
      </c>
      <c r="I6816" s="3"/>
    </row>
    <row r="6817" spans="1:9" s="4" customFormat="1" ht="20.25" customHeight="1" x14ac:dyDescent="0.55000000000000004">
      <c r="A6817" s="18">
        <v>24.7365274</v>
      </c>
      <c r="B6817" s="18">
        <v>34.776685899999997</v>
      </c>
      <c r="C6817" s="18">
        <v>679684.13</v>
      </c>
      <c r="D6817" s="18">
        <v>2736940.32</v>
      </c>
      <c r="E6817" s="18">
        <v>441.97</v>
      </c>
      <c r="F6817" s="18">
        <v>41808.33</v>
      </c>
      <c r="G6817" s="18">
        <v>123252</v>
      </c>
      <c r="H6817" s="18">
        <f t="shared" si="158"/>
        <v>41658.33</v>
      </c>
      <c r="I6817" s="3"/>
    </row>
    <row r="6818" spans="1:9" s="4" customFormat="1" ht="20.25" customHeight="1" x14ac:dyDescent="0.55000000000000004">
      <c r="A6818" s="18">
        <v>24.7365289</v>
      </c>
      <c r="B6818" s="18">
        <v>34.776689500000003</v>
      </c>
      <c r="C6818" s="18">
        <v>679684.49</v>
      </c>
      <c r="D6818" s="18">
        <v>2736940.5</v>
      </c>
      <c r="E6818" s="18">
        <v>442.08</v>
      </c>
      <c r="F6818" s="18">
        <v>41808.720000000001</v>
      </c>
      <c r="G6818" s="18">
        <v>123254</v>
      </c>
      <c r="H6818" s="18">
        <f t="shared" si="158"/>
        <v>41658.720000000001</v>
      </c>
      <c r="I6818" s="3"/>
    </row>
    <row r="6819" spans="1:9" s="4" customFormat="1" ht="20.25" customHeight="1" x14ac:dyDescent="0.55000000000000004">
      <c r="A6819" s="18">
        <v>24.736526300000001</v>
      </c>
      <c r="B6819" s="18">
        <v>34.776691</v>
      </c>
      <c r="C6819" s="18">
        <v>679684.65</v>
      </c>
      <c r="D6819" s="18">
        <v>2736940.21</v>
      </c>
      <c r="E6819" s="18">
        <v>442.17</v>
      </c>
      <c r="F6819" s="18">
        <v>41808.68</v>
      </c>
      <c r="G6819" s="18">
        <v>123256</v>
      </c>
      <c r="H6819" s="18">
        <f t="shared" si="158"/>
        <v>41658.68</v>
      </c>
      <c r="I6819" s="3"/>
    </row>
    <row r="6820" spans="1:9" s="4" customFormat="1" ht="20.25" customHeight="1" x14ac:dyDescent="0.55000000000000004">
      <c r="A6820" s="18">
        <v>24.736516099999999</v>
      </c>
      <c r="B6820" s="18">
        <v>34.776698799999998</v>
      </c>
      <c r="C6820" s="18">
        <v>679685.45</v>
      </c>
      <c r="D6820" s="18">
        <v>2736939.09</v>
      </c>
      <c r="E6820" s="18">
        <v>442.25</v>
      </c>
      <c r="F6820" s="18">
        <v>41808.559999999998</v>
      </c>
      <c r="G6820" s="18">
        <v>123258</v>
      </c>
      <c r="H6820" s="18">
        <f t="shared" si="158"/>
        <v>41658.559999999998</v>
      </c>
      <c r="I6820" s="3"/>
    </row>
    <row r="6821" spans="1:9" s="4" customFormat="1" ht="20.25" customHeight="1" x14ac:dyDescent="0.55000000000000004">
      <c r="A6821" s="18">
        <v>24.7365034</v>
      </c>
      <c r="B6821" s="18">
        <v>34.776704600000002</v>
      </c>
      <c r="C6821" s="18">
        <v>679686.06</v>
      </c>
      <c r="D6821" s="18">
        <v>2736937.69</v>
      </c>
      <c r="E6821" s="18">
        <v>442.49</v>
      </c>
      <c r="F6821" s="18">
        <v>41807.72</v>
      </c>
      <c r="G6821" s="18">
        <v>123300</v>
      </c>
      <c r="H6821" s="18">
        <f t="shared" si="158"/>
        <v>41657.72</v>
      </c>
      <c r="I6821" s="3"/>
    </row>
    <row r="6822" spans="1:9" s="4" customFormat="1" ht="20.25" customHeight="1" x14ac:dyDescent="0.55000000000000004">
      <c r="A6822" s="18">
        <v>24.736493100000001</v>
      </c>
      <c r="B6822" s="18">
        <v>34.7767032</v>
      </c>
      <c r="C6822" s="18">
        <v>679685.94</v>
      </c>
      <c r="D6822" s="18">
        <v>2736936.55</v>
      </c>
      <c r="E6822" s="18">
        <v>442.76</v>
      </c>
      <c r="F6822" s="18">
        <v>41805.5</v>
      </c>
      <c r="G6822" s="18">
        <v>123302</v>
      </c>
      <c r="H6822" s="18">
        <f t="shared" si="158"/>
        <v>41655.5</v>
      </c>
      <c r="I6822" s="3"/>
    </row>
    <row r="6823" spans="1:9" s="4" customFormat="1" ht="20.25" customHeight="1" x14ac:dyDescent="0.55000000000000004">
      <c r="A6823" s="18">
        <v>24.736478600000002</v>
      </c>
      <c r="B6823" s="18">
        <v>34.776704199999998</v>
      </c>
      <c r="C6823" s="18">
        <v>679686.06</v>
      </c>
      <c r="D6823" s="18">
        <v>2736934.94</v>
      </c>
      <c r="E6823" s="18">
        <v>443.15</v>
      </c>
      <c r="F6823" s="18">
        <v>41803.94</v>
      </c>
      <c r="G6823" s="18">
        <v>123304</v>
      </c>
      <c r="H6823" s="18">
        <f t="shared" si="158"/>
        <v>41653.94</v>
      </c>
      <c r="I6823" s="3"/>
    </row>
    <row r="6824" spans="1:9" s="4" customFormat="1" ht="20.25" customHeight="1" x14ac:dyDescent="0.55000000000000004">
      <c r="A6824" s="18">
        <v>24.736463000000001</v>
      </c>
      <c r="B6824" s="18">
        <v>34.776706699999998</v>
      </c>
      <c r="C6824" s="18">
        <v>679686.33</v>
      </c>
      <c r="D6824" s="18">
        <v>2736933.21</v>
      </c>
      <c r="E6824" s="18">
        <v>443.55</v>
      </c>
      <c r="F6824" s="18">
        <v>41801.4</v>
      </c>
      <c r="G6824" s="18">
        <v>123306</v>
      </c>
      <c r="H6824" s="18">
        <f t="shared" si="158"/>
        <v>41651.4</v>
      </c>
      <c r="I6824" s="3"/>
    </row>
    <row r="6825" spans="1:9" s="4" customFormat="1" ht="20.25" customHeight="1" x14ac:dyDescent="0.55000000000000004">
      <c r="A6825" s="18">
        <v>24.736446900000001</v>
      </c>
      <c r="B6825" s="18">
        <v>34.776712699999997</v>
      </c>
      <c r="C6825" s="18">
        <v>679686.95</v>
      </c>
      <c r="D6825" s="18">
        <v>2736931.44</v>
      </c>
      <c r="E6825" s="18">
        <v>443.82</v>
      </c>
      <c r="F6825" s="18">
        <v>41802.03</v>
      </c>
      <c r="G6825" s="18">
        <v>123308</v>
      </c>
      <c r="H6825" s="18">
        <f t="shared" si="158"/>
        <v>41652.03</v>
      </c>
      <c r="I6825" s="3"/>
    </row>
    <row r="6826" spans="1:9" s="4" customFormat="1" ht="20.25" customHeight="1" x14ac:dyDescent="0.55000000000000004">
      <c r="A6826" s="18">
        <v>24.736435</v>
      </c>
      <c r="B6826" s="18">
        <v>34.7767233</v>
      </c>
      <c r="C6826" s="18">
        <v>679688.05</v>
      </c>
      <c r="D6826" s="18">
        <v>2736930.14</v>
      </c>
      <c r="E6826" s="18">
        <v>443.49</v>
      </c>
      <c r="F6826" s="18">
        <v>41801.61</v>
      </c>
      <c r="G6826" s="18">
        <v>123310</v>
      </c>
      <c r="H6826" s="18">
        <f t="shared" ref="H6826:H6889" si="159">SUM(F6826-150)</f>
        <v>41651.61</v>
      </c>
      <c r="I6826" s="3"/>
    </row>
    <row r="6827" spans="1:9" s="4" customFormat="1" ht="20.25" customHeight="1" x14ac:dyDescent="0.55000000000000004">
      <c r="A6827" s="18">
        <v>24.7364189</v>
      </c>
      <c r="B6827" s="18">
        <v>34.776733499999999</v>
      </c>
      <c r="C6827" s="18">
        <v>679689.11</v>
      </c>
      <c r="D6827" s="18">
        <v>2736928.37</v>
      </c>
      <c r="E6827" s="18">
        <v>443.4</v>
      </c>
      <c r="F6827" s="18">
        <v>41800.25</v>
      </c>
      <c r="G6827" s="18">
        <v>123312</v>
      </c>
      <c r="H6827" s="18">
        <f t="shared" si="159"/>
        <v>41650.25</v>
      </c>
      <c r="I6827" s="3"/>
    </row>
    <row r="6828" spans="1:9" s="4" customFormat="1" ht="20.25" customHeight="1" x14ac:dyDescent="0.55000000000000004">
      <c r="A6828" s="18">
        <v>24.736401799999999</v>
      </c>
      <c r="B6828" s="18">
        <v>34.776743000000003</v>
      </c>
      <c r="C6828" s="18">
        <v>679690.09</v>
      </c>
      <c r="D6828" s="18">
        <v>2736926.48</v>
      </c>
      <c r="E6828" s="18">
        <v>443.44</v>
      </c>
      <c r="F6828" s="18">
        <v>41802.22</v>
      </c>
      <c r="G6828" s="18">
        <v>123314</v>
      </c>
      <c r="H6828" s="18">
        <f t="shared" si="159"/>
        <v>41652.22</v>
      </c>
      <c r="I6828" s="3"/>
    </row>
    <row r="6829" spans="1:9" s="4" customFormat="1" ht="20.25" customHeight="1" x14ac:dyDescent="0.55000000000000004">
      <c r="A6829" s="18">
        <v>24.7363836</v>
      </c>
      <c r="B6829" s="18">
        <v>34.776739300000003</v>
      </c>
      <c r="C6829" s="18">
        <v>679689.74</v>
      </c>
      <c r="D6829" s="18">
        <v>2736924.47</v>
      </c>
      <c r="E6829" s="18">
        <v>443.73</v>
      </c>
      <c r="F6829" s="18">
        <v>41800.65</v>
      </c>
      <c r="G6829" s="18">
        <v>123316</v>
      </c>
      <c r="H6829" s="18">
        <f t="shared" si="159"/>
        <v>41650.65</v>
      </c>
      <c r="I6829" s="3"/>
    </row>
    <row r="6830" spans="1:9" s="4" customFormat="1" ht="20.25" customHeight="1" x14ac:dyDescent="0.55000000000000004">
      <c r="A6830" s="18">
        <v>24.736374999999999</v>
      </c>
      <c r="B6830" s="18">
        <v>34.776735899999998</v>
      </c>
      <c r="C6830" s="18">
        <v>679689.41</v>
      </c>
      <c r="D6830" s="18">
        <v>2736923.51</v>
      </c>
      <c r="E6830" s="18">
        <v>443.96</v>
      </c>
      <c r="F6830" s="18">
        <v>41800.93</v>
      </c>
      <c r="G6830" s="18">
        <v>123318</v>
      </c>
      <c r="H6830" s="18">
        <f t="shared" si="159"/>
        <v>41650.93</v>
      </c>
      <c r="I6830" s="3"/>
    </row>
    <row r="6831" spans="1:9" s="4" customFormat="1" ht="20.25" customHeight="1" x14ac:dyDescent="0.55000000000000004">
      <c r="A6831" s="18">
        <v>24.736363900000001</v>
      </c>
      <c r="B6831" s="18">
        <v>34.776736700000001</v>
      </c>
      <c r="C6831" s="18">
        <v>679689.51</v>
      </c>
      <c r="D6831" s="18">
        <v>2736922.28</v>
      </c>
      <c r="E6831" s="18">
        <v>443.41</v>
      </c>
      <c r="F6831" s="18">
        <v>41799.47</v>
      </c>
      <c r="G6831" s="18">
        <v>123320</v>
      </c>
      <c r="H6831" s="18">
        <f t="shared" si="159"/>
        <v>41649.47</v>
      </c>
      <c r="I6831" s="3"/>
    </row>
    <row r="6832" spans="1:9" s="4" customFormat="1" ht="20.25" customHeight="1" x14ac:dyDescent="0.55000000000000004">
      <c r="A6832" s="18">
        <v>24.736350300000002</v>
      </c>
      <c r="B6832" s="18">
        <v>34.776743199999999</v>
      </c>
      <c r="C6832" s="18">
        <v>679690.19</v>
      </c>
      <c r="D6832" s="18">
        <v>2736920.78</v>
      </c>
      <c r="E6832" s="18">
        <v>442.92</v>
      </c>
      <c r="F6832" s="18">
        <v>41802.07</v>
      </c>
      <c r="G6832" s="18">
        <v>123322</v>
      </c>
      <c r="H6832" s="18">
        <f t="shared" si="159"/>
        <v>41652.07</v>
      </c>
      <c r="I6832" s="3"/>
    </row>
    <row r="6833" spans="1:9" s="4" customFormat="1" ht="20.25" customHeight="1" x14ac:dyDescent="0.55000000000000004">
      <c r="A6833" s="18">
        <v>24.736339699999998</v>
      </c>
      <c r="B6833" s="18">
        <v>34.776744999999998</v>
      </c>
      <c r="C6833" s="18">
        <v>679690.38</v>
      </c>
      <c r="D6833" s="18">
        <v>2736919.62</v>
      </c>
      <c r="E6833" s="18">
        <v>442.48</v>
      </c>
      <c r="F6833" s="18">
        <v>41798.5</v>
      </c>
      <c r="G6833" s="18">
        <v>123324</v>
      </c>
      <c r="H6833" s="18">
        <f t="shared" si="159"/>
        <v>41648.5</v>
      </c>
      <c r="I6833" s="3"/>
    </row>
    <row r="6834" spans="1:9" s="4" customFormat="1" ht="20.25" customHeight="1" x14ac:dyDescent="0.55000000000000004">
      <c r="A6834" s="18">
        <v>24.736329300000001</v>
      </c>
      <c r="B6834" s="18">
        <v>34.776751500000003</v>
      </c>
      <c r="C6834" s="18">
        <v>679691.05</v>
      </c>
      <c r="D6834" s="18">
        <v>2736918.47</v>
      </c>
      <c r="E6834" s="18">
        <v>441.88</v>
      </c>
      <c r="F6834" s="18">
        <v>41798.519999999997</v>
      </c>
      <c r="G6834" s="18">
        <v>123326</v>
      </c>
      <c r="H6834" s="18">
        <f t="shared" si="159"/>
        <v>41648.519999999997</v>
      </c>
      <c r="I6834" s="3"/>
    </row>
    <row r="6835" spans="1:9" s="4" customFormat="1" ht="20.25" customHeight="1" x14ac:dyDescent="0.55000000000000004">
      <c r="A6835" s="18">
        <v>24.736320800000001</v>
      </c>
      <c r="B6835" s="18">
        <v>34.776767900000003</v>
      </c>
      <c r="C6835" s="18">
        <v>679692.73</v>
      </c>
      <c r="D6835" s="18">
        <v>2736917.55</v>
      </c>
      <c r="E6835" s="18">
        <v>441.06</v>
      </c>
      <c r="F6835" s="18">
        <v>41796.42</v>
      </c>
      <c r="G6835" s="18">
        <v>123328</v>
      </c>
      <c r="H6835" s="18">
        <f t="shared" si="159"/>
        <v>41646.42</v>
      </c>
      <c r="I6835" s="3"/>
    </row>
    <row r="6836" spans="1:9" s="4" customFormat="1" ht="20.25" customHeight="1" x14ac:dyDescent="0.55000000000000004">
      <c r="A6836" s="18">
        <v>24.736318499999999</v>
      </c>
      <c r="B6836" s="18">
        <v>34.776786999999999</v>
      </c>
      <c r="C6836" s="18">
        <v>679694.66</v>
      </c>
      <c r="D6836" s="18">
        <v>2736917.31</v>
      </c>
      <c r="E6836" s="18">
        <v>440.36</v>
      </c>
      <c r="F6836" s="18">
        <v>41797.74</v>
      </c>
      <c r="G6836" s="18">
        <v>123330</v>
      </c>
      <c r="H6836" s="18">
        <f t="shared" si="159"/>
        <v>41647.74</v>
      </c>
      <c r="I6836" s="3"/>
    </row>
    <row r="6837" spans="1:9" s="4" customFormat="1" ht="20.25" customHeight="1" x14ac:dyDescent="0.55000000000000004">
      <c r="A6837" s="18">
        <v>24.736308900000001</v>
      </c>
      <c r="B6837" s="18">
        <v>34.776802199999999</v>
      </c>
      <c r="C6837" s="18">
        <v>679696.21</v>
      </c>
      <c r="D6837" s="18">
        <v>2736916.27</v>
      </c>
      <c r="E6837" s="18">
        <v>439.59</v>
      </c>
      <c r="F6837" s="18">
        <v>41795.730000000003</v>
      </c>
      <c r="G6837" s="18">
        <v>123332</v>
      </c>
      <c r="H6837" s="18">
        <f t="shared" si="159"/>
        <v>41645.730000000003</v>
      </c>
      <c r="I6837" s="3"/>
    </row>
    <row r="6838" spans="1:9" s="4" customFormat="1" ht="20.25" customHeight="1" x14ac:dyDescent="0.55000000000000004">
      <c r="A6838" s="18">
        <v>24.736296800000002</v>
      </c>
      <c r="B6838" s="18">
        <v>34.776819799999998</v>
      </c>
      <c r="C6838" s="18">
        <v>679698</v>
      </c>
      <c r="D6838" s="18">
        <v>2736914.96</v>
      </c>
      <c r="E6838" s="18">
        <v>438.76</v>
      </c>
      <c r="F6838" s="18">
        <v>41797.08</v>
      </c>
      <c r="G6838" s="18">
        <v>123334</v>
      </c>
      <c r="H6838" s="18">
        <f t="shared" si="159"/>
        <v>41647.08</v>
      </c>
      <c r="I6838" s="3"/>
    </row>
    <row r="6839" spans="1:9" s="4" customFormat="1" ht="20.25" customHeight="1" x14ac:dyDescent="0.55000000000000004">
      <c r="A6839" s="18">
        <v>24.736287999999998</v>
      </c>
      <c r="B6839" s="18">
        <v>34.776835699999999</v>
      </c>
      <c r="C6839" s="18">
        <v>679699.63</v>
      </c>
      <c r="D6839" s="18">
        <v>2736914.01</v>
      </c>
      <c r="E6839" s="18">
        <v>438.09</v>
      </c>
      <c r="F6839" s="18">
        <v>41795.26</v>
      </c>
      <c r="G6839" s="18">
        <v>123336</v>
      </c>
      <c r="H6839" s="18">
        <f t="shared" si="159"/>
        <v>41645.26</v>
      </c>
      <c r="I6839" s="3"/>
    </row>
    <row r="6840" spans="1:9" s="4" customFormat="1" ht="20.25" customHeight="1" x14ac:dyDescent="0.55000000000000004">
      <c r="A6840" s="18">
        <v>24.7362815</v>
      </c>
      <c r="B6840" s="18">
        <v>34.776850500000002</v>
      </c>
      <c r="C6840" s="18">
        <v>679701.14</v>
      </c>
      <c r="D6840" s="18">
        <v>2736913.3</v>
      </c>
      <c r="E6840" s="18">
        <v>437.49</v>
      </c>
      <c r="F6840" s="18">
        <v>41794.160000000003</v>
      </c>
      <c r="G6840" s="18">
        <v>123338</v>
      </c>
      <c r="H6840" s="18">
        <f t="shared" si="159"/>
        <v>41644.160000000003</v>
      </c>
      <c r="I6840" s="3"/>
    </row>
    <row r="6841" spans="1:9" s="4" customFormat="1" ht="20.25" customHeight="1" x14ac:dyDescent="0.55000000000000004">
      <c r="A6841" s="18">
        <v>24.7362748</v>
      </c>
      <c r="B6841" s="18">
        <v>34.776868299999997</v>
      </c>
      <c r="C6841" s="18">
        <v>679702.95</v>
      </c>
      <c r="D6841" s="18">
        <v>2736912.59</v>
      </c>
      <c r="E6841" s="18">
        <v>436.87</v>
      </c>
      <c r="F6841" s="18">
        <v>41794.480000000003</v>
      </c>
      <c r="G6841" s="18">
        <v>123340</v>
      </c>
      <c r="H6841" s="18">
        <f t="shared" si="159"/>
        <v>41644.480000000003</v>
      </c>
      <c r="I6841" s="3"/>
    </row>
    <row r="6842" spans="1:9" s="4" customFormat="1" ht="20.25" customHeight="1" x14ac:dyDescent="0.55000000000000004">
      <c r="A6842" s="18">
        <v>24.736267900000001</v>
      </c>
      <c r="B6842" s="18">
        <v>34.776888800000002</v>
      </c>
      <c r="C6842" s="18">
        <v>679705.03</v>
      </c>
      <c r="D6842" s="18">
        <v>2736911.84</v>
      </c>
      <c r="E6842" s="18">
        <v>436.12</v>
      </c>
      <c r="F6842" s="18">
        <v>41796.39</v>
      </c>
      <c r="G6842" s="18">
        <v>123342</v>
      </c>
      <c r="H6842" s="18">
        <f t="shared" si="159"/>
        <v>41646.39</v>
      </c>
      <c r="I6842" s="3"/>
    </row>
    <row r="6843" spans="1:9" s="4" customFormat="1" ht="20.25" customHeight="1" x14ac:dyDescent="0.55000000000000004">
      <c r="A6843" s="18">
        <v>24.7362626</v>
      </c>
      <c r="B6843" s="18">
        <v>34.776909600000003</v>
      </c>
      <c r="C6843" s="18">
        <v>679707.14</v>
      </c>
      <c r="D6843" s="18">
        <v>2736911.29</v>
      </c>
      <c r="E6843" s="18">
        <v>435.37</v>
      </c>
      <c r="F6843" s="18">
        <v>41797.85</v>
      </c>
      <c r="G6843" s="18">
        <v>123344</v>
      </c>
      <c r="H6843" s="18">
        <f t="shared" si="159"/>
        <v>41647.85</v>
      </c>
      <c r="I6843" s="3"/>
    </row>
    <row r="6844" spans="1:9" s="4" customFormat="1" ht="20.25" customHeight="1" x14ac:dyDescent="0.55000000000000004">
      <c r="A6844" s="18">
        <v>24.736258899999999</v>
      </c>
      <c r="B6844" s="18">
        <v>34.776932700000003</v>
      </c>
      <c r="C6844" s="18">
        <v>679709.48</v>
      </c>
      <c r="D6844" s="18">
        <v>2736910.91</v>
      </c>
      <c r="E6844" s="18">
        <v>434.73</v>
      </c>
      <c r="F6844" s="18">
        <v>41794.1</v>
      </c>
      <c r="G6844" s="18">
        <v>123346</v>
      </c>
      <c r="H6844" s="18">
        <f t="shared" si="159"/>
        <v>41644.1</v>
      </c>
      <c r="I6844" s="3"/>
    </row>
    <row r="6845" spans="1:9" s="4" customFormat="1" ht="20.25" customHeight="1" x14ac:dyDescent="0.55000000000000004">
      <c r="A6845" s="18">
        <v>24.736253699999999</v>
      </c>
      <c r="B6845" s="18">
        <v>34.776955100000002</v>
      </c>
      <c r="C6845" s="18">
        <v>679711.76</v>
      </c>
      <c r="D6845" s="18">
        <v>2736910.36</v>
      </c>
      <c r="E6845" s="18">
        <v>434.24</v>
      </c>
      <c r="F6845" s="18">
        <v>41786.06</v>
      </c>
      <c r="G6845" s="18">
        <v>123348</v>
      </c>
      <c r="H6845" s="18">
        <f t="shared" si="159"/>
        <v>41636.06</v>
      </c>
      <c r="I6845" s="3"/>
    </row>
    <row r="6846" spans="1:9" s="4" customFormat="1" ht="20.25" customHeight="1" x14ac:dyDescent="0.55000000000000004">
      <c r="A6846" s="18">
        <v>24.7362374</v>
      </c>
      <c r="B6846" s="18">
        <v>34.776974099999997</v>
      </c>
      <c r="C6846" s="18">
        <v>679713.71</v>
      </c>
      <c r="D6846" s="18">
        <v>2736908.58</v>
      </c>
      <c r="E6846" s="18">
        <v>433.63</v>
      </c>
      <c r="F6846" s="18">
        <v>41787.760000000002</v>
      </c>
      <c r="G6846" s="18">
        <v>123350</v>
      </c>
      <c r="H6846" s="18">
        <f t="shared" si="159"/>
        <v>41637.760000000002</v>
      </c>
      <c r="I6846" s="3"/>
    </row>
    <row r="6847" spans="1:9" s="4" customFormat="1" ht="20.25" customHeight="1" x14ac:dyDescent="0.55000000000000004">
      <c r="A6847" s="18">
        <v>24.736226500000001</v>
      </c>
      <c r="B6847" s="18">
        <v>34.776987400000003</v>
      </c>
      <c r="C6847" s="18">
        <v>679715.07</v>
      </c>
      <c r="D6847" s="18">
        <v>2736907.39</v>
      </c>
      <c r="E6847" s="18">
        <v>433.26</v>
      </c>
      <c r="F6847" s="18">
        <v>41794.160000000003</v>
      </c>
      <c r="G6847" s="18">
        <v>123352</v>
      </c>
      <c r="H6847" s="18">
        <f t="shared" si="159"/>
        <v>41644.160000000003</v>
      </c>
      <c r="I6847" s="3"/>
    </row>
    <row r="6848" spans="1:9" s="4" customFormat="1" ht="20.25" customHeight="1" x14ac:dyDescent="0.55000000000000004">
      <c r="A6848" s="18">
        <v>24.7362085</v>
      </c>
      <c r="B6848" s="18">
        <v>34.776993500000003</v>
      </c>
      <c r="C6848" s="18">
        <v>679715.7</v>
      </c>
      <c r="D6848" s="18">
        <v>2736905.41</v>
      </c>
      <c r="E6848" s="18">
        <v>432.71</v>
      </c>
      <c r="F6848" s="18">
        <v>41787.94</v>
      </c>
      <c r="G6848" s="18">
        <v>123354</v>
      </c>
      <c r="H6848" s="18">
        <f t="shared" si="159"/>
        <v>41637.94</v>
      </c>
      <c r="I6848" s="3"/>
    </row>
    <row r="6849" spans="1:9" s="4" customFormat="1" ht="20.25" customHeight="1" x14ac:dyDescent="0.55000000000000004">
      <c r="A6849" s="18">
        <v>24.736199200000001</v>
      </c>
      <c r="B6849" s="18">
        <v>34.777008700000003</v>
      </c>
      <c r="C6849" s="18">
        <v>679717.26</v>
      </c>
      <c r="D6849" s="18">
        <v>2736904.39</v>
      </c>
      <c r="E6849" s="18">
        <v>432.32</v>
      </c>
      <c r="F6849" s="18">
        <v>41789.620000000003</v>
      </c>
      <c r="G6849" s="18">
        <v>123356</v>
      </c>
      <c r="H6849" s="18">
        <f t="shared" si="159"/>
        <v>41639.620000000003</v>
      </c>
      <c r="I6849" s="3"/>
    </row>
    <row r="6850" spans="1:9" s="4" customFormat="1" ht="20.25" customHeight="1" x14ac:dyDescent="0.55000000000000004">
      <c r="A6850" s="18">
        <v>24.736182800000002</v>
      </c>
      <c r="B6850" s="18">
        <v>34.777024699999998</v>
      </c>
      <c r="C6850" s="18">
        <v>679718.9</v>
      </c>
      <c r="D6850" s="18">
        <v>2736902.6</v>
      </c>
      <c r="E6850" s="18">
        <v>431.94</v>
      </c>
      <c r="F6850" s="18">
        <v>41788.949999999997</v>
      </c>
      <c r="G6850" s="18">
        <v>123358</v>
      </c>
      <c r="H6850" s="18">
        <f t="shared" si="159"/>
        <v>41638.949999999997</v>
      </c>
      <c r="I6850" s="3"/>
    </row>
    <row r="6851" spans="1:9" s="4" customFormat="1" ht="20.25" customHeight="1" x14ac:dyDescent="0.55000000000000004">
      <c r="A6851" s="18">
        <v>24.736172100000001</v>
      </c>
      <c r="B6851" s="18">
        <v>34.7770321</v>
      </c>
      <c r="C6851" s="18">
        <v>679719.66</v>
      </c>
      <c r="D6851" s="18">
        <v>2736901.43</v>
      </c>
      <c r="E6851" s="18">
        <v>432.11</v>
      </c>
      <c r="F6851" s="18">
        <v>41785.17</v>
      </c>
      <c r="G6851" s="18">
        <v>123400</v>
      </c>
      <c r="H6851" s="18">
        <f t="shared" si="159"/>
        <v>41635.17</v>
      </c>
      <c r="I6851" s="3"/>
    </row>
    <row r="6852" spans="1:9" s="4" customFormat="1" ht="20.25" customHeight="1" x14ac:dyDescent="0.55000000000000004">
      <c r="A6852" s="18">
        <v>24.736158</v>
      </c>
      <c r="B6852" s="18">
        <v>34.777053299999999</v>
      </c>
      <c r="C6852" s="18">
        <v>679721.83</v>
      </c>
      <c r="D6852" s="18">
        <v>2736899.89</v>
      </c>
      <c r="E6852" s="18">
        <v>431.7</v>
      </c>
      <c r="F6852" s="18">
        <v>41785.1</v>
      </c>
      <c r="G6852" s="18">
        <v>123402</v>
      </c>
      <c r="H6852" s="18">
        <f t="shared" si="159"/>
        <v>41635.1</v>
      </c>
      <c r="I6852" s="3"/>
    </row>
    <row r="6853" spans="1:9" s="4" customFormat="1" ht="20.25" customHeight="1" x14ac:dyDescent="0.55000000000000004">
      <c r="A6853" s="18">
        <v>24.736144400000001</v>
      </c>
      <c r="B6853" s="18">
        <v>34.777054100000001</v>
      </c>
      <c r="C6853" s="18">
        <v>679721.93</v>
      </c>
      <c r="D6853" s="18">
        <v>2736898.38</v>
      </c>
      <c r="E6853" s="18">
        <v>431.63</v>
      </c>
      <c r="F6853" s="18">
        <v>41783.410000000003</v>
      </c>
      <c r="G6853" s="18">
        <v>123404</v>
      </c>
      <c r="H6853" s="18">
        <f t="shared" si="159"/>
        <v>41633.410000000003</v>
      </c>
      <c r="I6853" s="3"/>
    </row>
    <row r="6854" spans="1:9" s="4" customFormat="1" ht="20.25" customHeight="1" x14ac:dyDescent="0.55000000000000004">
      <c r="A6854" s="18">
        <v>24.7361076</v>
      </c>
      <c r="B6854" s="18">
        <v>34.777053899999999</v>
      </c>
      <c r="C6854" s="18">
        <v>679721.96</v>
      </c>
      <c r="D6854" s="18">
        <v>2736894.31</v>
      </c>
      <c r="E6854" s="18">
        <v>432.17</v>
      </c>
      <c r="F6854" s="18">
        <v>41782.050000000003</v>
      </c>
      <c r="G6854" s="18">
        <v>123406</v>
      </c>
      <c r="H6854" s="18">
        <f t="shared" si="159"/>
        <v>41632.050000000003</v>
      </c>
      <c r="I6854" s="3"/>
    </row>
    <row r="6855" spans="1:9" s="4" customFormat="1" ht="20.25" customHeight="1" x14ac:dyDescent="0.55000000000000004">
      <c r="A6855" s="18">
        <v>24.736087300000001</v>
      </c>
      <c r="B6855" s="18">
        <v>34.777055400000002</v>
      </c>
      <c r="C6855" s="18">
        <v>679722.15</v>
      </c>
      <c r="D6855" s="18">
        <v>2736892.06</v>
      </c>
      <c r="E6855" s="18">
        <v>432.51</v>
      </c>
      <c r="F6855" s="18">
        <v>41781.839999999997</v>
      </c>
      <c r="G6855" s="18">
        <v>123408</v>
      </c>
      <c r="H6855" s="18">
        <f t="shared" si="159"/>
        <v>41631.839999999997</v>
      </c>
      <c r="I6855" s="3"/>
    </row>
    <row r="6856" spans="1:9" s="4" customFormat="1" ht="20.25" customHeight="1" x14ac:dyDescent="0.55000000000000004">
      <c r="A6856" s="18">
        <v>24.7360717</v>
      </c>
      <c r="B6856" s="18">
        <v>34.777056799999997</v>
      </c>
      <c r="C6856" s="18">
        <v>679722.3</v>
      </c>
      <c r="D6856" s="18">
        <v>2736890.34</v>
      </c>
      <c r="E6856" s="18">
        <v>432.72</v>
      </c>
      <c r="F6856" s="18">
        <v>41776.35</v>
      </c>
      <c r="G6856" s="18">
        <v>123410</v>
      </c>
      <c r="H6856" s="18">
        <f t="shared" si="159"/>
        <v>41626.35</v>
      </c>
      <c r="I6856" s="3"/>
    </row>
    <row r="6857" spans="1:9" s="4" customFormat="1" ht="20.25" customHeight="1" x14ac:dyDescent="0.55000000000000004">
      <c r="A6857" s="18">
        <v>24.736053699999999</v>
      </c>
      <c r="B6857" s="18">
        <v>34.777060300000002</v>
      </c>
      <c r="C6857" s="18">
        <v>679722.68</v>
      </c>
      <c r="D6857" s="18">
        <v>2736888.34</v>
      </c>
      <c r="E6857" s="18">
        <v>432.82</v>
      </c>
      <c r="F6857" s="18">
        <v>41780.550000000003</v>
      </c>
      <c r="G6857" s="18">
        <v>123412</v>
      </c>
      <c r="H6857" s="18">
        <f t="shared" si="159"/>
        <v>41630.550000000003</v>
      </c>
      <c r="I6857" s="3"/>
    </row>
    <row r="6858" spans="1:9" s="4" customFormat="1" ht="20.25" customHeight="1" x14ac:dyDescent="0.55000000000000004">
      <c r="A6858" s="18">
        <v>24.736035900000001</v>
      </c>
      <c r="B6858" s="18">
        <v>34.777053799999997</v>
      </c>
      <c r="C6858" s="18">
        <v>679722.05</v>
      </c>
      <c r="D6858" s="18">
        <v>2736886.37</v>
      </c>
      <c r="E6858" s="18">
        <v>433.11</v>
      </c>
      <c r="F6858" s="18">
        <v>41778.79</v>
      </c>
      <c r="G6858" s="18">
        <v>123414</v>
      </c>
      <c r="H6858" s="18">
        <f t="shared" si="159"/>
        <v>41628.79</v>
      </c>
      <c r="I6858" s="3"/>
    </row>
    <row r="6859" spans="1:9" s="4" customFormat="1" ht="20.25" customHeight="1" x14ac:dyDescent="0.55000000000000004">
      <c r="A6859" s="18">
        <v>24.7360173</v>
      </c>
      <c r="B6859" s="18">
        <v>34.777053199999997</v>
      </c>
      <c r="C6859" s="18">
        <v>679722.02</v>
      </c>
      <c r="D6859" s="18">
        <v>2736884.3</v>
      </c>
      <c r="E6859" s="18">
        <v>433.34</v>
      </c>
      <c r="F6859" s="18">
        <v>41776.18</v>
      </c>
      <c r="G6859" s="18">
        <v>123416</v>
      </c>
      <c r="H6859" s="18">
        <f t="shared" si="159"/>
        <v>41626.18</v>
      </c>
      <c r="I6859" s="3"/>
    </row>
    <row r="6860" spans="1:9" s="4" customFormat="1" ht="20.25" customHeight="1" x14ac:dyDescent="0.55000000000000004">
      <c r="A6860" s="18">
        <v>24.735999</v>
      </c>
      <c r="B6860" s="18">
        <v>34.777051999999998</v>
      </c>
      <c r="C6860" s="18">
        <v>679721.93</v>
      </c>
      <c r="D6860" s="18">
        <v>2736882.28</v>
      </c>
      <c r="E6860" s="18">
        <v>433.84</v>
      </c>
      <c r="F6860" s="18">
        <v>41775.879999999997</v>
      </c>
      <c r="G6860" s="18">
        <v>123418</v>
      </c>
      <c r="H6860" s="18">
        <f t="shared" si="159"/>
        <v>41625.879999999997</v>
      </c>
      <c r="I6860" s="3"/>
    </row>
    <row r="6861" spans="1:9" s="4" customFormat="1" ht="20.25" customHeight="1" x14ac:dyDescent="0.55000000000000004">
      <c r="A6861" s="18">
        <v>24.735981200000001</v>
      </c>
      <c r="B6861" s="18">
        <v>34.777054</v>
      </c>
      <c r="C6861" s="18">
        <v>679722.15</v>
      </c>
      <c r="D6861" s="18">
        <v>2736880.31</v>
      </c>
      <c r="E6861" s="18">
        <v>434.14</v>
      </c>
      <c r="F6861" s="18">
        <v>41775.89</v>
      </c>
      <c r="G6861" s="18">
        <v>123420</v>
      </c>
      <c r="H6861" s="18">
        <f t="shared" si="159"/>
        <v>41625.89</v>
      </c>
      <c r="I6861" s="3"/>
    </row>
    <row r="6862" spans="1:9" s="4" customFormat="1" ht="20.25" customHeight="1" x14ac:dyDescent="0.55000000000000004">
      <c r="A6862" s="18">
        <v>24.735963300000002</v>
      </c>
      <c r="B6862" s="18">
        <v>34.7770583</v>
      </c>
      <c r="C6862" s="18">
        <v>679722.62</v>
      </c>
      <c r="D6862" s="18">
        <v>2736878.33</v>
      </c>
      <c r="E6862" s="18">
        <v>434.16</v>
      </c>
      <c r="F6862" s="18">
        <v>41773.26</v>
      </c>
      <c r="G6862" s="18">
        <v>123422</v>
      </c>
      <c r="H6862" s="18">
        <f t="shared" si="159"/>
        <v>41623.26</v>
      </c>
      <c r="I6862" s="3"/>
    </row>
    <row r="6863" spans="1:9" s="4" customFormat="1" ht="20.25" customHeight="1" x14ac:dyDescent="0.55000000000000004">
      <c r="A6863" s="18">
        <v>24.7359437</v>
      </c>
      <c r="B6863" s="18">
        <v>34.777059999999999</v>
      </c>
      <c r="C6863" s="18">
        <v>679722.81</v>
      </c>
      <c r="D6863" s="18">
        <v>2736876.17</v>
      </c>
      <c r="E6863" s="18">
        <v>434.12</v>
      </c>
      <c r="F6863" s="18">
        <v>41772.29</v>
      </c>
      <c r="G6863" s="18">
        <v>123424</v>
      </c>
      <c r="H6863" s="18">
        <f t="shared" si="159"/>
        <v>41622.29</v>
      </c>
      <c r="I6863" s="3"/>
    </row>
    <row r="6864" spans="1:9" s="4" customFormat="1" ht="20.25" customHeight="1" x14ac:dyDescent="0.55000000000000004">
      <c r="A6864" s="18">
        <v>24.7359215</v>
      </c>
      <c r="B6864" s="18">
        <v>34.777060599999999</v>
      </c>
      <c r="C6864" s="18">
        <v>679722.91</v>
      </c>
      <c r="D6864" s="18">
        <v>2736873.7</v>
      </c>
      <c r="E6864" s="18">
        <v>434.11</v>
      </c>
      <c r="F6864" s="18">
        <v>41773.480000000003</v>
      </c>
      <c r="G6864" s="18">
        <v>123426</v>
      </c>
      <c r="H6864" s="18">
        <f t="shared" si="159"/>
        <v>41623.480000000003</v>
      </c>
      <c r="I6864" s="3"/>
    </row>
    <row r="6865" spans="1:9" s="4" customFormat="1" ht="20.25" customHeight="1" x14ac:dyDescent="0.55000000000000004">
      <c r="A6865" s="18">
        <v>24.735901299999998</v>
      </c>
      <c r="B6865" s="18">
        <v>34.777060599999999</v>
      </c>
      <c r="C6865" s="18">
        <v>679722.94</v>
      </c>
      <c r="D6865" s="18">
        <v>2736871.46</v>
      </c>
      <c r="E6865" s="18">
        <v>434.2</v>
      </c>
      <c r="F6865" s="18">
        <v>41774.35</v>
      </c>
      <c r="G6865" s="18">
        <v>123428</v>
      </c>
      <c r="H6865" s="18">
        <f t="shared" si="159"/>
        <v>41624.35</v>
      </c>
      <c r="I6865" s="3"/>
    </row>
    <row r="6866" spans="1:9" s="4" customFormat="1" ht="20.25" customHeight="1" x14ac:dyDescent="0.55000000000000004">
      <c r="A6866" s="18">
        <v>24.735883000000001</v>
      </c>
      <c r="B6866" s="18">
        <v>34.777056100000003</v>
      </c>
      <c r="C6866" s="18">
        <v>679722.5</v>
      </c>
      <c r="D6866" s="18">
        <v>2736869.44</v>
      </c>
      <c r="E6866" s="18">
        <v>434.43</v>
      </c>
      <c r="F6866" s="18">
        <v>41772.43</v>
      </c>
      <c r="G6866" s="18">
        <v>123430</v>
      </c>
      <c r="H6866" s="18">
        <f t="shared" si="159"/>
        <v>41622.43</v>
      </c>
      <c r="I6866" s="3"/>
    </row>
    <row r="6867" spans="1:9" s="4" customFormat="1" ht="20.25" customHeight="1" x14ac:dyDescent="0.55000000000000004">
      <c r="A6867" s="18">
        <v>24.735863899999998</v>
      </c>
      <c r="B6867" s="18">
        <v>34.777052599999998</v>
      </c>
      <c r="C6867" s="18">
        <v>679722.18</v>
      </c>
      <c r="D6867" s="18">
        <v>2736867.31</v>
      </c>
      <c r="E6867" s="18">
        <v>434.69</v>
      </c>
      <c r="F6867" s="18">
        <v>41772.050000000003</v>
      </c>
      <c r="G6867" s="18">
        <v>123432</v>
      </c>
      <c r="H6867" s="18">
        <f t="shared" si="159"/>
        <v>41622.050000000003</v>
      </c>
      <c r="I6867" s="3"/>
    </row>
    <row r="6868" spans="1:9" s="4" customFormat="1" ht="20.25" customHeight="1" x14ac:dyDescent="0.55000000000000004">
      <c r="A6868" s="18">
        <v>24.7358464</v>
      </c>
      <c r="B6868" s="18">
        <v>34.777052099999999</v>
      </c>
      <c r="C6868" s="18">
        <v>679722.15</v>
      </c>
      <c r="D6868" s="18">
        <v>2736865.38</v>
      </c>
      <c r="E6868" s="18">
        <v>434.85</v>
      </c>
      <c r="F6868" s="18">
        <v>41771.35</v>
      </c>
      <c r="G6868" s="18">
        <v>123434</v>
      </c>
      <c r="H6868" s="18">
        <f t="shared" si="159"/>
        <v>41621.35</v>
      </c>
      <c r="I6868" s="3"/>
    </row>
    <row r="6869" spans="1:9" s="4" customFormat="1" ht="20.25" customHeight="1" x14ac:dyDescent="0.55000000000000004">
      <c r="A6869" s="18">
        <v>24.7358267</v>
      </c>
      <c r="B6869" s="18">
        <v>34.777048100000002</v>
      </c>
      <c r="C6869" s="18">
        <v>679721.78</v>
      </c>
      <c r="D6869" s="18">
        <v>2736863.19</v>
      </c>
      <c r="E6869" s="18">
        <v>435.13</v>
      </c>
      <c r="F6869" s="18">
        <v>41770.230000000003</v>
      </c>
      <c r="G6869" s="18">
        <v>123436</v>
      </c>
      <c r="H6869" s="18">
        <f t="shared" si="159"/>
        <v>41620.230000000003</v>
      </c>
      <c r="I6869" s="3"/>
    </row>
    <row r="6870" spans="1:9" s="4" customFormat="1" ht="20.25" customHeight="1" x14ac:dyDescent="0.55000000000000004">
      <c r="A6870" s="18">
        <v>24.735810799999999</v>
      </c>
      <c r="B6870" s="18">
        <v>34.777041199999999</v>
      </c>
      <c r="C6870" s="18">
        <v>679721.11</v>
      </c>
      <c r="D6870" s="18">
        <v>2736861.42</v>
      </c>
      <c r="E6870" s="18">
        <v>435.35</v>
      </c>
      <c r="F6870" s="18">
        <v>41770.58</v>
      </c>
      <c r="G6870" s="18">
        <v>123438</v>
      </c>
      <c r="H6870" s="18">
        <f t="shared" si="159"/>
        <v>41620.58</v>
      </c>
      <c r="I6870" s="3"/>
    </row>
    <row r="6871" spans="1:9" s="4" customFormat="1" ht="20.25" customHeight="1" x14ac:dyDescent="0.55000000000000004">
      <c r="A6871" s="18">
        <v>24.7357941</v>
      </c>
      <c r="B6871" s="18">
        <v>34.777032800000001</v>
      </c>
      <c r="C6871" s="18">
        <v>679720.28</v>
      </c>
      <c r="D6871" s="18">
        <v>2736859.55</v>
      </c>
      <c r="E6871" s="18">
        <v>435.52</v>
      </c>
      <c r="F6871" s="18">
        <v>41770.61</v>
      </c>
      <c r="G6871" s="18">
        <v>123440</v>
      </c>
      <c r="H6871" s="18">
        <f t="shared" si="159"/>
        <v>41620.61</v>
      </c>
      <c r="I6871" s="3"/>
    </row>
    <row r="6872" spans="1:9" s="4" customFormat="1" ht="20.25" customHeight="1" x14ac:dyDescent="0.55000000000000004">
      <c r="A6872" s="18">
        <v>24.7357798</v>
      </c>
      <c r="B6872" s="18">
        <v>34.777025700000003</v>
      </c>
      <c r="C6872" s="18">
        <v>679719.58</v>
      </c>
      <c r="D6872" s="18">
        <v>2736857.97</v>
      </c>
      <c r="E6872" s="18">
        <v>435.51</v>
      </c>
      <c r="F6872" s="18">
        <v>41769.71</v>
      </c>
      <c r="G6872" s="18">
        <v>123442</v>
      </c>
      <c r="H6872" s="18">
        <f t="shared" si="159"/>
        <v>41619.71</v>
      </c>
      <c r="I6872" s="3"/>
    </row>
    <row r="6873" spans="1:9" s="4" customFormat="1" ht="20.25" customHeight="1" x14ac:dyDescent="0.55000000000000004">
      <c r="A6873" s="18">
        <v>24.735765799999999</v>
      </c>
      <c r="B6873" s="18">
        <v>34.777019799999998</v>
      </c>
      <c r="C6873" s="18">
        <v>679719.01</v>
      </c>
      <c r="D6873" s="18">
        <v>2736856.4</v>
      </c>
      <c r="E6873" s="18">
        <v>435.38</v>
      </c>
      <c r="F6873" s="18">
        <v>41771.26</v>
      </c>
      <c r="G6873" s="18">
        <v>123444</v>
      </c>
      <c r="H6873" s="18">
        <f t="shared" si="159"/>
        <v>41621.26</v>
      </c>
      <c r="I6873" s="3"/>
    </row>
    <row r="6874" spans="1:9" s="4" customFormat="1" ht="20.25" customHeight="1" x14ac:dyDescent="0.55000000000000004">
      <c r="A6874" s="18">
        <v>24.7357513</v>
      </c>
      <c r="B6874" s="18">
        <v>34.7770096</v>
      </c>
      <c r="C6874" s="18">
        <v>679718</v>
      </c>
      <c r="D6874" s="18">
        <v>2736854.79</v>
      </c>
      <c r="E6874" s="18">
        <v>435.25</v>
      </c>
      <c r="F6874" s="18">
        <v>41772.04</v>
      </c>
      <c r="G6874" s="18">
        <v>123446</v>
      </c>
      <c r="H6874" s="18">
        <f t="shared" si="159"/>
        <v>41622.04</v>
      </c>
      <c r="I6874" s="3"/>
    </row>
    <row r="6875" spans="1:9" s="4" customFormat="1" ht="20.25" customHeight="1" x14ac:dyDescent="0.55000000000000004">
      <c r="A6875" s="18">
        <v>24.735742900000002</v>
      </c>
      <c r="B6875" s="18">
        <v>34.7769914</v>
      </c>
      <c r="C6875" s="18">
        <v>679716.17</v>
      </c>
      <c r="D6875" s="18">
        <v>2736853.84</v>
      </c>
      <c r="E6875" s="18">
        <v>435.06</v>
      </c>
      <c r="F6875" s="18">
        <v>41771.58</v>
      </c>
      <c r="G6875" s="18">
        <v>123448</v>
      </c>
      <c r="H6875" s="18">
        <f t="shared" si="159"/>
        <v>41621.58</v>
      </c>
      <c r="I6875" s="3"/>
    </row>
    <row r="6876" spans="1:9" s="4" customFormat="1" ht="20.25" customHeight="1" x14ac:dyDescent="0.55000000000000004">
      <c r="A6876" s="18">
        <v>24.735736899999999</v>
      </c>
      <c r="B6876" s="18">
        <v>34.776970599999999</v>
      </c>
      <c r="C6876" s="18">
        <v>679714.07</v>
      </c>
      <c r="D6876" s="18">
        <v>2736853.14</v>
      </c>
      <c r="E6876" s="18">
        <v>434.89</v>
      </c>
      <c r="F6876" s="18">
        <v>41770.07</v>
      </c>
      <c r="G6876" s="18">
        <v>123450</v>
      </c>
      <c r="H6876" s="18">
        <f t="shared" si="159"/>
        <v>41620.07</v>
      </c>
      <c r="I6876" s="3"/>
    </row>
    <row r="6877" spans="1:9" s="4" customFormat="1" ht="20.25" customHeight="1" x14ac:dyDescent="0.55000000000000004">
      <c r="A6877" s="18">
        <v>24.7357336</v>
      </c>
      <c r="B6877" s="18">
        <v>34.776953399999996</v>
      </c>
      <c r="C6877" s="18">
        <v>679712.34</v>
      </c>
      <c r="D6877" s="18">
        <v>2736852.76</v>
      </c>
      <c r="E6877" s="18">
        <v>434.61</v>
      </c>
      <c r="F6877" s="18">
        <v>41771.81</v>
      </c>
      <c r="G6877" s="18">
        <v>123452</v>
      </c>
      <c r="H6877" s="18">
        <f t="shared" si="159"/>
        <v>41621.81</v>
      </c>
      <c r="I6877" s="3"/>
    </row>
    <row r="6878" spans="1:9" s="4" customFormat="1" ht="20.25" customHeight="1" x14ac:dyDescent="0.55000000000000004">
      <c r="A6878" s="18">
        <v>24.735727700000002</v>
      </c>
      <c r="B6878" s="18">
        <v>34.776930200000002</v>
      </c>
      <c r="C6878" s="18">
        <v>679709.99</v>
      </c>
      <c r="D6878" s="18">
        <v>2736852.07</v>
      </c>
      <c r="E6878" s="18">
        <v>434.22</v>
      </c>
      <c r="F6878" s="18">
        <v>41774.14</v>
      </c>
      <c r="G6878" s="18">
        <v>123454</v>
      </c>
      <c r="H6878" s="18">
        <f t="shared" si="159"/>
        <v>41624.14</v>
      </c>
      <c r="I6878" s="3"/>
    </row>
    <row r="6879" spans="1:9" s="4" customFormat="1" ht="20.25" customHeight="1" x14ac:dyDescent="0.55000000000000004">
      <c r="A6879" s="18">
        <v>24.7357215</v>
      </c>
      <c r="B6879" s="18">
        <v>34.7769075</v>
      </c>
      <c r="C6879" s="18">
        <v>679707.71</v>
      </c>
      <c r="D6879" s="18">
        <v>2736851.35</v>
      </c>
      <c r="E6879" s="18">
        <v>433.81</v>
      </c>
      <c r="F6879" s="18">
        <v>41772.230000000003</v>
      </c>
      <c r="G6879" s="18">
        <v>123456</v>
      </c>
      <c r="H6879" s="18">
        <f t="shared" si="159"/>
        <v>41622.230000000003</v>
      </c>
      <c r="I6879" s="3"/>
    </row>
    <row r="6880" spans="1:9" s="4" customFormat="1" ht="20.25" customHeight="1" x14ac:dyDescent="0.55000000000000004">
      <c r="A6880" s="18">
        <v>24.735705800000002</v>
      </c>
      <c r="B6880" s="18">
        <v>34.776882999999998</v>
      </c>
      <c r="C6880" s="18">
        <v>679705.25</v>
      </c>
      <c r="D6880" s="18">
        <v>2736849.58</v>
      </c>
      <c r="E6880" s="18">
        <v>433.82</v>
      </c>
      <c r="F6880" s="18">
        <v>41767.58</v>
      </c>
      <c r="G6880" s="18">
        <v>123458</v>
      </c>
      <c r="H6880" s="18">
        <f t="shared" si="159"/>
        <v>41617.58</v>
      </c>
      <c r="I6880" s="3"/>
    </row>
    <row r="6881" spans="1:9" s="4" customFormat="1" ht="20.25" customHeight="1" x14ac:dyDescent="0.55000000000000004">
      <c r="A6881" s="18">
        <v>24.7356929</v>
      </c>
      <c r="B6881" s="18">
        <v>34.776879800000003</v>
      </c>
      <c r="C6881" s="18">
        <v>679704.95</v>
      </c>
      <c r="D6881" s="18">
        <v>2736848.15</v>
      </c>
      <c r="E6881" s="18">
        <v>433.95</v>
      </c>
      <c r="F6881" s="18">
        <v>41769.61</v>
      </c>
      <c r="G6881" s="18">
        <v>123500</v>
      </c>
      <c r="H6881" s="18">
        <f t="shared" si="159"/>
        <v>41619.61</v>
      </c>
      <c r="I6881" s="3"/>
    </row>
    <row r="6882" spans="1:9" s="4" customFormat="1" ht="20.25" customHeight="1" x14ac:dyDescent="0.55000000000000004">
      <c r="A6882" s="18">
        <v>24.7356759</v>
      </c>
      <c r="B6882" s="18">
        <v>34.776876000000001</v>
      </c>
      <c r="C6882" s="18">
        <v>679704.58</v>
      </c>
      <c r="D6882" s="18">
        <v>2736846.26</v>
      </c>
      <c r="E6882" s="18">
        <v>433.54</v>
      </c>
      <c r="F6882" s="18">
        <v>41768.94</v>
      </c>
      <c r="G6882" s="18">
        <v>123502</v>
      </c>
      <c r="H6882" s="18">
        <f t="shared" si="159"/>
        <v>41618.94</v>
      </c>
      <c r="I6882" s="3"/>
    </row>
    <row r="6883" spans="1:9" s="4" customFormat="1" ht="20.25" customHeight="1" x14ac:dyDescent="0.55000000000000004">
      <c r="A6883" s="18">
        <v>24.7356601</v>
      </c>
      <c r="B6883" s="18">
        <v>34.776868700000001</v>
      </c>
      <c r="C6883" s="18">
        <v>679703.88</v>
      </c>
      <c r="D6883" s="18">
        <v>2736844.5</v>
      </c>
      <c r="E6883" s="18">
        <v>433.4</v>
      </c>
      <c r="F6883" s="18">
        <v>41767.440000000002</v>
      </c>
      <c r="G6883" s="18">
        <v>123504</v>
      </c>
      <c r="H6883" s="18">
        <f t="shared" si="159"/>
        <v>41617.440000000002</v>
      </c>
      <c r="I6883" s="3"/>
    </row>
    <row r="6884" spans="1:9" s="4" customFormat="1" ht="20.25" customHeight="1" x14ac:dyDescent="0.55000000000000004">
      <c r="A6884" s="18">
        <v>24.735638099999999</v>
      </c>
      <c r="B6884" s="18">
        <v>34.776864500000002</v>
      </c>
      <c r="C6884" s="18">
        <v>679703.48</v>
      </c>
      <c r="D6884" s="18">
        <v>2736842.06</v>
      </c>
      <c r="E6884" s="18">
        <v>433.35</v>
      </c>
      <c r="F6884" s="18">
        <v>41764.78</v>
      </c>
      <c r="G6884" s="18">
        <v>123506</v>
      </c>
      <c r="H6884" s="18">
        <f t="shared" si="159"/>
        <v>41614.78</v>
      </c>
      <c r="I6884" s="3"/>
    </row>
    <row r="6885" spans="1:9" s="4" customFormat="1" ht="20.25" customHeight="1" x14ac:dyDescent="0.55000000000000004">
      <c r="A6885" s="18">
        <v>24.735617099999999</v>
      </c>
      <c r="B6885" s="18">
        <v>34.776871300000003</v>
      </c>
      <c r="C6885" s="18">
        <v>679704.19</v>
      </c>
      <c r="D6885" s="18">
        <v>2736839.74</v>
      </c>
      <c r="E6885" s="18">
        <v>433.28</v>
      </c>
      <c r="F6885" s="18">
        <v>41766.49</v>
      </c>
      <c r="G6885" s="18">
        <v>123508</v>
      </c>
      <c r="H6885" s="18">
        <f t="shared" si="159"/>
        <v>41616.49</v>
      </c>
      <c r="I6885" s="3"/>
    </row>
    <row r="6886" spans="1:9" s="4" customFormat="1" ht="20.25" customHeight="1" x14ac:dyDescent="0.55000000000000004">
      <c r="A6886" s="18">
        <v>24.7355965</v>
      </c>
      <c r="B6886" s="18">
        <v>34.776877200000001</v>
      </c>
      <c r="C6886" s="18">
        <v>679704.82</v>
      </c>
      <c r="D6886" s="18">
        <v>2736837.47</v>
      </c>
      <c r="E6886" s="18">
        <v>433.49</v>
      </c>
      <c r="F6886" s="18">
        <v>41764.410000000003</v>
      </c>
      <c r="G6886" s="18">
        <v>123510</v>
      </c>
      <c r="H6886" s="18">
        <f t="shared" si="159"/>
        <v>41614.410000000003</v>
      </c>
      <c r="I6886" s="3"/>
    </row>
    <row r="6887" spans="1:9" s="4" customFormat="1" ht="20.25" customHeight="1" x14ac:dyDescent="0.55000000000000004">
      <c r="A6887" s="18">
        <v>24.735578</v>
      </c>
      <c r="B6887" s="18">
        <v>34.776879000000001</v>
      </c>
      <c r="C6887" s="18">
        <v>679705.03</v>
      </c>
      <c r="D6887" s="18">
        <v>2736835.42</v>
      </c>
      <c r="E6887" s="18">
        <v>433.71</v>
      </c>
      <c r="F6887" s="18">
        <v>41761.5</v>
      </c>
      <c r="G6887" s="18">
        <v>123512</v>
      </c>
      <c r="H6887" s="18">
        <f t="shared" si="159"/>
        <v>41611.5</v>
      </c>
      <c r="I6887" s="3"/>
    </row>
    <row r="6888" spans="1:9" s="4" customFormat="1" ht="20.25" customHeight="1" x14ac:dyDescent="0.55000000000000004">
      <c r="A6888" s="18">
        <v>24.7355619</v>
      </c>
      <c r="B6888" s="18">
        <v>34.7768838</v>
      </c>
      <c r="C6888" s="18">
        <v>679705.54</v>
      </c>
      <c r="D6888" s="18">
        <v>2736833.64</v>
      </c>
      <c r="E6888" s="18">
        <v>433.95</v>
      </c>
      <c r="F6888" s="18">
        <v>41762.33</v>
      </c>
      <c r="G6888" s="18">
        <v>123514</v>
      </c>
      <c r="H6888" s="18">
        <f t="shared" si="159"/>
        <v>41612.33</v>
      </c>
      <c r="I6888" s="3"/>
    </row>
    <row r="6889" spans="1:9" s="4" customFormat="1" ht="20.25" customHeight="1" x14ac:dyDescent="0.55000000000000004">
      <c r="A6889" s="18">
        <v>24.735546500000002</v>
      </c>
      <c r="B6889" s="18">
        <v>34.776885800000002</v>
      </c>
      <c r="C6889" s="18">
        <v>679705.76</v>
      </c>
      <c r="D6889" s="18">
        <v>2736831.94</v>
      </c>
      <c r="E6889" s="18">
        <v>434.1</v>
      </c>
      <c r="F6889" s="18">
        <v>41762.61</v>
      </c>
      <c r="G6889" s="18">
        <v>123516</v>
      </c>
      <c r="H6889" s="18">
        <f t="shared" si="159"/>
        <v>41612.61</v>
      </c>
      <c r="I6889" s="3"/>
    </row>
    <row r="6890" spans="1:9" s="4" customFormat="1" ht="20.25" customHeight="1" x14ac:dyDescent="0.55000000000000004">
      <c r="A6890" s="18">
        <v>24.735530399999998</v>
      </c>
      <c r="B6890" s="18">
        <v>34.776888700000001</v>
      </c>
      <c r="C6890" s="18">
        <v>679706.09</v>
      </c>
      <c r="D6890" s="18">
        <v>2736830.16</v>
      </c>
      <c r="E6890" s="18">
        <v>434.39</v>
      </c>
      <c r="F6890" s="18">
        <v>41762.81</v>
      </c>
      <c r="G6890" s="18">
        <v>123518</v>
      </c>
      <c r="H6890" s="18">
        <f t="shared" ref="H6890:H6953" si="160">SUM(F6890-150)</f>
        <v>41612.81</v>
      </c>
      <c r="I6890" s="3"/>
    </row>
    <row r="6891" spans="1:9" s="4" customFormat="1" ht="20.25" customHeight="1" x14ac:dyDescent="0.55000000000000004">
      <c r="A6891" s="18">
        <v>24.735511899999999</v>
      </c>
      <c r="B6891" s="18">
        <v>34.776889400000002</v>
      </c>
      <c r="C6891" s="18">
        <v>679706.18</v>
      </c>
      <c r="D6891" s="18">
        <v>2736828.12</v>
      </c>
      <c r="E6891" s="18">
        <v>434.57</v>
      </c>
      <c r="F6891" s="18">
        <v>41761.83</v>
      </c>
      <c r="G6891" s="18">
        <v>123520</v>
      </c>
      <c r="H6891" s="18">
        <f t="shared" si="160"/>
        <v>41611.83</v>
      </c>
      <c r="I6891" s="3"/>
    </row>
    <row r="6892" spans="1:9" s="4" customFormat="1" ht="20.25" customHeight="1" x14ac:dyDescent="0.55000000000000004">
      <c r="A6892" s="18">
        <v>24.7354919</v>
      </c>
      <c r="B6892" s="18">
        <v>34.776887500000001</v>
      </c>
      <c r="C6892" s="18">
        <v>679706.01</v>
      </c>
      <c r="D6892" s="18">
        <v>2736825.9</v>
      </c>
      <c r="E6892" s="18">
        <v>434.87</v>
      </c>
      <c r="F6892" s="18">
        <v>41762.370000000003</v>
      </c>
      <c r="G6892" s="18">
        <v>123522</v>
      </c>
      <c r="H6892" s="18">
        <f t="shared" si="160"/>
        <v>41612.370000000003</v>
      </c>
      <c r="I6892" s="3"/>
    </row>
    <row r="6893" spans="1:9" s="4" customFormat="1" ht="20.25" customHeight="1" x14ac:dyDescent="0.55000000000000004">
      <c r="A6893" s="18">
        <v>24.7354734</v>
      </c>
      <c r="B6893" s="18">
        <v>34.776888499999998</v>
      </c>
      <c r="C6893" s="18">
        <v>679706.14</v>
      </c>
      <c r="D6893" s="18">
        <v>2736823.85</v>
      </c>
      <c r="E6893" s="18">
        <v>434.85</v>
      </c>
      <c r="F6893" s="18">
        <v>41762.76</v>
      </c>
      <c r="G6893" s="18">
        <v>123524</v>
      </c>
      <c r="H6893" s="18">
        <f t="shared" si="160"/>
        <v>41612.76</v>
      </c>
      <c r="I6893" s="3"/>
    </row>
    <row r="6894" spans="1:9" s="4" customFormat="1" ht="20.25" customHeight="1" x14ac:dyDescent="0.55000000000000004">
      <c r="A6894" s="18">
        <v>24.735452899999999</v>
      </c>
      <c r="B6894" s="18">
        <v>34.776886699999999</v>
      </c>
      <c r="C6894" s="18">
        <v>679705.99</v>
      </c>
      <c r="D6894" s="18">
        <v>2736821.58</v>
      </c>
      <c r="E6894" s="18">
        <v>435.07</v>
      </c>
      <c r="F6894" s="18">
        <v>41761.99</v>
      </c>
      <c r="G6894" s="18">
        <v>123526</v>
      </c>
      <c r="H6894" s="18">
        <f t="shared" si="160"/>
        <v>41611.99</v>
      </c>
      <c r="I6894" s="3"/>
    </row>
    <row r="6895" spans="1:9" s="4" customFormat="1" ht="20.25" customHeight="1" x14ac:dyDescent="0.55000000000000004">
      <c r="A6895" s="18">
        <v>24.735432899999999</v>
      </c>
      <c r="B6895" s="18">
        <v>34.7768832</v>
      </c>
      <c r="C6895" s="18">
        <v>679705.67</v>
      </c>
      <c r="D6895" s="18">
        <v>2736819.36</v>
      </c>
      <c r="E6895" s="18">
        <v>435.25</v>
      </c>
      <c r="F6895" s="18">
        <v>41760.93</v>
      </c>
      <c r="G6895" s="18">
        <v>123528</v>
      </c>
      <c r="H6895" s="18">
        <f t="shared" si="160"/>
        <v>41610.93</v>
      </c>
      <c r="I6895" s="3"/>
    </row>
    <row r="6896" spans="1:9" s="4" customFormat="1" ht="20.25" customHeight="1" x14ac:dyDescent="0.55000000000000004">
      <c r="A6896" s="18">
        <v>24.7354141</v>
      </c>
      <c r="B6896" s="18">
        <v>34.776880900000002</v>
      </c>
      <c r="C6896" s="18">
        <v>679705.46</v>
      </c>
      <c r="D6896" s="18">
        <v>2736817.27</v>
      </c>
      <c r="E6896" s="18">
        <v>435.54</v>
      </c>
      <c r="F6896" s="18">
        <v>41760.25</v>
      </c>
      <c r="G6896" s="18">
        <v>123530</v>
      </c>
      <c r="H6896" s="18">
        <f t="shared" si="160"/>
        <v>41610.25</v>
      </c>
      <c r="I6896" s="3"/>
    </row>
    <row r="6897" spans="1:9" s="4" customFormat="1" ht="20.25" customHeight="1" x14ac:dyDescent="0.55000000000000004">
      <c r="A6897" s="18">
        <v>24.7354004</v>
      </c>
      <c r="B6897" s="18">
        <v>34.776886400000002</v>
      </c>
      <c r="C6897" s="18">
        <v>679706.04</v>
      </c>
      <c r="D6897" s="18">
        <v>2736815.76</v>
      </c>
      <c r="E6897" s="18">
        <v>435.61</v>
      </c>
      <c r="F6897" s="18">
        <v>41761.83</v>
      </c>
      <c r="G6897" s="18">
        <v>123532</v>
      </c>
      <c r="H6897" s="18">
        <f t="shared" si="160"/>
        <v>41611.83</v>
      </c>
      <c r="I6897" s="3"/>
    </row>
    <row r="6898" spans="1:9" s="4" customFormat="1" ht="20.25" customHeight="1" x14ac:dyDescent="0.55000000000000004">
      <c r="A6898" s="18">
        <v>24.735385399999998</v>
      </c>
      <c r="B6898" s="18">
        <v>34.776886900000001</v>
      </c>
      <c r="C6898" s="18">
        <v>679706.11</v>
      </c>
      <c r="D6898" s="18">
        <v>2736814.1</v>
      </c>
      <c r="E6898" s="18">
        <v>435.81</v>
      </c>
      <c r="F6898" s="18">
        <v>41760.6</v>
      </c>
      <c r="G6898" s="18">
        <v>123534</v>
      </c>
      <c r="H6898" s="18">
        <f t="shared" si="160"/>
        <v>41610.6</v>
      </c>
      <c r="I6898" s="3"/>
    </row>
    <row r="6899" spans="1:9" s="4" customFormat="1" ht="20.25" customHeight="1" x14ac:dyDescent="0.55000000000000004">
      <c r="A6899" s="18">
        <v>24.7353734</v>
      </c>
      <c r="B6899" s="18">
        <v>34.776889199999999</v>
      </c>
      <c r="C6899" s="18">
        <v>679706.36</v>
      </c>
      <c r="D6899" s="18">
        <v>2736812.78</v>
      </c>
      <c r="E6899" s="18">
        <v>436.02</v>
      </c>
      <c r="F6899" s="18">
        <v>41761.5</v>
      </c>
      <c r="G6899" s="18">
        <v>123536</v>
      </c>
      <c r="H6899" s="18">
        <f t="shared" si="160"/>
        <v>41611.5</v>
      </c>
      <c r="I6899" s="3"/>
    </row>
    <row r="6900" spans="1:9" s="4" customFormat="1" ht="20.25" customHeight="1" x14ac:dyDescent="0.55000000000000004">
      <c r="A6900" s="18">
        <v>24.735362200000001</v>
      </c>
      <c r="B6900" s="18">
        <v>34.776887299999999</v>
      </c>
      <c r="C6900" s="18">
        <v>679706.18</v>
      </c>
      <c r="D6900" s="18">
        <v>2736811.53</v>
      </c>
      <c r="E6900" s="18">
        <v>436.2</v>
      </c>
      <c r="F6900" s="18">
        <v>41759.07</v>
      </c>
      <c r="G6900" s="18">
        <v>123538</v>
      </c>
      <c r="H6900" s="18">
        <f t="shared" si="160"/>
        <v>41609.07</v>
      </c>
      <c r="I6900" s="3"/>
    </row>
    <row r="6901" spans="1:9" s="4" customFormat="1" ht="20.25" customHeight="1" x14ac:dyDescent="0.55000000000000004">
      <c r="A6901" s="18">
        <v>24.7353481</v>
      </c>
      <c r="B6901" s="18">
        <v>34.776891300000003</v>
      </c>
      <c r="C6901" s="18">
        <v>679706.6</v>
      </c>
      <c r="D6901" s="18">
        <v>2736809.98</v>
      </c>
      <c r="E6901" s="18">
        <v>436.02</v>
      </c>
      <c r="F6901" s="18">
        <v>41758.65</v>
      </c>
      <c r="G6901" s="18">
        <v>123540</v>
      </c>
      <c r="H6901" s="18">
        <f t="shared" si="160"/>
        <v>41608.65</v>
      </c>
      <c r="I6901" s="3"/>
    </row>
    <row r="6902" spans="1:9" s="4" customFormat="1" ht="20.25" customHeight="1" x14ac:dyDescent="0.55000000000000004">
      <c r="A6902" s="18">
        <v>24.735330999999999</v>
      </c>
      <c r="B6902" s="18">
        <v>34.776904899999998</v>
      </c>
      <c r="C6902" s="18">
        <v>679708.01</v>
      </c>
      <c r="D6902" s="18">
        <v>2736808.1</v>
      </c>
      <c r="E6902" s="18">
        <v>435.86</v>
      </c>
      <c r="F6902" s="18">
        <v>41759.49</v>
      </c>
      <c r="G6902" s="18">
        <v>123542</v>
      </c>
      <c r="H6902" s="18">
        <f t="shared" si="160"/>
        <v>41609.49</v>
      </c>
      <c r="I6902" s="3"/>
    </row>
    <row r="6903" spans="1:9" s="4" customFormat="1" ht="20.25" customHeight="1" x14ac:dyDescent="0.55000000000000004">
      <c r="A6903" s="18">
        <v>24.7353117</v>
      </c>
      <c r="B6903" s="18">
        <v>34.776913899999997</v>
      </c>
      <c r="C6903" s="18">
        <v>679708.94</v>
      </c>
      <c r="D6903" s="18">
        <v>2736805.97</v>
      </c>
      <c r="E6903" s="18">
        <v>435.94</v>
      </c>
      <c r="F6903" s="18">
        <v>41758.99</v>
      </c>
      <c r="G6903" s="18">
        <v>123544</v>
      </c>
      <c r="H6903" s="18">
        <f t="shared" si="160"/>
        <v>41608.99</v>
      </c>
      <c r="I6903" s="3"/>
    </row>
    <row r="6904" spans="1:9" s="4" customFormat="1" ht="20.25" customHeight="1" x14ac:dyDescent="0.55000000000000004">
      <c r="A6904" s="18">
        <v>24.735300599999999</v>
      </c>
      <c r="B6904" s="18">
        <v>34.776923799999999</v>
      </c>
      <c r="C6904" s="18">
        <v>679709.96</v>
      </c>
      <c r="D6904" s="18">
        <v>2736804.75</v>
      </c>
      <c r="E6904" s="18">
        <v>436.11</v>
      </c>
      <c r="F6904" s="18">
        <v>41758.39</v>
      </c>
      <c r="G6904" s="18">
        <v>123546</v>
      </c>
      <c r="H6904" s="18">
        <f t="shared" si="160"/>
        <v>41608.39</v>
      </c>
      <c r="I6904" s="3"/>
    </row>
    <row r="6905" spans="1:9" s="4" customFormat="1" ht="20.25" customHeight="1" x14ac:dyDescent="0.55000000000000004">
      <c r="A6905" s="18">
        <v>24.7352946</v>
      </c>
      <c r="B6905" s="18">
        <v>34.776927800000003</v>
      </c>
      <c r="C6905" s="18">
        <v>679710.37</v>
      </c>
      <c r="D6905" s="18">
        <v>2736804.09</v>
      </c>
      <c r="E6905" s="18">
        <v>436.09</v>
      </c>
      <c r="F6905" s="18">
        <v>41756.93</v>
      </c>
      <c r="G6905" s="18">
        <v>123548</v>
      </c>
      <c r="H6905" s="18">
        <f t="shared" si="160"/>
        <v>41606.93</v>
      </c>
      <c r="I6905" s="3"/>
    </row>
    <row r="6906" spans="1:9" s="4" customFormat="1" ht="20.25" customHeight="1" x14ac:dyDescent="0.55000000000000004">
      <c r="A6906" s="18">
        <v>24.7352843</v>
      </c>
      <c r="B6906" s="18">
        <v>34.776937799999999</v>
      </c>
      <c r="C6906" s="18">
        <v>679711.4</v>
      </c>
      <c r="D6906" s="18">
        <v>2736802.97</v>
      </c>
      <c r="E6906" s="18">
        <v>435.91</v>
      </c>
      <c r="F6906" s="18">
        <v>41757.57</v>
      </c>
      <c r="G6906" s="18">
        <v>123550</v>
      </c>
      <c r="H6906" s="18">
        <f t="shared" si="160"/>
        <v>41607.57</v>
      </c>
      <c r="I6906" s="3"/>
    </row>
    <row r="6907" spans="1:9" s="4" customFormat="1" ht="20.25" customHeight="1" x14ac:dyDescent="0.55000000000000004">
      <c r="A6907" s="18">
        <v>24.735272999999999</v>
      </c>
      <c r="B6907" s="18">
        <v>34.776949999999999</v>
      </c>
      <c r="C6907" s="18">
        <v>679712.65</v>
      </c>
      <c r="D6907" s="18">
        <v>2736801.73</v>
      </c>
      <c r="E6907" s="18">
        <v>435.52</v>
      </c>
      <c r="F6907" s="18">
        <v>41757.129999999997</v>
      </c>
      <c r="G6907" s="18">
        <v>123552</v>
      </c>
      <c r="H6907" s="18">
        <f t="shared" si="160"/>
        <v>41607.129999999997</v>
      </c>
      <c r="I6907" s="3"/>
    </row>
    <row r="6908" spans="1:9" s="4" customFormat="1" ht="20.25" customHeight="1" x14ac:dyDescent="0.55000000000000004">
      <c r="A6908" s="18">
        <v>24.7352588</v>
      </c>
      <c r="B6908" s="18">
        <v>34.776961900000003</v>
      </c>
      <c r="C6908" s="18">
        <v>679713.88</v>
      </c>
      <c r="D6908" s="18">
        <v>2736800.18</v>
      </c>
      <c r="E6908" s="18">
        <v>434.94</v>
      </c>
      <c r="F6908" s="18">
        <v>41757.879999999997</v>
      </c>
      <c r="G6908" s="18">
        <v>123554</v>
      </c>
      <c r="H6908" s="18">
        <f t="shared" si="160"/>
        <v>41607.879999999997</v>
      </c>
      <c r="I6908" s="3"/>
    </row>
    <row r="6909" spans="1:9" s="4" customFormat="1" ht="20.25" customHeight="1" x14ac:dyDescent="0.55000000000000004">
      <c r="A6909" s="18">
        <v>24.735244000000002</v>
      </c>
      <c r="B6909" s="18">
        <v>34.776972999999998</v>
      </c>
      <c r="C6909" s="18">
        <v>679715.02</v>
      </c>
      <c r="D6909" s="18">
        <v>2736798.55</v>
      </c>
      <c r="E6909" s="18">
        <v>434.29</v>
      </c>
      <c r="F6909" s="18">
        <v>41757.71</v>
      </c>
      <c r="G6909" s="18">
        <v>123556</v>
      </c>
      <c r="H6909" s="18">
        <f t="shared" si="160"/>
        <v>41607.71</v>
      </c>
      <c r="I6909" s="3"/>
    </row>
    <row r="6910" spans="1:9" s="4" customFormat="1" ht="20.25" customHeight="1" x14ac:dyDescent="0.55000000000000004">
      <c r="A6910" s="18">
        <v>24.735228200000002</v>
      </c>
      <c r="B6910" s="18">
        <v>34.776984499999998</v>
      </c>
      <c r="C6910" s="18">
        <v>679716.2</v>
      </c>
      <c r="D6910" s="18">
        <v>2736796.81</v>
      </c>
      <c r="E6910" s="18">
        <v>433.78</v>
      </c>
      <c r="F6910" s="18">
        <v>41754.6</v>
      </c>
      <c r="G6910" s="18">
        <v>123558</v>
      </c>
      <c r="H6910" s="18">
        <f t="shared" si="160"/>
        <v>41604.6</v>
      </c>
      <c r="I6910" s="3"/>
    </row>
    <row r="6911" spans="1:9" s="4" customFormat="1" ht="20.25" customHeight="1" x14ac:dyDescent="0.55000000000000004">
      <c r="A6911" s="18">
        <v>24.7352113</v>
      </c>
      <c r="B6911" s="18">
        <v>34.7769908</v>
      </c>
      <c r="C6911" s="18">
        <v>679716.87</v>
      </c>
      <c r="D6911" s="18">
        <v>2736794.95</v>
      </c>
      <c r="E6911" s="18">
        <v>433.44</v>
      </c>
      <c r="F6911" s="18">
        <v>41755.01</v>
      </c>
      <c r="G6911" s="18">
        <v>123600</v>
      </c>
      <c r="H6911" s="18">
        <f t="shared" si="160"/>
        <v>41605.01</v>
      </c>
      <c r="I6911" s="3"/>
    </row>
    <row r="6912" spans="1:9" s="4" customFormat="1" ht="20.25" customHeight="1" x14ac:dyDescent="0.55000000000000004">
      <c r="A6912" s="18">
        <v>24.735194199999999</v>
      </c>
      <c r="B6912" s="18">
        <v>34.7769926</v>
      </c>
      <c r="C6912" s="18">
        <v>679717.07</v>
      </c>
      <c r="D6912" s="18">
        <v>2736793.06</v>
      </c>
      <c r="E6912" s="18">
        <v>432.9</v>
      </c>
      <c r="F6912" s="18">
        <v>41754.92</v>
      </c>
      <c r="G6912" s="18">
        <v>123602</v>
      </c>
      <c r="H6912" s="18">
        <f t="shared" si="160"/>
        <v>41604.92</v>
      </c>
      <c r="I6912" s="3"/>
    </row>
    <row r="6913" spans="1:9" s="4" customFormat="1" ht="20.25" customHeight="1" x14ac:dyDescent="0.55000000000000004">
      <c r="A6913" s="18">
        <v>24.735180199999999</v>
      </c>
      <c r="B6913" s="18">
        <v>34.776999400000001</v>
      </c>
      <c r="C6913" s="18">
        <v>679717.79</v>
      </c>
      <c r="D6913" s="18">
        <v>2736791.51</v>
      </c>
      <c r="E6913" s="18">
        <v>432.48</v>
      </c>
      <c r="F6913" s="18">
        <v>41755.32</v>
      </c>
      <c r="G6913" s="18">
        <v>123604</v>
      </c>
      <c r="H6913" s="18">
        <f t="shared" si="160"/>
        <v>41605.32</v>
      </c>
      <c r="I6913" s="3"/>
    </row>
    <row r="6914" spans="1:9" s="4" customFormat="1" ht="20.25" customHeight="1" x14ac:dyDescent="0.55000000000000004">
      <c r="A6914" s="18">
        <v>24.735161300000001</v>
      </c>
      <c r="B6914" s="18">
        <v>34.777003000000001</v>
      </c>
      <c r="C6914" s="18">
        <v>679718.18</v>
      </c>
      <c r="D6914" s="18">
        <v>2736789.43</v>
      </c>
      <c r="E6914" s="18">
        <v>431.88</v>
      </c>
      <c r="F6914" s="18">
        <v>41755.56</v>
      </c>
      <c r="G6914" s="18">
        <v>123606</v>
      </c>
      <c r="H6914" s="18">
        <f t="shared" si="160"/>
        <v>41605.56</v>
      </c>
      <c r="I6914" s="3"/>
    </row>
    <row r="6915" spans="1:9" s="4" customFormat="1" ht="20.25" customHeight="1" x14ac:dyDescent="0.55000000000000004">
      <c r="A6915" s="18">
        <v>24.735142700000001</v>
      </c>
      <c r="B6915" s="18">
        <v>34.777005699999997</v>
      </c>
      <c r="C6915" s="18">
        <v>679718.47</v>
      </c>
      <c r="D6915" s="18">
        <v>2736787.37</v>
      </c>
      <c r="E6915" s="18">
        <v>431.42</v>
      </c>
      <c r="F6915" s="18">
        <v>41754.620000000003</v>
      </c>
      <c r="G6915" s="18">
        <v>123608</v>
      </c>
      <c r="H6915" s="18">
        <f t="shared" si="160"/>
        <v>41604.620000000003</v>
      </c>
      <c r="I6915" s="3"/>
    </row>
    <row r="6916" spans="1:9" s="4" customFormat="1" ht="20.25" customHeight="1" x14ac:dyDescent="0.55000000000000004">
      <c r="A6916" s="18">
        <v>24.735126099999999</v>
      </c>
      <c r="B6916" s="18">
        <v>34.777006700000001</v>
      </c>
      <c r="C6916" s="18">
        <v>679718.6</v>
      </c>
      <c r="D6916" s="18">
        <v>2736785.54</v>
      </c>
      <c r="E6916" s="18">
        <v>431.01</v>
      </c>
      <c r="F6916" s="18">
        <v>41753.58</v>
      </c>
      <c r="G6916" s="18">
        <v>123610</v>
      </c>
      <c r="H6916" s="18">
        <f t="shared" si="160"/>
        <v>41603.58</v>
      </c>
      <c r="I6916" s="3"/>
    </row>
    <row r="6917" spans="1:9" s="4" customFormat="1" ht="20.25" customHeight="1" x14ac:dyDescent="0.55000000000000004">
      <c r="A6917" s="18">
        <v>24.735108400000001</v>
      </c>
      <c r="B6917" s="18">
        <v>34.777011700000003</v>
      </c>
      <c r="C6917" s="18">
        <v>679719.13</v>
      </c>
      <c r="D6917" s="18">
        <v>2736783.59</v>
      </c>
      <c r="E6917" s="18">
        <v>430.61</v>
      </c>
      <c r="F6917" s="18">
        <v>41756.639999999999</v>
      </c>
      <c r="G6917" s="18">
        <v>123612</v>
      </c>
      <c r="H6917" s="18">
        <f t="shared" si="160"/>
        <v>41606.639999999999</v>
      </c>
      <c r="I6917" s="3"/>
    </row>
    <row r="6918" spans="1:9" s="4" customFormat="1" ht="20.25" customHeight="1" x14ac:dyDescent="0.55000000000000004">
      <c r="A6918" s="18">
        <v>24.735092000000002</v>
      </c>
      <c r="B6918" s="18">
        <v>34.777013500000002</v>
      </c>
      <c r="C6918" s="18">
        <v>679719.34</v>
      </c>
      <c r="D6918" s="18">
        <v>2736781.77</v>
      </c>
      <c r="E6918" s="18">
        <v>430.09</v>
      </c>
      <c r="F6918" s="18">
        <v>41754.519999999997</v>
      </c>
      <c r="G6918" s="18">
        <v>123614</v>
      </c>
      <c r="H6918" s="18">
        <f t="shared" si="160"/>
        <v>41604.519999999997</v>
      </c>
      <c r="I6918" s="3"/>
    </row>
    <row r="6919" spans="1:9" s="4" customFormat="1" ht="20.25" customHeight="1" x14ac:dyDescent="0.55000000000000004">
      <c r="A6919" s="18">
        <v>24.735073100000001</v>
      </c>
      <c r="B6919" s="18">
        <v>34.777015200000001</v>
      </c>
      <c r="C6919" s="18">
        <v>679719.53</v>
      </c>
      <c r="D6919" s="18">
        <v>2736779.68</v>
      </c>
      <c r="E6919" s="18">
        <v>429.67</v>
      </c>
      <c r="F6919" s="18">
        <v>41754.46</v>
      </c>
      <c r="G6919" s="18">
        <v>123616</v>
      </c>
      <c r="H6919" s="18">
        <f t="shared" si="160"/>
        <v>41604.46</v>
      </c>
      <c r="I6919" s="3"/>
    </row>
    <row r="6920" spans="1:9" s="4" customFormat="1" ht="20.25" customHeight="1" x14ac:dyDescent="0.55000000000000004">
      <c r="A6920" s="18">
        <v>24.735054699999999</v>
      </c>
      <c r="B6920" s="18">
        <v>34.777016799999998</v>
      </c>
      <c r="C6920" s="18">
        <v>679719.72</v>
      </c>
      <c r="D6920" s="18">
        <v>2736777.64</v>
      </c>
      <c r="E6920" s="18">
        <v>429.25</v>
      </c>
      <c r="F6920" s="18">
        <v>41753.4</v>
      </c>
      <c r="G6920" s="18">
        <v>123618</v>
      </c>
      <c r="H6920" s="18">
        <f t="shared" si="160"/>
        <v>41603.4</v>
      </c>
      <c r="I6920" s="3"/>
    </row>
    <row r="6921" spans="1:9" s="4" customFormat="1" ht="20.25" customHeight="1" x14ac:dyDescent="0.55000000000000004">
      <c r="A6921" s="18">
        <v>24.7350396</v>
      </c>
      <c r="B6921" s="18">
        <v>34.777024300000001</v>
      </c>
      <c r="C6921" s="18">
        <v>679720.5</v>
      </c>
      <c r="D6921" s="18">
        <v>2736775.98</v>
      </c>
      <c r="E6921" s="18">
        <v>428.81</v>
      </c>
      <c r="F6921" s="18">
        <v>41751.019999999997</v>
      </c>
      <c r="G6921" s="18">
        <v>123620</v>
      </c>
      <c r="H6921" s="18">
        <f t="shared" si="160"/>
        <v>41601.019999999997</v>
      </c>
      <c r="I6921" s="3"/>
    </row>
    <row r="6922" spans="1:9" s="4" customFormat="1" ht="20.25" customHeight="1" x14ac:dyDescent="0.55000000000000004">
      <c r="A6922" s="18">
        <v>24.735029000000001</v>
      </c>
      <c r="B6922" s="18">
        <v>34.777037900000003</v>
      </c>
      <c r="C6922" s="18">
        <v>679721.89</v>
      </c>
      <c r="D6922" s="18">
        <v>2736774.82</v>
      </c>
      <c r="E6922" s="18">
        <v>428.28</v>
      </c>
      <c r="F6922" s="18">
        <v>41753</v>
      </c>
      <c r="G6922" s="18">
        <v>123622</v>
      </c>
      <c r="H6922" s="18">
        <f t="shared" si="160"/>
        <v>41603</v>
      </c>
      <c r="I6922" s="3"/>
    </row>
    <row r="6923" spans="1:9" s="4" customFormat="1" ht="20.25" customHeight="1" x14ac:dyDescent="0.55000000000000004">
      <c r="A6923" s="18">
        <v>24.735015099999998</v>
      </c>
      <c r="B6923" s="18">
        <v>34.777049400000003</v>
      </c>
      <c r="C6923" s="18">
        <v>679723.07</v>
      </c>
      <c r="D6923" s="18">
        <v>2736773.3</v>
      </c>
      <c r="E6923" s="18">
        <v>427.94</v>
      </c>
      <c r="F6923" s="18">
        <v>41748.879999999997</v>
      </c>
      <c r="G6923" s="18">
        <v>123624</v>
      </c>
      <c r="H6923" s="18">
        <f t="shared" si="160"/>
        <v>41598.879999999997</v>
      </c>
      <c r="I6923" s="3"/>
    </row>
    <row r="6924" spans="1:9" s="4" customFormat="1" ht="20.25" customHeight="1" x14ac:dyDescent="0.55000000000000004">
      <c r="A6924" s="18">
        <v>24.7349979</v>
      </c>
      <c r="B6924" s="18">
        <v>34.7770656</v>
      </c>
      <c r="C6924" s="18">
        <v>679724.74</v>
      </c>
      <c r="D6924" s="18">
        <v>2736771.42</v>
      </c>
      <c r="E6924" s="18">
        <v>427.39</v>
      </c>
      <c r="F6924" s="18">
        <v>41748.949999999997</v>
      </c>
      <c r="G6924" s="18">
        <v>123626</v>
      </c>
      <c r="H6924" s="18">
        <f t="shared" si="160"/>
        <v>41598.949999999997</v>
      </c>
      <c r="I6924" s="3"/>
    </row>
    <row r="6925" spans="1:9" s="4" customFormat="1" ht="20.25" customHeight="1" x14ac:dyDescent="0.55000000000000004">
      <c r="A6925" s="18">
        <v>24.734984799999999</v>
      </c>
      <c r="B6925" s="18">
        <v>34.777077599999998</v>
      </c>
      <c r="C6925" s="18">
        <v>679725.98</v>
      </c>
      <c r="D6925" s="18">
        <v>2736769.98</v>
      </c>
      <c r="E6925" s="18">
        <v>426.84</v>
      </c>
      <c r="F6925" s="18">
        <v>41747.85</v>
      </c>
      <c r="G6925" s="18">
        <v>123628</v>
      </c>
      <c r="H6925" s="18">
        <f t="shared" si="160"/>
        <v>41597.85</v>
      </c>
      <c r="I6925" s="3"/>
    </row>
    <row r="6926" spans="1:9" s="4" customFormat="1" ht="20.25" customHeight="1" x14ac:dyDescent="0.55000000000000004">
      <c r="A6926" s="18">
        <v>24.734970700000002</v>
      </c>
      <c r="B6926" s="18">
        <v>34.777089500000002</v>
      </c>
      <c r="C6926" s="18">
        <v>679727.2</v>
      </c>
      <c r="D6926" s="18">
        <v>2736768.44</v>
      </c>
      <c r="E6926" s="18">
        <v>426.3</v>
      </c>
      <c r="F6926" s="18">
        <v>41748.019999999997</v>
      </c>
      <c r="G6926" s="18">
        <v>123630</v>
      </c>
      <c r="H6926" s="18">
        <f t="shared" si="160"/>
        <v>41598.019999999997</v>
      </c>
      <c r="I6926" s="3"/>
    </row>
    <row r="6927" spans="1:9" s="4" customFormat="1" ht="20.25" customHeight="1" x14ac:dyDescent="0.55000000000000004">
      <c r="A6927" s="18">
        <v>24.734956</v>
      </c>
      <c r="B6927" s="18">
        <v>34.777100900000001</v>
      </c>
      <c r="C6927" s="18">
        <v>679728.38</v>
      </c>
      <c r="D6927" s="18">
        <v>2736766.82</v>
      </c>
      <c r="E6927" s="18">
        <v>425.86</v>
      </c>
      <c r="F6927" s="18">
        <v>41745.78</v>
      </c>
      <c r="G6927" s="18">
        <v>123632</v>
      </c>
      <c r="H6927" s="18">
        <f t="shared" si="160"/>
        <v>41595.78</v>
      </c>
      <c r="I6927" s="3"/>
    </row>
    <row r="6928" spans="1:9" s="4" customFormat="1" ht="20.25" customHeight="1" x14ac:dyDescent="0.55000000000000004">
      <c r="A6928" s="18">
        <v>24.734940600000002</v>
      </c>
      <c r="B6928" s="18">
        <v>34.777107700000002</v>
      </c>
      <c r="C6928" s="18">
        <v>679729.09</v>
      </c>
      <c r="D6928" s="18">
        <v>2736765.13</v>
      </c>
      <c r="E6928" s="18">
        <v>425.31</v>
      </c>
      <c r="F6928" s="18">
        <v>41745.519999999997</v>
      </c>
      <c r="G6928" s="18">
        <v>123634</v>
      </c>
      <c r="H6928" s="18">
        <f t="shared" si="160"/>
        <v>41595.519999999997</v>
      </c>
      <c r="I6928" s="3"/>
    </row>
    <row r="6929" spans="1:9" s="4" customFormat="1" ht="20.25" customHeight="1" x14ac:dyDescent="0.55000000000000004">
      <c r="A6929" s="18">
        <v>24.734924800000002</v>
      </c>
      <c r="B6929" s="18">
        <v>34.777112099999997</v>
      </c>
      <c r="C6929" s="18">
        <v>679729.55</v>
      </c>
      <c r="D6929" s="18">
        <v>2736763.38</v>
      </c>
      <c r="E6929" s="18">
        <v>424.82</v>
      </c>
      <c r="F6929" s="18">
        <v>41743.660000000003</v>
      </c>
      <c r="G6929" s="18">
        <v>123636</v>
      </c>
      <c r="H6929" s="18">
        <f t="shared" si="160"/>
        <v>41593.660000000003</v>
      </c>
      <c r="I6929" s="3"/>
    </row>
    <row r="6930" spans="1:9" s="4" customFormat="1" ht="20.25" customHeight="1" x14ac:dyDescent="0.55000000000000004">
      <c r="A6930" s="18">
        <v>24.734911100000001</v>
      </c>
      <c r="B6930" s="18">
        <v>34.777117199999999</v>
      </c>
      <c r="C6930" s="18">
        <v>679730.09</v>
      </c>
      <c r="D6930" s="18">
        <v>2736761.87</v>
      </c>
      <c r="E6930" s="18">
        <v>424.43</v>
      </c>
      <c r="F6930" s="18">
        <v>41744.15</v>
      </c>
      <c r="G6930" s="18">
        <v>123638</v>
      </c>
      <c r="H6930" s="18">
        <f t="shared" si="160"/>
        <v>41594.15</v>
      </c>
      <c r="I6930" s="3"/>
    </row>
    <row r="6931" spans="1:9" s="4" customFormat="1" ht="20.25" customHeight="1" x14ac:dyDescent="0.55000000000000004">
      <c r="A6931" s="18">
        <v>24.7348949</v>
      </c>
      <c r="B6931" s="18">
        <v>34.777122400000003</v>
      </c>
      <c r="C6931" s="18">
        <v>679730.63</v>
      </c>
      <c r="D6931" s="18">
        <v>2736760.08</v>
      </c>
      <c r="E6931" s="18">
        <v>423.88</v>
      </c>
      <c r="F6931" s="18">
        <v>41746.32</v>
      </c>
      <c r="G6931" s="18">
        <v>123640</v>
      </c>
      <c r="H6931" s="18">
        <f t="shared" si="160"/>
        <v>41596.32</v>
      </c>
      <c r="I6931" s="3"/>
    </row>
    <row r="6932" spans="1:9" s="4" customFormat="1" ht="20.25" customHeight="1" x14ac:dyDescent="0.55000000000000004">
      <c r="A6932" s="18">
        <v>24.734878299999998</v>
      </c>
      <c r="B6932" s="18">
        <v>34.777123899999999</v>
      </c>
      <c r="C6932" s="18">
        <v>679730.81</v>
      </c>
      <c r="D6932" s="18">
        <v>2736758.24</v>
      </c>
      <c r="E6932" s="18">
        <v>423.34</v>
      </c>
      <c r="F6932" s="18">
        <v>41745.879999999997</v>
      </c>
      <c r="G6932" s="18">
        <v>123642</v>
      </c>
      <c r="H6932" s="18">
        <f t="shared" si="160"/>
        <v>41595.879999999997</v>
      </c>
      <c r="I6932" s="3"/>
    </row>
    <row r="6933" spans="1:9" s="4" customFormat="1" ht="20.25" customHeight="1" x14ac:dyDescent="0.55000000000000004">
      <c r="A6933" s="18">
        <v>24.734865599999999</v>
      </c>
      <c r="B6933" s="18">
        <v>34.777130700000001</v>
      </c>
      <c r="C6933" s="18">
        <v>679731.52</v>
      </c>
      <c r="D6933" s="18">
        <v>2736756.85</v>
      </c>
      <c r="E6933" s="18">
        <v>422.84</v>
      </c>
      <c r="F6933" s="18">
        <v>41749.839999999997</v>
      </c>
      <c r="G6933" s="18">
        <v>123644</v>
      </c>
      <c r="H6933" s="18">
        <f t="shared" si="160"/>
        <v>41599.839999999997</v>
      </c>
      <c r="I6933" s="3"/>
    </row>
    <row r="6934" spans="1:9" s="4" customFormat="1" ht="20.25" customHeight="1" x14ac:dyDescent="0.55000000000000004">
      <c r="A6934" s="18">
        <v>24.7348468</v>
      </c>
      <c r="B6934" s="18">
        <v>34.7771385</v>
      </c>
      <c r="C6934" s="18">
        <v>679732.34</v>
      </c>
      <c r="D6934" s="18">
        <v>2736754.78</v>
      </c>
      <c r="E6934" s="18">
        <v>422.03</v>
      </c>
      <c r="F6934" s="18">
        <v>41745.72</v>
      </c>
      <c r="G6934" s="18">
        <v>123646</v>
      </c>
      <c r="H6934" s="18">
        <f t="shared" si="160"/>
        <v>41595.72</v>
      </c>
      <c r="I6934" s="3"/>
    </row>
    <row r="6935" spans="1:9" s="4" customFormat="1" ht="20.25" customHeight="1" x14ac:dyDescent="0.55000000000000004">
      <c r="A6935" s="18">
        <v>24.734829300000001</v>
      </c>
      <c r="B6935" s="18">
        <v>34.777147100000001</v>
      </c>
      <c r="C6935" s="18">
        <v>679733.23</v>
      </c>
      <c r="D6935" s="18">
        <v>2736752.85</v>
      </c>
      <c r="E6935" s="18">
        <v>421.42</v>
      </c>
      <c r="F6935" s="18">
        <v>41744.9</v>
      </c>
      <c r="G6935" s="18">
        <v>123648</v>
      </c>
      <c r="H6935" s="18">
        <f t="shared" si="160"/>
        <v>41594.9</v>
      </c>
      <c r="I6935" s="3"/>
    </row>
    <row r="6936" spans="1:9" s="4" customFormat="1" ht="20.25" customHeight="1" x14ac:dyDescent="0.55000000000000004">
      <c r="A6936" s="18">
        <v>24.734811100000002</v>
      </c>
      <c r="B6936" s="18">
        <v>34.777153800000001</v>
      </c>
      <c r="C6936" s="18">
        <v>679733.93</v>
      </c>
      <c r="D6936" s="18">
        <v>2736750.84</v>
      </c>
      <c r="E6936" s="18">
        <v>420.78</v>
      </c>
      <c r="F6936" s="18">
        <v>41743.160000000003</v>
      </c>
      <c r="G6936" s="18">
        <v>123650</v>
      </c>
      <c r="H6936" s="18">
        <f t="shared" si="160"/>
        <v>41593.160000000003</v>
      </c>
      <c r="I6936" s="3"/>
    </row>
    <row r="6937" spans="1:9" s="4" customFormat="1" ht="20.25" customHeight="1" x14ac:dyDescent="0.55000000000000004">
      <c r="A6937" s="18">
        <v>24.7347933</v>
      </c>
      <c r="B6937" s="18">
        <v>34.777159500000003</v>
      </c>
      <c r="C6937" s="18">
        <v>679734.53</v>
      </c>
      <c r="D6937" s="18">
        <v>2736748.88</v>
      </c>
      <c r="E6937" s="18">
        <v>420.14</v>
      </c>
      <c r="F6937" s="18">
        <v>41740.58</v>
      </c>
      <c r="G6937" s="18">
        <v>123652</v>
      </c>
      <c r="H6937" s="18">
        <f t="shared" si="160"/>
        <v>41590.58</v>
      </c>
      <c r="I6937" s="3"/>
    </row>
    <row r="6938" spans="1:9" s="4" customFormat="1" ht="20.25" customHeight="1" x14ac:dyDescent="0.55000000000000004">
      <c r="A6938" s="18">
        <v>24.7347751</v>
      </c>
      <c r="B6938" s="18">
        <v>34.7771677</v>
      </c>
      <c r="C6938" s="18">
        <v>679735.39</v>
      </c>
      <c r="D6938" s="18">
        <v>2736746.87</v>
      </c>
      <c r="E6938" s="18">
        <v>419.52</v>
      </c>
      <c r="F6938" s="18">
        <v>41737.760000000002</v>
      </c>
      <c r="G6938" s="18">
        <v>123654</v>
      </c>
      <c r="H6938" s="18">
        <f t="shared" si="160"/>
        <v>41587.760000000002</v>
      </c>
      <c r="I6938" s="3"/>
    </row>
    <row r="6939" spans="1:9" s="4" customFormat="1" ht="20.25" customHeight="1" x14ac:dyDescent="0.55000000000000004">
      <c r="A6939" s="18">
        <v>24.734756999999998</v>
      </c>
      <c r="B6939" s="18">
        <v>34.777175300000003</v>
      </c>
      <c r="C6939" s="18">
        <v>679736.18</v>
      </c>
      <c r="D6939" s="18">
        <v>2736744.88</v>
      </c>
      <c r="E6939" s="18">
        <v>419</v>
      </c>
      <c r="F6939" s="18">
        <v>41729.980000000003</v>
      </c>
      <c r="G6939" s="18">
        <v>123656</v>
      </c>
      <c r="H6939" s="18">
        <f t="shared" si="160"/>
        <v>41579.980000000003</v>
      </c>
      <c r="I6939" s="3"/>
    </row>
    <row r="6940" spans="1:9" s="4" customFormat="1" ht="20.25" customHeight="1" x14ac:dyDescent="0.55000000000000004">
      <c r="A6940" s="18">
        <v>24.734740800000001</v>
      </c>
      <c r="B6940" s="18">
        <v>34.777186299999997</v>
      </c>
      <c r="C6940" s="18">
        <v>679737.32</v>
      </c>
      <c r="D6940" s="18">
        <v>2736743.09</v>
      </c>
      <c r="E6940" s="18">
        <v>418.58</v>
      </c>
      <c r="F6940" s="18">
        <v>41715.379999999997</v>
      </c>
      <c r="G6940" s="18">
        <v>123658</v>
      </c>
      <c r="H6940" s="18">
        <f t="shared" si="160"/>
        <v>41565.379999999997</v>
      </c>
      <c r="I6940" s="3"/>
    </row>
    <row r="6941" spans="1:9" s="4" customFormat="1" ht="20.25" customHeight="1" x14ac:dyDescent="0.55000000000000004">
      <c r="A6941" s="18">
        <v>24.7347264</v>
      </c>
      <c r="B6941" s="18">
        <v>34.777200499999999</v>
      </c>
      <c r="C6941" s="18">
        <v>679738.77</v>
      </c>
      <c r="D6941" s="18">
        <v>2736741.52</v>
      </c>
      <c r="E6941" s="18">
        <v>418.13</v>
      </c>
      <c r="F6941" s="18">
        <v>41704.050000000003</v>
      </c>
      <c r="G6941" s="18">
        <v>123700</v>
      </c>
      <c r="H6941" s="18">
        <f t="shared" si="160"/>
        <v>41554.050000000003</v>
      </c>
      <c r="I6941" s="3"/>
    </row>
    <row r="6942" spans="1:9" s="4" customFormat="1" ht="20.25" customHeight="1" x14ac:dyDescent="0.55000000000000004">
      <c r="A6942" s="18">
        <v>24.734711099999998</v>
      </c>
      <c r="B6942" s="18">
        <v>34.777217</v>
      </c>
      <c r="C6942" s="18">
        <v>679740.47</v>
      </c>
      <c r="D6942" s="18">
        <v>2736739.85</v>
      </c>
      <c r="E6942" s="18">
        <v>417.83</v>
      </c>
      <c r="F6942" s="18">
        <v>41711.69</v>
      </c>
      <c r="G6942" s="18">
        <v>123702</v>
      </c>
      <c r="H6942" s="18">
        <f t="shared" si="160"/>
        <v>41561.69</v>
      </c>
      <c r="I6942" s="3"/>
    </row>
    <row r="6943" spans="1:9" s="4" customFormat="1" ht="20.25" customHeight="1" x14ac:dyDescent="0.55000000000000004">
      <c r="A6943" s="18">
        <v>24.7346942</v>
      </c>
      <c r="B6943" s="18">
        <v>34.777229900000002</v>
      </c>
      <c r="C6943" s="18">
        <v>679741.8</v>
      </c>
      <c r="D6943" s="18">
        <v>2736737.99</v>
      </c>
      <c r="E6943" s="18">
        <v>417.44</v>
      </c>
      <c r="F6943" s="18">
        <v>41725.64</v>
      </c>
      <c r="G6943" s="18">
        <v>123704</v>
      </c>
      <c r="H6943" s="18">
        <f t="shared" si="160"/>
        <v>41575.64</v>
      </c>
      <c r="I6943" s="3"/>
    </row>
    <row r="6944" spans="1:9" s="4" customFormat="1" ht="20.25" customHeight="1" x14ac:dyDescent="0.55000000000000004">
      <c r="A6944" s="18">
        <v>24.734676499999999</v>
      </c>
      <c r="B6944" s="18">
        <v>34.777243200000001</v>
      </c>
      <c r="C6944" s="18">
        <v>679743.17</v>
      </c>
      <c r="D6944" s="18">
        <v>2736736.05</v>
      </c>
      <c r="E6944" s="18">
        <v>417.03</v>
      </c>
      <c r="F6944" s="18">
        <v>41752.35</v>
      </c>
      <c r="G6944" s="18">
        <v>123706</v>
      </c>
      <c r="H6944" s="18">
        <f t="shared" si="160"/>
        <v>41602.35</v>
      </c>
      <c r="I6944" s="3"/>
    </row>
    <row r="6945" spans="1:9" s="4" customFormat="1" ht="20.25" customHeight="1" x14ac:dyDescent="0.55000000000000004">
      <c r="A6945" s="18">
        <v>24.734657599999998</v>
      </c>
      <c r="B6945" s="18">
        <v>34.777255199999999</v>
      </c>
      <c r="C6945" s="18">
        <v>679744.41</v>
      </c>
      <c r="D6945" s="18">
        <v>2736733.97</v>
      </c>
      <c r="E6945" s="18">
        <v>416.74</v>
      </c>
      <c r="F6945" s="18">
        <v>41669.31</v>
      </c>
      <c r="G6945" s="18">
        <v>123708</v>
      </c>
      <c r="H6945" s="18">
        <f t="shared" si="160"/>
        <v>41519.31</v>
      </c>
      <c r="I6945" s="3"/>
    </row>
    <row r="6946" spans="1:9" s="4" customFormat="1" ht="20.25" customHeight="1" x14ac:dyDescent="0.55000000000000004">
      <c r="A6946" s="18">
        <v>24.7346389</v>
      </c>
      <c r="B6946" s="18">
        <v>34.777261699999997</v>
      </c>
      <c r="C6946" s="18">
        <v>679745.09</v>
      </c>
      <c r="D6946" s="18">
        <v>2736731.91</v>
      </c>
      <c r="E6946" s="18">
        <v>416.33</v>
      </c>
      <c r="F6946" s="18">
        <v>41691.74</v>
      </c>
      <c r="G6946" s="18">
        <v>123710</v>
      </c>
      <c r="H6946" s="18">
        <f t="shared" si="160"/>
        <v>41541.74</v>
      </c>
      <c r="I6946" s="3"/>
    </row>
    <row r="6947" spans="1:9" s="4" customFormat="1" ht="20.25" customHeight="1" x14ac:dyDescent="0.55000000000000004">
      <c r="A6947" s="18">
        <v>24.734618999999999</v>
      </c>
      <c r="B6947" s="18">
        <v>34.777268599999999</v>
      </c>
      <c r="C6947" s="18">
        <v>679745.82</v>
      </c>
      <c r="D6947" s="18">
        <v>2736729.71</v>
      </c>
      <c r="E6947" s="18">
        <v>416.07</v>
      </c>
      <c r="F6947" s="18">
        <v>41676.949999999997</v>
      </c>
      <c r="G6947" s="18">
        <v>123712</v>
      </c>
      <c r="H6947" s="18">
        <f t="shared" si="160"/>
        <v>41526.949999999997</v>
      </c>
      <c r="I6947" s="3"/>
    </row>
    <row r="6948" spans="1:9" s="4" customFormat="1" ht="20.25" customHeight="1" x14ac:dyDescent="0.55000000000000004">
      <c r="A6948" s="18">
        <v>24.7346009</v>
      </c>
      <c r="B6948" s="18">
        <v>34.777275600000003</v>
      </c>
      <c r="C6948" s="18">
        <v>679746.56000000006</v>
      </c>
      <c r="D6948" s="18">
        <v>2736727.72</v>
      </c>
      <c r="E6948" s="18">
        <v>415.71</v>
      </c>
      <c r="F6948" s="18">
        <v>41729.339999999997</v>
      </c>
      <c r="G6948" s="18">
        <v>123714</v>
      </c>
      <c r="H6948" s="18">
        <f t="shared" si="160"/>
        <v>41579.339999999997</v>
      </c>
      <c r="I6948" s="3"/>
    </row>
    <row r="6949" spans="1:9" s="4" customFormat="1" ht="20.25" customHeight="1" x14ac:dyDescent="0.55000000000000004">
      <c r="A6949" s="18">
        <v>24.734584999999999</v>
      </c>
      <c r="B6949" s="18">
        <v>34.777283099999998</v>
      </c>
      <c r="C6949" s="18">
        <v>679747.33</v>
      </c>
      <c r="D6949" s="18">
        <v>2736725.97</v>
      </c>
      <c r="E6949" s="18">
        <v>415.39</v>
      </c>
      <c r="F6949" s="18">
        <v>41794.6</v>
      </c>
      <c r="G6949" s="18">
        <v>123716</v>
      </c>
      <c r="H6949" s="18">
        <f t="shared" si="160"/>
        <v>41644.6</v>
      </c>
      <c r="I6949" s="3"/>
    </row>
    <row r="6950" spans="1:9" s="4" customFormat="1" ht="20.25" customHeight="1" x14ac:dyDescent="0.55000000000000004">
      <c r="A6950" s="18">
        <v>24.734567599999998</v>
      </c>
      <c r="B6950" s="18">
        <v>34.777289400000001</v>
      </c>
      <c r="C6950" s="18">
        <v>679748</v>
      </c>
      <c r="D6950" s="18">
        <v>2736724.05</v>
      </c>
      <c r="E6950" s="18">
        <v>415.14</v>
      </c>
      <c r="F6950" s="18">
        <v>41807.339999999997</v>
      </c>
      <c r="G6950" s="18">
        <v>123718</v>
      </c>
      <c r="H6950" s="18">
        <f t="shared" si="160"/>
        <v>41657.339999999997</v>
      </c>
      <c r="I6950" s="3"/>
    </row>
    <row r="6951" spans="1:9" s="4" customFormat="1" ht="20.25" customHeight="1" x14ac:dyDescent="0.55000000000000004">
      <c r="A6951" s="18">
        <v>24.7345516</v>
      </c>
      <c r="B6951" s="18">
        <v>34.777298399999999</v>
      </c>
      <c r="C6951" s="18">
        <v>679748.93</v>
      </c>
      <c r="D6951" s="18">
        <v>2736722.29</v>
      </c>
      <c r="E6951" s="18">
        <v>414.53</v>
      </c>
      <c r="F6951" s="18">
        <v>41781.89</v>
      </c>
      <c r="G6951" s="18">
        <v>123720</v>
      </c>
      <c r="H6951" s="18">
        <f t="shared" si="160"/>
        <v>41631.89</v>
      </c>
      <c r="I6951" s="3"/>
    </row>
    <row r="6952" spans="1:9" s="4" customFormat="1" ht="20.25" customHeight="1" x14ac:dyDescent="0.55000000000000004">
      <c r="A6952" s="18">
        <v>24.7345294</v>
      </c>
      <c r="B6952" s="18">
        <v>34.777310300000003</v>
      </c>
      <c r="C6952" s="18">
        <v>679750.17</v>
      </c>
      <c r="D6952" s="18">
        <v>2736719.84</v>
      </c>
      <c r="E6952" s="18">
        <v>413.6</v>
      </c>
      <c r="F6952" s="18">
        <v>41745.019999999997</v>
      </c>
      <c r="G6952" s="18">
        <v>123722</v>
      </c>
      <c r="H6952" s="18">
        <f t="shared" si="160"/>
        <v>41595.019999999997</v>
      </c>
      <c r="I6952" s="3"/>
    </row>
    <row r="6953" spans="1:9" s="4" customFormat="1" ht="20.25" customHeight="1" x14ac:dyDescent="0.55000000000000004">
      <c r="A6953" s="18">
        <v>24.7345069</v>
      </c>
      <c r="B6953" s="18">
        <v>34.777322300000002</v>
      </c>
      <c r="C6953" s="18">
        <v>679751.42</v>
      </c>
      <c r="D6953" s="18">
        <v>2736717.37</v>
      </c>
      <c r="E6953" s="18">
        <v>413.54</v>
      </c>
      <c r="F6953" s="18">
        <v>41714.61</v>
      </c>
      <c r="G6953" s="18">
        <v>123724</v>
      </c>
      <c r="H6953" s="18">
        <f t="shared" si="160"/>
        <v>41564.61</v>
      </c>
      <c r="I6953" s="3"/>
    </row>
    <row r="6954" spans="1:9" s="4" customFormat="1" ht="20.25" customHeight="1" x14ac:dyDescent="0.55000000000000004">
      <c r="A6954" s="18">
        <v>24.734499499999998</v>
      </c>
      <c r="B6954" s="18">
        <v>34.777330800000001</v>
      </c>
      <c r="C6954" s="18">
        <v>679752.28</v>
      </c>
      <c r="D6954" s="18">
        <v>2736716.56</v>
      </c>
      <c r="E6954" s="18">
        <v>413.42</v>
      </c>
      <c r="F6954" s="18">
        <v>41709.589999999997</v>
      </c>
      <c r="G6954" s="18">
        <v>123726</v>
      </c>
      <c r="H6954" s="18">
        <f t="shared" ref="H6954:H7017" si="161">SUM(F6954-150)</f>
        <v>41559.589999999997</v>
      </c>
      <c r="I6954" s="3"/>
    </row>
    <row r="6955" spans="1:9" s="4" customFormat="1" ht="20.25" customHeight="1" x14ac:dyDescent="0.55000000000000004">
      <c r="A6955" s="18">
        <v>24.734487900000001</v>
      </c>
      <c r="B6955" s="18">
        <v>34.777337699999997</v>
      </c>
      <c r="C6955" s="18">
        <v>679753</v>
      </c>
      <c r="D6955" s="18">
        <v>2736715.28</v>
      </c>
      <c r="E6955" s="18">
        <v>413.21</v>
      </c>
      <c r="F6955" s="18">
        <v>41746.69</v>
      </c>
      <c r="G6955" s="18">
        <v>123728</v>
      </c>
      <c r="H6955" s="18">
        <f t="shared" si="161"/>
        <v>41596.69</v>
      </c>
      <c r="I6955" s="3"/>
    </row>
    <row r="6956" spans="1:9" s="4" customFormat="1" ht="20.25" customHeight="1" x14ac:dyDescent="0.55000000000000004">
      <c r="A6956" s="18">
        <v>24.734476000000001</v>
      </c>
      <c r="B6956" s="18">
        <v>34.777349999999998</v>
      </c>
      <c r="C6956" s="18">
        <v>679754.26</v>
      </c>
      <c r="D6956" s="18">
        <v>2736713.99</v>
      </c>
      <c r="E6956" s="18">
        <v>412.78</v>
      </c>
      <c r="F6956" s="18">
        <v>41760.83</v>
      </c>
      <c r="G6956" s="18">
        <v>123730</v>
      </c>
      <c r="H6956" s="18">
        <f t="shared" si="161"/>
        <v>41610.83</v>
      </c>
      <c r="I6956" s="3"/>
    </row>
    <row r="6957" spans="1:9" s="4" customFormat="1" ht="20.25" customHeight="1" x14ac:dyDescent="0.55000000000000004">
      <c r="A6957" s="18">
        <v>24.7344598</v>
      </c>
      <c r="B6957" s="18">
        <v>34.777374199999997</v>
      </c>
      <c r="C6957" s="18">
        <v>679756.73</v>
      </c>
      <c r="D6957" s="18">
        <v>2736712.22</v>
      </c>
      <c r="E6957" s="18">
        <v>412.05</v>
      </c>
      <c r="F6957" s="18">
        <v>41735.120000000003</v>
      </c>
      <c r="G6957" s="18">
        <v>123732</v>
      </c>
      <c r="H6957" s="18">
        <f t="shared" si="161"/>
        <v>41585.120000000003</v>
      </c>
      <c r="I6957" s="3"/>
    </row>
    <row r="6958" spans="1:9" s="4" customFormat="1" ht="20.25" customHeight="1" x14ac:dyDescent="0.55000000000000004">
      <c r="A6958" s="18">
        <v>24.7344522</v>
      </c>
      <c r="B6958" s="18">
        <v>34.777395599999998</v>
      </c>
      <c r="C6958" s="18">
        <v>679758.9</v>
      </c>
      <c r="D6958" s="18">
        <v>2736711.41</v>
      </c>
      <c r="E6958" s="18">
        <v>411.92</v>
      </c>
      <c r="F6958" s="18">
        <v>41738.19</v>
      </c>
      <c r="G6958" s="18">
        <v>123734</v>
      </c>
      <c r="H6958" s="18">
        <f t="shared" si="161"/>
        <v>41588.19</v>
      </c>
      <c r="I6958" s="3"/>
    </row>
    <row r="6959" spans="1:9" s="4" customFormat="1" ht="20.25" customHeight="1" x14ac:dyDescent="0.55000000000000004">
      <c r="A6959" s="18">
        <v>24.7344422</v>
      </c>
      <c r="B6959" s="18">
        <v>34.7774176</v>
      </c>
      <c r="C6959" s="18">
        <v>679761.15</v>
      </c>
      <c r="D6959" s="18">
        <v>2736710.32</v>
      </c>
      <c r="E6959" s="18">
        <v>411.92</v>
      </c>
      <c r="F6959" s="18">
        <v>41750.230000000003</v>
      </c>
      <c r="G6959" s="18">
        <v>123736</v>
      </c>
      <c r="H6959" s="18">
        <f t="shared" si="161"/>
        <v>41600.230000000003</v>
      </c>
      <c r="I6959" s="3"/>
    </row>
    <row r="6960" spans="1:9" s="4" customFormat="1" ht="20.25" customHeight="1" x14ac:dyDescent="0.55000000000000004">
      <c r="A6960" s="18">
        <v>24.734436800000001</v>
      </c>
      <c r="B6960" s="18">
        <v>34.777439700000002</v>
      </c>
      <c r="C6960" s="18">
        <v>679763.39</v>
      </c>
      <c r="D6960" s="18">
        <v>2736709.76</v>
      </c>
      <c r="E6960" s="18">
        <v>411.71</v>
      </c>
      <c r="F6960" s="18">
        <v>41705.15</v>
      </c>
      <c r="G6960" s="18">
        <v>123738</v>
      </c>
      <c r="H6960" s="18">
        <f t="shared" si="161"/>
        <v>41555.15</v>
      </c>
      <c r="I6960" s="3"/>
    </row>
    <row r="6961" spans="1:9" s="4" customFormat="1" ht="20.25" customHeight="1" x14ac:dyDescent="0.55000000000000004">
      <c r="A6961" s="18">
        <v>24.734430100000001</v>
      </c>
      <c r="B6961" s="18">
        <v>34.777464899999998</v>
      </c>
      <c r="C6961" s="18">
        <v>679765.95</v>
      </c>
      <c r="D6961" s="18">
        <v>2736709.05</v>
      </c>
      <c r="E6961" s="18">
        <v>411.72</v>
      </c>
      <c r="F6961" s="18">
        <v>41715.75</v>
      </c>
      <c r="G6961" s="18">
        <v>123740</v>
      </c>
      <c r="H6961" s="18">
        <f t="shared" si="161"/>
        <v>41565.75</v>
      </c>
      <c r="I6961" s="3"/>
    </row>
    <row r="6962" spans="1:9" s="4" customFormat="1" ht="20.25" customHeight="1" x14ac:dyDescent="0.55000000000000004">
      <c r="A6962" s="18">
        <v>24.7344255</v>
      </c>
      <c r="B6962" s="18">
        <v>34.777487800000003</v>
      </c>
      <c r="C6962" s="18">
        <v>679768.27</v>
      </c>
      <c r="D6962" s="18">
        <v>2736708.57</v>
      </c>
      <c r="E6962" s="18">
        <v>411.68</v>
      </c>
      <c r="F6962" s="18">
        <v>41733.589999999997</v>
      </c>
      <c r="G6962" s="18">
        <v>123742</v>
      </c>
      <c r="H6962" s="18">
        <f t="shared" si="161"/>
        <v>41583.589999999997</v>
      </c>
      <c r="I6962" s="3"/>
    </row>
    <row r="6963" spans="1:9" s="4" customFormat="1" ht="20.25" customHeight="1" x14ac:dyDescent="0.55000000000000004">
      <c r="A6963" s="18">
        <v>24.734425000000002</v>
      </c>
      <c r="B6963" s="18">
        <v>34.777511400000002</v>
      </c>
      <c r="C6963" s="18">
        <v>679770.66</v>
      </c>
      <c r="D6963" s="18">
        <v>2736708.54</v>
      </c>
      <c r="E6963" s="18">
        <v>411.5</v>
      </c>
      <c r="F6963" s="18">
        <v>41735.519999999997</v>
      </c>
      <c r="G6963" s="18">
        <v>123744</v>
      </c>
      <c r="H6963" s="18">
        <f t="shared" si="161"/>
        <v>41585.519999999997</v>
      </c>
      <c r="I6963" s="3"/>
    </row>
    <row r="6964" spans="1:9" s="4" customFormat="1" ht="20.25" customHeight="1" x14ac:dyDescent="0.55000000000000004">
      <c r="A6964" s="18">
        <v>24.734423199999998</v>
      </c>
      <c r="B6964" s="18">
        <v>34.777534000000003</v>
      </c>
      <c r="C6964" s="18">
        <v>679772.95</v>
      </c>
      <c r="D6964" s="18">
        <v>2736708.38</v>
      </c>
      <c r="E6964" s="18">
        <v>411.38</v>
      </c>
      <c r="F6964" s="18">
        <v>41732.199999999997</v>
      </c>
      <c r="G6964" s="18">
        <v>123746</v>
      </c>
      <c r="H6964" s="18">
        <f t="shared" si="161"/>
        <v>41582.199999999997</v>
      </c>
      <c r="I6964" s="3"/>
    </row>
    <row r="6965" spans="1:9" s="4" customFormat="1" ht="20.25" customHeight="1" x14ac:dyDescent="0.55000000000000004">
      <c r="A6965" s="18">
        <v>24.7344173</v>
      </c>
      <c r="B6965" s="18">
        <v>34.777554899999998</v>
      </c>
      <c r="C6965" s="18">
        <v>679775.07</v>
      </c>
      <c r="D6965" s="18">
        <v>2736707.75</v>
      </c>
      <c r="E6965" s="18">
        <v>411.18</v>
      </c>
      <c r="F6965" s="18">
        <v>41738.47</v>
      </c>
      <c r="G6965" s="18">
        <v>123748</v>
      </c>
      <c r="H6965" s="18">
        <f t="shared" si="161"/>
        <v>41588.47</v>
      </c>
      <c r="I6965" s="3"/>
    </row>
    <row r="6966" spans="1:9" s="4" customFormat="1" ht="20.25" customHeight="1" x14ac:dyDescent="0.55000000000000004">
      <c r="A6966" s="18">
        <v>24.734415800000001</v>
      </c>
      <c r="B6966" s="18">
        <v>34.777578300000002</v>
      </c>
      <c r="C6966" s="18">
        <v>679777.44</v>
      </c>
      <c r="D6966" s="18">
        <v>2736707.61</v>
      </c>
      <c r="E6966" s="18">
        <v>410.85</v>
      </c>
      <c r="F6966" s="18">
        <v>41758.65</v>
      </c>
      <c r="G6966" s="18">
        <v>123750</v>
      </c>
      <c r="H6966" s="18">
        <f t="shared" si="161"/>
        <v>41608.65</v>
      </c>
      <c r="I6966" s="3"/>
    </row>
    <row r="6967" spans="1:9" s="4" customFormat="1" ht="20.25" customHeight="1" x14ac:dyDescent="0.55000000000000004">
      <c r="A6967" s="18">
        <v>24.7344188</v>
      </c>
      <c r="B6967" s="18">
        <v>34.777602600000002</v>
      </c>
      <c r="C6967" s="18">
        <v>679779.9</v>
      </c>
      <c r="D6967" s="18">
        <v>2736707.98</v>
      </c>
      <c r="E6967" s="18">
        <v>410.77</v>
      </c>
      <c r="F6967" s="18">
        <v>41785.53</v>
      </c>
      <c r="G6967" s="18">
        <v>123752</v>
      </c>
      <c r="H6967" s="18">
        <f t="shared" si="161"/>
        <v>41635.53</v>
      </c>
      <c r="I6967" s="3"/>
    </row>
    <row r="6968" spans="1:9" s="4" customFormat="1" ht="20.25" customHeight="1" x14ac:dyDescent="0.55000000000000004">
      <c r="A6968" s="18">
        <v>24.734416199999998</v>
      </c>
      <c r="B6968" s="18">
        <v>34.777628200000002</v>
      </c>
      <c r="C6968" s="18">
        <v>679782.49</v>
      </c>
      <c r="D6968" s="18">
        <v>2736707.73</v>
      </c>
      <c r="E6968" s="18">
        <v>410.51</v>
      </c>
      <c r="F6968" s="18">
        <v>41761.46</v>
      </c>
      <c r="G6968" s="18">
        <v>123754</v>
      </c>
      <c r="H6968" s="18">
        <f t="shared" si="161"/>
        <v>41611.46</v>
      </c>
      <c r="I6968" s="3"/>
    </row>
    <row r="6969" spans="1:9" s="4" customFormat="1" ht="20.25" customHeight="1" x14ac:dyDescent="0.55000000000000004">
      <c r="A6969" s="18">
        <v>24.734412899999999</v>
      </c>
      <c r="B6969" s="18">
        <v>34.777653899999997</v>
      </c>
      <c r="C6969" s="18">
        <v>679785.09</v>
      </c>
      <c r="D6969" s="18">
        <v>2736707.39</v>
      </c>
      <c r="E6969" s="18">
        <v>410.45</v>
      </c>
      <c r="F6969" s="18">
        <v>41727.64</v>
      </c>
      <c r="G6969" s="18">
        <v>123756</v>
      </c>
      <c r="H6969" s="18">
        <f t="shared" si="161"/>
        <v>41577.64</v>
      </c>
      <c r="I6969" s="3"/>
    </row>
    <row r="6970" spans="1:9" s="4" customFormat="1" ht="20.25" customHeight="1" x14ac:dyDescent="0.55000000000000004">
      <c r="A6970" s="18">
        <v>24.734403199999999</v>
      </c>
      <c r="B6970" s="18">
        <v>34.7776736</v>
      </c>
      <c r="C6970" s="18">
        <v>679787.1</v>
      </c>
      <c r="D6970" s="18">
        <v>2736706.35</v>
      </c>
      <c r="E6970" s="18">
        <v>410.48</v>
      </c>
      <c r="F6970" s="18">
        <v>41721.17</v>
      </c>
      <c r="G6970" s="18">
        <v>123758</v>
      </c>
      <c r="H6970" s="18">
        <f t="shared" si="161"/>
        <v>41571.17</v>
      </c>
      <c r="I6970" s="3"/>
    </row>
    <row r="6971" spans="1:9" s="4" customFormat="1" ht="20.25" customHeight="1" x14ac:dyDescent="0.55000000000000004">
      <c r="A6971" s="18">
        <v>24.734391800000001</v>
      </c>
      <c r="B6971" s="18">
        <v>34.777694599999997</v>
      </c>
      <c r="C6971" s="18">
        <v>679789.24</v>
      </c>
      <c r="D6971" s="18">
        <v>2736705.1</v>
      </c>
      <c r="E6971" s="18">
        <v>410.27</v>
      </c>
      <c r="F6971" s="18">
        <v>41727.25</v>
      </c>
      <c r="G6971" s="18">
        <v>123800</v>
      </c>
      <c r="H6971" s="18">
        <f t="shared" si="161"/>
        <v>41577.25</v>
      </c>
      <c r="I6971" s="3"/>
    </row>
    <row r="6972" spans="1:9" s="4" customFormat="1" ht="20.25" customHeight="1" x14ac:dyDescent="0.55000000000000004">
      <c r="A6972" s="18">
        <v>24.7343802</v>
      </c>
      <c r="B6972" s="18">
        <v>34.7777174</v>
      </c>
      <c r="C6972" s="18">
        <v>679791.56</v>
      </c>
      <c r="D6972" s="18">
        <v>2736703.85</v>
      </c>
      <c r="E6972" s="18">
        <v>410.09</v>
      </c>
      <c r="F6972" s="18">
        <v>41740.44</v>
      </c>
      <c r="G6972" s="18">
        <v>123802</v>
      </c>
      <c r="H6972" s="18">
        <f t="shared" si="161"/>
        <v>41590.44</v>
      </c>
      <c r="I6972" s="3"/>
    </row>
    <row r="6973" spans="1:9" s="4" customFormat="1" ht="20.25" customHeight="1" x14ac:dyDescent="0.55000000000000004">
      <c r="A6973" s="18">
        <v>24.734366399999999</v>
      </c>
      <c r="B6973" s="18">
        <v>34.777737999999999</v>
      </c>
      <c r="C6973" s="18">
        <v>679793.67</v>
      </c>
      <c r="D6973" s="18">
        <v>2736702.36</v>
      </c>
      <c r="E6973" s="18">
        <v>409.98</v>
      </c>
      <c r="F6973" s="18">
        <v>41736.22</v>
      </c>
      <c r="G6973" s="18">
        <v>123804</v>
      </c>
      <c r="H6973" s="18">
        <f t="shared" si="161"/>
        <v>41586.22</v>
      </c>
      <c r="I6973" s="3"/>
    </row>
    <row r="6974" spans="1:9" s="4" customFormat="1" ht="20.25" customHeight="1" x14ac:dyDescent="0.55000000000000004">
      <c r="A6974" s="18">
        <v>24.7343525</v>
      </c>
      <c r="B6974" s="18">
        <v>34.777762199999998</v>
      </c>
      <c r="C6974" s="18">
        <v>679796.14</v>
      </c>
      <c r="D6974" s="18">
        <v>2736700.84</v>
      </c>
      <c r="E6974" s="18">
        <v>409.99</v>
      </c>
      <c r="F6974" s="18">
        <v>41774.449999999997</v>
      </c>
      <c r="G6974" s="18">
        <v>123806</v>
      </c>
      <c r="H6974" s="18">
        <f t="shared" si="161"/>
        <v>41624.449999999997</v>
      </c>
      <c r="I6974" s="3"/>
    </row>
    <row r="6975" spans="1:9" s="4" customFormat="1" ht="20.25" customHeight="1" x14ac:dyDescent="0.55000000000000004">
      <c r="A6975" s="18">
        <v>24.7343355</v>
      </c>
      <c r="B6975" s="18">
        <v>34.777777299999997</v>
      </c>
      <c r="C6975" s="18">
        <v>679797.69</v>
      </c>
      <c r="D6975" s="18">
        <v>2736698.98</v>
      </c>
      <c r="E6975" s="18">
        <v>410.4</v>
      </c>
      <c r="F6975" s="18">
        <v>41745.72</v>
      </c>
      <c r="G6975" s="18">
        <v>123808</v>
      </c>
      <c r="H6975" s="18">
        <f t="shared" si="161"/>
        <v>41595.72</v>
      </c>
      <c r="I6975" s="3"/>
    </row>
    <row r="6976" spans="1:9" s="4" customFormat="1" ht="20.25" customHeight="1" x14ac:dyDescent="0.55000000000000004">
      <c r="A6976" s="18">
        <v>24.734314699999999</v>
      </c>
      <c r="B6976" s="18">
        <v>34.7777916</v>
      </c>
      <c r="C6976" s="18">
        <v>679799.16</v>
      </c>
      <c r="D6976" s="18">
        <v>2736696.7</v>
      </c>
      <c r="E6976" s="18">
        <v>410.97</v>
      </c>
      <c r="F6976" s="18">
        <v>41733.42</v>
      </c>
      <c r="G6976" s="18">
        <v>123810</v>
      </c>
      <c r="H6976" s="18">
        <f t="shared" si="161"/>
        <v>41583.42</v>
      </c>
      <c r="I6976" s="3"/>
    </row>
    <row r="6977" spans="1:9" s="4" customFormat="1" ht="20.25" customHeight="1" x14ac:dyDescent="0.55000000000000004">
      <c r="A6977" s="18">
        <v>24.734293399999999</v>
      </c>
      <c r="B6977" s="18">
        <v>34.777808</v>
      </c>
      <c r="C6977" s="18">
        <v>679800.86</v>
      </c>
      <c r="D6977" s="18">
        <v>2736694.36</v>
      </c>
      <c r="E6977" s="18">
        <v>412</v>
      </c>
      <c r="F6977" s="18">
        <v>41732.65</v>
      </c>
      <c r="G6977" s="18">
        <v>123812</v>
      </c>
      <c r="H6977" s="18">
        <f t="shared" si="161"/>
        <v>41582.65</v>
      </c>
      <c r="I6977" s="3"/>
    </row>
    <row r="6978" spans="1:9" s="4" customFormat="1" ht="20.25" customHeight="1" x14ac:dyDescent="0.55000000000000004">
      <c r="A6978" s="18">
        <v>24.734276000000001</v>
      </c>
      <c r="B6978" s="18">
        <v>34.7778177</v>
      </c>
      <c r="C6978" s="18">
        <v>679801.86</v>
      </c>
      <c r="D6978" s="18">
        <v>2736692.44</v>
      </c>
      <c r="E6978" s="18">
        <v>412.53</v>
      </c>
      <c r="F6978" s="18">
        <v>41730.35</v>
      </c>
      <c r="G6978" s="18">
        <v>123814</v>
      </c>
      <c r="H6978" s="18">
        <f t="shared" si="161"/>
        <v>41580.35</v>
      </c>
      <c r="I6978" s="3"/>
    </row>
    <row r="6979" spans="1:9" s="4" customFormat="1" ht="20.25" customHeight="1" x14ac:dyDescent="0.55000000000000004">
      <c r="A6979" s="18">
        <v>24.734262300000001</v>
      </c>
      <c r="B6979" s="18">
        <v>34.777816999999999</v>
      </c>
      <c r="C6979" s="18">
        <v>679801.81</v>
      </c>
      <c r="D6979" s="18">
        <v>2736690.93</v>
      </c>
      <c r="E6979" s="18">
        <v>413.27</v>
      </c>
      <c r="F6979" s="18">
        <v>41729.19</v>
      </c>
      <c r="G6979" s="18">
        <v>123816</v>
      </c>
      <c r="H6979" s="18">
        <f t="shared" si="161"/>
        <v>41579.19</v>
      </c>
      <c r="I6979" s="3"/>
    </row>
    <row r="6980" spans="1:9" s="4" customFormat="1" ht="20.25" customHeight="1" x14ac:dyDescent="0.55000000000000004">
      <c r="A6980" s="18">
        <v>24.734249599999998</v>
      </c>
      <c r="B6980" s="18">
        <v>34.777814499999998</v>
      </c>
      <c r="C6980" s="18">
        <v>679801.57</v>
      </c>
      <c r="D6980" s="18">
        <v>2736689.52</v>
      </c>
      <c r="E6980" s="18">
        <v>413.84</v>
      </c>
      <c r="F6980" s="18">
        <v>41725.22</v>
      </c>
      <c r="G6980" s="18">
        <v>123818</v>
      </c>
      <c r="H6980" s="18">
        <f t="shared" si="161"/>
        <v>41575.22</v>
      </c>
      <c r="I6980" s="3"/>
    </row>
    <row r="6981" spans="1:9" s="4" customFormat="1" ht="20.25" customHeight="1" x14ac:dyDescent="0.55000000000000004">
      <c r="A6981" s="18">
        <v>24.734233499999998</v>
      </c>
      <c r="B6981" s="18">
        <v>34.777810799999997</v>
      </c>
      <c r="C6981" s="18">
        <v>679801.22</v>
      </c>
      <c r="D6981" s="18">
        <v>2736687.73</v>
      </c>
      <c r="E6981" s="18">
        <v>414.21</v>
      </c>
      <c r="F6981" s="18">
        <v>41725.89</v>
      </c>
      <c r="G6981" s="18">
        <v>123820</v>
      </c>
      <c r="H6981" s="18">
        <f t="shared" si="161"/>
        <v>41575.89</v>
      </c>
      <c r="I6981" s="3"/>
    </row>
    <row r="6982" spans="1:9" s="4" customFormat="1" ht="20.25" customHeight="1" x14ac:dyDescent="0.55000000000000004">
      <c r="A6982" s="18">
        <v>24.7342157</v>
      </c>
      <c r="B6982" s="18">
        <v>34.777807699999997</v>
      </c>
      <c r="C6982" s="18">
        <v>679800.94</v>
      </c>
      <c r="D6982" s="18">
        <v>2736685.75</v>
      </c>
      <c r="E6982" s="18">
        <v>414.32</v>
      </c>
      <c r="F6982" s="18">
        <v>41726.379999999997</v>
      </c>
      <c r="G6982" s="18">
        <v>123822</v>
      </c>
      <c r="H6982" s="18">
        <f t="shared" si="161"/>
        <v>41576.379999999997</v>
      </c>
      <c r="I6982" s="3"/>
    </row>
    <row r="6983" spans="1:9" s="4" customFormat="1" ht="20.25" customHeight="1" x14ac:dyDescent="0.55000000000000004">
      <c r="A6983" s="18">
        <v>24.734197500000001</v>
      </c>
      <c r="B6983" s="18">
        <v>34.777811</v>
      </c>
      <c r="C6983" s="18">
        <v>679801.3</v>
      </c>
      <c r="D6983" s="18">
        <v>2736683.74</v>
      </c>
      <c r="E6983" s="18">
        <v>413.98</v>
      </c>
      <c r="F6983" s="18">
        <v>41726.46</v>
      </c>
      <c r="G6983" s="18">
        <v>123824</v>
      </c>
      <c r="H6983" s="18">
        <f t="shared" si="161"/>
        <v>41576.46</v>
      </c>
      <c r="I6983" s="3"/>
    </row>
    <row r="6984" spans="1:9" s="4" customFormat="1" ht="20.25" customHeight="1" x14ac:dyDescent="0.55000000000000004">
      <c r="A6984" s="18">
        <v>24.7341753</v>
      </c>
      <c r="B6984" s="18">
        <v>34.777818699999997</v>
      </c>
      <c r="C6984" s="18">
        <v>679802.11</v>
      </c>
      <c r="D6984" s="18">
        <v>2736681.3</v>
      </c>
      <c r="E6984" s="18">
        <v>413.76</v>
      </c>
      <c r="F6984" s="18">
        <v>41727.699999999997</v>
      </c>
      <c r="G6984" s="18">
        <v>123826</v>
      </c>
      <c r="H6984" s="18">
        <f t="shared" si="161"/>
        <v>41577.699999999997</v>
      </c>
      <c r="I6984" s="3"/>
    </row>
    <row r="6985" spans="1:9" s="4" customFormat="1" ht="20.25" customHeight="1" x14ac:dyDescent="0.55000000000000004">
      <c r="A6985" s="18">
        <v>24.734156800000001</v>
      </c>
      <c r="B6985" s="18">
        <v>34.777823499999997</v>
      </c>
      <c r="C6985" s="18">
        <v>679802.62</v>
      </c>
      <c r="D6985" s="18">
        <v>2736679.25</v>
      </c>
      <c r="E6985" s="18">
        <v>412.81</v>
      </c>
      <c r="F6985" s="18">
        <v>41728.1</v>
      </c>
      <c r="G6985" s="18">
        <v>123828</v>
      </c>
      <c r="H6985" s="18">
        <f t="shared" si="161"/>
        <v>41578.1</v>
      </c>
      <c r="I6985" s="3"/>
    </row>
    <row r="6986" spans="1:9" s="4" customFormat="1" ht="20.25" customHeight="1" x14ac:dyDescent="0.55000000000000004">
      <c r="A6986" s="18">
        <v>24.734134000000001</v>
      </c>
      <c r="B6986" s="18">
        <v>34.777824099999997</v>
      </c>
      <c r="C6986" s="18">
        <v>679802.71</v>
      </c>
      <c r="D6986" s="18">
        <v>2736676.72</v>
      </c>
      <c r="E6986" s="18">
        <v>411.98</v>
      </c>
      <c r="F6986" s="18">
        <v>41726.61</v>
      </c>
      <c r="G6986" s="18">
        <v>123830</v>
      </c>
      <c r="H6986" s="18">
        <f t="shared" si="161"/>
        <v>41576.61</v>
      </c>
      <c r="I6986" s="3"/>
    </row>
    <row r="6987" spans="1:9" s="4" customFormat="1" ht="20.25" customHeight="1" x14ac:dyDescent="0.55000000000000004">
      <c r="A6987" s="18">
        <v>24.734112100000001</v>
      </c>
      <c r="B6987" s="18">
        <v>34.777822999999998</v>
      </c>
      <c r="C6987" s="18">
        <v>679802.63</v>
      </c>
      <c r="D6987" s="18">
        <v>2736674.3</v>
      </c>
      <c r="E6987" s="18">
        <v>411.77</v>
      </c>
      <c r="F6987" s="18">
        <v>41728.089999999997</v>
      </c>
      <c r="G6987" s="18">
        <v>123832</v>
      </c>
      <c r="H6987" s="18">
        <f t="shared" si="161"/>
        <v>41578.089999999997</v>
      </c>
      <c r="I6987" s="3"/>
    </row>
    <row r="6988" spans="1:9" s="4" customFormat="1" ht="20.25" customHeight="1" x14ac:dyDescent="0.55000000000000004">
      <c r="A6988" s="18">
        <v>24.7340962</v>
      </c>
      <c r="B6988" s="18">
        <v>34.7778098</v>
      </c>
      <c r="C6988" s="18">
        <v>679801.32</v>
      </c>
      <c r="D6988" s="18">
        <v>2736672.52</v>
      </c>
      <c r="E6988" s="18">
        <v>411.4</v>
      </c>
      <c r="F6988" s="18">
        <v>41728.18</v>
      </c>
      <c r="G6988" s="18">
        <v>123834</v>
      </c>
      <c r="H6988" s="18">
        <f t="shared" si="161"/>
        <v>41578.18</v>
      </c>
      <c r="I6988" s="3"/>
    </row>
    <row r="6989" spans="1:9" s="4" customFormat="1" ht="20.25" customHeight="1" x14ac:dyDescent="0.55000000000000004">
      <c r="A6989" s="18">
        <v>24.734079399999999</v>
      </c>
      <c r="B6989" s="18">
        <v>34.777793799999998</v>
      </c>
      <c r="C6989" s="18">
        <v>679799.72</v>
      </c>
      <c r="D6989" s="18">
        <v>2736670.63</v>
      </c>
      <c r="E6989" s="18">
        <v>410.9</v>
      </c>
      <c r="F6989" s="18">
        <v>41726.75</v>
      </c>
      <c r="G6989" s="18">
        <v>123836</v>
      </c>
      <c r="H6989" s="18">
        <f t="shared" si="161"/>
        <v>41576.75</v>
      </c>
      <c r="I6989" s="3"/>
    </row>
    <row r="6990" spans="1:9" s="4" customFormat="1" ht="20.25" customHeight="1" x14ac:dyDescent="0.55000000000000004">
      <c r="A6990" s="18">
        <v>24.734058399999999</v>
      </c>
      <c r="B6990" s="18">
        <v>34.777791399999998</v>
      </c>
      <c r="C6990" s="18">
        <v>679799.51</v>
      </c>
      <c r="D6990" s="18">
        <v>2736668.31</v>
      </c>
      <c r="E6990" s="18">
        <v>410.41</v>
      </c>
      <c r="F6990" s="18">
        <v>41729.480000000003</v>
      </c>
      <c r="G6990" s="18">
        <v>123838</v>
      </c>
      <c r="H6990" s="18">
        <f t="shared" si="161"/>
        <v>41579.480000000003</v>
      </c>
      <c r="I6990" s="3"/>
    </row>
    <row r="6991" spans="1:9" s="4" customFormat="1" ht="20.25" customHeight="1" x14ac:dyDescent="0.55000000000000004">
      <c r="A6991" s="18">
        <v>24.734034999999999</v>
      </c>
      <c r="B6991" s="18">
        <v>34.777789599999998</v>
      </c>
      <c r="C6991" s="18">
        <v>679799.36</v>
      </c>
      <c r="D6991" s="18">
        <v>2736665.72</v>
      </c>
      <c r="E6991" s="18">
        <v>410.1</v>
      </c>
      <c r="F6991" s="18">
        <v>41729.269999999997</v>
      </c>
      <c r="G6991" s="18">
        <v>123840</v>
      </c>
      <c r="H6991" s="18">
        <f t="shared" si="161"/>
        <v>41579.269999999997</v>
      </c>
      <c r="I6991" s="3"/>
    </row>
    <row r="6992" spans="1:9" s="4" customFormat="1" ht="20.25" customHeight="1" x14ac:dyDescent="0.55000000000000004">
      <c r="A6992" s="18">
        <v>24.734020600000001</v>
      </c>
      <c r="B6992" s="18">
        <v>34.777780999999997</v>
      </c>
      <c r="C6992" s="18">
        <v>679798.52</v>
      </c>
      <c r="D6992" s="18">
        <v>2736664.11</v>
      </c>
      <c r="E6992" s="18">
        <v>409.53</v>
      </c>
      <c r="F6992" s="18">
        <v>41727.68</v>
      </c>
      <c r="G6992" s="18">
        <v>123842</v>
      </c>
      <c r="H6992" s="18">
        <f t="shared" si="161"/>
        <v>41577.68</v>
      </c>
      <c r="I6992" s="3"/>
    </row>
    <row r="6993" spans="1:9" s="4" customFormat="1" ht="20.25" customHeight="1" x14ac:dyDescent="0.55000000000000004">
      <c r="A6993" s="18">
        <v>24.7339932</v>
      </c>
      <c r="B6993" s="18">
        <v>34.777771000000001</v>
      </c>
      <c r="C6993" s="18">
        <v>679797.54</v>
      </c>
      <c r="D6993" s="18">
        <v>2736661.07</v>
      </c>
      <c r="E6993" s="18">
        <v>408.91</v>
      </c>
      <c r="F6993" s="18">
        <v>41727.71</v>
      </c>
      <c r="G6993" s="18">
        <v>123844</v>
      </c>
      <c r="H6993" s="18">
        <f t="shared" si="161"/>
        <v>41577.71</v>
      </c>
      <c r="I6993" s="3"/>
    </row>
    <row r="6994" spans="1:9" s="4" customFormat="1" ht="20.25" customHeight="1" x14ac:dyDescent="0.55000000000000004">
      <c r="A6994" s="18">
        <v>24.733975300000001</v>
      </c>
      <c r="B6994" s="18">
        <v>34.777771600000001</v>
      </c>
      <c r="C6994" s="18">
        <v>679797.63</v>
      </c>
      <c r="D6994" s="18">
        <v>2736659.08</v>
      </c>
      <c r="E6994" s="18">
        <v>409.36</v>
      </c>
      <c r="F6994" s="18">
        <v>41729.589999999997</v>
      </c>
      <c r="G6994" s="18">
        <v>123846</v>
      </c>
      <c r="H6994" s="18">
        <f t="shared" si="161"/>
        <v>41579.589999999997</v>
      </c>
      <c r="I6994" s="3"/>
    </row>
    <row r="6995" spans="1:9" s="4" customFormat="1" ht="20.25" customHeight="1" x14ac:dyDescent="0.55000000000000004">
      <c r="A6995" s="18">
        <v>24.733953799999998</v>
      </c>
      <c r="B6995" s="18">
        <v>34.777777899999997</v>
      </c>
      <c r="C6995" s="18">
        <v>679798.29</v>
      </c>
      <c r="D6995" s="18">
        <v>2736656.71</v>
      </c>
      <c r="E6995" s="18">
        <v>409.36</v>
      </c>
      <c r="F6995" s="18">
        <v>41726.089999999997</v>
      </c>
      <c r="G6995" s="18">
        <v>123848</v>
      </c>
      <c r="H6995" s="18">
        <f t="shared" si="161"/>
        <v>41576.089999999997</v>
      </c>
      <c r="I6995" s="3"/>
    </row>
    <row r="6996" spans="1:9" s="4" customFormat="1" ht="20.25" customHeight="1" x14ac:dyDescent="0.55000000000000004">
      <c r="A6996" s="18">
        <v>24.733937600000001</v>
      </c>
      <c r="B6996" s="18">
        <v>34.777786599999999</v>
      </c>
      <c r="C6996" s="18">
        <v>679799.2</v>
      </c>
      <c r="D6996" s="18">
        <v>2736654.92</v>
      </c>
      <c r="E6996" s="18">
        <v>409.48</v>
      </c>
      <c r="F6996" s="18">
        <v>41725.96</v>
      </c>
      <c r="G6996" s="18">
        <v>123850</v>
      </c>
      <c r="H6996" s="18">
        <f t="shared" si="161"/>
        <v>41575.96</v>
      </c>
      <c r="I6996" s="3"/>
    </row>
    <row r="6997" spans="1:9" s="4" customFormat="1" ht="20.25" customHeight="1" x14ac:dyDescent="0.55000000000000004">
      <c r="A6997" s="18">
        <v>24.733919100000001</v>
      </c>
      <c r="B6997" s="18">
        <v>34.777795599999997</v>
      </c>
      <c r="C6997" s="18">
        <v>679800.14</v>
      </c>
      <c r="D6997" s="18">
        <v>2736652.89</v>
      </c>
      <c r="E6997" s="18">
        <v>409.53</v>
      </c>
      <c r="F6997" s="18">
        <v>41727.5</v>
      </c>
      <c r="G6997" s="18">
        <v>123852</v>
      </c>
      <c r="H6997" s="18">
        <f t="shared" si="161"/>
        <v>41577.5</v>
      </c>
      <c r="I6997" s="3"/>
    </row>
    <row r="6998" spans="1:9" s="4" customFormat="1" ht="20.25" customHeight="1" x14ac:dyDescent="0.55000000000000004">
      <c r="A6998" s="18">
        <v>24.7339041</v>
      </c>
      <c r="B6998" s="18">
        <v>34.777799199999997</v>
      </c>
      <c r="C6998" s="18">
        <v>679800.53</v>
      </c>
      <c r="D6998" s="18">
        <v>2736651.23</v>
      </c>
      <c r="E6998" s="18">
        <v>409.67</v>
      </c>
      <c r="F6998" s="18">
        <v>41727.199999999997</v>
      </c>
      <c r="G6998" s="18">
        <v>123854</v>
      </c>
      <c r="H6998" s="18">
        <f t="shared" si="161"/>
        <v>41577.199999999997</v>
      </c>
      <c r="I6998" s="3"/>
    </row>
    <row r="6999" spans="1:9" s="4" customFormat="1" ht="20.25" customHeight="1" x14ac:dyDescent="0.55000000000000004">
      <c r="A6999" s="18">
        <v>24.7338834</v>
      </c>
      <c r="B6999" s="18">
        <v>34.777803200000001</v>
      </c>
      <c r="C6999" s="18">
        <v>679800.96</v>
      </c>
      <c r="D6999" s="18">
        <v>2736648.94</v>
      </c>
      <c r="E6999" s="18">
        <v>409.74</v>
      </c>
      <c r="F6999" s="18">
        <v>41725.58</v>
      </c>
      <c r="G6999" s="18">
        <v>123856</v>
      </c>
      <c r="H6999" s="18">
        <f t="shared" si="161"/>
        <v>41575.58</v>
      </c>
      <c r="I6999" s="3"/>
    </row>
    <row r="7000" spans="1:9" s="4" customFormat="1" ht="20.25" customHeight="1" x14ac:dyDescent="0.55000000000000004">
      <c r="A7000" s="18">
        <v>24.733862500000001</v>
      </c>
      <c r="B7000" s="18">
        <v>34.777810100000004</v>
      </c>
      <c r="C7000" s="18">
        <v>679801.69</v>
      </c>
      <c r="D7000" s="18">
        <v>2736646.64</v>
      </c>
      <c r="E7000" s="18">
        <v>409.97</v>
      </c>
      <c r="F7000" s="18">
        <v>41722.6</v>
      </c>
      <c r="G7000" s="18">
        <v>123858</v>
      </c>
      <c r="H7000" s="18">
        <f t="shared" si="161"/>
        <v>41572.6</v>
      </c>
      <c r="I7000" s="3"/>
    </row>
    <row r="7001" spans="1:9" s="4" customFormat="1" ht="20.25" customHeight="1" x14ac:dyDescent="0.55000000000000004">
      <c r="A7001" s="18">
        <v>24.733844099999999</v>
      </c>
      <c r="B7001" s="18">
        <v>34.777814100000001</v>
      </c>
      <c r="C7001" s="18">
        <v>679802.11</v>
      </c>
      <c r="D7001" s="18">
        <v>2736644.6</v>
      </c>
      <c r="E7001" s="18">
        <v>410.11</v>
      </c>
      <c r="F7001" s="18">
        <v>41722.39</v>
      </c>
      <c r="G7001" s="18">
        <v>123900</v>
      </c>
      <c r="H7001" s="18">
        <f t="shared" si="161"/>
        <v>41572.39</v>
      </c>
      <c r="I7001" s="3"/>
    </row>
    <row r="7002" spans="1:9" s="4" customFormat="1" ht="20.25" customHeight="1" x14ac:dyDescent="0.55000000000000004">
      <c r="A7002" s="18">
        <v>24.7338323</v>
      </c>
      <c r="B7002" s="18">
        <v>34.7778183</v>
      </c>
      <c r="C7002" s="18">
        <v>679802.56</v>
      </c>
      <c r="D7002" s="18">
        <v>2736643.3</v>
      </c>
      <c r="E7002" s="18">
        <v>410.28</v>
      </c>
      <c r="F7002" s="18">
        <v>41722.07</v>
      </c>
      <c r="G7002" s="18">
        <v>123902</v>
      </c>
      <c r="H7002" s="18">
        <f t="shared" si="161"/>
        <v>41572.07</v>
      </c>
      <c r="I7002" s="3"/>
    </row>
    <row r="7003" spans="1:9" s="4" customFormat="1" ht="20.25" customHeight="1" x14ac:dyDescent="0.55000000000000004">
      <c r="A7003" s="18">
        <v>24.7338196</v>
      </c>
      <c r="B7003" s="18">
        <v>34.777823400000003</v>
      </c>
      <c r="C7003" s="18">
        <v>679803.09</v>
      </c>
      <c r="D7003" s="18">
        <v>2736641.9</v>
      </c>
      <c r="E7003" s="18">
        <v>410.56</v>
      </c>
      <c r="F7003" s="18">
        <v>41724.36</v>
      </c>
      <c r="G7003" s="18">
        <v>123904</v>
      </c>
      <c r="H7003" s="18">
        <f t="shared" si="161"/>
        <v>41574.36</v>
      </c>
      <c r="I7003" s="3"/>
    </row>
    <row r="7004" spans="1:9" s="4" customFormat="1" ht="20.25" customHeight="1" x14ac:dyDescent="0.55000000000000004">
      <c r="A7004" s="18">
        <v>24.733804299999999</v>
      </c>
      <c r="B7004" s="18">
        <v>34.777826400000002</v>
      </c>
      <c r="C7004" s="18">
        <v>679803.42</v>
      </c>
      <c r="D7004" s="18">
        <v>2736640.21</v>
      </c>
      <c r="E7004" s="18">
        <v>410.69</v>
      </c>
      <c r="F7004" s="18">
        <v>41721.61</v>
      </c>
      <c r="G7004" s="18">
        <v>123906</v>
      </c>
      <c r="H7004" s="18">
        <f t="shared" si="161"/>
        <v>41571.61</v>
      </c>
      <c r="I7004" s="3"/>
    </row>
    <row r="7005" spans="1:9" s="4" customFormat="1" ht="20.25" customHeight="1" x14ac:dyDescent="0.55000000000000004">
      <c r="A7005" s="18">
        <v>24.733788000000001</v>
      </c>
      <c r="B7005" s="18">
        <v>34.7778329</v>
      </c>
      <c r="C7005" s="18">
        <v>679804.1</v>
      </c>
      <c r="D7005" s="18">
        <v>2736638.41</v>
      </c>
      <c r="E7005" s="18">
        <v>410.92</v>
      </c>
      <c r="F7005" s="18">
        <v>41723.089999999997</v>
      </c>
      <c r="G7005" s="18">
        <v>123908</v>
      </c>
      <c r="H7005" s="18">
        <f t="shared" si="161"/>
        <v>41573.089999999997</v>
      </c>
      <c r="I7005" s="3"/>
    </row>
    <row r="7006" spans="1:9" s="4" customFormat="1" ht="20.25" customHeight="1" x14ac:dyDescent="0.55000000000000004">
      <c r="A7006" s="18">
        <v>24.7337734</v>
      </c>
      <c r="B7006" s="18">
        <v>34.777839100000001</v>
      </c>
      <c r="C7006" s="18">
        <v>679804.75</v>
      </c>
      <c r="D7006" s="18">
        <v>2736636.81</v>
      </c>
      <c r="E7006" s="18">
        <v>411.14</v>
      </c>
      <c r="F7006" s="18">
        <v>41720.74</v>
      </c>
      <c r="G7006" s="18">
        <v>123910</v>
      </c>
      <c r="H7006" s="18">
        <f t="shared" si="161"/>
        <v>41570.74</v>
      </c>
      <c r="I7006" s="3"/>
    </row>
    <row r="7007" spans="1:9" s="4" customFormat="1" ht="20.25" customHeight="1" x14ac:dyDescent="0.55000000000000004">
      <c r="A7007" s="18">
        <v>24.733762899999999</v>
      </c>
      <c r="B7007" s="18">
        <v>34.777840300000001</v>
      </c>
      <c r="C7007" s="18">
        <v>679804.89</v>
      </c>
      <c r="D7007" s="18">
        <v>2736635.64</v>
      </c>
      <c r="E7007" s="18">
        <v>411.27</v>
      </c>
      <c r="F7007" s="18">
        <v>41718.57</v>
      </c>
      <c r="G7007" s="18">
        <v>123912</v>
      </c>
      <c r="H7007" s="18">
        <f t="shared" si="161"/>
        <v>41568.57</v>
      </c>
      <c r="I7007" s="3"/>
    </row>
    <row r="7008" spans="1:9" s="4" customFormat="1" ht="20.25" customHeight="1" x14ac:dyDescent="0.55000000000000004">
      <c r="A7008" s="18">
        <v>24.733761600000001</v>
      </c>
      <c r="B7008" s="18">
        <v>34.777841100000003</v>
      </c>
      <c r="C7008" s="18">
        <v>679804.97</v>
      </c>
      <c r="D7008" s="18">
        <v>2736635.5</v>
      </c>
      <c r="E7008" s="18">
        <v>411.28</v>
      </c>
      <c r="F7008" s="18">
        <v>41725.31</v>
      </c>
      <c r="G7008" s="18">
        <v>123914</v>
      </c>
      <c r="H7008" s="18">
        <f t="shared" si="161"/>
        <v>41575.31</v>
      </c>
      <c r="I7008" s="3"/>
    </row>
    <row r="7009" spans="1:9" s="4" customFormat="1" ht="20.25" customHeight="1" x14ac:dyDescent="0.55000000000000004">
      <c r="A7009" s="18">
        <v>24.733756799999998</v>
      </c>
      <c r="B7009" s="18">
        <v>34.7778451</v>
      </c>
      <c r="C7009" s="18">
        <v>679805.37</v>
      </c>
      <c r="D7009" s="18">
        <v>2736634.97</v>
      </c>
      <c r="E7009" s="18">
        <v>411.34</v>
      </c>
      <c r="F7009" s="18">
        <v>41721.980000000003</v>
      </c>
      <c r="G7009" s="18">
        <v>123916</v>
      </c>
      <c r="H7009" s="18">
        <f t="shared" si="161"/>
        <v>41571.980000000003</v>
      </c>
      <c r="I7009" s="3"/>
    </row>
    <row r="7010" spans="1:9" s="4" customFormat="1" ht="20.25" customHeight="1" x14ac:dyDescent="0.55000000000000004">
      <c r="A7010" s="18">
        <v>24.733752800000001</v>
      </c>
      <c r="B7010" s="18">
        <v>34.7778463</v>
      </c>
      <c r="C7010" s="18">
        <v>679805.51</v>
      </c>
      <c r="D7010" s="18">
        <v>2736634.53</v>
      </c>
      <c r="E7010" s="18">
        <v>411.38</v>
      </c>
      <c r="F7010" s="18">
        <v>41731.5</v>
      </c>
      <c r="G7010" s="18">
        <v>123918</v>
      </c>
      <c r="H7010" s="18">
        <f t="shared" si="161"/>
        <v>41581.5</v>
      </c>
      <c r="I7010" s="3"/>
    </row>
    <row r="7011" spans="1:9" s="4" customFormat="1" ht="20.25" customHeight="1" x14ac:dyDescent="0.55000000000000004">
      <c r="A7011" s="18">
        <v>24.7337384</v>
      </c>
      <c r="B7011" s="18">
        <v>34.777851499999997</v>
      </c>
      <c r="C7011" s="18">
        <v>679806.05</v>
      </c>
      <c r="D7011" s="18">
        <v>2736632.94</v>
      </c>
      <c r="E7011" s="18">
        <v>411.41</v>
      </c>
      <c r="F7011" s="18">
        <v>41721.879999999997</v>
      </c>
      <c r="G7011" s="18">
        <v>123920</v>
      </c>
      <c r="H7011" s="18">
        <f t="shared" si="161"/>
        <v>41571.879999999997</v>
      </c>
      <c r="I7011" s="3"/>
    </row>
    <row r="7012" spans="1:9" s="4" customFormat="1" ht="20.25" customHeight="1" x14ac:dyDescent="0.55000000000000004">
      <c r="A7012" s="18">
        <v>24.733722400000001</v>
      </c>
      <c r="B7012" s="18">
        <v>34.777854699999999</v>
      </c>
      <c r="C7012" s="18">
        <v>679806.4</v>
      </c>
      <c r="D7012" s="18">
        <v>2736631.18</v>
      </c>
      <c r="E7012" s="18">
        <v>411.76</v>
      </c>
      <c r="F7012" s="18">
        <v>41720.85</v>
      </c>
      <c r="G7012" s="18">
        <v>123922</v>
      </c>
      <c r="H7012" s="18">
        <f t="shared" si="161"/>
        <v>41570.85</v>
      </c>
      <c r="I7012" s="3"/>
    </row>
    <row r="7013" spans="1:9" s="4" customFormat="1" ht="20.25" customHeight="1" x14ac:dyDescent="0.55000000000000004">
      <c r="A7013" s="18">
        <v>24.733706600000001</v>
      </c>
      <c r="B7013" s="18">
        <v>34.777861000000001</v>
      </c>
      <c r="C7013" s="18">
        <v>679807.06</v>
      </c>
      <c r="D7013" s="18">
        <v>2736629.43</v>
      </c>
      <c r="E7013" s="18">
        <v>411.91</v>
      </c>
      <c r="F7013" s="18">
        <v>41719.86</v>
      </c>
      <c r="G7013" s="18">
        <v>123924</v>
      </c>
      <c r="H7013" s="18">
        <f t="shared" si="161"/>
        <v>41569.86</v>
      </c>
      <c r="I7013" s="3"/>
    </row>
    <row r="7014" spans="1:9" s="4" customFormat="1" ht="20.25" customHeight="1" x14ac:dyDescent="0.55000000000000004">
      <c r="A7014" s="18">
        <v>24.7336904</v>
      </c>
      <c r="B7014" s="18">
        <v>34.7778639</v>
      </c>
      <c r="C7014" s="18">
        <v>679807.38</v>
      </c>
      <c r="D7014" s="18">
        <v>2736627.65</v>
      </c>
      <c r="E7014" s="18">
        <v>412.18</v>
      </c>
      <c r="F7014" s="18">
        <v>41719.14</v>
      </c>
      <c r="G7014" s="18">
        <v>123926</v>
      </c>
      <c r="H7014" s="18">
        <f t="shared" si="161"/>
        <v>41569.14</v>
      </c>
      <c r="I7014" s="3"/>
    </row>
    <row r="7015" spans="1:9" s="4" customFormat="1" ht="20.25" customHeight="1" x14ac:dyDescent="0.55000000000000004">
      <c r="A7015" s="18">
        <v>24.733671099999999</v>
      </c>
      <c r="B7015" s="18">
        <v>34.7778676</v>
      </c>
      <c r="C7015" s="18">
        <v>679807.78</v>
      </c>
      <c r="D7015" s="18">
        <v>2736625.52</v>
      </c>
      <c r="E7015" s="18">
        <v>412.35</v>
      </c>
      <c r="F7015" s="18">
        <v>41721.269999999997</v>
      </c>
      <c r="G7015" s="18">
        <v>123928</v>
      </c>
      <c r="H7015" s="18">
        <f t="shared" si="161"/>
        <v>41571.269999999997</v>
      </c>
      <c r="I7015" s="3"/>
    </row>
    <row r="7016" spans="1:9" s="4" customFormat="1" ht="20.25" customHeight="1" x14ac:dyDescent="0.55000000000000004">
      <c r="A7016" s="18">
        <v>24.733653400000001</v>
      </c>
      <c r="B7016" s="18">
        <v>34.777873</v>
      </c>
      <c r="C7016" s="18">
        <v>679808.35</v>
      </c>
      <c r="D7016" s="18">
        <v>2736623.56</v>
      </c>
      <c r="E7016" s="18">
        <v>412.7</v>
      </c>
      <c r="F7016" s="18">
        <v>41719.64</v>
      </c>
      <c r="G7016" s="18">
        <v>123930</v>
      </c>
      <c r="H7016" s="18">
        <f t="shared" si="161"/>
        <v>41569.64</v>
      </c>
      <c r="I7016" s="3"/>
    </row>
    <row r="7017" spans="1:9" s="4" customFormat="1" ht="20.25" customHeight="1" x14ac:dyDescent="0.55000000000000004">
      <c r="A7017" s="18">
        <v>24.733637600000002</v>
      </c>
      <c r="B7017" s="18">
        <v>34.777875299999998</v>
      </c>
      <c r="C7017" s="18">
        <v>679808.6</v>
      </c>
      <c r="D7017" s="18">
        <v>2736621.81</v>
      </c>
      <c r="E7017" s="18">
        <v>412.77</v>
      </c>
      <c r="F7017" s="18">
        <v>41720.15</v>
      </c>
      <c r="G7017" s="18">
        <v>123932</v>
      </c>
      <c r="H7017" s="18">
        <f t="shared" si="161"/>
        <v>41570.15</v>
      </c>
      <c r="I7017" s="3"/>
    </row>
    <row r="7018" spans="1:9" s="4" customFormat="1" ht="20.25" customHeight="1" x14ac:dyDescent="0.55000000000000004">
      <c r="A7018" s="18">
        <v>24.733619300000001</v>
      </c>
      <c r="B7018" s="18">
        <v>34.777872799999997</v>
      </c>
      <c r="C7018" s="18">
        <v>679808.38</v>
      </c>
      <c r="D7018" s="18">
        <v>2736619.78</v>
      </c>
      <c r="E7018" s="18">
        <v>413</v>
      </c>
      <c r="F7018" s="18">
        <v>41720.019999999997</v>
      </c>
      <c r="G7018" s="18">
        <v>123934</v>
      </c>
      <c r="H7018" s="18">
        <f t="shared" ref="H7018:H7081" si="162">SUM(F7018-150)</f>
        <v>41570.019999999997</v>
      </c>
      <c r="I7018" s="3"/>
    </row>
    <row r="7019" spans="1:9" s="4" customFormat="1" ht="20.25" customHeight="1" x14ac:dyDescent="0.55000000000000004">
      <c r="A7019" s="18">
        <v>24.733604400000001</v>
      </c>
      <c r="B7019" s="18">
        <v>34.777872600000002</v>
      </c>
      <c r="C7019" s="18">
        <v>679808.38</v>
      </c>
      <c r="D7019" s="18">
        <v>2736618.13</v>
      </c>
      <c r="E7019" s="18">
        <v>413.27</v>
      </c>
      <c r="F7019" s="18">
        <v>41718.35</v>
      </c>
      <c r="G7019" s="18">
        <v>123936</v>
      </c>
      <c r="H7019" s="18">
        <f t="shared" si="162"/>
        <v>41568.35</v>
      </c>
      <c r="I7019" s="3"/>
    </row>
    <row r="7020" spans="1:9" s="4" customFormat="1" ht="20.25" customHeight="1" x14ac:dyDescent="0.55000000000000004">
      <c r="A7020" s="18">
        <v>24.7335891</v>
      </c>
      <c r="B7020" s="18">
        <v>34.777869799999998</v>
      </c>
      <c r="C7020" s="18">
        <v>679808.12</v>
      </c>
      <c r="D7020" s="18">
        <v>2736616.43</v>
      </c>
      <c r="E7020" s="18">
        <v>413.55</v>
      </c>
      <c r="F7020" s="18">
        <v>41718.75</v>
      </c>
      <c r="G7020" s="18">
        <v>123938</v>
      </c>
      <c r="H7020" s="18">
        <f t="shared" si="162"/>
        <v>41568.75</v>
      </c>
      <c r="I7020" s="3"/>
    </row>
    <row r="7021" spans="1:9" s="4" customFormat="1" ht="20.25" customHeight="1" x14ac:dyDescent="0.55000000000000004">
      <c r="A7021" s="18">
        <v>24.733575099999999</v>
      </c>
      <c r="B7021" s="18">
        <v>34.777869899999999</v>
      </c>
      <c r="C7021" s="18">
        <v>679808.15</v>
      </c>
      <c r="D7021" s="18">
        <v>2736614.88</v>
      </c>
      <c r="E7021" s="18">
        <v>413.69</v>
      </c>
      <c r="F7021" s="18">
        <v>41717.800000000003</v>
      </c>
      <c r="G7021" s="18">
        <v>123940</v>
      </c>
      <c r="H7021" s="18">
        <f t="shared" si="162"/>
        <v>41567.800000000003</v>
      </c>
      <c r="I7021" s="3"/>
    </row>
    <row r="7022" spans="1:9" s="4" customFormat="1" ht="20.25" customHeight="1" x14ac:dyDescent="0.55000000000000004">
      <c r="A7022" s="18">
        <v>24.7335587</v>
      </c>
      <c r="B7022" s="18">
        <v>34.77787</v>
      </c>
      <c r="C7022" s="18">
        <v>679808.19</v>
      </c>
      <c r="D7022" s="18">
        <v>2736613.06</v>
      </c>
      <c r="E7022" s="18">
        <v>413.95</v>
      </c>
      <c r="F7022" s="18">
        <v>41719.300000000003</v>
      </c>
      <c r="G7022" s="18">
        <v>123942</v>
      </c>
      <c r="H7022" s="18">
        <f t="shared" si="162"/>
        <v>41569.300000000003</v>
      </c>
      <c r="I7022" s="3"/>
    </row>
    <row r="7023" spans="1:9" s="4" customFormat="1" ht="20.25" customHeight="1" x14ac:dyDescent="0.55000000000000004">
      <c r="A7023" s="18">
        <v>24.733544599999998</v>
      </c>
      <c r="B7023" s="18">
        <v>34.777869299999999</v>
      </c>
      <c r="C7023" s="18">
        <v>679808.13</v>
      </c>
      <c r="D7023" s="18">
        <v>2736611.51</v>
      </c>
      <c r="E7023" s="18">
        <v>414.1</v>
      </c>
      <c r="F7023" s="18">
        <v>41718.68</v>
      </c>
      <c r="G7023" s="18">
        <v>123944</v>
      </c>
      <c r="H7023" s="18">
        <f t="shared" si="162"/>
        <v>41568.68</v>
      </c>
      <c r="I7023" s="3"/>
    </row>
    <row r="7024" spans="1:9" s="4" customFormat="1" ht="20.25" customHeight="1" x14ac:dyDescent="0.55000000000000004">
      <c r="A7024" s="18">
        <v>24.733532400000001</v>
      </c>
      <c r="B7024" s="18">
        <v>34.777865800000001</v>
      </c>
      <c r="C7024" s="18">
        <v>679807.79</v>
      </c>
      <c r="D7024" s="18">
        <v>2736610.14</v>
      </c>
      <c r="E7024" s="18">
        <v>414.26</v>
      </c>
      <c r="F7024" s="18">
        <v>41718.870000000003</v>
      </c>
      <c r="G7024" s="18">
        <v>123946</v>
      </c>
      <c r="H7024" s="18">
        <f t="shared" si="162"/>
        <v>41568.870000000003</v>
      </c>
      <c r="I7024" s="3"/>
    </row>
    <row r="7025" spans="1:9" s="4" customFormat="1" ht="20.25" customHeight="1" x14ac:dyDescent="0.55000000000000004">
      <c r="A7025" s="18">
        <v>24.733519399999999</v>
      </c>
      <c r="B7025" s="18">
        <v>34.777865200000001</v>
      </c>
      <c r="C7025" s="18">
        <v>679807.76</v>
      </c>
      <c r="D7025" s="18">
        <v>2736608.71</v>
      </c>
      <c r="E7025" s="18">
        <v>414.46</v>
      </c>
      <c r="F7025" s="18">
        <v>41718.050000000003</v>
      </c>
      <c r="G7025" s="18">
        <v>123948</v>
      </c>
      <c r="H7025" s="18">
        <f t="shared" si="162"/>
        <v>41568.050000000003</v>
      </c>
      <c r="I7025" s="3"/>
    </row>
    <row r="7026" spans="1:9" s="4" customFormat="1" ht="20.25" customHeight="1" x14ac:dyDescent="0.55000000000000004">
      <c r="A7026" s="18">
        <v>24.733508700000002</v>
      </c>
      <c r="B7026" s="18">
        <v>34.777865300000002</v>
      </c>
      <c r="C7026" s="18">
        <v>679807.78</v>
      </c>
      <c r="D7026" s="18">
        <v>2736607.52</v>
      </c>
      <c r="E7026" s="18">
        <v>414.52</v>
      </c>
      <c r="F7026" s="18">
        <v>41718.28</v>
      </c>
      <c r="G7026" s="18">
        <v>123950</v>
      </c>
      <c r="H7026" s="18">
        <f t="shared" si="162"/>
        <v>41568.28</v>
      </c>
      <c r="I7026" s="3"/>
    </row>
    <row r="7027" spans="1:9" s="4" customFormat="1" ht="20.25" customHeight="1" x14ac:dyDescent="0.55000000000000004">
      <c r="A7027" s="18">
        <v>24.733500100000001</v>
      </c>
      <c r="B7027" s="18">
        <v>34.777863699999997</v>
      </c>
      <c r="C7027" s="18">
        <v>679807.63</v>
      </c>
      <c r="D7027" s="18">
        <v>2736606.57</v>
      </c>
      <c r="E7027" s="18">
        <v>414.54</v>
      </c>
      <c r="F7027" s="18">
        <v>41718.699999999997</v>
      </c>
      <c r="G7027" s="18">
        <v>123952</v>
      </c>
      <c r="H7027" s="18">
        <f t="shared" si="162"/>
        <v>41568.699999999997</v>
      </c>
      <c r="I7027" s="3"/>
    </row>
    <row r="7028" spans="1:9" s="4" customFormat="1" ht="20.25" customHeight="1" x14ac:dyDescent="0.55000000000000004">
      <c r="A7028" s="18">
        <v>24.733496899999999</v>
      </c>
      <c r="B7028" s="18">
        <v>34.777860799999999</v>
      </c>
      <c r="C7028" s="18">
        <v>679807.34</v>
      </c>
      <c r="D7028" s="18">
        <v>2736606.21</v>
      </c>
      <c r="E7028" s="18">
        <v>414.56</v>
      </c>
      <c r="F7028" s="18">
        <v>41714.639999999999</v>
      </c>
      <c r="G7028" s="18">
        <v>123954</v>
      </c>
      <c r="H7028" s="18">
        <f t="shared" si="162"/>
        <v>41564.639999999999</v>
      </c>
      <c r="I7028" s="3"/>
    </row>
    <row r="7029" spans="1:9" s="4" customFormat="1" ht="20.25" customHeight="1" x14ac:dyDescent="0.55000000000000004">
      <c r="A7029" s="18">
        <v>24.7334976</v>
      </c>
      <c r="B7029" s="18">
        <v>34.777861100000003</v>
      </c>
      <c r="C7029" s="18">
        <v>679807.37</v>
      </c>
      <c r="D7029" s="18">
        <v>2736606.28</v>
      </c>
      <c r="E7029" s="18">
        <v>414.58</v>
      </c>
      <c r="F7029" s="18">
        <v>41721.89</v>
      </c>
      <c r="G7029" s="18">
        <v>123956</v>
      </c>
      <c r="H7029" s="18">
        <f t="shared" si="162"/>
        <v>41571.89</v>
      </c>
      <c r="I7029" s="3"/>
    </row>
    <row r="7030" spans="1:9" s="4" customFormat="1" ht="20.25" customHeight="1" x14ac:dyDescent="0.55000000000000004">
      <c r="A7030" s="18">
        <v>24.7334991</v>
      </c>
      <c r="B7030" s="18">
        <v>34.777863199999999</v>
      </c>
      <c r="C7030" s="18">
        <v>679807.58</v>
      </c>
      <c r="D7030" s="18">
        <v>2736606.46</v>
      </c>
      <c r="E7030" s="18">
        <v>414.56</v>
      </c>
      <c r="F7030" s="18">
        <v>41726.559999999998</v>
      </c>
      <c r="G7030" s="18">
        <v>123958</v>
      </c>
      <c r="H7030" s="18">
        <f t="shared" si="162"/>
        <v>41576.559999999998</v>
      </c>
      <c r="I7030" s="3"/>
    </row>
    <row r="7031" spans="1:9" s="4" customFormat="1" ht="20.25" customHeight="1" x14ac:dyDescent="0.55000000000000004">
      <c r="A7031" s="18">
        <v>24.7334882</v>
      </c>
      <c r="B7031" s="18">
        <v>34.7778682</v>
      </c>
      <c r="C7031" s="18">
        <v>679808.1</v>
      </c>
      <c r="D7031" s="18">
        <v>2736605.26</v>
      </c>
      <c r="E7031" s="18">
        <v>414.54</v>
      </c>
      <c r="F7031" s="18">
        <v>41720.639999999999</v>
      </c>
      <c r="G7031" s="18">
        <v>124000</v>
      </c>
      <c r="H7031" s="18">
        <f t="shared" si="162"/>
        <v>41570.639999999999</v>
      </c>
      <c r="I7031" s="3"/>
    </row>
    <row r="7032" spans="1:9" s="4" customFormat="1" ht="20.25" customHeight="1" x14ac:dyDescent="0.55000000000000004">
      <c r="A7032" s="18">
        <v>24.733477199999999</v>
      </c>
      <c r="B7032" s="18">
        <v>34.7778694</v>
      </c>
      <c r="C7032" s="18">
        <v>679808.24</v>
      </c>
      <c r="D7032" s="18">
        <v>2736604.04</v>
      </c>
      <c r="E7032" s="18">
        <v>414.54</v>
      </c>
      <c r="F7032" s="18">
        <v>41718.32</v>
      </c>
      <c r="G7032" s="18">
        <v>124002</v>
      </c>
      <c r="H7032" s="18">
        <f t="shared" si="162"/>
        <v>41568.32</v>
      </c>
      <c r="I7032" s="3"/>
    </row>
    <row r="7033" spans="1:9" s="4" customFormat="1" ht="20.25" customHeight="1" x14ac:dyDescent="0.55000000000000004">
      <c r="A7033" s="18">
        <v>24.7334672</v>
      </c>
      <c r="B7033" s="18">
        <v>34.777869699999997</v>
      </c>
      <c r="C7033" s="18">
        <v>679808.29</v>
      </c>
      <c r="D7033" s="18">
        <v>2736602.94</v>
      </c>
      <c r="E7033" s="18">
        <v>414.38</v>
      </c>
      <c r="F7033" s="18">
        <v>41719.4</v>
      </c>
      <c r="G7033" s="18">
        <v>124004</v>
      </c>
      <c r="H7033" s="18">
        <f t="shared" si="162"/>
        <v>41569.4</v>
      </c>
      <c r="I7033" s="3"/>
    </row>
    <row r="7034" spans="1:9" s="4" customFormat="1" ht="20.25" customHeight="1" x14ac:dyDescent="0.55000000000000004">
      <c r="A7034" s="18">
        <v>24.733454600000002</v>
      </c>
      <c r="B7034" s="18">
        <v>34.777869600000002</v>
      </c>
      <c r="C7034" s="18">
        <v>679808.29</v>
      </c>
      <c r="D7034" s="18">
        <v>2736601.54</v>
      </c>
      <c r="E7034" s="18">
        <v>414.06</v>
      </c>
      <c r="F7034" s="18">
        <v>41720.78</v>
      </c>
      <c r="G7034" s="18">
        <v>124006</v>
      </c>
      <c r="H7034" s="18">
        <f t="shared" si="162"/>
        <v>41570.78</v>
      </c>
      <c r="I7034" s="3"/>
    </row>
    <row r="7035" spans="1:9" s="4" customFormat="1" ht="20.25" customHeight="1" x14ac:dyDescent="0.55000000000000004">
      <c r="A7035" s="18">
        <v>24.733442499999999</v>
      </c>
      <c r="B7035" s="18">
        <v>34.777869699999997</v>
      </c>
      <c r="C7035" s="18">
        <v>679808.32</v>
      </c>
      <c r="D7035" s="18">
        <v>2736600.2</v>
      </c>
      <c r="E7035" s="18">
        <v>413.94</v>
      </c>
      <c r="F7035" s="18">
        <v>41719.17</v>
      </c>
      <c r="G7035" s="18">
        <v>124008</v>
      </c>
      <c r="H7035" s="18">
        <f t="shared" si="162"/>
        <v>41569.17</v>
      </c>
      <c r="I7035" s="3"/>
    </row>
    <row r="7036" spans="1:9" s="4" customFormat="1" ht="20.25" customHeight="1" x14ac:dyDescent="0.55000000000000004">
      <c r="A7036" s="18">
        <v>24.733439700000002</v>
      </c>
      <c r="B7036" s="18">
        <v>34.777868300000002</v>
      </c>
      <c r="C7036" s="18">
        <v>679808.18</v>
      </c>
      <c r="D7036" s="18">
        <v>2736599.89</v>
      </c>
      <c r="E7036" s="18">
        <v>413.97</v>
      </c>
      <c r="F7036" s="18">
        <v>41714.800000000003</v>
      </c>
      <c r="G7036" s="18">
        <v>124010</v>
      </c>
      <c r="H7036" s="18">
        <f t="shared" si="162"/>
        <v>41564.800000000003</v>
      </c>
      <c r="I7036" s="3"/>
    </row>
    <row r="7037" spans="1:9" s="4" customFormat="1" ht="20.25" customHeight="1" x14ac:dyDescent="0.55000000000000004">
      <c r="A7037" s="18">
        <v>24.7334402</v>
      </c>
      <c r="B7037" s="18">
        <v>34.777870399999998</v>
      </c>
      <c r="C7037" s="18">
        <v>679808.4</v>
      </c>
      <c r="D7037" s="18">
        <v>2736599.94</v>
      </c>
      <c r="E7037" s="18">
        <v>413.95</v>
      </c>
      <c r="F7037" s="18">
        <v>41721.93</v>
      </c>
      <c r="G7037" s="18">
        <v>124012</v>
      </c>
      <c r="H7037" s="18">
        <f t="shared" si="162"/>
        <v>41571.93</v>
      </c>
      <c r="I7037" s="3"/>
    </row>
    <row r="7038" spans="1:9" s="4" customFormat="1" ht="20.25" customHeight="1" x14ac:dyDescent="0.55000000000000004">
      <c r="A7038" s="18">
        <v>24.733440600000002</v>
      </c>
      <c r="B7038" s="18">
        <v>34.777870200000002</v>
      </c>
      <c r="C7038" s="18">
        <v>679808.37</v>
      </c>
      <c r="D7038" s="18">
        <v>2736599.98</v>
      </c>
      <c r="E7038" s="18">
        <v>413.96</v>
      </c>
      <c r="F7038" s="18">
        <v>41718.78</v>
      </c>
      <c r="G7038" s="18">
        <v>124014</v>
      </c>
      <c r="H7038" s="18">
        <f t="shared" si="162"/>
        <v>41568.78</v>
      </c>
      <c r="I7038" s="3"/>
    </row>
    <row r="7039" spans="1:9" s="4" customFormat="1" ht="20.25" customHeight="1" x14ac:dyDescent="0.55000000000000004">
      <c r="A7039" s="18">
        <v>24.733440699999999</v>
      </c>
      <c r="B7039" s="18">
        <v>34.777870299999996</v>
      </c>
      <c r="C7039" s="18">
        <v>679808.39</v>
      </c>
      <c r="D7039" s="18">
        <v>2736599.99</v>
      </c>
      <c r="E7039" s="18">
        <v>413.95</v>
      </c>
      <c r="F7039" s="18">
        <v>41719.03</v>
      </c>
      <c r="G7039" s="18">
        <v>124016</v>
      </c>
      <c r="H7039" s="18">
        <f t="shared" si="162"/>
        <v>41569.03</v>
      </c>
      <c r="I7039" s="3"/>
    </row>
    <row r="7040" spans="1:9" s="4" customFormat="1" ht="20.25" customHeight="1" x14ac:dyDescent="0.55000000000000004">
      <c r="A7040" s="18">
        <v>24.733440699999999</v>
      </c>
      <c r="B7040" s="18">
        <v>34.77787</v>
      </c>
      <c r="C7040" s="18">
        <v>679808.35</v>
      </c>
      <c r="D7040" s="18">
        <v>2736600</v>
      </c>
      <c r="E7040" s="18">
        <v>413.96</v>
      </c>
      <c r="F7040" s="18">
        <v>41718.910000000003</v>
      </c>
      <c r="G7040" s="18">
        <v>124018</v>
      </c>
      <c r="H7040" s="18">
        <f t="shared" si="162"/>
        <v>41568.910000000003</v>
      </c>
      <c r="I7040" s="3"/>
    </row>
    <row r="7041" spans="1:9" s="4" customFormat="1" ht="20.25" customHeight="1" x14ac:dyDescent="0.55000000000000004">
      <c r="A7041" s="18">
        <v>24.733433900000001</v>
      </c>
      <c r="B7041" s="18">
        <v>34.777866799999998</v>
      </c>
      <c r="C7041" s="18">
        <v>679808.04</v>
      </c>
      <c r="D7041" s="18">
        <v>2736599.24</v>
      </c>
      <c r="E7041" s="18">
        <v>413.81</v>
      </c>
      <c r="F7041" s="18">
        <v>41720.910000000003</v>
      </c>
      <c r="G7041" s="18">
        <v>124020</v>
      </c>
      <c r="H7041" s="18">
        <f t="shared" si="162"/>
        <v>41570.910000000003</v>
      </c>
      <c r="I7041" s="3"/>
    </row>
    <row r="7042" spans="1:9" s="4" customFormat="1" ht="20.25" customHeight="1" x14ac:dyDescent="0.55000000000000004">
      <c r="A7042" s="18">
        <v>24.733421499999999</v>
      </c>
      <c r="B7042" s="18">
        <v>34.777868400000003</v>
      </c>
      <c r="C7042" s="18">
        <v>679808.22</v>
      </c>
      <c r="D7042" s="18">
        <v>2736597.87</v>
      </c>
      <c r="E7042" s="18">
        <v>413.64</v>
      </c>
      <c r="F7042" s="18">
        <v>41720.959999999999</v>
      </c>
      <c r="G7042" s="18">
        <v>124022</v>
      </c>
      <c r="H7042" s="18">
        <f t="shared" si="162"/>
        <v>41570.959999999999</v>
      </c>
      <c r="I7042" s="3"/>
    </row>
    <row r="7043" spans="1:9" s="4" customFormat="1" ht="20.25" customHeight="1" x14ac:dyDescent="0.55000000000000004">
      <c r="A7043" s="18">
        <v>24.7334177</v>
      </c>
      <c r="B7043" s="18">
        <v>34.777867000000001</v>
      </c>
      <c r="C7043" s="18">
        <v>679808.08</v>
      </c>
      <c r="D7043" s="18">
        <v>2736597.44</v>
      </c>
      <c r="E7043" s="18">
        <v>413.59</v>
      </c>
      <c r="F7043" s="18">
        <v>41720.199999999997</v>
      </c>
      <c r="G7043" s="18">
        <v>124024</v>
      </c>
      <c r="H7043" s="18">
        <f t="shared" si="162"/>
        <v>41570.199999999997</v>
      </c>
      <c r="I7043" s="3"/>
    </row>
    <row r="7044" spans="1:9" s="4" customFormat="1" ht="20.25" customHeight="1" x14ac:dyDescent="0.55000000000000004">
      <c r="A7044" s="18">
        <v>24.7334064</v>
      </c>
      <c r="B7044" s="18">
        <v>34.777858700000003</v>
      </c>
      <c r="C7044" s="18">
        <v>679807.26</v>
      </c>
      <c r="D7044" s="18">
        <v>2736596.18</v>
      </c>
      <c r="E7044" s="18">
        <v>413.08</v>
      </c>
      <c r="F7044" s="18">
        <v>41720.629999999997</v>
      </c>
      <c r="G7044" s="18">
        <v>124026</v>
      </c>
      <c r="H7044" s="18">
        <f t="shared" si="162"/>
        <v>41570.629999999997</v>
      </c>
      <c r="I7044" s="3"/>
    </row>
    <row r="7045" spans="1:9" s="4" customFormat="1" ht="20.25" customHeight="1" x14ac:dyDescent="0.55000000000000004">
      <c r="A7045" s="18">
        <v>24.733394700000002</v>
      </c>
      <c r="B7045" s="18">
        <v>34.777856300000003</v>
      </c>
      <c r="C7045" s="18">
        <v>679807.03</v>
      </c>
      <c r="D7045" s="18">
        <v>2736594.88</v>
      </c>
      <c r="E7045" s="18">
        <v>412.86</v>
      </c>
      <c r="F7045" s="18">
        <v>41719.61</v>
      </c>
      <c r="G7045" s="18">
        <v>124028</v>
      </c>
      <c r="H7045" s="18">
        <f t="shared" si="162"/>
        <v>41569.61</v>
      </c>
      <c r="I7045" s="3"/>
    </row>
    <row r="7046" spans="1:9" s="4" customFormat="1" ht="20.25" customHeight="1" x14ac:dyDescent="0.55000000000000004">
      <c r="A7046" s="18">
        <v>24.733385200000001</v>
      </c>
      <c r="B7046" s="18">
        <v>34.777855299999999</v>
      </c>
      <c r="C7046" s="18">
        <v>679806.94</v>
      </c>
      <c r="D7046" s="18">
        <v>2736593.83</v>
      </c>
      <c r="E7046" s="18">
        <v>412.64</v>
      </c>
      <c r="F7046" s="18">
        <v>41719.279999999999</v>
      </c>
      <c r="G7046" s="18">
        <v>124030</v>
      </c>
      <c r="H7046" s="18">
        <f t="shared" si="162"/>
        <v>41569.279999999999</v>
      </c>
      <c r="I7046" s="3"/>
    </row>
    <row r="7047" spans="1:9" s="4" customFormat="1" ht="20.25" customHeight="1" x14ac:dyDescent="0.55000000000000004">
      <c r="A7047" s="18">
        <v>24.7333736</v>
      </c>
      <c r="B7047" s="18">
        <v>34.777855700000003</v>
      </c>
      <c r="C7047" s="18">
        <v>679807</v>
      </c>
      <c r="D7047" s="18">
        <v>2736592.54</v>
      </c>
      <c r="E7047" s="18">
        <v>412.4</v>
      </c>
      <c r="F7047" s="18">
        <v>41720.81</v>
      </c>
      <c r="G7047" s="18">
        <v>124032</v>
      </c>
      <c r="H7047" s="18">
        <f t="shared" si="162"/>
        <v>41570.81</v>
      </c>
      <c r="I7047" s="3"/>
    </row>
    <row r="7048" spans="1:9" s="4" customFormat="1" ht="20.25" customHeight="1" x14ac:dyDescent="0.55000000000000004">
      <c r="A7048" s="18">
        <v>24.7333593</v>
      </c>
      <c r="B7048" s="18">
        <v>34.777851300000002</v>
      </c>
      <c r="C7048" s="18">
        <v>679806.57</v>
      </c>
      <c r="D7048" s="18">
        <v>2736590.96</v>
      </c>
      <c r="E7048" s="18">
        <v>411.9</v>
      </c>
      <c r="F7048" s="18">
        <v>41719.54</v>
      </c>
      <c r="G7048" s="18">
        <v>124034</v>
      </c>
      <c r="H7048" s="18">
        <f t="shared" si="162"/>
        <v>41569.54</v>
      </c>
      <c r="I7048" s="3"/>
    </row>
    <row r="7049" spans="1:9" s="4" customFormat="1" ht="20.25" customHeight="1" x14ac:dyDescent="0.55000000000000004">
      <c r="A7049" s="18">
        <v>24.733343699999999</v>
      </c>
      <c r="B7049" s="18">
        <v>34.777843099999998</v>
      </c>
      <c r="C7049" s="18">
        <v>679805.77</v>
      </c>
      <c r="D7049" s="18">
        <v>2736589.21</v>
      </c>
      <c r="E7049" s="18">
        <v>411.52</v>
      </c>
      <c r="F7049" s="18">
        <v>41719.46</v>
      </c>
      <c r="G7049" s="18">
        <v>124036</v>
      </c>
      <c r="H7049" s="18">
        <f t="shared" si="162"/>
        <v>41569.46</v>
      </c>
      <c r="I7049" s="3"/>
    </row>
    <row r="7050" spans="1:9" s="4" customFormat="1" ht="20.25" customHeight="1" x14ac:dyDescent="0.55000000000000004">
      <c r="A7050" s="18">
        <v>24.733326900000002</v>
      </c>
      <c r="B7050" s="18">
        <v>34.777841600000002</v>
      </c>
      <c r="C7050" s="18">
        <v>679805.64</v>
      </c>
      <c r="D7050" s="18">
        <v>2736587.36</v>
      </c>
      <c r="E7050" s="18">
        <v>411.03</v>
      </c>
      <c r="F7050" s="18">
        <v>41720.269999999997</v>
      </c>
      <c r="G7050" s="18">
        <v>124038</v>
      </c>
      <c r="H7050" s="18">
        <f t="shared" si="162"/>
        <v>41570.269999999997</v>
      </c>
      <c r="I7050" s="3"/>
    </row>
    <row r="7051" spans="1:9" s="4" customFormat="1" ht="20.25" customHeight="1" x14ac:dyDescent="0.55000000000000004">
      <c r="A7051" s="18">
        <v>24.733310299999999</v>
      </c>
      <c r="B7051" s="18">
        <v>34.777842700000001</v>
      </c>
      <c r="C7051" s="18">
        <v>679805.78</v>
      </c>
      <c r="D7051" s="18">
        <v>2736585.52</v>
      </c>
      <c r="E7051" s="18">
        <v>410.58</v>
      </c>
      <c r="F7051" s="18">
        <v>41721.11</v>
      </c>
      <c r="G7051" s="18">
        <v>124040</v>
      </c>
      <c r="H7051" s="18">
        <f t="shared" si="162"/>
        <v>41571.11</v>
      </c>
      <c r="I7051" s="3"/>
    </row>
    <row r="7052" spans="1:9" s="4" customFormat="1" ht="20.25" customHeight="1" x14ac:dyDescent="0.55000000000000004">
      <c r="A7052" s="18">
        <v>24.733294799999999</v>
      </c>
      <c r="B7052" s="18">
        <v>34.777832600000004</v>
      </c>
      <c r="C7052" s="18">
        <v>679804.78</v>
      </c>
      <c r="D7052" s="18">
        <v>2736583.79</v>
      </c>
      <c r="E7052" s="18">
        <v>410.09</v>
      </c>
      <c r="F7052" s="18">
        <v>41720</v>
      </c>
      <c r="G7052" s="18">
        <v>124042</v>
      </c>
      <c r="H7052" s="18">
        <f t="shared" si="162"/>
        <v>41570</v>
      </c>
      <c r="I7052" s="3"/>
    </row>
    <row r="7053" spans="1:9" s="4" customFormat="1" ht="20.25" customHeight="1" x14ac:dyDescent="0.55000000000000004">
      <c r="A7053" s="18">
        <v>24.7332812</v>
      </c>
      <c r="B7053" s="18">
        <v>34.777820300000002</v>
      </c>
      <c r="C7053" s="18">
        <v>679803.56</v>
      </c>
      <c r="D7053" s="18">
        <v>2736582.26</v>
      </c>
      <c r="E7053" s="18">
        <v>409.75</v>
      </c>
      <c r="F7053" s="18">
        <v>41720.120000000003</v>
      </c>
      <c r="G7053" s="18">
        <v>124044</v>
      </c>
      <c r="H7053" s="18">
        <f t="shared" si="162"/>
        <v>41570.120000000003</v>
      </c>
      <c r="I7053" s="3"/>
    </row>
    <row r="7054" spans="1:9" s="4" customFormat="1" ht="20.25" customHeight="1" x14ac:dyDescent="0.55000000000000004">
      <c r="A7054" s="18">
        <v>24.7332635</v>
      </c>
      <c r="B7054" s="18">
        <v>34.7778122</v>
      </c>
      <c r="C7054" s="18">
        <v>679802.76</v>
      </c>
      <c r="D7054" s="18">
        <v>2736580.29</v>
      </c>
      <c r="E7054" s="18">
        <v>409.06</v>
      </c>
      <c r="F7054" s="18">
        <v>41719.46</v>
      </c>
      <c r="G7054" s="18">
        <v>124046</v>
      </c>
      <c r="H7054" s="18">
        <f t="shared" si="162"/>
        <v>41569.46</v>
      </c>
      <c r="I7054" s="3"/>
    </row>
    <row r="7055" spans="1:9" s="4" customFormat="1" ht="20.25" customHeight="1" x14ac:dyDescent="0.55000000000000004">
      <c r="A7055" s="18">
        <v>24.733244899999999</v>
      </c>
      <c r="B7055" s="18">
        <v>34.777810500000001</v>
      </c>
      <c r="C7055" s="18">
        <v>679802.61</v>
      </c>
      <c r="D7055" s="18">
        <v>2736578.23</v>
      </c>
      <c r="E7055" s="18">
        <v>408.46</v>
      </c>
      <c r="F7055" s="18">
        <v>41722.39</v>
      </c>
      <c r="G7055" s="18">
        <v>124048</v>
      </c>
      <c r="H7055" s="18">
        <f t="shared" si="162"/>
        <v>41572.39</v>
      </c>
      <c r="I7055" s="3"/>
    </row>
    <row r="7056" spans="1:9" s="4" customFormat="1" ht="20.25" customHeight="1" x14ac:dyDescent="0.55000000000000004">
      <c r="A7056" s="18">
        <v>24.733228199999999</v>
      </c>
      <c r="B7056" s="18">
        <v>34.777809499999996</v>
      </c>
      <c r="C7056" s="18">
        <v>679802.54</v>
      </c>
      <c r="D7056" s="18">
        <v>2736576.38</v>
      </c>
      <c r="E7056" s="18">
        <v>408.11</v>
      </c>
      <c r="F7056" s="18">
        <v>41721.19</v>
      </c>
      <c r="G7056" s="18">
        <v>124050</v>
      </c>
      <c r="H7056" s="18">
        <f t="shared" si="162"/>
        <v>41571.19</v>
      </c>
      <c r="I7056" s="3"/>
    </row>
    <row r="7057" spans="1:9" s="4" customFormat="1" ht="20.25" customHeight="1" x14ac:dyDescent="0.55000000000000004">
      <c r="A7057" s="18">
        <v>24.733215600000001</v>
      </c>
      <c r="B7057" s="18">
        <v>34.777811300000003</v>
      </c>
      <c r="C7057" s="18">
        <v>679802.74</v>
      </c>
      <c r="D7057" s="18">
        <v>2736574.98</v>
      </c>
      <c r="E7057" s="18">
        <v>407.87</v>
      </c>
      <c r="F7057" s="18">
        <v>41719.85</v>
      </c>
      <c r="G7057" s="18">
        <v>124052</v>
      </c>
      <c r="H7057" s="18">
        <f t="shared" si="162"/>
        <v>41569.85</v>
      </c>
      <c r="I7057" s="3"/>
    </row>
    <row r="7058" spans="1:9" s="4" customFormat="1" ht="20.25" customHeight="1" x14ac:dyDescent="0.55000000000000004">
      <c r="A7058" s="18">
        <v>24.7331985</v>
      </c>
      <c r="B7058" s="18">
        <v>34.777813799999997</v>
      </c>
      <c r="C7058" s="18">
        <v>679803.02</v>
      </c>
      <c r="D7058" s="18">
        <v>2736573.1</v>
      </c>
      <c r="E7058" s="18">
        <v>407.43</v>
      </c>
      <c r="F7058" s="18">
        <v>41721.370000000003</v>
      </c>
      <c r="G7058" s="18">
        <v>124054</v>
      </c>
      <c r="H7058" s="18">
        <f t="shared" si="162"/>
        <v>41571.370000000003</v>
      </c>
      <c r="I7058" s="3"/>
    </row>
    <row r="7059" spans="1:9" s="4" customFormat="1" ht="20.25" customHeight="1" x14ac:dyDescent="0.55000000000000004">
      <c r="A7059" s="18">
        <v>24.7331781</v>
      </c>
      <c r="B7059" s="18">
        <v>34.777806699999999</v>
      </c>
      <c r="C7059" s="18">
        <v>679802.33</v>
      </c>
      <c r="D7059" s="18">
        <v>2736570.83</v>
      </c>
      <c r="E7059" s="18">
        <v>406.99</v>
      </c>
      <c r="F7059" s="18">
        <v>41720.410000000003</v>
      </c>
      <c r="G7059" s="18">
        <v>124056</v>
      </c>
      <c r="H7059" s="18">
        <f t="shared" si="162"/>
        <v>41570.410000000003</v>
      </c>
      <c r="I7059" s="3"/>
    </row>
    <row r="7060" spans="1:9" s="4" customFormat="1" ht="20.25" customHeight="1" x14ac:dyDescent="0.55000000000000004">
      <c r="A7060" s="18">
        <v>24.733155799999999</v>
      </c>
      <c r="B7060" s="18">
        <v>34.777797900000003</v>
      </c>
      <c r="C7060" s="18">
        <v>679801.47</v>
      </c>
      <c r="D7060" s="18">
        <v>2736568.34</v>
      </c>
      <c r="E7060" s="18">
        <v>406.41</v>
      </c>
      <c r="F7060" s="18">
        <v>41719.51</v>
      </c>
      <c r="G7060" s="18">
        <v>124058</v>
      </c>
      <c r="H7060" s="18">
        <f t="shared" si="162"/>
        <v>41569.51</v>
      </c>
      <c r="I7060" s="3"/>
    </row>
    <row r="7061" spans="1:9" s="4" customFormat="1" ht="20.25" customHeight="1" x14ac:dyDescent="0.55000000000000004">
      <c r="A7061" s="18">
        <v>24.733136200000001</v>
      </c>
      <c r="B7061" s="18">
        <v>34.777792099999999</v>
      </c>
      <c r="C7061" s="18">
        <v>679800.91</v>
      </c>
      <c r="D7061" s="18">
        <v>2736566.17</v>
      </c>
      <c r="E7061" s="18">
        <v>406.2</v>
      </c>
      <c r="F7061" s="18">
        <v>41719.42</v>
      </c>
      <c r="G7061" s="18">
        <v>124100</v>
      </c>
      <c r="H7061" s="18">
        <f t="shared" si="162"/>
        <v>41569.42</v>
      </c>
      <c r="I7061" s="3"/>
    </row>
    <row r="7062" spans="1:9" s="4" customFormat="1" ht="20.25" customHeight="1" x14ac:dyDescent="0.55000000000000004">
      <c r="A7062" s="18">
        <v>24.733119899999998</v>
      </c>
      <c r="B7062" s="18">
        <v>34.777794</v>
      </c>
      <c r="C7062" s="18">
        <v>679801.13</v>
      </c>
      <c r="D7062" s="18">
        <v>2736564.36</v>
      </c>
      <c r="E7062" s="18">
        <v>405.68</v>
      </c>
      <c r="F7062" s="18">
        <v>41717.46</v>
      </c>
      <c r="G7062" s="18">
        <v>124102</v>
      </c>
      <c r="H7062" s="18">
        <f t="shared" si="162"/>
        <v>41567.46</v>
      </c>
      <c r="I7062" s="3"/>
    </row>
    <row r="7063" spans="1:9" s="4" customFormat="1" ht="20.25" customHeight="1" x14ac:dyDescent="0.55000000000000004">
      <c r="A7063" s="18">
        <v>24.733101300000001</v>
      </c>
      <c r="B7063" s="18">
        <v>34.777802100000002</v>
      </c>
      <c r="C7063" s="18">
        <v>679801.97</v>
      </c>
      <c r="D7063" s="18">
        <v>2736562.32</v>
      </c>
      <c r="E7063" s="18">
        <v>405.45</v>
      </c>
      <c r="F7063" s="18">
        <v>41719.79</v>
      </c>
      <c r="G7063" s="18">
        <v>124104</v>
      </c>
      <c r="H7063" s="18">
        <f t="shared" si="162"/>
        <v>41569.79</v>
      </c>
      <c r="I7063" s="3"/>
    </row>
    <row r="7064" spans="1:9" s="4" customFormat="1" ht="20.25" customHeight="1" x14ac:dyDescent="0.55000000000000004">
      <c r="A7064" s="18">
        <v>24.733085800000001</v>
      </c>
      <c r="B7064" s="18">
        <v>34.777805899999997</v>
      </c>
      <c r="C7064" s="18">
        <v>679802.37</v>
      </c>
      <c r="D7064" s="18">
        <v>2736560.61</v>
      </c>
      <c r="E7064" s="18">
        <v>405.05</v>
      </c>
      <c r="F7064" s="18">
        <v>41712.660000000003</v>
      </c>
      <c r="G7064" s="18">
        <v>124106</v>
      </c>
      <c r="H7064" s="18">
        <f t="shared" si="162"/>
        <v>41562.660000000003</v>
      </c>
      <c r="I7064" s="3"/>
    </row>
    <row r="7065" spans="1:9" s="4" customFormat="1" ht="20.25" customHeight="1" x14ac:dyDescent="0.55000000000000004">
      <c r="A7065" s="18">
        <v>24.733083000000001</v>
      </c>
      <c r="B7065" s="18">
        <v>34.777811900000003</v>
      </c>
      <c r="C7065" s="18">
        <v>679802.99</v>
      </c>
      <c r="D7065" s="18">
        <v>2736560.3</v>
      </c>
      <c r="E7065" s="18">
        <v>404.87</v>
      </c>
      <c r="F7065" s="18">
        <v>41725.79</v>
      </c>
      <c r="G7065" s="18">
        <v>124108</v>
      </c>
      <c r="H7065" s="18">
        <f t="shared" si="162"/>
        <v>41575.79</v>
      </c>
      <c r="I7065" s="3"/>
    </row>
    <row r="7066" spans="1:9" s="4" customFormat="1" ht="20.25" customHeight="1" x14ac:dyDescent="0.55000000000000004">
      <c r="A7066" s="18">
        <v>24.733070900000001</v>
      </c>
      <c r="B7066" s="18">
        <v>34.777824699999996</v>
      </c>
      <c r="C7066" s="18">
        <v>679804.3</v>
      </c>
      <c r="D7066" s="18">
        <v>2736558.97</v>
      </c>
      <c r="E7066" s="18">
        <v>404.56</v>
      </c>
      <c r="F7066" s="18">
        <v>41719.160000000003</v>
      </c>
      <c r="G7066" s="18">
        <v>124110</v>
      </c>
      <c r="H7066" s="18">
        <f t="shared" si="162"/>
        <v>41569.160000000003</v>
      </c>
      <c r="I7066" s="3"/>
    </row>
    <row r="7067" spans="1:9" s="4" customFormat="1" ht="20.25" customHeight="1" x14ac:dyDescent="0.55000000000000004">
      <c r="A7067" s="18">
        <v>24.733059799999999</v>
      </c>
      <c r="B7067" s="18">
        <v>34.777841299999999</v>
      </c>
      <c r="C7067" s="18">
        <v>679805.99</v>
      </c>
      <c r="D7067" s="18">
        <v>2736557.77</v>
      </c>
      <c r="E7067" s="18">
        <v>404.25</v>
      </c>
      <c r="F7067" s="18">
        <v>41719.1</v>
      </c>
      <c r="G7067" s="18">
        <v>124112</v>
      </c>
      <c r="H7067" s="18">
        <f t="shared" si="162"/>
        <v>41569.1</v>
      </c>
      <c r="I7067" s="3"/>
    </row>
    <row r="7068" spans="1:9" s="4" customFormat="1" ht="20.25" customHeight="1" x14ac:dyDescent="0.55000000000000004">
      <c r="A7068" s="18">
        <v>24.733043299999999</v>
      </c>
      <c r="B7068" s="18">
        <v>34.7778505</v>
      </c>
      <c r="C7068" s="18">
        <v>679806.95</v>
      </c>
      <c r="D7068" s="18">
        <v>2736555.95</v>
      </c>
      <c r="E7068" s="18">
        <v>404.03</v>
      </c>
      <c r="F7068" s="18">
        <v>41716.769999999997</v>
      </c>
      <c r="G7068" s="18">
        <v>124114</v>
      </c>
      <c r="H7068" s="18">
        <f t="shared" si="162"/>
        <v>41566.769999999997</v>
      </c>
      <c r="I7068" s="3"/>
    </row>
    <row r="7069" spans="1:9" s="4" customFormat="1" ht="20.25" customHeight="1" x14ac:dyDescent="0.55000000000000004">
      <c r="A7069" s="18">
        <v>24.733025999999999</v>
      </c>
      <c r="B7069" s="18">
        <v>34.777857599999997</v>
      </c>
      <c r="C7069" s="18">
        <v>679807.7</v>
      </c>
      <c r="D7069" s="18">
        <v>2736554.05</v>
      </c>
      <c r="E7069" s="18">
        <v>403.86</v>
      </c>
      <c r="F7069" s="18">
        <v>41717.339999999997</v>
      </c>
      <c r="G7069" s="18">
        <v>124116</v>
      </c>
      <c r="H7069" s="18">
        <f t="shared" si="162"/>
        <v>41567.339999999997</v>
      </c>
      <c r="I7069" s="3"/>
    </row>
    <row r="7070" spans="1:9" s="4" customFormat="1" ht="20.25" customHeight="1" x14ac:dyDescent="0.55000000000000004">
      <c r="A7070" s="18">
        <v>24.733004699999999</v>
      </c>
      <c r="B7070" s="18">
        <v>34.777863799999999</v>
      </c>
      <c r="C7070" s="18">
        <v>679808.35</v>
      </c>
      <c r="D7070" s="18">
        <v>2736551.7</v>
      </c>
      <c r="E7070" s="18">
        <v>403.66</v>
      </c>
      <c r="F7070" s="18">
        <v>41718.080000000002</v>
      </c>
      <c r="G7070" s="18">
        <v>124118</v>
      </c>
      <c r="H7070" s="18">
        <f t="shared" si="162"/>
        <v>41568.080000000002</v>
      </c>
      <c r="I7070" s="3"/>
    </row>
    <row r="7071" spans="1:9" s="4" customFormat="1" ht="20.25" customHeight="1" x14ac:dyDescent="0.55000000000000004">
      <c r="A7071" s="18">
        <v>24.732983699999998</v>
      </c>
      <c r="B7071" s="18">
        <v>34.777869299999999</v>
      </c>
      <c r="C7071" s="18">
        <v>679808.94</v>
      </c>
      <c r="D7071" s="18">
        <v>2736549.38</v>
      </c>
      <c r="E7071" s="18">
        <v>403.36</v>
      </c>
      <c r="F7071" s="18">
        <v>41717.42</v>
      </c>
      <c r="G7071" s="18">
        <v>124120</v>
      </c>
      <c r="H7071" s="18">
        <f t="shared" si="162"/>
        <v>41567.42</v>
      </c>
      <c r="I7071" s="3"/>
    </row>
    <row r="7072" spans="1:9" s="4" customFormat="1" ht="20.25" customHeight="1" x14ac:dyDescent="0.55000000000000004">
      <c r="A7072" s="18">
        <v>24.732961400000001</v>
      </c>
      <c r="B7072" s="18">
        <v>34.777877099999998</v>
      </c>
      <c r="C7072" s="18">
        <v>679809.76</v>
      </c>
      <c r="D7072" s="18">
        <v>2736546.92</v>
      </c>
      <c r="E7072" s="18">
        <v>403.09</v>
      </c>
      <c r="F7072" s="18">
        <v>41718.06</v>
      </c>
      <c r="G7072" s="18">
        <v>124122</v>
      </c>
      <c r="H7072" s="18">
        <f t="shared" si="162"/>
        <v>41568.06</v>
      </c>
      <c r="I7072" s="3"/>
    </row>
    <row r="7073" spans="1:9" s="4" customFormat="1" ht="20.25" customHeight="1" x14ac:dyDescent="0.55000000000000004">
      <c r="A7073" s="18">
        <v>24.732941199999999</v>
      </c>
      <c r="B7073" s="18">
        <v>34.777881899999997</v>
      </c>
      <c r="C7073" s="18">
        <v>679810.28</v>
      </c>
      <c r="D7073" s="18">
        <v>2736544.69</v>
      </c>
      <c r="E7073" s="18">
        <v>402.94</v>
      </c>
      <c r="F7073" s="18">
        <v>41717.629999999997</v>
      </c>
      <c r="G7073" s="18">
        <v>124124</v>
      </c>
      <c r="H7073" s="18">
        <f t="shared" si="162"/>
        <v>41567.629999999997</v>
      </c>
      <c r="I7073" s="3"/>
    </row>
    <row r="7074" spans="1:9" s="4" customFormat="1" ht="20.25" customHeight="1" x14ac:dyDescent="0.55000000000000004">
      <c r="A7074" s="18">
        <v>24.7329185</v>
      </c>
      <c r="B7074" s="18">
        <v>34.777886899999999</v>
      </c>
      <c r="C7074" s="18">
        <v>679810.81</v>
      </c>
      <c r="D7074" s="18">
        <v>2736542.18</v>
      </c>
      <c r="E7074" s="18">
        <v>402.73</v>
      </c>
      <c r="F7074" s="18">
        <v>41717.54</v>
      </c>
      <c r="G7074" s="18">
        <v>124126</v>
      </c>
      <c r="H7074" s="18">
        <f t="shared" si="162"/>
        <v>41567.54</v>
      </c>
      <c r="I7074" s="3"/>
    </row>
    <row r="7075" spans="1:9" s="4" customFormat="1" ht="20.25" customHeight="1" x14ac:dyDescent="0.55000000000000004">
      <c r="A7075" s="18">
        <v>24.732898899999999</v>
      </c>
      <c r="B7075" s="18">
        <v>34.777893300000002</v>
      </c>
      <c r="C7075" s="18">
        <v>679811.49</v>
      </c>
      <c r="D7075" s="18">
        <v>2736540.02</v>
      </c>
      <c r="E7075" s="18">
        <v>402.59</v>
      </c>
      <c r="F7075" s="18">
        <v>41716.51</v>
      </c>
      <c r="G7075" s="18">
        <v>124128</v>
      </c>
      <c r="H7075" s="18">
        <f t="shared" si="162"/>
        <v>41566.51</v>
      </c>
      <c r="I7075" s="3"/>
    </row>
    <row r="7076" spans="1:9" s="4" customFormat="1" ht="20.25" customHeight="1" x14ac:dyDescent="0.55000000000000004">
      <c r="A7076" s="18">
        <v>24.7328832</v>
      </c>
      <c r="B7076" s="18">
        <v>34.777903600000002</v>
      </c>
      <c r="C7076" s="18">
        <v>679812.55</v>
      </c>
      <c r="D7076" s="18">
        <v>2736538.29</v>
      </c>
      <c r="E7076" s="18">
        <v>402.41</v>
      </c>
      <c r="F7076" s="18">
        <v>41717.910000000003</v>
      </c>
      <c r="G7076" s="18">
        <v>124130</v>
      </c>
      <c r="H7076" s="18">
        <f t="shared" si="162"/>
        <v>41567.910000000003</v>
      </c>
      <c r="I7076" s="3"/>
    </row>
    <row r="7077" spans="1:9" s="4" customFormat="1" ht="20.25" customHeight="1" x14ac:dyDescent="0.55000000000000004">
      <c r="A7077" s="18">
        <v>24.732864800000002</v>
      </c>
      <c r="B7077" s="18">
        <v>34.777914699999997</v>
      </c>
      <c r="C7077" s="18">
        <v>679813.7</v>
      </c>
      <c r="D7077" s="18">
        <v>2736536.27</v>
      </c>
      <c r="E7077" s="18">
        <v>402.23</v>
      </c>
      <c r="F7077" s="18">
        <v>41715.31</v>
      </c>
      <c r="G7077" s="18">
        <v>124132</v>
      </c>
      <c r="H7077" s="18">
        <f t="shared" si="162"/>
        <v>41565.31</v>
      </c>
      <c r="I7077" s="3"/>
    </row>
    <row r="7078" spans="1:9" s="4" customFormat="1" ht="20.25" customHeight="1" x14ac:dyDescent="0.55000000000000004">
      <c r="A7078" s="18">
        <v>24.732849099999999</v>
      </c>
      <c r="B7078" s="18">
        <v>34.7779302</v>
      </c>
      <c r="C7078" s="18">
        <v>679815.29</v>
      </c>
      <c r="D7078" s="18">
        <v>2736534.55</v>
      </c>
      <c r="E7078" s="18">
        <v>402.07</v>
      </c>
      <c r="F7078" s="18">
        <v>41716.17</v>
      </c>
      <c r="G7078" s="18">
        <v>124134</v>
      </c>
      <c r="H7078" s="18">
        <f t="shared" si="162"/>
        <v>41566.17</v>
      </c>
      <c r="I7078" s="3"/>
    </row>
    <row r="7079" spans="1:9" s="4" customFormat="1" ht="20.25" customHeight="1" x14ac:dyDescent="0.55000000000000004">
      <c r="A7079" s="18">
        <v>24.732831000000001</v>
      </c>
      <c r="B7079" s="18">
        <v>34.777946</v>
      </c>
      <c r="C7079" s="18">
        <v>679816.92</v>
      </c>
      <c r="D7079" s="18">
        <v>2736532.56</v>
      </c>
      <c r="E7079" s="18">
        <v>401.8</v>
      </c>
      <c r="F7079" s="18">
        <v>41716.43</v>
      </c>
      <c r="G7079" s="18">
        <v>124136</v>
      </c>
      <c r="H7079" s="18">
        <f t="shared" si="162"/>
        <v>41566.43</v>
      </c>
      <c r="I7079" s="3"/>
    </row>
    <row r="7080" spans="1:9" s="4" customFormat="1" ht="20.25" customHeight="1" x14ac:dyDescent="0.55000000000000004">
      <c r="A7080" s="18">
        <v>24.732810700000002</v>
      </c>
      <c r="B7080" s="18">
        <v>34.777958699999999</v>
      </c>
      <c r="C7080" s="18">
        <v>679818.23999999999</v>
      </c>
      <c r="D7080" s="18">
        <v>2736530.33</v>
      </c>
      <c r="E7080" s="18">
        <v>401.53</v>
      </c>
      <c r="F7080" s="18">
        <v>41716.65</v>
      </c>
      <c r="G7080" s="18">
        <v>124138</v>
      </c>
      <c r="H7080" s="18">
        <f t="shared" si="162"/>
        <v>41566.65</v>
      </c>
      <c r="I7080" s="3"/>
    </row>
    <row r="7081" spans="1:9" s="4" customFormat="1" ht="20.25" customHeight="1" x14ac:dyDescent="0.55000000000000004">
      <c r="A7081" s="18">
        <v>24.7327905</v>
      </c>
      <c r="B7081" s="18">
        <v>34.777974899999997</v>
      </c>
      <c r="C7081" s="18">
        <v>679819.9</v>
      </c>
      <c r="D7081" s="18">
        <v>2736528.12</v>
      </c>
      <c r="E7081" s="18">
        <v>401.32</v>
      </c>
      <c r="F7081" s="18">
        <v>41719.050000000003</v>
      </c>
      <c r="G7081" s="18">
        <v>124140</v>
      </c>
      <c r="H7081" s="18">
        <f t="shared" si="162"/>
        <v>41569.050000000003</v>
      </c>
      <c r="I7081" s="3"/>
    </row>
    <row r="7082" spans="1:9" s="4" customFormat="1" ht="20.25" customHeight="1" x14ac:dyDescent="0.55000000000000004">
      <c r="A7082" s="18">
        <v>24.732770500000001</v>
      </c>
      <c r="B7082" s="18">
        <v>34.777987199999998</v>
      </c>
      <c r="C7082" s="18">
        <v>679821.17</v>
      </c>
      <c r="D7082" s="18">
        <v>2736525.91</v>
      </c>
      <c r="E7082" s="18">
        <v>401.16</v>
      </c>
      <c r="F7082" s="18">
        <v>41717.97</v>
      </c>
      <c r="G7082" s="18">
        <v>124142</v>
      </c>
      <c r="H7082" s="18">
        <f t="shared" ref="H7082:H7145" si="163">SUM(F7082-150)</f>
        <v>41567.97</v>
      </c>
      <c r="I7082" s="3"/>
    </row>
    <row r="7083" spans="1:9" s="4" customFormat="1" ht="20.25" customHeight="1" x14ac:dyDescent="0.55000000000000004">
      <c r="A7083" s="18">
        <v>24.732751199999999</v>
      </c>
      <c r="B7083" s="18">
        <v>34.7779989</v>
      </c>
      <c r="C7083" s="18">
        <v>679822.38</v>
      </c>
      <c r="D7083" s="18">
        <v>2736523.8</v>
      </c>
      <c r="E7083" s="18">
        <v>400.96</v>
      </c>
      <c r="F7083" s="18">
        <v>41718.43</v>
      </c>
      <c r="G7083" s="18">
        <v>124144</v>
      </c>
      <c r="H7083" s="18">
        <f t="shared" si="163"/>
        <v>41568.43</v>
      </c>
      <c r="I7083" s="3"/>
    </row>
    <row r="7084" spans="1:9" s="4" customFormat="1" ht="20.25" customHeight="1" x14ac:dyDescent="0.55000000000000004">
      <c r="A7084" s="18">
        <v>24.732731900000001</v>
      </c>
      <c r="B7084" s="18">
        <v>34.778009699999998</v>
      </c>
      <c r="C7084" s="18">
        <v>679823.5</v>
      </c>
      <c r="D7084" s="18">
        <v>2736521.67</v>
      </c>
      <c r="E7084" s="18">
        <v>400.66</v>
      </c>
      <c r="F7084" s="18">
        <v>41715.83</v>
      </c>
      <c r="G7084" s="18">
        <v>124146</v>
      </c>
      <c r="H7084" s="18">
        <f t="shared" si="163"/>
        <v>41565.83</v>
      </c>
      <c r="I7084" s="3"/>
    </row>
    <row r="7085" spans="1:9" s="4" customFormat="1" ht="20.25" customHeight="1" x14ac:dyDescent="0.55000000000000004">
      <c r="A7085" s="18">
        <v>24.732712899999999</v>
      </c>
      <c r="B7085" s="18">
        <v>34.778025599999999</v>
      </c>
      <c r="C7085" s="18">
        <v>679825.13</v>
      </c>
      <c r="D7085" s="18">
        <v>2736519.59</v>
      </c>
      <c r="E7085" s="18">
        <v>400.56</v>
      </c>
      <c r="F7085" s="18">
        <v>41716.79</v>
      </c>
      <c r="G7085" s="18">
        <v>124148</v>
      </c>
      <c r="H7085" s="18">
        <f t="shared" si="163"/>
        <v>41566.79</v>
      </c>
      <c r="I7085" s="3"/>
    </row>
    <row r="7086" spans="1:9" s="4" customFormat="1" ht="20.25" customHeight="1" x14ac:dyDescent="0.55000000000000004">
      <c r="A7086" s="18">
        <v>24.732692199999999</v>
      </c>
      <c r="B7086" s="18">
        <v>34.778039300000003</v>
      </c>
      <c r="C7086" s="18">
        <v>679826.56</v>
      </c>
      <c r="D7086" s="18">
        <v>2736517.32</v>
      </c>
      <c r="E7086" s="18">
        <v>400.35</v>
      </c>
      <c r="F7086" s="18">
        <v>41718.19</v>
      </c>
      <c r="G7086" s="18">
        <v>124150</v>
      </c>
      <c r="H7086" s="18">
        <f t="shared" si="163"/>
        <v>41568.19</v>
      </c>
      <c r="I7086" s="3"/>
    </row>
    <row r="7087" spans="1:9" s="4" customFormat="1" ht="20.25" customHeight="1" x14ac:dyDescent="0.55000000000000004">
      <c r="A7087" s="18">
        <v>24.732672300000001</v>
      </c>
      <c r="B7087" s="18">
        <v>34.778052500000001</v>
      </c>
      <c r="C7087" s="18">
        <v>679827.91</v>
      </c>
      <c r="D7087" s="18">
        <v>2736515.13</v>
      </c>
      <c r="E7087" s="18">
        <v>400.14</v>
      </c>
      <c r="F7087" s="18">
        <v>41716.99</v>
      </c>
      <c r="G7087" s="18">
        <v>124152</v>
      </c>
      <c r="H7087" s="18">
        <f t="shared" si="163"/>
        <v>41566.99</v>
      </c>
      <c r="I7087" s="3"/>
    </row>
    <row r="7088" spans="1:9" s="4" customFormat="1" ht="20.25" customHeight="1" x14ac:dyDescent="0.55000000000000004">
      <c r="A7088" s="18">
        <v>24.7326534</v>
      </c>
      <c r="B7088" s="18">
        <v>34.778064000000001</v>
      </c>
      <c r="C7088" s="18">
        <v>679829.11</v>
      </c>
      <c r="D7088" s="18">
        <v>2736513.05</v>
      </c>
      <c r="E7088" s="18">
        <v>400.07</v>
      </c>
      <c r="F7088" s="18">
        <v>41717.14</v>
      </c>
      <c r="G7088" s="18">
        <v>124154</v>
      </c>
      <c r="H7088" s="18">
        <f t="shared" si="163"/>
        <v>41567.14</v>
      </c>
      <c r="I7088" s="3"/>
    </row>
    <row r="7089" spans="1:9" s="4" customFormat="1" ht="20.25" customHeight="1" x14ac:dyDescent="0.55000000000000004">
      <c r="A7089" s="18">
        <v>24.732634699999998</v>
      </c>
      <c r="B7089" s="18">
        <v>34.7780767</v>
      </c>
      <c r="C7089" s="18">
        <v>679830.42</v>
      </c>
      <c r="D7089" s="18">
        <v>2736511</v>
      </c>
      <c r="E7089" s="18">
        <v>399.89</v>
      </c>
      <c r="F7089" s="18">
        <v>41714.83</v>
      </c>
      <c r="G7089" s="18">
        <v>124156</v>
      </c>
      <c r="H7089" s="18">
        <f t="shared" si="163"/>
        <v>41564.83</v>
      </c>
      <c r="I7089" s="3"/>
    </row>
    <row r="7090" spans="1:9" s="4" customFormat="1" ht="20.25" customHeight="1" x14ac:dyDescent="0.55000000000000004">
      <c r="A7090" s="18">
        <v>24.732617000000001</v>
      </c>
      <c r="B7090" s="18">
        <v>34.7780895</v>
      </c>
      <c r="C7090" s="18">
        <v>679831.74</v>
      </c>
      <c r="D7090" s="18">
        <v>2736509.06</v>
      </c>
      <c r="E7090" s="18">
        <v>399.7</v>
      </c>
      <c r="F7090" s="18">
        <v>41712.14</v>
      </c>
      <c r="G7090" s="18">
        <v>124158</v>
      </c>
      <c r="H7090" s="18">
        <f t="shared" si="163"/>
        <v>41562.14</v>
      </c>
      <c r="I7090" s="3"/>
    </row>
    <row r="7091" spans="1:9" s="4" customFormat="1" ht="20.25" customHeight="1" x14ac:dyDescent="0.55000000000000004">
      <c r="A7091" s="18">
        <v>24.7325987</v>
      </c>
      <c r="B7091" s="18">
        <v>34.778105099999998</v>
      </c>
      <c r="C7091" s="18">
        <v>679833.35</v>
      </c>
      <c r="D7091" s="18">
        <v>2736507.04</v>
      </c>
      <c r="E7091" s="18">
        <v>399.59</v>
      </c>
      <c r="F7091" s="18">
        <v>41714.410000000003</v>
      </c>
      <c r="G7091" s="18">
        <v>124200</v>
      </c>
      <c r="H7091" s="18">
        <f t="shared" si="163"/>
        <v>41564.410000000003</v>
      </c>
      <c r="I7091" s="3"/>
    </row>
    <row r="7092" spans="1:9" s="4" customFormat="1" ht="20.25" customHeight="1" x14ac:dyDescent="0.55000000000000004">
      <c r="A7092" s="18">
        <v>24.732582600000001</v>
      </c>
      <c r="B7092" s="18">
        <v>34.778115100000001</v>
      </c>
      <c r="C7092" s="18">
        <v>679834.38</v>
      </c>
      <c r="D7092" s="18">
        <v>2736505.28</v>
      </c>
      <c r="E7092" s="18">
        <v>399.49</v>
      </c>
      <c r="F7092" s="18">
        <v>41714</v>
      </c>
      <c r="G7092" s="18">
        <v>124202</v>
      </c>
      <c r="H7092" s="18">
        <f t="shared" si="163"/>
        <v>41564</v>
      </c>
      <c r="I7092" s="3"/>
    </row>
    <row r="7093" spans="1:9" s="4" customFormat="1" ht="20.25" customHeight="1" x14ac:dyDescent="0.55000000000000004">
      <c r="A7093" s="18">
        <v>24.732568000000001</v>
      </c>
      <c r="B7093" s="18">
        <v>34.778122199999999</v>
      </c>
      <c r="C7093" s="18">
        <v>679835.12</v>
      </c>
      <c r="D7093" s="18">
        <v>2736503.67</v>
      </c>
      <c r="E7093" s="18">
        <v>399.56</v>
      </c>
      <c r="F7093" s="18">
        <v>41713.660000000003</v>
      </c>
      <c r="G7093" s="18">
        <v>124204</v>
      </c>
      <c r="H7093" s="18">
        <f t="shared" si="163"/>
        <v>41563.660000000003</v>
      </c>
      <c r="I7093" s="3"/>
    </row>
    <row r="7094" spans="1:9" s="4" customFormat="1" ht="20.25" customHeight="1" x14ac:dyDescent="0.55000000000000004">
      <c r="A7094" s="18">
        <v>24.7325506</v>
      </c>
      <c r="B7094" s="18">
        <v>34.778131600000002</v>
      </c>
      <c r="C7094" s="18">
        <v>679836.09</v>
      </c>
      <c r="D7094" s="18">
        <v>2736501.75</v>
      </c>
      <c r="E7094" s="18">
        <v>399.36</v>
      </c>
      <c r="F7094" s="18">
        <v>41713.82</v>
      </c>
      <c r="G7094" s="18">
        <v>124206</v>
      </c>
      <c r="H7094" s="18">
        <f t="shared" si="163"/>
        <v>41563.82</v>
      </c>
      <c r="I7094" s="3"/>
    </row>
    <row r="7095" spans="1:9" s="4" customFormat="1" ht="20.25" customHeight="1" x14ac:dyDescent="0.55000000000000004">
      <c r="A7095" s="18">
        <v>24.732532500000001</v>
      </c>
      <c r="B7095" s="18">
        <v>34.778140100000002</v>
      </c>
      <c r="C7095" s="18">
        <v>679836.98</v>
      </c>
      <c r="D7095" s="18">
        <v>2736499.76</v>
      </c>
      <c r="E7095" s="18">
        <v>399.28</v>
      </c>
      <c r="F7095" s="18">
        <v>41713.85</v>
      </c>
      <c r="G7095" s="18">
        <v>124208</v>
      </c>
      <c r="H7095" s="18">
        <f t="shared" si="163"/>
        <v>41563.85</v>
      </c>
      <c r="I7095" s="3"/>
    </row>
    <row r="7096" spans="1:9" s="4" customFormat="1" ht="20.25" customHeight="1" x14ac:dyDescent="0.55000000000000004">
      <c r="A7096" s="18">
        <v>24.732514200000001</v>
      </c>
      <c r="B7096" s="18">
        <v>34.778152800000001</v>
      </c>
      <c r="C7096" s="18">
        <v>679838.3</v>
      </c>
      <c r="D7096" s="18">
        <v>2736497.75</v>
      </c>
      <c r="E7096" s="18">
        <v>399.04</v>
      </c>
      <c r="F7096" s="18">
        <v>41712.54</v>
      </c>
      <c r="G7096" s="18">
        <v>124210</v>
      </c>
      <c r="H7096" s="18">
        <f t="shared" si="163"/>
        <v>41562.54</v>
      </c>
      <c r="I7096" s="3"/>
    </row>
    <row r="7097" spans="1:9" s="4" customFormat="1" ht="20.25" customHeight="1" x14ac:dyDescent="0.55000000000000004">
      <c r="A7097" s="18">
        <v>24.7325011</v>
      </c>
      <c r="B7097" s="18">
        <v>34.778171499999999</v>
      </c>
      <c r="C7097" s="18">
        <v>679840.2</v>
      </c>
      <c r="D7097" s="18">
        <v>2736496.33</v>
      </c>
      <c r="E7097" s="18">
        <v>398.74</v>
      </c>
      <c r="F7097" s="18">
        <v>41712.35</v>
      </c>
      <c r="G7097" s="18">
        <v>124212</v>
      </c>
      <c r="H7097" s="18">
        <f t="shared" si="163"/>
        <v>41562.35</v>
      </c>
      <c r="I7097" s="3"/>
    </row>
    <row r="7098" spans="1:9" s="4" customFormat="1" ht="20.25" customHeight="1" x14ac:dyDescent="0.55000000000000004">
      <c r="A7098" s="18">
        <v>24.732484299999999</v>
      </c>
      <c r="B7098" s="18">
        <v>34.778186900000001</v>
      </c>
      <c r="C7098" s="18">
        <v>679841.78</v>
      </c>
      <c r="D7098" s="18">
        <v>2736494.48</v>
      </c>
      <c r="E7098" s="18">
        <v>398.66</v>
      </c>
      <c r="F7098" s="18">
        <v>41715.29</v>
      </c>
      <c r="G7098" s="18">
        <v>124214</v>
      </c>
      <c r="H7098" s="18">
        <f t="shared" si="163"/>
        <v>41565.29</v>
      </c>
      <c r="I7098" s="3"/>
    </row>
    <row r="7099" spans="1:9" s="4" customFormat="1" ht="20.25" customHeight="1" x14ac:dyDescent="0.55000000000000004">
      <c r="A7099" s="18">
        <v>24.732465600000001</v>
      </c>
      <c r="B7099" s="18">
        <v>34.778200400000003</v>
      </c>
      <c r="C7099" s="18">
        <v>679843.18</v>
      </c>
      <c r="D7099" s="18">
        <v>2736492.42</v>
      </c>
      <c r="E7099" s="18">
        <v>398.49</v>
      </c>
      <c r="F7099" s="18">
        <v>41715.67</v>
      </c>
      <c r="G7099" s="18">
        <v>124216</v>
      </c>
      <c r="H7099" s="18">
        <f t="shared" si="163"/>
        <v>41565.67</v>
      </c>
      <c r="I7099" s="3"/>
    </row>
    <row r="7100" spans="1:9" s="4" customFormat="1" ht="20.25" customHeight="1" x14ac:dyDescent="0.55000000000000004">
      <c r="A7100" s="18">
        <v>24.732447400000002</v>
      </c>
      <c r="B7100" s="18">
        <v>34.778213600000001</v>
      </c>
      <c r="C7100" s="18">
        <v>679844.54</v>
      </c>
      <c r="D7100" s="18">
        <v>2736490.44</v>
      </c>
      <c r="E7100" s="18">
        <v>398.5</v>
      </c>
      <c r="F7100" s="18">
        <v>41714.97</v>
      </c>
      <c r="G7100" s="18">
        <v>124218</v>
      </c>
      <c r="H7100" s="18">
        <f t="shared" si="163"/>
        <v>41564.97</v>
      </c>
      <c r="I7100" s="3"/>
    </row>
    <row r="7101" spans="1:9" s="4" customFormat="1" ht="20.25" customHeight="1" x14ac:dyDescent="0.55000000000000004">
      <c r="A7101" s="18">
        <v>24.732429499999999</v>
      </c>
      <c r="B7101" s="18">
        <v>34.778228599999998</v>
      </c>
      <c r="C7101" s="18">
        <v>679846.09</v>
      </c>
      <c r="D7101" s="18">
        <v>2736488.47</v>
      </c>
      <c r="E7101" s="18">
        <v>398.36</v>
      </c>
      <c r="F7101" s="18">
        <v>41714.46</v>
      </c>
      <c r="G7101" s="18">
        <v>124220</v>
      </c>
      <c r="H7101" s="18">
        <f t="shared" si="163"/>
        <v>41564.46</v>
      </c>
      <c r="I7101" s="3"/>
    </row>
    <row r="7102" spans="1:9" s="4" customFormat="1" ht="20.25" customHeight="1" x14ac:dyDescent="0.55000000000000004">
      <c r="A7102" s="18">
        <v>24.7324093</v>
      </c>
      <c r="B7102" s="18">
        <v>34.778243699999997</v>
      </c>
      <c r="C7102" s="18">
        <v>679847.64</v>
      </c>
      <c r="D7102" s="18">
        <v>2736486.25</v>
      </c>
      <c r="E7102" s="18">
        <v>398.27</v>
      </c>
      <c r="F7102" s="18">
        <v>41714.1</v>
      </c>
      <c r="G7102" s="18">
        <v>124222</v>
      </c>
      <c r="H7102" s="18">
        <f t="shared" si="163"/>
        <v>41564.1</v>
      </c>
      <c r="I7102" s="3"/>
    </row>
    <row r="7103" spans="1:9" s="4" customFormat="1" ht="20.25" customHeight="1" x14ac:dyDescent="0.55000000000000004">
      <c r="A7103" s="18">
        <v>24.7323874</v>
      </c>
      <c r="B7103" s="18">
        <v>34.778250100000001</v>
      </c>
      <c r="C7103" s="18">
        <v>679848.32</v>
      </c>
      <c r="D7103" s="18">
        <v>2736483.83</v>
      </c>
      <c r="E7103" s="18">
        <v>398.28</v>
      </c>
      <c r="F7103" s="18">
        <v>41713.54</v>
      </c>
      <c r="G7103" s="18">
        <v>124224</v>
      </c>
      <c r="H7103" s="18">
        <f t="shared" si="163"/>
        <v>41563.54</v>
      </c>
      <c r="I7103" s="3"/>
    </row>
    <row r="7104" spans="1:9" s="4" customFormat="1" ht="20.25" customHeight="1" x14ac:dyDescent="0.55000000000000004">
      <c r="A7104" s="18">
        <v>24.732366500000001</v>
      </c>
      <c r="B7104" s="18">
        <v>34.778253100000001</v>
      </c>
      <c r="C7104" s="18">
        <v>679848.65</v>
      </c>
      <c r="D7104" s="18">
        <v>2736481.52</v>
      </c>
      <c r="E7104" s="18">
        <v>398.38</v>
      </c>
      <c r="F7104" s="18">
        <v>41711.93</v>
      </c>
      <c r="G7104" s="18">
        <v>124226</v>
      </c>
      <c r="H7104" s="18">
        <f t="shared" si="163"/>
        <v>41561.93</v>
      </c>
      <c r="I7104" s="3"/>
    </row>
    <row r="7105" spans="1:9" s="4" customFormat="1" ht="20.25" customHeight="1" x14ac:dyDescent="0.55000000000000004">
      <c r="A7105" s="18">
        <v>24.732346199999999</v>
      </c>
      <c r="B7105" s="18">
        <v>34.778260799999998</v>
      </c>
      <c r="C7105" s="18">
        <v>679849.46</v>
      </c>
      <c r="D7105" s="18">
        <v>2736479.29</v>
      </c>
      <c r="E7105" s="18">
        <v>398.27</v>
      </c>
      <c r="F7105" s="18">
        <v>41712.550000000003</v>
      </c>
      <c r="G7105" s="18">
        <v>124228</v>
      </c>
      <c r="H7105" s="18">
        <f t="shared" si="163"/>
        <v>41562.550000000003</v>
      </c>
      <c r="I7105" s="3"/>
    </row>
    <row r="7106" spans="1:9" s="4" customFormat="1" ht="20.25" customHeight="1" x14ac:dyDescent="0.55000000000000004">
      <c r="A7106" s="18">
        <v>24.732324299999998</v>
      </c>
      <c r="B7106" s="18">
        <v>34.7782676</v>
      </c>
      <c r="C7106" s="18">
        <v>679850.18</v>
      </c>
      <c r="D7106" s="18">
        <v>2736476.87</v>
      </c>
      <c r="E7106" s="18">
        <v>398.23</v>
      </c>
      <c r="F7106" s="18">
        <v>41712.19</v>
      </c>
      <c r="G7106" s="18">
        <v>124230</v>
      </c>
      <c r="H7106" s="18">
        <f t="shared" si="163"/>
        <v>41562.19</v>
      </c>
      <c r="I7106" s="3"/>
    </row>
    <row r="7107" spans="1:9" s="4" customFormat="1" ht="20.25" customHeight="1" x14ac:dyDescent="0.55000000000000004">
      <c r="A7107" s="18">
        <v>24.732303099999999</v>
      </c>
      <c r="B7107" s="18">
        <v>34.778275899999997</v>
      </c>
      <c r="C7107" s="18">
        <v>679851.04</v>
      </c>
      <c r="D7107" s="18">
        <v>2736474.53</v>
      </c>
      <c r="E7107" s="18">
        <v>398.08</v>
      </c>
      <c r="F7107" s="18">
        <v>41714.26</v>
      </c>
      <c r="G7107" s="18">
        <v>124232</v>
      </c>
      <c r="H7107" s="18">
        <f t="shared" si="163"/>
        <v>41564.26</v>
      </c>
      <c r="I7107" s="3"/>
    </row>
    <row r="7108" spans="1:9" s="4" customFormat="1" ht="20.25" customHeight="1" x14ac:dyDescent="0.55000000000000004">
      <c r="A7108" s="18">
        <v>24.732280599999999</v>
      </c>
      <c r="B7108" s="18">
        <v>34.778283899999998</v>
      </c>
      <c r="C7108" s="18">
        <v>679851.89</v>
      </c>
      <c r="D7108" s="18">
        <v>2736472.05</v>
      </c>
      <c r="E7108" s="18">
        <v>397.92</v>
      </c>
      <c r="F7108" s="18">
        <v>41713.89</v>
      </c>
      <c r="G7108" s="18">
        <v>124234</v>
      </c>
      <c r="H7108" s="18">
        <f t="shared" si="163"/>
        <v>41563.89</v>
      </c>
      <c r="I7108" s="3"/>
    </row>
    <row r="7109" spans="1:9" s="4" customFormat="1" ht="20.25" customHeight="1" x14ac:dyDescent="0.55000000000000004">
      <c r="A7109" s="18">
        <v>24.7322579</v>
      </c>
      <c r="B7109" s="18">
        <v>34.778290900000002</v>
      </c>
      <c r="C7109" s="18">
        <v>679852.63</v>
      </c>
      <c r="D7109" s="18">
        <v>2736469.54</v>
      </c>
      <c r="E7109" s="18">
        <v>397.92</v>
      </c>
      <c r="F7109" s="18">
        <v>41714.11</v>
      </c>
      <c r="G7109" s="18">
        <v>124236</v>
      </c>
      <c r="H7109" s="18">
        <f t="shared" si="163"/>
        <v>41564.11</v>
      </c>
      <c r="I7109" s="3"/>
    </row>
    <row r="7110" spans="1:9" s="4" customFormat="1" ht="20.25" customHeight="1" x14ac:dyDescent="0.55000000000000004">
      <c r="A7110" s="18">
        <v>24.7322354</v>
      </c>
      <c r="B7110" s="18">
        <v>34.778300000000002</v>
      </c>
      <c r="C7110" s="18">
        <v>679853.58</v>
      </c>
      <c r="D7110" s="18">
        <v>2736467.07</v>
      </c>
      <c r="E7110" s="18">
        <v>397.72</v>
      </c>
      <c r="F7110" s="18">
        <v>41714.78</v>
      </c>
      <c r="G7110" s="18">
        <v>124238</v>
      </c>
      <c r="H7110" s="18">
        <f t="shared" si="163"/>
        <v>41564.78</v>
      </c>
      <c r="I7110" s="3"/>
    </row>
    <row r="7111" spans="1:9" s="4" customFormat="1" ht="20.25" customHeight="1" x14ac:dyDescent="0.55000000000000004">
      <c r="A7111" s="18">
        <v>24.732213399999999</v>
      </c>
      <c r="B7111" s="18">
        <v>34.778309800000002</v>
      </c>
      <c r="C7111" s="18">
        <v>679854.61</v>
      </c>
      <c r="D7111" s="18">
        <v>2736464.63</v>
      </c>
      <c r="E7111" s="18">
        <v>397.58</v>
      </c>
      <c r="F7111" s="18">
        <v>41714.339999999997</v>
      </c>
      <c r="G7111" s="18">
        <v>124240</v>
      </c>
      <c r="H7111" s="18">
        <f t="shared" si="163"/>
        <v>41564.339999999997</v>
      </c>
      <c r="I7111" s="3"/>
    </row>
    <row r="7112" spans="1:9" s="4" customFormat="1" ht="20.25" customHeight="1" x14ac:dyDescent="0.55000000000000004">
      <c r="A7112" s="18">
        <v>24.732195600000001</v>
      </c>
      <c r="B7112" s="18">
        <v>34.778325700000003</v>
      </c>
      <c r="C7112" s="18">
        <v>679856.24</v>
      </c>
      <c r="D7112" s="18">
        <v>2736462.69</v>
      </c>
      <c r="E7112" s="18">
        <v>397.59</v>
      </c>
      <c r="F7112" s="18">
        <v>41713.99</v>
      </c>
      <c r="G7112" s="18">
        <v>124242</v>
      </c>
      <c r="H7112" s="18">
        <f t="shared" si="163"/>
        <v>41563.99</v>
      </c>
      <c r="I7112" s="3"/>
    </row>
    <row r="7113" spans="1:9" s="4" customFormat="1" ht="20.25" customHeight="1" x14ac:dyDescent="0.55000000000000004">
      <c r="A7113" s="18">
        <v>24.732181600000001</v>
      </c>
      <c r="B7113" s="18">
        <v>34.7783467</v>
      </c>
      <c r="C7113" s="18">
        <v>679858.38</v>
      </c>
      <c r="D7113" s="18">
        <v>2736461.17</v>
      </c>
      <c r="E7113" s="18">
        <v>397.44</v>
      </c>
      <c r="F7113" s="18">
        <v>41714.589999999997</v>
      </c>
      <c r="G7113" s="18">
        <v>124244</v>
      </c>
      <c r="H7113" s="18">
        <f t="shared" si="163"/>
        <v>41564.589999999997</v>
      </c>
      <c r="I7113" s="3"/>
    </row>
    <row r="7114" spans="1:9" s="4" customFormat="1" ht="20.25" customHeight="1" x14ac:dyDescent="0.55000000000000004">
      <c r="A7114" s="18">
        <v>24.732167700000002</v>
      </c>
      <c r="B7114" s="18">
        <v>34.778367500000002</v>
      </c>
      <c r="C7114" s="18">
        <v>679860.51</v>
      </c>
      <c r="D7114" s="18">
        <v>2736459.66</v>
      </c>
      <c r="E7114" s="18">
        <v>397.29</v>
      </c>
      <c r="F7114" s="18">
        <v>41713.730000000003</v>
      </c>
      <c r="G7114" s="18">
        <v>124246</v>
      </c>
      <c r="H7114" s="18">
        <f t="shared" si="163"/>
        <v>41563.730000000003</v>
      </c>
      <c r="I7114" s="3"/>
    </row>
    <row r="7115" spans="1:9" s="4" customFormat="1" ht="20.25" customHeight="1" x14ac:dyDescent="0.55000000000000004">
      <c r="A7115" s="18">
        <v>24.7321545</v>
      </c>
      <c r="B7115" s="18">
        <v>34.778390000000002</v>
      </c>
      <c r="C7115" s="18">
        <v>679862.8</v>
      </c>
      <c r="D7115" s="18">
        <v>2736458.23</v>
      </c>
      <c r="E7115" s="18">
        <v>397.22</v>
      </c>
      <c r="F7115" s="18">
        <v>41715.08</v>
      </c>
      <c r="G7115" s="18">
        <v>124248</v>
      </c>
      <c r="H7115" s="18">
        <f t="shared" si="163"/>
        <v>41565.08</v>
      </c>
      <c r="I7115" s="3"/>
    </row>
    <row r="7116" spans="1:9" s="4" customFormat="1" ht="20.25" customHeight="1" x14ac:dyDescent="0.55000000000000004">
      <c r="A7116" s="18">
        <v>24.7321417</v>
      </c>
      <c r="B7116" s="18">
        <v>34.7784136</v>
      </c>
      <c r="C7116" s="18">
        <v>679865.21</v>
      </c>
      <c r="D7116" s="18">
        <v>2736456.83</v>
      </c>
      <c r="E7116" s="18">
        <v>397.19</v>
      </c>
      <c r="F7116" s="18">
        <v>41714.71</v>
      </c>
      <c r="G7116" s="18">
        <v>124250</v>
      </c>
      <c r="H7116" s="18">
        <f t="shared" si="163"/>
        <v>41564.71</v>
      </c>
      <c r="I7116" s="3"/>
    </row>
    <row r="7117" spans="1:9" s="4" customFormat="1" ht="20.25" customHeight="1" x14ac:dyDescent="0.55000000000000004">
      <c r="A7117" s="18">
        <v>24.732131299999999</v>
      </c>
      <c r="B7117" s="18">
        <v>34.778435799999997</v>
      </c>
      <c r="C7117" s="18">
        <v>679867.47</v>
      </c>
      <c r="D7117" s="18">
        <v>2736455.71</v>
      </c>
      <c r="E7117" s="18">
        <v>397.06</v>
      </c>
      <c r="F7117" s="18">
        <v>41715.64</v>
      </c>
      <c r="G7117" s="18">
        <v>124252</v>
      </c>
      <c r="H7117" s="18">
        <f t="shared" si="163"/>
        <v>41565.64</v>
      </c>
      <c r="I7117" s="3"/>
    </row>
    <row r="7118" spans="1:9" s="4" customFormat="1" ht="20.25" customHeight="1" x14ac:dyDescent="0.55000000000000004">
      <c r="A7118" s="18">
        <v>24.732120500000001</v>
      </c>
      <c r="B7118" s="18">
        <v>34.778459599999998</v>
      </c>
      <c r="C7118" s="18">
        <v>679869.89</v>
      </c>
      <c r="D7118" s="18">
        <v>2736454.55</v>
      </c>
      <c r="E7118" s="18">
        <v>396.94</v>
      </c>
      <c r="F7118" s="18">
        <v>41712.410000000003</v>
      </c>
      <c r="G7118" s="18">
        <v>124254</v>
      </c>
      <c r="H7118" s="18">
        <f t="shared" si="163"/>
        <v>41562.410000000003</v>
      </c>
      <c r="I7118" s="3"/>
    </row>
    <row r="7119" spans="1:9" s="4" customFormat="1" ht="20.25" customHeight="1" x14ac:dyDescent="0.55000000000000004">
      <c r="A7119" s="18">
        <v>24.732120599999998</v>
      </c>
      <c r="B7119" s="18">
        <v>34.778486100000002</v>
      </c>
      <c r="C7119" s="18">
        <v>679872.57</v>
      </c>
      <c r="D7119" s="18">
        <v>2736454.59</v>
      </c>
      <c r="E7119" s="18">
        <v>396.87</v>
      </c>
      <c r="F7119" s="18">
        <v>41713.949999999997</v>
      </c>
      <c r="G7119" s="18">
        <v>124256</v>
      </c>
      <c r="H7119" s="18">
        <f t="shared" si="163"/>
        <v>41563.949999999997</v>
      </c>
      <c r="I7119" s="3"/>
    </row>
    <row r="7120" spans="1:9" s="4" customFormat="1" ht="20.25" customHeight="1" x14ac:dyDescent="0.55000000000000004">
      <c r="A7120" s="18">
        <v>24.732122100000002</v>
      </c>
      <c r="B7120" s="18">
        <v>34.778511199999997</v>
      </c>
      <c r="C7120" s="18">
        <v>679875.11</v>
      </c>
      <c r="D7120" s="18">
        <v>2736454.79</v>
      </c>
      <c r="E7120" s="18">
        <v>396.78</v>
      </c>
      <c r="F7120" s="18">
        <v>41714.129999999997</v>
      </c>
      <c r="G7120" s="18">
        <v>124258</v>
      </c>
      <c r="H7120" s="18">
        <f t="shared" si="163"/>
        <v>41564.129999999997</v>
      </c>
      <c r="I7120" s="3"/>
    </row>
    <row r="7121" spans="1:9" s="4" customFormat="1" ht="20.25" customHeight="1" x14ac:dyDescent="0.55000000000000004">
      <c r="A7121" s="18">
        <v>24.732123000000001</v>
      </c>
      <c r="B7121" s="18">
        <v>34.778537100000001</v>
      </c>
      <c r="C7121" s="18">
        <v>679877.73</v>
      </c>
      <c r="D7121" s="18">
        <v>2736454.92</v>
      </c>
      <c r="E7121" s="18">
        <v>396.6</v>
      </c>
      <c r="F7121" s="18">
        <v>41716.39</v>
      </c>
      <c r="G7121" s="18">
        <v>124300</v>
      </c>
      <c r="H7121" s="18">
        <f t="shared" si="163"/>
        <v>41566.39</v>
      </c>
      <c r="I7121" s="3"/>
    </row>
    <row r="7122" spans="1:9" s="4" customFormat="1" ht="20.25" customHeight="1" x14ac:dyDescent="0.55000000000000004">
      <c r="A7122" s="18">
        <v>24.7321238</v>
      </c>
      <c r="B7122" s="18">
        <v>34.778562200000003</v>
      </c>
      <c r="C7122" s="18">
        <v>679880.26</v>
      </c>
      <c r="D7122" s="18">
        <v>2736455.04</v>
      </c>
      <c r="E7122" s="18">
        <v>396.53</v>
      </c>
      <c r="F7122" s="18">
        <v>41715.56</v>
      </c>
      <c r="G7122" s="18">
        <v>124302</v>
      </c>
      <c r="H7122" s="18">
        <f t="shared" si="163"/>
        <v>41565.56</v>
      </c>
      <c r="I7122" s="3"/>
    </row>
    <row r="7123" spans="1:9" s="4" customFormat="1" ht="20.25" customHeight="1" x14ac:dyDescent="0.55000000000000004">
      <c r="A7123" s="18">
        <v>24.732120999999999</v>
      </c>
      <c r="B7123" s="18">
        <v>34.778590000000001</v>
      </c>
      <c r="C7123" s="18">
        <v>679883.09</v>
      </c>
      <c r="D7123" s="18">
        <v>2736454.77</v>
      </c>
      <c r="E7123" s="18">
        <v>396.47</v>
      </c>
      <c r="F7123" s="18">
        <v>41714.33</v>
      </c>
      <c r="G7123" s="18">
        <v>124304</v>
      </c>
      <c r="H7123" s="18">
        <f t="shared" si="163"/>
        <v>41564.33</v>
      </c>
      <c r="I7123" s="3"/>
    </row>
    <row r="7124" spans="1:9" s="4" customFormat="1" ht="20.25" customHeight="1" x14ac:dyDescent="0.55000000000000004">
      <c r="A7124" s="18">
        <v>24.732119399999998</v>
      </c>
      <c r="B7124" s="18">
        <v>34.778616999999997</v>
      </c>
      <c r="C7124" s="18">
        <v>679885.82</v>
      </c>
      <c r="D7124" s="18">
        <v>2736454.63</v>
      </c>
      <c r="E7124" s="18">
        <v>396.44</v>
      </c>
      <c r="F7124" s="18">
        <v>41716.06</v>
      </c>
      <c r="G7124" s="18">
        <v>124306</v>
      </c>
      <c r="H7124" s="18">
        <f t="shared" si="163"/>
        <v>41566.06</v>
      </c>
      <c r="I7124" s="3"/>
    </row>
    <row r="7125" spans="1:9" s="4" customFormat="1" ht="20.25" customHeight="1" x14ac:dyDescent="0.55000000000000004">
      <c r="A7125" s="18">
        <v>24.732112799999999</v>
      </c>
      <c r="B7125" s="18">
        <v>34.778641499999999</v>
      </c>
      <c r="C7125" s="18">
        <v>679888.3</v>
      </c>
      <c r="D7125" s="18">
        <v>2736453.93</v>
      </c>
      <c r="E7125" s="18">
        <v>396.45</v>
      </c>
      <c r="F7125" s="18">
        <v>41714.589999999997</v>
      </c>
      <c r="G7125" s="18">
        <v>124308</v>
      </c>
      <c r="H7125" s="18">
        <f t="shared" si="163"/>
        <v>41564.589999999997</v>
      </c>
      <c r="I7125" s="3"/>
    </row>
    <row r="7126" spans="1:9" s="4" customFormat="1" ht="20.25" customHeight="1" x14ac:dyDescent="0.55000000000000004">
      <c r="A7126" s="18">
        <v>24.7321046</v>
      </c>
      <c r="B7126" s="18">
        <v>34.778664800000001</v>
      </c>
      <c r="C7126" s="18">
        <v>679890.67</v>
      </c>
      <c r="D7126" s="18">
        <v>2736453.05</v>
      </c>
      <c r="E7126" s="18">
        <v>396.44</v>
      </c>
      <c r="F7126" s="18">
        <v>41713.050000000003</v>
      </c>
      <c r="G7126" s="18">
        <v>124310</v>
      </c>
      <c r="H7126" s="18">
        <f t="shared" si="163"/>
        <v>41563.050000000003</v>
      </c>
      <c r="I7126" s="3"/>
    </row>
    <row r="7127" spans="1:9" s="4" customFormat="1" ht="20.25" customHeight="1" x14ac:dyDescent="0.55000000000000004">
      <c r="A7127" s="18">
        <v>24.732100899999999</v>
      </c>
      <c r="B7127" s="18">
        <v>34.778690599999997</v>
      </c>
      <c r="C7127" s="18">
        <v>679893.29</v>
      </c>
      <c r="D7127" s="18">
        <v>2736452.69</v>
      </c>
      <c r="E7127" s="18">
        <v>396.31</v>
      </c>
      <c r="F7127" s="18">
        <v>41715.980000000003</v>
      </c>
      <c r="G7127" s="18">
        <v>124312</v>
      </c>
      <c r="H7127" s="18">
        <f t="shared" si="163"/>
        <v>41565.980000000003</v>
      </c>
      <c r="I7127" s="3"/>
    </row>
    <row r="7128" spans="1:9" s="4" customFormat="1" ht="20.25" customHeight="1" x14ac:dyDescent="0.55000000000000004">
      <c r="A7128" s="18">
        <v>24.7320943</v>
      </c>
      <c r="B7128" s="18">
        <v>34.778716099999997</v>
      </c>
      <c r="C7128" s="18">
        <v>679895.88</v>
      </c>
      <c r="D7128" s="18">
        <v>2736451.98</v>
      </c>
      <c r="E7128" s="18">
        <v>396.25</v>
      </c>
      <c r="F7128" s="18">
        <v>41715.379999999997</v>
      </c>
      <c r="G7128" s="18">
        <v>124314</v>
      </c>
      <c r="H7128" s="18">
        <f t="shared" si="163"/>
        <v>41565.379999999997</v>
      </c>
      <c r="I7128" s="3"/>
    </row>
    <row r="7129" spans="1:9" s="4" customFormat="1" ht="20.25" customHeight="1" x14ac:dyDescent="0.55000000000000004">
      <c r="A7129" s="18">
        <v>24.732085399999999</v>
      </c>
      <c r="B7129" s="18">
        <v>34.778738300000001</v>
      </c>
      <c r="C7129" s="18">
        <v>679898.14</v>
      </c>
      <c r="D7129" s="18">
        <v>2736451.03</v>
      </c>
      <c r="E7129" s="18">
        <v>396.24</v>
      </c>
      <c r="F7129" s="18">
        <v>41712.53</v>
      </c>
      <c r="G7129" s="18">
        <v>124316</v>
      </c>
      <c r="H7129" s="18">
        <f t="shared" si="163"/>
        <v>41562.53</v>
      </c>
      <c r="I7129" s="3"/>
    </row>
    <row r="7130" spans="1:9" s="4" customFormat="1" ht="20.25" customHeight="1" x14ac:dyDescent="0.55000000000000004">
      <c r="A7130" s="18">
        <v>24.732072599999999</v>
      </c>
      <c r="B7130" s="18">
        <v>34.778759700000002</v>
      </c>
      <c r="C7130" s="18">
        <v>679900.32</v>
      </c>
      <c r="D7130" s="18">
        <v>2736449.63</v>
      </c>
      <c r="E7130" s="18">
        <v>396.15</v>
      </c>
      <c r="F7130" s="18">
        <v>41709.99</v>
      </c>
      <c r="G7130" s="18">
        <v>124318</v>
      </c>
      <c r="H7130" s="18">
        <f t="shared" si="163"/>
        <v>41559.99</v>
      </c>
      <c r="I7130" s="3"/>
    </row>
    <row r="7131" spans="1:9" s="4" customFormat="1" ht="20.25" customHeight="1" x14ac:dyDescent="0.55000000000000004">
      <c r="A7131" s="18">
        <v>24.732057300000001</v>
      </c>
      <c r="B7131" s="18">
        <v>34.778779900000004</v>
      </c>
      <c r="C7131" s="18">
        <v>679902.39</v>
      </c>
      <c r="D7131" s="18">
        <v>2736447.97</v>
      </c>
      <c r="E7131" s="18">
        <v>396.17</v>
      </c>
      <c r="F7131" s="18">
        <v>41710.629999999997</v>
      </c>
      <c r="G7131" s="18">
        <v>124320</v>
      </c>
      <c r="H7131" s="18">
        <f t="shared" si="163"/>
        <v>41560.629999999997</v>
      </c>
      <c r="I7131" s="3"/>
    </row>
    <row r="7132" spans="1:9" s="4" customFormat="1" ht="20.25" customHeight="1" x14ac:dyDescent="0.55000000000000004">
      <c r="A7132" s="18">
        <v>24.732041899999999</v>
      </c>
      <c r="B7132" s="18">
        <v>34.778797099999998</v>
      </c>
      <c r="C7132" s="18">
        <v>679904.15</v>
      </c>
      <c r="D7132" s="18">
        <v>2736446.29</v>
      </c>
      <c r="E7132" s="18">
        <v>396.16</v>
      </c>
      <c r="F7132" s="18">
        <v>41711.53</v>
      </c>
      <c r="G7132" s="18">
        <v>124322</v>
      </c>
      <c r="H7132" s="18">
        <f t="shared" si="163"/>
        <v>41561.53</v>
      </c>
      <c r="I7132" s="3"/>
    </row>
    <row r="7133" spans="1:9" s="4" customFormat="1" ht="20.25" customHeight="1" x14ac:dyDescent="0.55000000000000004">
      <c r="A7133" s="18">
        <v>24.732023600000002</v>
      </c>
      <c r="B7133" s="18">
        <v>34.778817199999999</v>
      </c>
      <c r="C7133" s="18">
        <v>679906.21</v>
      </c>
      <c r="D7133" s="18">
        <v>2736444.29</v>
      </c>
      <c r="E7133" s="18">
        <v>395.84</v>
      </c>
      <c r="F7133" s="18">
        <v>41712.199999999997</v>
      </c>
      <c r="G7133" s="18">
        <v>124324</v>
      </c>
      <c r="H7133" s="18">
        <f t="shared" si="163"/>
        <v>41562.199999999997</v>
      </c>
      <c r="I7133" s="3"/>
    </row>
    <row r="7134" spans="1:9" s="4" customFormat="1" ht="20.25" customHeight="1" x14ac:dyDescent="0.55000000000000004">
      <c r="A7134" s="18">
        <v>24.732007100000001</v>
      </c>
      <c r="B7134" s="18">
        <v>34.778834000000003</v>
      </c>
      <c r="C7134" s="18">
        <v>679907.93</v>
      </c>
      <c r="D7134" s="18">
        <v>2736442.47</v>
      </c>
      <c r="E7134" s="18">
        <v>396.06</v>
      </c>
      <c r="F7134" s="18">
        <v>41711.89</v>
      </c>
      <c r="G7134" s="18">
        <v>124326</v>
      </c>
      <c r="H7134" s="18">
        <f t="shared" si="163"/>
        <v>41561.89</v>
      </c>
      <c r="I7134" s="3"/>
    </row>
    <row r="7135" spans="1:9" s="4" customFormat="1" ht="20.25" customHeight="1" x14ac:dyDescent="0.55000000000000004">
      <c r="A7135" s="18">
        <v>24.7319891</v>
      </c>
      <c r="B7135" s="18">
        <v>34.7788453</v>
      </c>
      <c r="C7135" s="18">
        <v>679909.1</v>
      </c>
      <c r="D7135" s="18">
        <v>2736440.5</v>
      </c>
      <c r="E7135" s="18">
        <v>396.11</v>
      </c>
      <c r="F7135" s="18">
        <v>41709.9</v>
      </c>
      <c r="G7135" s="18">
        <v>124328</v>
      </c>
      <c r="H7135" s="18">
        <f t="shared" si="163"/>
        <v>41559.9</v>
      </c>
      <c r="I7135" s="3"/>
    </row>
    <row r="7136" spans="1:9" s="4" customFormat="1" ht="20.25" customHeight="1" x14ac:dyDescent="0.55000000000000004">
      <c r="A7136" s="18">
        <v>24.731971399999999</v>
      </c>
      <c r="B7136" s="18">
        <v>34.778860399999999</v>
      </c>
      <c r="C7136" s="18">
        <v>679910.65</v>
      </c>
      <c r="D7136" s="18">
        <v>2736438.56</v>
      </c>
      <c r="E7136" s="18">
        <v>395.92</v>
      </c>
      <c r="F7136" s="18">
        <v>41708.92</v>
      </c>
      <c r="G7136" s="18">
        <v>124330</v>
      </c>
      <c r="H7136" s="18">
        <f t="shared" si="163"/>
        <v>41558.92</v>
      </c>
      <c r="I7136" s="3"/>
    </row>
    <row r="7137" spans="1:9" s="4" customFormat="1" ht="20.25" customHeight="1" x14ac:dyDescent="0.55000000000000004">
      <c r="A7137" s="18">
        <v>24.731953900000001</v>
      </c>
      <c r="B7137" s="18">
        <v>34.778877100000003</v>
      </c>
      <c r="C7137" s="18">
        <v>679912.37</v>
      </c>
      <c r="D7137" s="18">
        <v>2736436.64</v>
      </c>
      <c r="E7137" s="18">
        <v>395.91</v>
      </c>
      <c r="F7137" s="18">
        <v>41708.17</v>
      </c>
      <c r="G7137" s="18">
        <v>124332</v>
      </c>
      <c r="H7137" s="18">
        <f t="shared" si="163"/>
        <v>41558.17</v>
      </c>
      <c r="I7137" s="3"/>
    </row>
    <row r="7138" spans="1:9" s="4" customFormat="1" ht="20.25" customHeight="1" x14ac:dyDescent="0.55000000000000004">
      <c r="A7138" s="18">
        <v>24.731938599999999</v>
      </c>
      <c r="B7138" s="18">
        <v>34.778896699999997</v>
      </c>
      <c r="C7138" s="18">
        <v>679914.37</v>
      </c>
      <c r="D7138" s="18">
        <v>2736434.98</v>
      </c>
      <c r="E7138" s="18">
        <v>395.9</v>
      </c>
      <c r="F7138" s="18">
        <v>41708.550000000003</v>
      </c>
      <c r="G7138" s="18">
        <v>124334</v>
      </c>
      <c r="H7138" s="18">
        <f t="shared" si="163"/>
        <v>41558.550000000003</v>
      </c>
      <c r="I7138" s="3"/>
    </row>
    <row r="7139" spans="1:9" s="4" customFormat="1" ht="20.25" customHeight="1" x14ac:dyDescent="0.55000000000000004">
      <c r="A7139" s="18">
        <v>24.731922300000001</v>
      </c>
      <c r="B7139" s="18">
        <v>34.778914499999999</v>
      </c>
      <c r="C7139" s="18">
        <v>679916.19</v>
      </c>
      <c r="D7139" s="18">
        <v>2736433.19</v>
      </c>
      <c r="E7139" s="18">
        <v>395.73</v>
      </c>
      <c r="F7139" s="18">
        <v>41710.06</v>
      </c>
      <c r="G7139" s="18">
        <v>124336</v>
      </c>
      <c r="H7139" s="18">
        <f t="shared" si="163"/>
        <v>41560.06</v>
      </c>
      <c r="I7139" s="3"/>
    </row>
    <row r="7140" spans="1:9" s="4" customFormat="1" ht="20.25" customHeight="1" x14ac:dyDescent="0.55000000000000004">
      <c r="A7140" s="18">
        <v>24.731905000000001</v>
      </c>
      <c r="B7140" s="18">
        <v>34.778931499999999</v>
      </c>
      <c r="C7140" s="18">
        <v>679917.94</v>
      </c>
      <c r="D7140" s="18">
        <v>2736431.3</v>
      </c>
      <c r="E7140" s="18">
        <v>395.59</v>
      </c>
      <c r="F7140" s="18">
        <v>41711.74</v>
      </c>
      <c r="G7140" s="18">
        <v>124338</v>
      </c>
      <c r="H7140" s="18">
        <f t="shared" si="163"/>
        <v>41561.74</v>
      </c>
      <c r="I7140" s="3"/>
    </row>
    <row r="7141" spans="1:9" s="4" customFormat="1" ht="20.25" customHeight="1" x14ac:dyDescent="0.55000000000000004">
      <c r="A7141" s="18">
        <v>24.731885500000001</v>
      </c>
      <c r="B7141" s="18">
        <v>34.778943200000001</v>
      </c>
      <c r="C7141" s="18">
        <v>679919.15</v>
      </c>
      <c r="D7141" s="18">
        <v>2736429.15</v>
      </c>
      <c r="E7141" s="18">
        <v>395.54</v>
      </c>
      <c r="F7141" s="18">
        <v>41708.61</v>
      </c>
      <c r="G7141" s="18">
        <v>124340</v>
      </c>
      <c r="H7141" s="18">
        <f t="shared" si="163"/>
        <v>41558.61</v>
      </c>
      <c r="I7141" s="3"/>
    </row>
    <row r="7142" spans="1:9" s="4" customFormat="1" ht="20.25" customHeight="1" x14ac:dyDescent="0.55000000000000004">
      <c r="A7142" s="18">
        <v>24.731868899999998</v>
      </c>
      <c r="B7142" s="18">
        <v>34.778959299999997</v>
      </c>
      <c r="C7142" s="18">
        <v>679920.81</v>
      </c>
      <c r="D7142" s="18">
        <v>2736427.33</v>
      </c>
      <c r="E7142" s="18">
        <v>395.46</v>
      </c>
      <c r="F7142" s="18">
        <v>41710.04</v>
      </c>
      <c r="G7142" s="18">
        <v>124342</v>
      </c>
      <c r="H7142" s="18">
        <f t="shared" si="163"/>
        <v>41560.04</v>
      </c>
      <c r="I7142" s="3"/>
    </row>
    <row r="7143" spans="1:9" s="4" customFormat="1" ht="20.25" customHeight="1" x14ac:dyDescent="0.55000000000000004">
      <c r="A7143" s="18">
        <v>24.731849700000001</v>
      </c>
      <c r="B7143" s="18">
        <v>34.778975500000001</v>
      </c>
      <c r="C7143" s="18">
        <v>679922.47</v>
      </c>
      <c r="D7143" s="18">
        <v>2736425.23</v>
      </c>
      <c r="E7143" s="18">
        <v>395.37</v>
      </c>
      <c r="F7143" s="18">
        <v>41710.129999999997</v>
      </c>
      <c r="G7143" s="18">
        <v>124344</v>
      </c>
      <c r="H7143" s="18">
        <f t="shared" si="163"/>
        <v>41560.129999999997</v>
      </c>
      <c r="I7143" s="3"/>
    </row>
    <row r="7144" spans="1:9" s="4" customFormat="1" ht="20.25" customHeight="1" x14ac:dyDescent="0.55000000000000004">
      <c r="A7144" s="18">
        <v>24.731831199999998</v>
      </c>
      <c r="B7144" s="18">
        <v>34.778994400000002</v>
      </c>
      <c r="C7144" s="18">
        <v>679924.41</v>
      </c>
      <c r="D7144" s="18">
        <v>2736423.2</v>
      </c>
      <c r="E7144" s="18">
        <v>395.22</v>
      </c>
      <c r="F7144" s="18">
        <v>41709.910000000003</v>
      </c>
      <c r="G7144" s="18">
        <v>124346</v>
      </c>
      <c r="H7144" s="18">
        <f t="shared" si="163"/>
        <v>41559.910000000003</v>
      </c>
      <c r="I7144" s="3"/>
    </row>
    <row r="7145" spans="1:9" s="4" customFormat="1" ht="20.25" customHeight="1" x14ac:dyDescent="0.55000000000000004">
      <c r="A7145" s="18">
        <v>24.731812099999999</v>
      </c>
      <c r="B7145" s="18">
        <v>34.779011300000001</v>
      </c>
      <c r="C7145" s="18">
        <v>679926.15</v>
      </c>
      <c r="D7145" s="18">
        <v>2736421.12</v>
      </c>
      <c r="E7145" s="18">
        <v>395.15</v>
      </c>
      <c r="F7145" s="18">
        <v>41714.120000000003</v>
      </c>
      <c r="G7145" s="18">
        <v>124348</v>
      </c>
      <c r="H7145" s="18">
        <f t="shared" si="163"/>
        <v>41564.120000000003</v>
      </c>
      <c r="I7145" s="3"/>
    </row>
    <row r="7146" spans="1:9" s="4" customFormat="1" ht="20.25" customHeight="1" x14ac:dyDescent="0.55000000000000004">
      <c r="A7146" s="18">
        <v>24.731792200000001</v>
      </c>
      <c r="B7146" s="18">
        <v>34.779028099999998</v>
      </c>
      <c r="C7146" s="18">
        <v>679927.88</v>
      </c>
      <c r="D7146" s="18">
        <v>2736418.93</v>
      </c>
      <c r="E7146" s="18">
        <v>395.06</v>
      </c>
      <c r="F7146" s="18">
        <v>41708.800000000003</v>
      </c>
      <c r="G7146" s="18">
        <v>124350</v>
      </c>
      <c r="H7146" s="18">
        <f t="shared" ref="H7146:H7209" si="164">SUM(F7146-150)</f>
        <v>41558.800000000003</v>
      </c>
      <c r="I7146" s="3"/>
    </row>
    <row r="7147" spans="1:9" s="4" customFormat="1" ht="20.25" customHeight="1" x14ac:dyDescent="0.55000000000000004">
      <c r="A7147" s="18">
        <v>24.731773499999999</v>
      </c>
      <c r="B7147" s="18">
        <v>34.7790441</v>
      </c>
      <c r="C7147" s="18">
        <v>679929.52</v>
      </c>
      <c r="D7147" s="18">
        <v>2736416.89</v>
      </c>
      <c r="E7147" s="18">
        <v>394.95</v>
      </c>
      <c r="F7147" s="18">
        <v>41709.01</v>
      </c>
      <c r="G7147" s="18">
        <v>124352</v>
      </c>
      <c r="H7147" s="18">
        <f t="shared" si="164"/>
        <v>41559.01</v>
      </c>
      <c r="I7147" s="3"/>
    </row>
    <row r="7148" spans="1:9" s="4" customFormat="1" ht="20.25" customHeight="1" x14ac:dyDescent="0.55000000000000004">
      <c r="A7148" s="18">
        <v>24.731753099999999</v>
      </c>
      <c r="B7148" s="18">
        <v>34.779059599999997</v>
      </c>
      <c r="C7148" s="18">
        <v>679931.12</v>
      </c>
      <c r="D7148" s="18">
        <v>2736414.64</v>
      </c>
      <c r="E7148" s="18">
        <v>394.79</v>
      </c>
      <c r="F7148" s="18">
        <v>41707.300000000003</v>
      </c>
      <c r="G7148" s="18">
        <v>124354</v>
      </c>
      <c r="H7148" s="18">
        <f t="shared" si="164"/>
        <v>41557.300000000003</v>
      </c>
      <c r="I7148" s="3"/>
    </row>
    <row r="7149" spans="1:9" s="4" customFormat="1" ht="20.25" customHeight="1" x14ac:dyDescent="0.55000000000000004">
      <c r="A7149" s="18">
        <v>24.7317331</v>
      </c>
      <c r="B7149" s="18">
        <v>34.7790745</v>
      </c>
      <c r="C7149" s="18">
        <v>679932.66</v>
      </c>
      <c r="D7149" s="18">
        <v>2736412.44</v>
      </c>
      <c r="E7149" s="18">
        <v>394.69</v>
      </c>
      <c r="F7149" s="18">
        <v>41706.74</v>
      </c>
      <c r="G7149" s="18">
        <v>124356</v>
      </c>
      <c r="H7149" s="18">
        <f t="shared" si="164"/>
        <v>41556.74</v>
      </c>
      <c r="I7149" s="3"/>
    </row>
    <row r="7150" spans="1:9" s="4" customFormat="1" ht="20.25" customHeight="1" x14ac:dyDescent="0.55000000000000004">
      <c r="A7150" s="18">
        <v>24.731713599999999</v>
      </c>
      <c r="B7150" s="18">
        <v>34.779091899999997</v>
      </c>
      <c r="C7150" s="18">
        <v>679934.45</v>
      </c>
      <c r="D7150" s="18">
        <v>2736410.31</v>
      </c>
      <c r="E7150" s="18">
        <v>394.69</v>
      </c>
      <c r="F7150" s="18">
        <v>41708.980000000003</v>
      </c>
      <c r="G7150" s="18">
        <v>124358</v>
      </c>
      <c r="H7150" s="18">
        <f t="shared" si="164"/>
        <v>41558.980000000003</v>
      </c>
      <c r="I7150" s="3"/>
    </row>
    <row r="7151" spans="1:9" s="4" customFormat="1" ht="20.25" customHeight="1" x14ac:dyDescent="0.55000000000000004">
      <c r="A7151" s="18">
        <v>24.7316945</v>
      </c>
      <c r="B7151" s="18">
        <v>34.779108100000002</v>
      </c>
      <c r="C7151" s="18">
        <v>679936.11</v>
      </c>
      <c r="D7151" s="18">
        <v>2736408.21</v>
      </c>
      <c r="E7151" s="18">
        <v>394.61</v>
      </c>
      <c r="F7151" s="18">
        <v>41709.01</v>
      </c>
      <c r="G7151" s="18">
        <v>124400</v>
      </c>
      <c r="H7151" s="18">
        <f t="shared" si="164"/>
        <v>41559.01</v>
      </c>
      <c r="I7151" s="3"/>
    </row>
    <row r="7152" spans="1:9" s="4" customFormat="1" ht="20.25" customHeight="1" x14ac:dyDescent="0.55000000000000004">
      <c r="A7152" s="18">
        <v>24.731671200000001</v>
      </c>
      <c r="B7152" s="18">
        <v>34.779116600000002</v>
      </c>
      <c r="C7152" s="18">
        <v>679937</v>
      </c>
      <c r="D7152" s="18">
        <v>2736405.64</v>
      </c>
      <c r="E7152" s="18">
        <v>394.46</v>
      </c>
      <c r="F7152" s="18">
        <v>41707.94</v>
      </c>
      <c r="G7152" s="18">
        <v>124402</v>
      </c>
      <c r="H7152" s="18">
        <f t="shared" si="164"/>
        <v>41557.94</v>
      </c>
      <c r="I7152" s="3"/>
    </row>
    <row r="7153" spans="1:9" s="4" customFormat="1" ht="20.25" customHeight="1" x14ac:dyDescent="0.55000000000000004">
      <c r="A7153" s="18">
        <v>24.731648499999999</v>
      </c>
      <c r="B7153" s="18">
        <v>34.779122700000002</v>
      </c>
      <c r="C7153" s="18">
        <v>679937.66</v>
      </c>
      <c r="D7153" s="18">
        <v>2736403.14</v>
      </c>
      <c r="E7153" s="18">
        <v>394.4</v>
      </c>
      <c r="F7153" s="18">
        <v>41707.46</v>
      </c>
      <c r="G7153" s="18">
        <v>124404</v>
      </c>
      <c r="H7153" s="18">
        <f t="shared" si="164"/>
        <v>41557.46</v>
      </c>
      <c r="I7153" s="3"/>
    </row>
    <row r="7154" spans="1:9" s="4" customFormat="1" ht="20.25" customHeight="1" x14ac:dyDescent="0.55000000000000004">
      <c r="A7154" s="18">
        <v>24.7316298</v>
      </c>
      <c r="B7154" s="18">
        <v>34.779135599999996</v>
      </c>
      <c r="C7154" s="18">
        <v>679938.99</v>
      </c>
      <c r="D7154" s="18">
        <v>2736401.08</v>
      </c>
      <c r="E7154" s="18">
        <v>394.31</v>
      </c>
      <c r="F7154" s="18">
        <v>41707.51</v>
      </c>
      <c r="G7154" s="18">
        <v>124406</v>
      </c>
      <c r="H7154" s="18">
        <f t="shared" si="164"/>
        <v>41557.51</v>
      </c>
      <c r="I7154" s="3"/>
    </row>
    <row r="7155" spans="1:9" s="4" customFormat="1" ht="20.25" customHeight="1" x14ac:dyDescent="0.55000000000000004">
      <c r="A7155" s="18">
        <v>24.731613100000001</v>
      </c>
      <c r="B7155" s="18">
        <v>34.779154200000001</v>
      </c>
      <c r="C7155" s="18">
        <v>679940.89</v>
      </c>
      <c r="D7155" s="18">
        <v>2736399.26</v>
      </c>
      <c r="E7155" s="18">
        <v>394.23</v>
      </c>
      <c r="F7155" s="18">
        <v>41708.94</v>
      </c>
      <c r="G7155" s="18">
        <v>124408</v>
      </c>
      <c r="H7155" s="18">
        <f t="shared" si="164"/>
        <v>41558.94</v>
      </c>
      <c r="I7155" s="3"/>
    </row>
    <row r="7156" spans="1:9" s="4" customFormat="1" ht="20.25" customHeight="1" x14ac:dyDescent="0.55000000000000004">
      <c r="A7156" s="18">
        <v>24.731596499999998</v>
      </c>
      <c r="B7156" s="18">
        <v>34.779171099999999</v>
      </c>
      <c r="C7156" s="18">
        <v>679942.62</v>
      </c>
      <c r="D7156" s="18">
        <v>2736397.45</v>
      </c>
      <c r="E7156" s="18">
        <v>394.2</v>
      </c>
      <c r="F7156" s="18">
        <v>41704.85</v>
      </c>
      <c r="G7156" s="18">
        <v>124410</v>
      </c>
      <c r="H7156" s="18">
        <f t="shared" si="164"/>
        <v>41554.85</v>
      </c>
      <c r="I7156" s="3"/>
    </row>
    <row r="7157" spans="1:9" s="4" customFormat="1" ht="20.25" customHeight="1" x14ac:dyDescent="0.55000000000000004">
      <c r="A7157" s="18">
        <v>24.731582100000001</v>
      </c>
      <c r="B7157" s="18">
        <v>34.77919</v>
      </c>
      <c r="C7157" s="18">
        <v>679944.55</v>
      </c>
      <c r="D7157" s="18">
        <v>2736395.88</v>
      </c>
      <c r="E7157" s="18">
        <v>394.21</v>
      </c>
      <c r="F7157" s="18">
        <v>41704.67</v>
      </c>
      <c r="G7157" s="18">
        <v>124412</v>
      </c>
      <c r="H7157" s="18">
        <f t="shared" si="164"/>
        <v>41554.67</v>
      </c>
      <c r="I7157" s="3"/>
    </row>
    <row r="7158" spans="1:9" s="4" customFormat="1" ht="20.25" customHeight="1" x14ac:dyDescent="0.55000000000000004">
      <c r="A7158" s="18">
        <v>24.731572400000001</v>
      </c>
      <c r="B7158" s="18">
        <v>34.779212600000001</v>
      </c>
      <c r="C7158" s="18">
        <v>679946.85</v>
      </c>
      <c r="D7158" s="18">
        <v>2736394.83</v>
      </c>
      <c r="E7158" s="18">
        <v>394.07</v>
      </c>
      <c r="F7158" s="18">
        <v>41706.51</v>
      </c>
      <c r="G7158" s="18">
        <v>124414</v>
      </c>
      <c r="H7158" s="18">
        <f t="shared" si="164"/>
        <v>41556.51</v>
      </c>
      <c r="I7158" s="3"/>
    </row>
    <row r="7159" spans="1:9" s="4" customFormat="1" ht="20.25" customHeight="1" x14ac:dyDescent="0.55000000000000004">
      <c r="A7159" s="18">
        <v>24.731564599999999</v>
      </c>
      <c r="B7159" s="18">
        <v>34.779237199999997</v>
      </c>
      <c r="C7159" s="18">
        <v>679949.36</v>
      </c>
      <c r="D7159" s="18">
        <v>2736394</v>
      </c>
      <c r="E7159" s="18">
        <v>394.05</v>
      </c>
      <c r="F7159" s="18">
        <v>41704.44</v>
      </c>
      <c r="G7159" s="18">
        <v>124416</v>
      </c>
      <c r="H7159" s="18">
        <f t="shared" si="164"/>
        <v>41554.44</v>
      </c>
      <c r="I7159" s="3"/>
    </row>
    <row r="7160" spans="1:9" s="4" customFormat="1" ht="20.25" customHeight="1" x14ac:dyDescent="0.55000000000000004">
      <c r="A7160" s="18">
        <v>24.731562100000001</v>
      </c>
      <c r="B7160" s="18">
        <v>34.779262899999999</v>
      </c>
      <c r="C7160" s="18">
        <v>679951.96</v>
      </c>
      <c r="D7160" s="18">
        <v>2736393.75</v>
      </c>
      <c r="E7160" s="18">
        <v>394.07</v>
      </c>
      <c r="F7160" s="18">
        <v>41706.04</v>
      </c>
      <c r="G7160" s="18">
        <v>124418</v>
      </c>
      <c r="H7160" s="18">
        <f t="shared" si="164"/>
        <v>41556.04</v>
      </c>
      <c r="I7160" s="3"/>
    </row>
    <row r="7161" spans="1:9" s="4" customFormat="1" ht="20.25" customHeight="1" x14ac:dyDescent="0.55000000000000004">
      <c r="A7161" s="18">
        <v>24.731560000000002</v>
      </c>
      <c r="B7161" s="18">
        <v>34.779288800000003</v>
      </c>
      <c r="C7161" s="18">
        <v>679954.58</v>
      </c>
      <c r="D7161" s="18">
        <v>2736393.56</v>
      </c>
      <c r="E7161" s="18">
        <v>393.96</v>
      </c>
      <c r="F7161" s="18">
        <v>41707.32</v>
      </c>
      <c r="G7161" s="18">
        <v>124420</v>
      </c>
      <c r="H7161" s="18">
        <f t="shared" si="164"/>
        <v>41557.32</v>
      </c>
      <c r="I7161" s="3"/>
    </row>
    <row r="7162" spans="1:9" s="4" customFormat="1" ht="20.25" customHeight="1" x14ac:dyDescent="0.55000000000000004">
      <c r="A7162" s="18">
        <v>24.731555700000001</v>
      </c>
      <c r="B7162" s="18">
        <v>34.7793153</v>
      </c>
      <c r="C7162" s="18">
        <v>679957.27</v>
      </c>
      <c r="D7162" s="18">
        <v>2736393.11</v>
      </c>
      <c r="E7162" s="18">
        <v>393.79</v>
      </c>
      <c r="F7162" s="18">
        <v>41707.49</v>
      </c>
      <c r="G7162" s="18">
        <v>124422</v>
      </c>
      <c r="H7162" s="18">
        <f t="shared" si="164"/>
        <v>41557.49</v>
      </c>
      <c r="I7162" s="3"/>
    </row>
    <row r="7163" spans="1:9" s="4" customFormat="1" ht="20.25" customHeight="1" x14ac:dyDescent="0.55000000000000004">
      <c r="A7163" s="18">
        <v>24.7315501</v>
      </c>
      <c r="B7163" s="18">
        <v>34.7793414</v>
      </c>
      <c r="C7163" s="18">
        <v>679959.92</v>
      </c>
      <c r="D7163" s="18">
        <v>2736392.53</v>
      </c>
      <c r="E7163" s="18">
        <v>393.66</v>
      </c>
      <c r="F7163" s="18">
        <v>41703.81</v>
      </c>
      <c r="G7163" s="18">
        <v>124424</v>
      </c>
      <c r="H7163" s="18">
        <f t="shared" si="164"/>
        <v>41553.81</v>
      </c>
      <c r="I7163" s="3"/>
    </row>
    <row r="7164" spans="1:9" s="4" customFormat="1" ht="20.25" customHeight="1" x14ac:dyDescent="0.55000000000000004">
      <c r="A7164" s="18">
        <v>24.731546900000001</v>
      </c>
      <c r="B7164" s="18">
        <v>34.7793688</v>
      </c>
      <c r="C7164" s="18">
        <v>679962.7</v>
      </c>
      <c r="D7164" s="18">
        <v>2736392.21</v>
      </c>
      <c r="E7164" s="18">
        <v>393.53</v>
      </c>
      <c r="F7164" s="18">
        <v>41705.449999999997</v>
      </c>
      <c r="G7164" s="18">
        <v>124426</v>
      </c>
      <c r="H7164" s="18">
        <f t="shared" si="164"/>
        <v>41555.449999999997</v>
      </c>
      <c r="I7164" s="3"/>
    </row>
    <row r="7165" spans="1:9" s="4" customFormat="1" ht="20.25" customHeight="1" x14ac:dyDescent="0.55000000000000004">
      <c r="A7165" s="18">
        <v>24.7315431</v>
      </c>
      <c r="B7165" s="18">
        <v>34.779395299999997</v>
      </c>
      <c r="C7165" s="18">
        <v>679965.38</v>
      </c>
      <c r="D7165" s="18">
        <v>2736391.82</v>
      </c>
      <c r="E7165" s="18">
        <v>393.42</v>
      </c>
      <c r="F7165" s="18">
        <v>41701.74</v>
      </c>
      <c r="G7165" s="18">
        <v>124428</v>
      </c>
      <c r="H7165" s="18">
        <f t="shared" si="164"/>
        <v>41551.74</v>
      </c>
      <c r="I7165" s="3"/>
    </row>
    <row r="7166" spans="1:9" s="4" customFormat="1" ht="20.25" customHeight="1" x14ac:dyDescent="0.55000000000000004">
      <c r="A7166" s="18">
        <v>24.731545100000002</v>
      </c>
      <c r="B7166" s="18">
        <v>34.779422099999998</v>
      </c>
      <c r="C7166" s="18">
        <v>679968.09</v>
      </c>
      <c r="D7166" s="18">
        <v>2736392.08</v>
      </c>
      <c r="E7166" s="18">
        <v>393.29</v>
      </c>
      <c r="F7166" s="18">
        <v>41700.449999999997</v>
      </c>
      <c r="G7166" s="18">
        <v>124430</v>
      </c>
      <c r="H7166" s="18">
        <f t="shared" si="164"/>
        <v>41550.449999999997</v>
      </c>
      <c r="I7166" s="3"/>
    </row>
    <row r="7167" spans="1:9" s="4" customFormat="1" ht="20.25" customHeight="1" x14ac:dyDescent="0.55000000000000004">
      <c r="A7167" s="18">
        <v>24.731550599999998</v>
      </c>
      <c r="B7167" s="18">
        <v>34.7794484</v>
      </c>
      <c r="C7167" s="18">
        <v>679970.74</v>
      </c>
      <c r="D7167" s="18">
        <v>2736392.72</v>
      </c>
      <c r="E7167" s="18">
        <v>393.21</v>
      </c>
      <c r="F7167" s="18">
        <v>41704.93</v>
      </c>
      <c r="G7167" s="18">
        <v>124432</v>
      </c>
      <c r="H7167" s="18">
        <f t="shared" si="164"/>
        <v>41554.93</v>
      </c>
      <c r="I7167" s="3"/>
    </row>
    <row r="7168" spans="1:9" s="4" customFormat="1" ht="20.25" customHeight="1" x14ac:dyDescent="0.55000000000000004">
      <c r="A7168" s="18">
        <v>24.731555100000001</v>
      </c>
      <c r="B7168" s="18">
        <v>34.779473500000002</v>
      </c>
      <c r="C7168" s="18">
        <v>679973.28</v>
      </c>
      <c r="D7168" s="18">
        <v>2736393.25</v>
      </c>
      <c r="E7168" s="18">
        <v>393.17</v>
      </c>
      <c r="F7168" s="18">
        <v>41704.07</v>
      </c>
      <c r="G7168" s="18">
        <v>124434</v>
      </c>
      <c r="H7168" s="18">
        <f t="shared" si="164"/>
        <v>41554.07</v>
      </c>
      <c r="I7168" s="3"/>
    </row>
    <row r="7169" spans="1:9" s="4" customFormat="1" ht="20.25" customHeight="1" x14ac:dyDescent="0.55000000000000004">
      <c r="A7169" s="18">
        <v>24.731564200000001</v>
      </c>
      <c r="B7169" s="18">
        <v>34.7794995</v>
      </c>
      <c r="C7169" s="18">
        <v>679975.89</v>
      </c>
      <c r="D7169" s="18">
        <v>2736394.3</v>
      </c>
      <c r="E7169" s="18">
        <v>393.09</v>
      </c>
      <c r="F7169" s="18">
        <v>41705.56</v>
      </c>
      <c r="G7169" s="18">
        <v>124436</v>
      </c>
      <c r="H7169" s="18">
        <f t="shared" si="164"/>
        <v>41555.56</v>
      </c>
      <c r="I7169" s="3"/>
    </row>
    <row r="7170" spans="1:9" s="4" customFormat="1" ht="20.25" customHeight="1" x14ac:dyDescent="0.55000000000000004">
      <c r="A7170" s="18">
        <v>24.7315741</v>
      </c>
      <c r="B7170" s="18">
        <v>34.779524600000002</v>
      </c>
      <c r="C7170" s="18">
        <v>679978.41</v>
      </c>
      <c r="D7170" s="18">
        <v>2736395.43</v>
      </c>
      <c r="E7170" s="18">
        <v>393.04</v>
      </c>
      <c r="F7170" s="18">
        <v>41704.82</v>
      </c>
      <c r="G7170" s="18">
        <v>124438</v>
      </c>
      <c r="H7170" s="18">
        <f t="shared" si="164"/>
        <v>41554.82</v>
      </c>
      <c r="I7170" s="3"/>
    </row>
    <row r="7171" spans="1:9" s="4" customFormat="1" ht="20.25" customHeight="1" x14ac:dyDescent="0.55000000000000004">
      <c r="A7171" s="18">
        <v>24.731583199999999</v>
      </c>
      <c r="B7171" s="18">
        <v>34.779549299999999</v>
      </c>
      <c r="C7171" s="18">
        <v>679980.9</v>
      </c>
      <c r="D7171" s="18">
        <v>2736396.47</v>
      </c>
      <c r="E7171" s="18">
        <v>393.01</v>
      </c>
      <c r="F7171" s="18">
        <v>41703.19</v>
      </c>
      <c r="G7171" s="18">
        <v>124440</v>
      </c>
      <c r="H7171" s="18">
        <f t="shared" si="164"/>
        <v>41553.19</v>
      </c>
      <c r="I7171" s="3"/>
    </row>
    <row r="7172" spans="1:9" s="4" customFormat="1" ht="20.25" customHeight="1" x14ac:dyDescent="0.55000000000000004">
      <c r="A7172" s="18">
        <v>24.731592599999999</v>
      </c>
      <c r="B7172" s="18">
        <v>34.779575899999998</v>
      </c>
      <c r="C7172" s="18">
        <v>679983.58</v>
      </c>
      <c r="D7172" s="18">
        <v>2736397.55</v>
      </c>
      <c r="E7172" s="18">
        <v>392.77</v>
      </c>
      <c r="F7172" s="18">
        <v>41702.81</v>
      </c>
      <c r="G7172" s="18">
        <v>124442</v>
      </c>
      <c r="H7172" s="18">
        <f t="shared" si="164"/>
        <v>41552.81</v>
      </c>
      <c r="I7172" s="3"/>
    </row>
    <row r="7173" spans="1:9" s="4" customFormat="1" ht="20.25" customHeight="1" x14ac:dyDescent="0.55000000000000004">
      <c r="A7173" s="18">
        <v>24.731603100000001</v>
      </c>
      <c r="B7173" s="18">
        <v>34.7796004</v>
      </c>
      <c r="C7173" s="18">
        <v>679986.04</v>
      </c>
      <c r="D7173" s="18">
        <v>2736398.74</v>
      </c>
      <c r="E7173" s="18">
        <v>392.7</v>
      </c>
      <c r="F7173" s="18">
        <v>41702.160000000003</v>
      </c>
      <c r="G7173" s="18">
        <v>124444</v>
      </c>
      <c r="H7173" s="18">
        <f t="shared" si="164"/>
        <v>41552.160000000003</v>
      </c>
      <c r="I7173" s="3"/>
    </row>
    <row r="7174" spans="1:9" s="4" customFormat="1" ht="20.25" customHeight="1" x14ac:dyDescent="0.55000000000000004">
      <c r="A7174" s="18">
        <v>24.731615699999999</v>
      </c>
      <c r="B7174" s="18">
        <v>34.779624499999997</v>
      </c>
      <c r="C7174" s="18">
        <v>679988.46</v>
      </c>
      <c r="D7174" s="18">
        <v>2736400.17</v>
      </c>
      <c r="E7174" s="18">
        <v>392.64</v>
      </c>
      <c r="F7174" s="18">
        <v>41701.129999999997</v>
      </c>
      <c r="G7174" s="18">
        <v>124446</v>
      </c>
      <c r="H7174" s="18">
        <f t="shared" si="164"/>
        <v>41551.129999999997</v>
      </c>
      <c r="I7174" s="3"/>
    </row>
    <row r="7175" spans="1:9" s="4" customFormat="1" ht="20.25" customHeight="1" x14ac:dyDescent="0.55000000000000004">
      <c r="A7175" s="18">
        <v>24.731626800000001</v>
      </c>
      <c r="B7175" s="18">
        <v>34.779648399999999</v>
      </c>
      <c r="C7175" s="18">
        <v>679990.86</v>
      </c>
      <c r="D7175" s="18">
        <v>2736401.42</v>
      </c>
      <c r="E7175" s="18">
        <v>392.65</v>
      </c>
      <c r="F7175" s="18">
        <v>41702.58</v>
      </c>
      <c r="G7175" s="18">
        <v>124448</v>
      </c>
      <c r="H7175" s="18">
        <f t="shared" si="164"/>
        <v>41552.58</v>
      </c>
      <c r="I7175" s="3"/>
    </row>
    <row r="7176" spans="1:9" s="4" customFormat="1" ht="20.25" customHeight="1" x14ac:dyDescent="0.55000000000000004">
      <c r="A7176" s="18">
        <v>24.731628499999999</v>
      </c>
      <c r="B7176" s="18">
        <v>34.779673500000001</v>
      </c>
      <c r="C7176" s="18">
        <v>679993.4</v>
      </c>
      <c r="D7176" s="18">
        <v>2736401.65</v>
      </c>
      <c r="E7176" s="18">
        <v>392.45</v>
      </c>
      <c r="F7176" s="18">
        <v>41706.36</v>
      </c>
      <c r="G7176" s="18">
        <v>124450</v>
      </c>
      <c r="H7176" s="18">
        <f t="shared" si="164"/>
        <v>41556.36</v>
      </c>
      <c r="I7176" s="3"/>
    </row>
    <row r="7177" spans="1:9" s="4" customFormat="1" ht="20.25" customHeight="1" x14ac:dyDescent="0.55000000000000004">
      <c r="A7177" s="18">
        <v>24.731622000000002</v>
      </c>
      <c r="B7177" s="18">
        <v>34.779697499999997</v>
      </c>
      <c r="C7177" s="18">
        <v>679995.84</v>
      </c>
      <c r="D7177" s="18">
        <v>2736400.96</v>
      </c>
      <c r="E7177" s="18">
        <v>392.54</v>
      </c>
      <c r="F7177" s="18">
        <v>41702.699999999997</v>
      </c>
      <c r="G7177" s="18">
        <v>124452</v>
      </c>
      <c r="H7177" s="18">
        <f t="shared" si="164"/>
        <v>41552.699999999997</v>
      </c>
      <c r="I7177" s="3"/>
    </row>
    <row r="7178" spans="1:9" s="4" customFormat="1" ht="20.25" customHeight="1" x14ac:dyDescent="0.55000000000000004">
      <c r="A7178" s="18">
        <v>24.731614</v>
      </c>
      <c r="B7178" s="18">
        <v>34.779722599999999</v>
      </c>
      <c r="C7178" s="18">
        <v>679998.39</v>
      </c>
      <c r="D7178" s="18">
        <v>2736400.1</v>
      </c>
      <c r="E7178" s="18">
        <v>392.48</v>
      </c>
      <c r="F7178" s="18">
        <v>41701.97</v>
      </c>
      <c r="G7178" s="18">
        <v>124454</v>
      </c>
      <c r="H7178" s="18">
        <f t="shared" si="164"/>
        <v>41551.97</v>
      </c>
      <c r="I7178" s="3"/>
    </row>
    <row r="7179" spans="1:9" s="4" customFormat="1" ht="20.25" customHeight="1" x14ac:dyDescent="0.55000000000000004">
      <c r="A7179" s="18">
        <v>24.731608099999999</v>
      </c>
      <c r="B7179" s="18">
        <v>34.779748400000003</v>
      </c>
      <c r="C7179" s="18">
        <v>680001</v>
      </c>
      <c r="D7179" s="18">
        <v>2736399.48</v>
      </c>
      <c r="E7179" s="18">
        <v>392.43</v>
      </c>
      <c r="F7179" s="18">
        <v>41700.949999999997</v>
      </c>
      <c r="G7179" s="18">
        <v>124456</v>
      </c>
      <c r="H7179" s="18">
        <f t="shared" si="164"/>
        <v>41550.949999999997</v>
      </c>
      <c r="I7179" s="3"/>
    </row>
    <row r="7180" spans="1:9" s="4" customFormat="1" ht="20.25" customHeight="1" x14ac:dyDescent="0.55000000000000004">
      <c r="A7180" s="18">
        <v>24.731605200000001</v>
      </c>
      <c r="B7180" s="18">
        <v>34.779776499999997</v>
      </c>
      <c r="C7180" s="18">
        <v>680003.85</v>
      </c>
      <c r="D7180" s="18">
        <v>2736399.2</v>
      </c>
      <c r="E7180" s="18">
        <v>392.25</v>
      </c>
      <c r="F7180" s="18">
        <v>41701.279999999999</v>
      </c>
      <c r="G7180" s="18">
        <v>124458</v>
      </c>
      <c r="H7180" s="18">
        <f t="shared" si="164"/>
        <v>41551.279999999999</v>
      </c>
      <c r="I7180" s="3"/>
    </row>
    <row r="7181" spans="1:9" s="4" customFormat="1" ht="20.25" customHeight="1" x14ac:dyDescent="0.55000000000000004">
      <c r="A7181" s="18">
        <v>24.7316064</v>
      </c>
      <c r="B7181" s="18">
        <v>34.779803399999999</v>
      </c>
      <c r="C7181" s="18">
        <v>680006.57</v>
      </c>
      <c r="D7181" s="18">
        <v>2736399.37</v>
      </c>
      <c r="E7181" s="18">
        <v>392.21</v>
      </c>
      <c r="F7181" s="18">
        <v>41699.629999999997</v>
      </c>
      <c r="G7181" s="18">
        <v>124500</v>
      </c>
      <c r="H7181" s="18">
        <f t="shared" si="164"/>
        <v>41549.629999999997</v>
      </c>
      <c r="I7181" s="3"/>
    </row>
    <row r="7182" spans="1:9" s="4" customFormat="1" ht="20.25" customHeight="1" x14ac:dyDescent="0.55000000000000004">
      <c r="A7182" s="18">
        <v>24.7316094</v>
      </c>
      <c r="B7182" s="18">
        <v>34.779830199999999</v>
      </c>
      <c r="C7182" s="18">
        <v>680009.28</v>
      </c>
      <c r="D7182" s="18">
        <v>2736399.74</v>
      </c>
      <c r="E7182" s="18">
        <v>392.08</v>
      </c>
      <c r="F7182" s="18">
        <v>41701.21</v>
      </c>
      <c r="G7182" s="18">
        <v>124502</v>
      </c>
      <c r="H7182" s="18">
        <f t="shared" si="164"/>
        <v>41551.21</v>
      </c>
      <c r="I7182" s="3"/>
    </row>
    <row r="7183" spans="1:9" s="4" customFormat="1" ht="20.25" customHeight="1" x14ac:dyDescent="0.55000000000000004">
      <c r="A7183" s="18">
        <v>24.731612699999999</v>
      </c>
      <c r="B7183" s="18">
        <v>34.7798582</v>
      </c>
      <c r="C7183" s="18">
        <v>680012.1</v>
      </c>
      <c r="D7183" s="18">
        <v>2736400.15</v>
      </c>
      <c r="E7183" s="18">
        <v>391.96</v>
      </c>
      <c r="F7183" s="18">
        <v>41699.57</v>
      </c>
      <c r="G7183" s="18">
        <v>124504</v>
      </c>
      <c r="H7183" s="18">
        <f t="shared" si="164"/>
        <v>41549.57</v>
      </c>
      <c r="I7183" s="3"/>
    </row>
    <row r="7184" spans="1:9" s="4" customFormat="1" ht="20.25" customHeight="1" x14ac:dyDescent="0.55000000000000004">
      <c r="A7184" s="18">
        <v>24.731610100000001</v>
      </c>
      <c r="B7184" s="18">
        <v>34.7798838</v>
      </c>
      <c r="C7184" s="18">
        <v>680014.7</v>
      </c>
      <c r="D7184" s="18">
        <v>2736399.89</v>
      </c>
      <c r="E7184" s="18">
        <v>391.94</v>
      </c>
      <c r="F7184" s="18">
        <v>41701.449999999997</v>
      </c>
      <c r="G7184" s="18">
        <v>124506</v>
      </c>
      <c r="H7184" s="18">
        <f t="shared" si="164"/>
        <v>41551.449999999997</v>
      </c>
      <c r="I7184" s="3"/>
    </row>
    <row r="7185" spans="1:9" s="4" customFormat="1" ht="20.25" customHeight="1" x14ac:dyDescent="0.55000000000000004">
      <c r="A7185" s="18">
        <v>24.7316027</v>
      </c>
      <c r="B7185" s="18">
        <v>34.779910200000003</v>
      </c>
      <c r="C7185" s="18">
        <v>680017.38</v>
      </c>
      <c r="D7185" s="18">
        <v>2736399.1</v>
      </c>
      <c r="E7185" s="18">
        <v>391.84</v>
      </c>
      <c r="F7185" s="18">
        <v>41700.76</v>
      </c>
      <c r="G7185" s="18">
        <v>124508</v>
      </c>
      <c r="H7185" s="18">
        <f t="shared" si="164"/>
        <v>41550.76</v>
      </c>
      <c r="I7185" s="3"/>
    </row>
    <row r="7186" spans="1:9" s="4" customFormat="1" ht="20.25" customHeight="1" x14ac:dyDescent="0.55000000000000004">
      <c r="A7186" s="18">
        <v>24.731594300000001</v>
      </c>
      <c r="B7186" s="18">
        <v>34.779934599999997</v>
      </c>
      <c r="C7186" s="18">
        <v>680019.86</v>
      </c>
      <c r="D7186" s="18">
        <v>2736398.2</v>
      </c>
      <c r="E7186" s="18">
        <v>391.76</v>
      </c>
      <c r="F7186" s="18">
        <v>41700.82</v>
      </c>
      <c r="G7186" s="18">
        <v>124510</v>
      </c>
      <c r="H7186" s="18">
        <f t="shared" si="164"/>
        <v>41550.82</v>
      </c>
      <c r="I7186" s="3"/>
    </row>
    <row r="7187" spans="1:9" s="4" customFormat="1" ht="20.25" customHeight="1" x14ac:dyDescent="0.55000000000000004">
      <c r="A7187" s="18">
        <v>24.731580699999999</v>
      </c>
      <c r="B7187" s="18">
        <v>34.779957500000002</v>
      </c>
      <c r="C7187" s="18">
        <v>680022.19</v>
      </c>
      <c r="D7187" s="18">
        <v>2736396.72</v>
      </c>
      <c r="E7187" s="18">
        <v>391.82</v>
      </c>
      <c r="F7187" s="18">
        <v>41699.72</v>
      </c>
      <c r="G7187" s="18">
        <v>124512</v>
      </c>
      <c r="H7187" s="18">
        <f t="shared" si="164"/>
        <v>41549.72</v>
      </c>
      <c r="I7187" s="3"/>
    </row>
    <row r="7188" spans="1:9" s="4" customFormat="1" ht="20.25" customHeight="1" x14ac:dyDescent="0.55000000000000004">
      <c r="A7188" s="18">
        <v>24.731569499999999</v>
      </c>
      <c r="B7188" s="18">
        <v>34.7799817</v>
      </c>
      <c r="C7188" s="18">
        <v>680024.66</v>
      </c>
      <c r="D7188" s="18">
        <v>2736395.52</v>
      </c>
      <c r="E7188" s="18">
        <v>391.77</v>
      </c>
      <c r="F7188" s="18">
        <v>41699.050000000003</v>
      </c>
      <c r="G7188" s="18">
        <v>124514</v>
      </c>
      <c r="H7188" s="18">
        <f t="shared" si="164"/>
        <v>41549.050000000003</v>
      </c>
      <c r="I7188" s="3"/>
    </row>
    <row r="7189" spans="1:9" s="4" customFormat="1" ht="20.25" customHeight="1" x14ac:dyDescent="0.55000000000000004">
      <c r="A7189" s="18">
        <v>24.731559000000001</v>
      </c>
      <c r="B7189" s="18">
        <v>34.780007400000002</v>
      </c>
      <c r="C7189" s="18">
        <v>680027.28</v>
      </c>
      <c r="D7189" s="18">
        <v>2736394.39</v>
      </c>
      <c r="E7189" s="18">
        <v>391.69</v>
      </c>
      <c r="F7189" s="18">
        <v>41697.89</v>
      </c>
      <c r="G7189" s="18">
        <v>124516</v>
      </c>
      <c r="H7189" s="18">
        <f t="shared" si="164"/>
        <v>41547.89</v>
      </c>
      <c r="I7189" s="3"/>
    </row>
    <row r="7190" spans="1:9" s="4" customFormat="1" ht="20.25" customHeight="1" x14ac:dyDescent="0.55000000000000004">
      <c r="A7190" s="18">
        <v>24.731548400000001</v>
      </c>
      <c r="B7190" s="18">
        <v>34.780032599999998</v>
      </c>
      <c r="C7190" s="18">
        <v>680029.84</v>
      </c>
      <c r="D7190" s="18">
        <v>2736393.25</v>
      </c>
      <c r="E7190" s="18">
        <v>391.59</v>
      </c>
      <c r="F7190" s="18">
        <v>41696.31</v>
      </c>
      <c r="G7190" s="18">
        <v>124518</v>
      </c>
      <c r="H7190" s="18">
        <f t="shared" si="164"/>
        <v>41546.31</v>
      </c>
      <c r="I7190" s="3"/>
    </row>
    <row r="7191" spans="1:9" s="4" customFormat="1" ht="20.25" customHeight="1" x14ac:dyDescent="0.55000000000000004">
      <c r="A7191" s="18">
        <v>24.731534499999999</v>
      </c>
      <c r="B7191" s="18">
        <v>34.780055699999998</v>
      </c>
      <c r="C7191" s="18">
        <v>680032.2</v>
      </c>
      <c r="D7191" s="18">
        <v>2736391.74</v>
      </c>
      <c r="E7191" s="18">
        <v>391.51</v>
      </c>
      <c r="F7191" s="18">
        <v>41696.49</v>
      </c>
      <c r="G7191" s="18">
        <v>124520</v>
      </c>
      <c r="H7191" s="18">
        <f t="shared" si="164"/>
        <v>41546.49</v>
      </c>
      <c r="I7191" s="3"/>
    </row>
    <row r="7192" spans="1:9" s="4" customFormat="1" ht="20.25" customHeight="1" x14ac:dyDescent="0.55000000000000004">
      <c r="A7192" s="18">
        <v>24.731518099999999</v>
      </c>
      <c r="B7192" s="18">
        <v>34.780077200000001</v>
      </c>
      <c r="C7192" s="18">
        <v>680034.4</v>
      </c>
      <c r="D7192" s="18">
        <v>2736389.95</v>
      </c>
      <c r="E7192" s="18">
        <v>391.45</v>
      </c>
      <c r="F7192" s="18">
        <v>41694.879999999997</v>
      </c>
      <c r="G7192" s="18">
        <v>124522</v>
      </c>
      <c r="H7192" s="18">
        <f t="shared" si="164"/>
        <v>41544.879999999997</v>
      </c>
      <c r="I7192" s="3"/>
    </row>
    <row r="7193" spans="1:9" s="4" customFormat="1" ht="20.25" customHeight="1" x14ac:dyDescent="0.55000000000000004">
      <c r="A7193" s="18">
        <v>24.731501900000001</v>
      </c>
      <c r="B7193" s="18">
        <v>34.780100599999997</v>
      </c>
      <c r="C7193" s="18">
        <v>680036.79</v>
      </c>
      <c r="D7193" s="18">
        <v>2736388.19</v>
      </c>
      <c r="E7193" s="18">
        <v>391.49</v>
      </c>
      <c r="F7193" s="18">
        <v>41695.56</v>
      </c>
      <c r="G7193" s="18">
        <v>124524</v>
      </c>
      <c r="H7193" s="18">
        <f t="shared" si="164"/>
        <v>41545.56</v>
      </c>
      <c r="I7193" s="3"/>
    </row>
    <row r="7194" spans="1:9" s="4" customFormat="1" ht="20.25" customHeight="1" x14ac:dyDescent="0.55000000000000004">
      <c r="A7194" s="18">
        <v>24.7314832</v>
      </c>
      <c r="B7194" s="18">
        <v>34.780118199999997</v>
      </c>
      <c r="C7194" s="18">
        <v>680038.6</v>
      </c>
      <c r="D7194" s="18">
        <v>2736386.14</v>
      </c>
      <c r="E7194" s="18">
        <v>391.57</v>
      </c>
      <c r="F7194" s="18">
        <v>41694.28</v>
      </c>
      <c r="G7194" s="18">
        <v>124526</v>
      </c>
      <c r="H7194" s="18">
        <f t="shared" si="164"/>
        <v>41544.28</v>
      </c>
      <c r="I7194" s="3"/>
    </row>
    <row r="7195" spans="1:9" s="4" customFormat="1" ht="20.25" customHeight="1" x14ac:dyDescent="0.55000000000000004">
      <c r="A7195" s="18">
        <v>24.731464299999999</v>
      </c>
      <c r="B7195" s="18">
        <v>34.780134599999997</v>
      </c>
      <c r="C7195" s="18">
        <v>680040.28</v>
      </c>
      <c r="D7195" s="18">
        <v>2736384.06</v>
      </c>
      <c r="E7195" s="18">
        <v>391.5</v>
      </c>
      <c r="F7195" s="18">
        <v>41694.589999999997</v>
      </c>
      <c r="G7195" s="18">
        <v>124528</v>
      </c>
      <c r="H7195" s="18">
        <f t="shared" si="164"/>
        <v>41544.589999999997</v>
      </c>
      <c r="I7195" s="3"/>
    </row>
    <row r="7196" spans="1:9" s="4" customFormat="1" ht="20.25" customHeight="1" x14ac:dyDescent="0.55000000000000004">
      <c r="A7196" s="18">
        <v>24.731445600000001</v>
      </c>
      <c r="B7196" s="18">
        <v>34.780150599999999</v>
      </c>
      <c r="C7196" s="18">
        <v>680041.93</v>
      </c>
      <c r="D7196" s="18">
        <v>2736382.02</v>
      </c>
      <c r="E7196" s="18">
        <v>391.28</v>
      </c>
      <c r="F7196" s="18">
        <v>41694.879999999997</v>
      </c>
      <c r="G7196" s="18">
        <v>124530</v>
      </c>
      <c r="H7196" s="18">
        <f t="shared" si="164"/>
        <v>41544.879999999997</v>
      </c>
      <c r="I7196" s="3"/>
    </row>
    <row r="7197" spans="1:9" s="4" customFormat="1" ht="20.25" customHeight="1" x14ac:dyDescent="0.55000000000000004">
      <c r="A7197" s="18">
        <v>24.731426500000001</v>
      </c>
      <c r="B7197" s="18">
        <v>34.780164300000003</v>
      </c>
      <c r="C7197" s="18">
        <v>680043.34</v>
      </c>
      <c r="D7197" s="18">
        <v>2736379.92</v>
      </c>
      <c r="E7197" s="18">
        <v>391.51</v>
      </c>
      <c r="F7197" s="18">
        <v>41698.639999999999</v>
      </c>
      <c r="G7197" s="18">
        <v>124532</v>
      </c>
      <c r="H7197" s="18">
        <f t="shared" si="164"/>
        <v>41548.639999999999</v>
      </c>
      <c r="I7197" s="3"/>
    </row>
    <row r="7198" spans="1:9" s="4" customFormat="1" ht="20.25" customHeight="1" x14ac:dyDescent="0.55000000000000004">
      <c r="A7198" s="18">
        <v>24.731402599999999</v>
      </c>
      <c r="B7198" s="18">
        <v>34.780167200000001</v>
      </c>
      <c r="C7198" s="18">
        <v>680043.67</v>
      </c>
      <c r="D7198" s="18">
        <v>2736377.28</v>
      </c>
      <c r="E7198" s="18">
        <v>391.63</v>
      </c>
      <c r="F7198" s="18">
        <v>41690.94</v>
      </c>
      <c r="G7198" s="18">
        <v>124534</v>
      </c>
      <c r="H7198" s="18">
        <f t="shared" si="164"/>
        <v>41540.94</v>
      </c>
      <c r="I7198" s="3"/>
    </row>
    <row r="7199" spans="1:9" s="4" customFormat="1" ht="20.25" customHeight="1" x14ac:dyDescent="0.55000000000000004">
      <c r="A7199" s="18">
        <v>24.731377200000001</v>
      </c>
      <c r="B7199" s="18">
        <v>34.780165500000003</v>
      </c>
      <c r="C7199" s="18">
        <v>680043.53</v>
      </c>
      <c r="D7199" s="18">
        <v>2736374.46</v>
      </c>
      <c r="E7199" s="18">
        <v>391.62</v>
      </c>
      <c r="F7199" s="18">
        <v>41696.339999999997</v>
      </c>
      <c r="G7199" s="18">
        <v>124536</v>
      </c>
      <c r="H7199" s="18">
        <f t="shared" si="164"/>
        <v>41546.339999999997</v>
      </c>
      <c r="I7199" s="3"/>
    </row>
    <row r="7200" spans="1:9" s="4" customFormat="1" ht="20.25" customHeight="1" x14ac:dyDescent="0.55000000000000004">
      <c r="A7200" s="18">
        <v>24.7313507</v>
      </c>
      <c r="B7200" s="18">
        <v>34.780163100000003</v>
      </c>
      <c r="C7200" s="18">
        <v>680043.33</v>
      </c>
      <c r="D7200" s="18">
        <v>2736371.52</v>
      </c>
      <c r="E7200" s="18">
        <v>391.62</v>
      </c>
      <c r="F7200" s="18">
        <v>41695.75</v>
      </c>
      <c r="G7200" s="18">
        <v>124538</v>
      </c>
      <c r="H7200" s="18">
        <f t="shared" si="164"/>
        <v>41545.75</v>
      </c>
      <c r="I7200" s="3"/>
    </row>
    <row r="7201" spans="1:9" s="4" customFormat="1" ht="20.25" customHeight="1" x14ac:dyDescent="0.55000000000000004">
      <c r="A7201" s="18">
        <v>24.7313282</v>
      </c>
      <c r="B7201" s="18">
        <v>34.780160700000003</v>
      </c>
      <c r="C7201" s="18">
        <v>680043.12</v>
      </c>
      <c r="D7201" s="18">
        <v>2736369.03</v>
      </c>
      <c r="E7201" s="18">
        <v>391.53</v>
      </c>
      <c r="F7201" s="18">
        <v>41700.78</v>
      </c>
      <c r="G7201" s="18">
        <v>124540</v>
      </c>
      <c r="H7201" s="18">
        <f t="shared" si="164"/>
        <v>41550.78</v>
      </c>
      <c r="I7201" s="3"/>
    </row>
    <row r="7202" spans="1:9" s="4" customFormat="1" ht="20.25" customHeight="1" x14ac:dyDescent="0.55000000000000004">
      <c r="A7202" s="18">
        <v>24.731303199999999</v>
      </c>
      <c r="B7202" s="18">
        <v>34.780158700000001</v>
      </c>
      <c r="C7202" s="18">
        <v>680042.95</v>
      </c>
      <c r="D7202" s="18">
        <v>2736366.26</v>
      </c>
      <c r="E7202" s="18">
        <v>391.56</v>
      </c>
      <c r="F7202" s="18">
        <v>41686.769999999997</v>
      </c>
      <c r="G7202" s="18">
        <v>124542</v>
      </c>
      <c r="H7202" s="18">
        <f t="shared" si="164"/>
        <v>41536.769999999997</v>
      </c>
      <c r="I7202" s="3"/>
    </row>
    <row r="7203" spans="1:9" s="4" customFormat="1" ht="20.25" customHeight="1" x14ac:dyDescent="0.55000000000000004">
      <c r="A7203" s="18">
        <v>24.7312777</v>
      </c>
      <c r="B7203" s="18">
        <v>34.780149399999999</v>
      </c>
      <c r="C7203" s="18">
        <v>680042.05</v>
      </c>
      <c r="D7203" s="18">
        <v>2736363.42</v>
      </c>
      <c r="E7203" s="18">
        <v>391.59</v>
      </c>
      <c r="F7203" s="18">
        <v>41688.42</v>
      </c>
      <c r="G7203" s="18">
        <v>124544</v>
      </c>
      <c r="H7203" s="18">
        <f t="shared" si="164"/>
        <v>41538.42</v>
      </c>
      <c r="I7203" s="3"/>
    </row>
    <row r="7204" spans="1:9" s="4" customFormat="1" ht="20.25" customHeight="1" x14ac:dyDescent="0.55000000000000004">
      <c r="A7204" s="18">
        <v>24.7312595</v>
      </c>
      <c r="B7204" s="18">
        <v>34.7801337</v>
      </c>
      <c r="C7204" s="18">
        <v>680040.48</v>
      </c>
      <c r="D7204" s="18">
        <v>2736361.38</v>
      </c>
      <c r="E7204" s="18">
        <v>391.7</v>
      </c>
      <c r="F7204" s="18">
        <v>41694.449999999997</v>
      </c>
      <c r="G7204" s="18">
        <v>124546</v>
      </c>
      <c r="H7204" s="18">
        <f t="shared" si="164"/>
        <v>41544.449999999997</v>
      </c>
      <c r="I7204" s="3"/>
    </row>
    <row r="7205" spans="1:9" s="4" customFormat="1" ht="20.25" customHeight="1" x14ac:dyDescent="0.55000000000000004">
      <c r="A7205" s="18">
        <v>24.731242399999999</v>
      </c>
      <c r="B7205" s="18">
        <v>34.780112799999998</v>
      </c>
      <c r="C7205" s="18">
        <v>680038.40000000002</v>
      </c>
      <c r="D7205" s="18">
        <v>2736359.47</v>
      </c>
      <c r="E7205" s="18">
        <v>391.76</v>
      </c>
      <c r="F7205" s="18">
        <v>41694.31</v>
      </c>
      <c r="G7205" s="18">
        <v>124548</v>
      </c>
      <c r="H7205" s="18">
        <f t="shared" si="164"/>
        <v>41544.31</v>
      </c>
      <c r="I7205" s="3"/>
    </row>
    <row r="7206" spans="1:9" s="4" customFormat="1" ht="20.25" customHeight="1" x14ac:dyDescent="0.55000000000000004">
      <c r="A7206" s="18">
        <v>24.731223700000001</v>
      </c>
      <c r="B7206" s="18">
        <v>34.780094400000003</v>
      </c>
      <c r="C7206" s="18">
        <v>680036.56</v>
      </c>
      <c r="D7206" s="18">
        <v>2736357.36</v>
      </c>
      <c r="E7206" s="18">
        <v>391.87</v>
      </c>
      <c r="F7206" s="18">
        <v>41691.910000000003</v>
      </c>
      <c r="G7206" s="18">
        <v>124550</v>
      </c>
      <c r="H7206" s="18">
        <f t="shared" si="164"/>
        <v>41541.910000000003</v>
      </c>
      <c r="I7206" s="3"/>
    </row>
    <row r="7207" spans="1:9" s="4" customFormat="1" ht="20.25" customHeight="1" x14ac:dyDescent="0.55000000000000004">
      <c r="A7207" s="18">
        <v>24.731198800000001</v>
      </c>
      <c r="B7207" s="18">
        <v>34.780085100000001</v>
      </c>
      <c r="C7207" s="18">
        <v>680035.66</v>
      </c>
      <c r="D7207" s="18">
        <v>2736354.59</v>
      </c>
      <c r="E7207" s="18">
        <v>391.97</v>
      </c>
      <c r="F7207" s="18">
        <v>41701.93</v>
      </c>
      <c r="G7207" s="18">
        <v>124552</v>
      </c>
      <c r="H7207" s="18">
        <f t="shared" si="164"/>
        <v>41551.93</v>
      </c>
      <c r="I7207" s="3"/>
    </row>
    <row r="7208" spans="1:9" s="4" customFormat="1" ht="20.25" customHeight="1" x14ac:dyDescent="0.55000000000000004">
      <c r="A7208" s="18">
        <v>24.731173600000002</v>
      </c>
      <c r="B7208" s="18">
        <v>34.780073999999999</v>
      </c>
      <c r="C7208" s="18">
        <v>680034.57</v>
      </c>
      <c r="D7208" s="18">
        <v>2736351.79</v>
      </c>
      <c r="E7208" s="18">
        <v>392.01</v>
      </c>
      <c r="F7208" s="18">
        <v>41692.42</v>
      </c>
      <c r="G7208" s="18">
        <v>124554</v>
      </c>
      <c r="H7208" s="18">
        <f t="shared" si="164"/>
        <v>41542.42</v>
      </c>
      <c r="I7208" s="3"/>
    </row>
    <row r="7209" spans="1:9" s="4" customFormat="1" ht="20.25" customHeight="1" x14ac:dyDescent="0.55000000000000004">
      <c r="A7209" s="18">
        <v>24.731148999999998</v>
      </c>
      <c r="B7209" s="18">
        <v>34.780061099999998</v>
      </c>
      <c r="C7209" s="18">
        <v>680033.3</v>
      </c>
      <c r="D7209" s="18">
        <v>2736349.05</v>
      </c>
      <c r="E7209" s="18">
        <v>392.01</v>
      </c>
      <c r="F7209" s="18">
        <v>41692.1</v>
      </c>
      <c r="G7209" s="18">
        <v>124556</v>
      </c>
      <c r="H7209" s="18">
        <f t="shared" si="164"/>
        <v>41542.1</v>
      </c>
      <c r="I7209" s="3"/>
    </row>
    <row r="7210" spans="1:9" s="4" customFormat="1" ht="20.25" customHeight="1" x14ac:dyDescent="0.55000000000000004">
      <c r="A7210" s="18">
        <v>24.731124900000001</v>
      </c>
      <c r="B7210" s="18">
        <v>34.780051299999997</v>
      </c>
      <c r="C7210" s="18">
        <v>680032.34</v>
      </c>
      <c r="D7210" s="18">
        <v>2736346.37</v>
      </c>
      <c r="E7210" s="18">
        <v>392.02</v>
      </c>
      <c r="F7210" s="18">
        <v>41689.01</v>
      </c>
      <c r="G7210" s="18">
        <v>124558</v>
      </c>
      <c r="H7210" s="18">
        <f t="shared" ref="H7210:H7273" si="165">SUM(F7210-150)</f>
        <v>41539.01</v>
      </c>
      <c r="I7210" s="3"/>
    </row>
    <row r="7211" spans="1:9" s="4" customFormat="1" ht="20.25" customHeight="1" x14ac:dyDescent="0.55000000000000004">
      <c r="A7211" s="18">
        <v>24.731099700000001</v>
      </c>
      <c r="B7211" s="18">
        <v>34.780048999999998</v>
      </c>
      <c r="C7211" s="18">
        <v>680032.15</v>
      </c>
      <c r="D7211" s="18">
        <v>2736343.57</v>
      </c>
      <c r="E7211" s="18">
        <v>392.02</v>
      </c>
      <c r="F7211" s="18">
        <v>41688.82</v>
      </c>
      <c r="G7211" s="18">
        <v>124600</v>
      </c>
      <c r="H7211" s="18">
        <f t="shared" si="165"/>
        <v>41538.82</v>
      </c>
      <c r="I7211" s="3"/>
    </row>
    <row r="7212" spans="1:9" s="4" customFormat="1" ht="20.25" customHeight="1" x14ac:dyDescent="0.55000000000000004">
      <c r="A7212" s="18">
        <v>24.731072900000001</v>
      </c>
      <c r="B7212" s="18">
        <v>34.7800479</v>
      </c>
      <c r="C7212" s="18">
        <v>680032.08</v>
      </c>
      <c r="D7212" s="18">
        <v>2736340.6</v>
      </c>
      <c r="E7212" s="18">
        <v>392.04</v>
      </c>
      <c r="F7212" s="18">
        <v>41685.57</v>
      </c>
      <c r="G7212" s="18">
        <v>124602</v>
      </c>
      <c r="H7212" s="18">
        <f t="shared" si="165"/>
        <v>41535.57</v>
      </c>
      <c r="I7212" s="3"/>
    </row>
    <row r="7213" spans="1:9" s="4" customFormat="1" ht="20.25" customHeight="1" x14ac:dyDescent="0.55000000000000004">
      <c r="A7213" s="18">
        <v>24.731047400000001</v>
      </c>
      <c r="B7213" s="18">
        <v>34.780042799999997</v>
      </c>
      <c r="C7213" s="18">
        <v>680031.59</v>
      </c>
      <c r="D7213" s="18">
        <v>2736337.77</v>
      </c>
      <c r="E7213" s="18">
        <v>392.1</v>
      </c>
      <c r="F7213" s="18">
        <v>41683.49</v>
      </c>
      <c r="G7213" s="18">
        <v>124604</v>
      </c>
      <c r="H7213" s="18">
        <f t="shared" si="165"/>
        <v>41533.49</v>
      </c>
      <c r="I7213" s="3"/>
    </row>
    <row r="7214" spans="1:9" s="4" customFormat="1" ht="20.25" customHeight="1" x14ac:dyDescent="0.55000000000000004">
      <c r="A7214" s="18">
        <v>24.731018599999999</v>
      </c>
      <c r="B7214" s="18">
        <v>34.7800358</v>
      </c>
      <c r="C7214" s="18">
        <v>680030.93</v>
      </c>
      <c r="D7214" s="18">
        <v>2736334.58</v>
      </c>
      <c r="E7214" s="18">
        <v>392.13</v>
      </c>
      <c r="F7214" s="18">
        <v>41686.01</v>
      </c>
      <c r="G7214" s="18">
        <v>124606</v>
      </c>
      <c r="H7214" s="18">
        <f t="shared" si="165"/>
        <v>41536.01</v>
      </c>
      <c r="I7214" s="3"/>
    </row>
    <row r="7215" spans="1:9" s="4" customFormat="1" ht="20.25" customHeight="1" x14ac:dyDescent="0.55000000000000004">
      <c r="A7215" s="18">
        <v>24.730991899999999</v>
      </c>
      <c r="B7215" s="18">
        <v>34.780027500000003</v>
      </c>
      <c r="C7215" s="18">
        <v>680030.13</v>
      </c>
      <c r="D7215" s="18">
        <v>2736331.61</v>
      </c>
      <c r="E7215" s="18">
        <v>392.22</v>
      </c>
      <c r="F7215" s="18">
        <v>41680.230000000003</v>
      </c>
      <c r="G7215" s="18">
        <v>124608</v>
      </c>
      <c r="H7215" s="18">
        <f t="shared" si="165"/>
        <v>41530.230000000003</v>
      </c>
      <c r="I7215" s="3"/>
    </row>
    <row r="7216" spans="1:9" s="4" customFormat="1" ht="20.25" customHeight="1" x14ac:dyDescent="0.55000000000000004">
      <c r="A7216" s="18">
        <v>24.7309655</v>
      </c>
      <c r="B7216" s="18">
        <v>34.780021300000001</v>
      </c>
      <c r="C7216" s="18">
        <v>680029.54</v>
      </c>
      <c r="D7216" s="18">
        <v>2736328.67</v>
      </c>
      <c r="E7216" s="18">
        <v>392.26</v>
      </c>
      <c r="F7216" s="18">
        <v>41675.089999999997</v>
      </c>
      <c r="G7216" s="18">
        <v>124610</v>
      </c>
      <c r="H7216" s="18">
        <f t="shared" si="165"/>
        <v>41525.089999999997</v>
      </c>
      <c r="I7216" s="3"/>
    </row>
    <row r="7217" spans="1:9" s="4" customFormat="1" ht="20.25" customHeight="1" x14ac:dyDescent="0.55000000000000004">
      <c r="A7217" s="18">
        <v>24.730939800000002</v>
      </c>
      <c r="B7217" s="18">
        <v>34.780012300000003</v>
      </c>
      <c r="C7217" s="18">
        <v>680028.67</v>
      </c>
      <c r="D7217" s="18">
        <v>2736325.82</v>
      </c>
      <c r="E7217" s="18">
        <v>392.3</v>
      </c>
      <c r="F7217" s="18">
        <v>41678.129999999997</v>
      </c>
      <c r="G7217" s="18">
        <v>124612</v>
      </c>
      <c r="H7217" s="18">
        <f t="shared" si="165"/>
        <v>41528.129999999997</v>
      </c>
      <c r="I7217" s="3"/>
    </row>
    <row r="7218" spans="1:9" s="4" customFormat="1" ht="20.25" customHeight="1" x14ac:dyDescent="0.55000000000000004">
      <c r="A7218" s="18">
        <v>24.730915400000001</v>
      </c>
      <c r="B7218" s="18">
        <v>34.780001300000002</v>
      </c>
      <c r="C7218" s="18">
        <v>680027.59</v>
      </c>
      <c r="D7218" s="18">
        <v>2736323.1</v>
      </c>
      <c r="E7218" s="18">
        <v>392.28</v>
      </c>
      <c r="F7218" s="18">
        <v>41675.49</v>
      </c>
      <c r="G7218" s="18">
        <v>124614</v>
      </c>
      <c r="H7218" s="18">
        <f t="shared" si="165"/>
        <v>41525.49</v>
      </c>
      <c r="I7218" s="3"/>
    </row>
    <row r="7219" spans="1:9" s="4" customFormat="1" ht="20.25" customHeight="1" x14ac:dyDescent="0.55000000000000004">
      <c r="A7219" s="18">
        <v>24.730889399999999</v>
      </c>
      <c r="B7219" s="18">
        <v>34.7799944</v>
      </c>
      <c r="C7219" s="18">
        <v>680026.93</v>
      </c>
      <c r="D7219" s="18">
        <v>2736320.21</v>
      </c>
      <c r="E7219" s="18">
        <v>392.27</v>
      </c>
      <c r="F7219" s="18">
        <v>41676.050000000003</v>
      </c>
      <c r="G7219" s="18">
        <v>124616</v>
      </c>
      <c r="H7219" s="18">
        <f t="shared" si="165"/>
        <v>41526.050000000003</v>
      </c>
      <c r="I7219" s="3"/>
    </row>
    <row r="7220" spans="1:9" s="4" customFormat="1" ht="20.25" customHeight="1" x14ac:dyDescent="0.55000000000000004">
      <c r="A7220" s="18">
        <v>24.730864499999999</v>
      </c>
      <c r="B7220" s="18">
        <v>34.779983600000001</v>
      </c>
      <c r="C7220" s="18">
        <v>680025.87</v>
      </c>
      <c r="D7220" s="18">
        <v>2736317.43</v>
      </c>
      <c r="E7220" s="18">
        <v>392.3</v>
      </c>
      <c r="F7220" s="18">
        <v>41675.46</v>
      </c>
      <c r="G7220" s="18">
        <v>124618</v>
      </c>
      <c r="H7220" s="18">
        <f t="shared" si="165"/>
        <v>41525.46</v>
      </c>
      <c r="I7220" s="3"/>
    </row>
    <row r="7221" spans="1:9" s="4" customFormat="1" ht="20.25" customHeight="1" x14ac:dyDescent="0.55000000000000004">
      <c r="A7221" s="18">
        <v>24.7308384</v>
      </c>
      <c r="B7221" s="18">
        <v>34.779972200000003</v>
      </c>
      <c r="C7221" s="18">
        <v>680024.75</v>
      </c>
      <c r="D7221" s="18">
        <v>2736314.53</v>
      </c>
      <c r="E7221" s="18">
        <v>392.35</v>
      </c>
      <c r="F7221" s="18">
        <v>41678.78</v>
      </c>
      <c r="G7221" s="18">
        <v>124620</v>
      </c>
      <c r="H7221" s="18">
        <f t="shared" si="165"/>
        <v>41528.78</v>
      </c>
      <c r="I7221" s="3"/>
    </row>
    <row r="7222" spans="1:9" s="4" customFormat="1" ht="20.25" customHeight="1" x14ac:dyDescent="0.55000000000000004">
      <c r="A7222" s="18">
        <v>24.7308123</v>
      </c>
      <c r="B7222" s="18">
        <v>34.779957199999998</v>
      </c>
      <c r="C7222" s="18">
        <v>680023.27</v>
      </c>
      <c r="D7222" s="18">
        <v>2736311.62</v>
      </c>
      <c r="E7222" s="18">
        <v>392.36</v>
      </c>
      <c r="F7222" s="18">
        <v>41679.019999999997</v>
      </c>
      <c r="G7222" s="18">
        <v>124622</v>
      </c>
      <c r="H7222" s="18">
        <f t="shared" si="165"/>
        <v>41529.019999999997</v>
      </c>
      <c r="I7222" s="3"/>
    </row>
    <row r="7223" spans="1:9" s="4" customFormat="1" ht="20.25" customHeight="1" x14ac:dyDescent="0.55000000000000004">
      <c r="A7223" s="18">
        <v>24.730782999999999</v>
      </c>
      <c r="B7223" s="18">
        <v>34.779944100000002</v>
      </c>
      <c r="C7223" s="18">
        <v>680021.99</v>
      </c>
      <c r="D7223" s="18">
        <v>2736308.36</v>
      </c>
      <c r="E7223" s="18">
        <v>392.42</v>
      </c>
      <c r="F7223" s="18">
        <v>41695.360000000001</v>
      </c>
      <c r="G7223" s="18">
        <v>124624</v>
      </c>
      <c r="H7223" s="18">
        <f t="shared" si="165"/>
        <v>41545.360000000001</v>
      </c>
      <c r="I7223" s="3"/>
    </row>
    <row r="7224" spans="1:9" s="4" customFormat="1" ht="20.25" customHeight="1" x14ac:dyDescent="0.55000000000000004">
      <c r="A7224" s="18">
        <v>24.7307536</v>
      </c>
      <c r="B7224" s="18">
        <v>34.7799306</v>
      </c>
      <c r="C7224" s="18">
        <v>680020.67</v>
      </c>
      <c r="D7224" s="18">
        <v>2736305.08</v>
      </c>
      <c r="E7224" s="18">
        <v>392.54</v>
      </c>
      <c r="F7224" s="18">
        <v>41685.43</v>
      </c>
      <c r="G7224" s="18">
        <v>124626</v>
      </c>
      <c r="H7224" s="18">
        <f t="shared" si="165"/>
        <v>41535.43</v>
      </c>
      <c r="I7224" s="3"/>
    </row>
    <row r="7225" spans="1:9" s="4" customFormat="1" ht="20.25" customHeight="1" x14ac:dyDescent="0.55000000000000004">
      <c r="A7225" s="18">
        <v>24.7307229</v>
      </c>
      <c r="B7225" s="18">
        <v>34.779918100000003</v>
      </c>
      <c r="C7225" s="18">
        <v>680019.44</v>
      </c>
      <c r="D7225" s="18">
        <v>2736301.66</v>
      </c>
      <c r="E7225" s="18">
        <v>392.74</v>
      </c>
      <c r="F7225" s="18">
        <v>41687.410000000003</v>
      </c>
      <c r="G7225" s="18">
        <v>124628</v>
      </c>
      <c r="H7225" s="18">
        <f t="shared" si="165"/>
        <v>41537.410000000003</v>
      </c>
      <c r="I7225" s="3"/>
    </row>
    <row r="7226" spans="1:9" s="4" customFormat="1" ht="20.25" customHeight="1" x14ac:dyDescent="0.55000000000000004">
      <c r="A7226" s="18">
        <v>24.7306931</v>
      </c>
      <c r="B7226" s="18">
        <v>34.779906099999998</v>
      </c>
      <c r="C7226" s="18">
        <v>680018.28</v>
      </c>
      <c r="D7226" s="18">
        <v>2736298.35</v>
      </c>
      <c r="E7226" s="18">
        <v>392.85</v>
      </c>
      <c r="F7226" s="18">
        <v>41689.919999999998</v>
      </c>
      <c r="G7226" s="18">
        <v>124630</v>
      </c>
      <c r="H7226" s="18">
        <f t="shared" si="165"/>
        <v>41539.919999999998</v>
      </c>
      <c r="I7226" s="3"/>
    </row>
    <row r="7227" spans="1:9" s="4" customFormat="1" ht="20.25" customHeight="1" x14ac:dyDescent="0.55000000000000004">
      <c r="A7227" s="18">
        <v>24.730663499999999</v>
      </c>
      <c r="B7227" s="18">
        <v>34.779899800000003</v>
      </c>
      <c r="C7227" s="18">
        <v>680017.68</v>
      </c>
      <c r="D7227" s="18">
        <v>2736295.06</v>
      </c>
      <c r="E7227" s="18">
        <v>393</v>
      </c>
      <c r="F7227" s="18">
        <v>41686.07</v>
      </c>
      <c r="G7227" s="18">
        <v>124632</v>
      </c>
      <c r="H7227" s="18">
        <f t="shared" si="165"/>
        <v>41536.07</v>
      </c>
      <c r="I7227" s="3"/>
    </row>
    <row r="7228" spans="1:9" s="4" customFormat="1" ht="20.25" customHeight="1" x14ac:dyDescent="0.55000000000000004">
      <c r="A7228" s="18">
        <v>24.730634800000001</v>
      </c>
      <c r="B7228" s="18">
        <v>34.779889599999997</v>
      </c>
      <c r="C7228" s="18">
        <v>680016.69</v>
      </c>
      <c r="D7228" s="18">
        <v>2736291.87</v>
      </c>
      <c r="E7228" s="18">
        <v>393.09</v>
      </c>
      <c r="F7228" s="18">
        <v>41694.769999999997</v>
      </c>
      <c r="G7228" s="18">
        <v>124634</v>
      </c>
      <c r="H7228" s="18">
        <f t="shared" si="165"/>
        <v>41544.769999999997</v>
      </c>
      <c r="I7228" s="3"/>
    </row>
    <row r="7229" spans="1:9" s="4" customFormat="1" ht="20.25" customHeight="1" x14ac:dyDescent="0.55000000000000004">
      <c r="A7229" s="18">
        <v>24.730607200000001</v>
      </c>
      <c r="B7229" s="18">
        <v>34.779875099999998</v>
      </c>
      <c r="C7229" s="18">
        <v>680015.27</v>
      </c>
      <c r="D7229" s="18">
        <v>2736288.79</v>
      </c>
      <c r="E7229" s="18">
        <v>393.16</v>
      </c>
      <c r="F7229" s="18">
        <v>41687.51</v>
      </c>
      <c r="G7229" s="18">
        <v>124636</v>
      </c>
      <c r="H7229" s="18">
        <f t="shared" si="165"/>
        <v>41537.51</v>
      </c>
      <c r="I7229" s="3"/>
    </row>
    <row r="7230" spans="1:9" s="4" customFormat="1" ht="20.25" customHeight="1" x14ac:dyDescent="0.55000000000000004">
      <c r="A7230" s="18">
        <v>24.7305785</v>
      </c>
      <c r="B7230" s="18">
        <v>34.779866400000003</v>
      </c>
      <c r="C7230" s="18">
        <v>680014.43</v>
      </c>
      <c r="D7230" s="18">
        <v>2736285.6</v>
      </c>
      <c r="E7230" s="18">
        <v>393.32</v>
      </c>
      <c r="F7230" s="18">
        <v>41692.18</v>
      </c>
      <c r="G7230" s="18">
        <v>124638</v>
      </c>
      <c r="H7230" s="18">
        <f t="shared" si="165"/>
        <v>41542.18</v>
      </c>
      <c r="I7230" s="3"/>
    </row>
    <row r="7231" spans="1:9" s="4" customFormat="1" ht="20.25" customHeight="1" x14ac:dyDescent="0.55000000000000004">
      <c r="A7231" s="18">
        <v>24.7305481</v>
      </c>
      <c r="B7231" s="18">
        <v>34.779860499999998</v>
      </c>
      <c r="C7231" s="18">
        <v>680013.87</v>
      </c>
      <c r="D7231" s="18">
        <v>2736282.23</v>
      </c>
      <c r="E7231" s="18">
        <v>393.5</v>
      </c>
      <c r="F7231" s="18">
        <v>41686.25</v>
      </c>
      <c r="G7231" s="18">
        <v>124640</v>
      </c>
      <c r="H7231" s="18">
        <f t="shared" si="165"/>
        <v>41536.25</v>
      </c>
      <c r="I7231" s="3"/>
    </row>
    <row r="7232" spans="1:9" s="4" customFormat="1" ht="20.25" customHeight="1" x14ac:dyDescent="0.55000000000000004">
      <c r="A7232" s="18">
        <v>24.730516999999999</v>
      </c>
      <c r="B7232" s="18">
        <v>34.779853799999998</v>
      </c>
      <c r="C7232" s="18">
        <v>680013.24</v>
      </c>
      <c r="D7232" s="18">
        <v>2736278.77</v>
      </c>
      <c r="E7232" s="18">
        <v>393.59</v>
      </c>
      <c r="F7232" s="18">
        <v>41690.519999999997</v>
      </c>
      <c r="G7232" s="18">
        <v>124642</v>
      </c>
      <c r="H7232" s="18">
        <f t="shared" si="165"/>
        <v>41540.519999999997</v>
      </c>
      <c r="I7232" s="3"/>
    </row>
    <row r="7233" spans="1:9" s="4" customFormat="1" ht="20.25" customHeight="1" x14ac:dyDescent="0.55000000000000004">
      <c r="A7233" s="18">
        <v>24.730485999999999</v>
      </c>
      <c r="B7233" s="18">
        <v>34.779848600000001</v>
      </c>
      <c r="C7233" s="18">
        <v>680012.76</v>
      </c>
      <c r="D7233" s="18">
        <v>2736275.33</v>
      </c>
      <c r="E7233" s="18">
        <v>393.63</v>
      </c>
      <c r="F7233" s="18">
        <v>41697.629999999997</v>
      </c>
      <c r="G7233" s="18">
        <v>124644</v>
      </c>
      <c r="H7233" s="18">
        <f t="shared" si="165"/>
        <v>41547.629999999997</v>
      </c>
      <c r="I7233" s="3"/>
    </row>
    <row r="7234" spans="1:9" s="4" customFormat="1" ht="20.25" customHeight="1" x14ac:dyDescent="0.55000000000000004">
      <c r="A7234" s="18">
        <v>24.730456</v>
      </c>
      <c r="B7234" s="18">
        <v>34.779842899999998</v>
      </c>
      <c r="C7234" s="18">
        <v>680012.23</v>
      </c>
      <c r="D7234" s="18">
        <v>2736272</v>
      </c>
      <c r="E7234" s="18">
        <v>393.65</v>
      </c>
      <c r="F7234" s="18">
        <v>41697.160000000003</v>
      </c>
      <c r="G7234" s="18">
        <v>124646</v>
      </c>
      <c r="H7234" s="18">
        <f t="shared" si="165"/>
        <v>41547.160000000003</v>
      </c>
      <c r="I7234" s="3"/>
    </row>
    <row r="7235" spans="1:9" s="4" customFormat="1" ht="20.25" customHeight="1" x14ac:dyDescent="0.55000000000000004">
      <c r="A7235" s="18">
        <v>24.730423999999999</v>
      </c>
      <c r="B7235" s="18">
        <v>34.7798412</v>
      </c>
      <c r="C7235" s="18">
        <v>680012.1</v>
      </c>
      <c r="D7235" s="18">
        <v>2736268.46</v>
      </c>
      <c r="E7235" s="18">
        <v>393.7</v>
      </c>
      <c r="F7235" s="18">
        <v>41700.629999999997</v>
      </c>
      <c r="G7235" s="18">
        <v>124648</v>
      </c>
      <c r="H7235" s="18">
        <f t="shared" si="165"/>
        <v>41550.629999999997</v>
      </c>
      <c r="I7235" s="3"/>
    </row>
    <row r="7236" spans="1:9" s="4" customFormat="1" ht="20.25" customHeight="1" x14ac:dyDescent="0.55000000000000004">
      <c r="A7236" s="18">
        <v>24.730392200000001</v>
      </c>
      <c r="B7236" s="18">
        <v>34.779838499999997</v>
      </c>
      <c r="C7236" s="18">
        <v>680011.87</v>
      </c>
      <c r="D7236" s="18">
        <v>2736264.94</v>
      </c>
      <c r="E7236" s="18">
        <v>393.82</v>
      </c>
      <c r="F7236" s="18">
        <v>41688.730000000003</v>
      </c>
      <c r="G7236" s="18">
        <v>124650</v>
      </c>
      <c r="H7236" s="18">
        <f t="shared" si="165"/>
        <v>41538.730000000003</v>
      </c>
      <c r="I7236" s="3"/>
    </row>
    <row r="7237" spans="1:9" s="4" customFormat="1" ht="20.25" customHeight="1" x14ac:dyDescent="0.55000000000000004">
      <c r="A7237" s="18">
        <v>24.7303605</v>
      </c>
      <c r="B7237" s="18">
        <v>34.779836299999999</v>
      </c>
      <c r="C7237" s="18">
        <v>680011.7</v>
      </c>
      <c r="D7237" s="18">
        <v>2736261.42</v>
      </c>
      <c r="E7237" s="18">
        <v>393.85</v>
      </c>
      <c r="F7237" s="18">
        <v>41687.65</v>
      </c>
      <c r="G7237" s="18">
        <v>124652</v>
      </c>
      <c r="H7237" s="18">
        <f t="shared" si="165"/>
        <v>41537.65</v>
      </c>
      <c r="I7237" s="3"/>
    </row>
    <row r="7238" spans="1:9" s="4" customFormat="1" ht="20.25" customHeight="1" x14ac:dyDescent="0.55000000000000004">
      <c r="A7238" s="18">
        <v>24.730328799999999</v>
      </c>
      <c r="B7238" s="18">
        <v>34.779834299999997</v>
      </c>
      <c r="C7238" s="18">
        <v>680011.54</v>
      </c>
      <c r="D7238" s="18">
        <v>2736257.9</v>
      </c>
      <c r="E7238" s="18">
        <v>393.81</v>
      </c>
      <c r="F7238" s="18">
        <v>41703.18</v>
      </c>
      <c r="G7238" s="18">
        <v>124654</v>
      </c>
      <c r="H7238" s="18">
        <f t="shared" si="165"/>
        <v>41553.18</v>
      </c>
      <c r="I7238" s="3"/>
    </row>
    <row r="7239" spans="1:9" s="4" customFormat="1" ht="20.25" customHeight="1" x14ac:dyDescent="0.55000000000000004">
      <c r="A7239" s="18">
        <v>24.730297700000001</v>
      </c>
      <c r="B7239" s="18">
        <v>34.779831999999999</v>
      </c>
      <c r="C7239" s="18">
        <v>680011.35</v>
      </c>
      <c r="D7239" s="18">
        <v>2736254.46</v>
      </c>
      <c r="E7239" s="18">
        <v>393.98</v>
      </c>
      <c r="F7239" s="18">
        <v>41701.360000000001</v>
      </c>
      <c r="G7239" s="18">
        <v>124656</v>
      </c>
      <c r="H7239" s="18">
        <f t="shared" si="165"/>
        <v>41551.360000000001</v>
      </c>
      <c r="I7239" s="3"/>
    </row>
    <row r="7240" spans="1:9" s="4" customFormat="1" ht="20.25" customHeight="1" x14ac:dyDescent="0.55000000000000004">
      <c r="A7240" s="18">
        <v>24.730265899999999</v>
      </c>
      <c r="B7240" s="18">
        <v>34.779827599999997</v>
      </c>
      <c r="C7240" s="18">
        <v>680010.95</v>
      </c>
      <c r="D7240" s="18">
        <v>2736250.93</v>
      </c>
      <c r="E7240" s="18">
        <v>394.08</v>
      </c>
      <c r="F7240" s="18">
        <v>41700.71</v>
      </c>
      <c r="G7240" s="18">
        <v>124658</v>
      </c>
      <c r="H7240" s="18">
        <f t="shared" si="165"/>
        <v>41550.71</v>
      </c>
      <c r="I7240" s="3"/>
    </row>
    <row r="7241" spans="1:9" s="4" customFormat="1" ht="20.25" customHeight="1" x14ac:dyDescent="0.55000000000000004">
      <c r="A7241" s="18">
        <v>24.730234899999999</v>
      </c>
      <c r="B7241" s="18">
        <v>34.779820999999998</v>
      </c>
      <c r="C7241" s="18">
        <v>680010.33</v>
      </c>
      <c r="D7241" s="18">
        <v>2736247.48</v>
      </c>
      <c r="E7241" s="18">
        <v>394.11</v>
      </c>
      <c r="F7241" s="18">
        <v>41700.99</v>
      </c>
      <c r="G7241" s="18">
        <v>124700</v>
      </c>
      <c r="H7241" s="18">
        <f t="shared" si="165"/>
        <v>41550.99</v>
      </c>
      <c r="I7241" s="3"/>
    </row>
    <row r="7242" spans="1:9" s="4" customFormat="1" ht="20.25" customHeight="1" x14ac:dyDescent="0.55000000000000004">
      <c r="A7242" s="18">
        <v>24.7302043</v>
      </c>
      <c r="B7242" s="18">
        <v>34.779814700000003</v>
      </c>
      <c r="C7242" s="18">
        <v>680009.74</v>
      </c>
      <c r="D7242" s="18">
        <v>2736244.09</v>
      </c>
      <c r="E7242" s="18">
        <v>394.14</v>
      </c>
      <c r="F7242" s="18">
        <v>41699.68</v>
      </c>
      <c r="G7242" s="18">
        <v>124702</v>
      </c>
      <c r="H7242" s="18">
        <f t="shared" si="165"/>
        <v>41549.68</v>
      </c>
      <c r="I7242" s="3"/>
    </row>
    <row r="7243" spans="1:9" s="4" customFormat="1" ht="20.25" customHeight="1" x14ac:dyDescent="0.55000000000000004">
      <c r="A7243" s="18">
        <v>24.730174099999999</v>
      </c>
      <c r="B7243" s="18">
        <v>34.779808799999998</v>
      </c>
      <c r="C7243" s="18">
        <v>680009.18</v>
      </c>
      <c r="D7243" s="18">
        <v>2736240.74</v>
      </c>
      <c r="E7243" s="18">
        <v>394.22</v>
      </c>
      <c r="F7243" s="18">
        <v>41702.400000000001</v>
      </c>
      <c r="G7243" s="18">
        <v>124704</v>
      </c>
      <c r="H7243" s="18">
        <f t="shared" si="165"/>
        <v>41552.400000000001</v>
      </c>
      <c r="I7243" s="3"/>
    </row>
    <row r="7244" spans="1:9" s="4" customFormat="1" ht="20.25" customHeight="1" x14ac:dyDescent="0.55000000000000004">
      <c r="A7244" s="18">
        <v>24.730144899999999</v>
      </c>
      <c r="B7244" s="18">
        <v>34.779800299999998</v>
      </c>
      <c r="C7244" s="18">
        <v>680008.36</v>
      </c>
      <c r="D7244" s="18">
        <v>2736237.49</v>
      </c>
      <c r="E7244" s="18">
        <v>394.39</v>
      </c>
      <c r="F7244" s="18">
        <v>41698</v>
      </c>
      <c r="G7244" s="18">
        <v>124706</v>
      </c>
      <c r="H7244" s="18">
        <f t="shared" si="165"/>
        <v>41548</v>
      </c>
      <c r="I7244" s="3"/>
    </row>
    <row r="7245" spans="1:9" s="4" customFormat="1" ht="20.25" customHeight="1" x14ac:dyDescent="0.55000000000000004">
      <c r="A7245" s="18">
        <v>24.730115000000001</v>
      </c>
      <c r="B7245" s="18">
        <v>34.779790599999998</v>
      </c>
      <c r="C7245" s="18">
        <v>680007.43</v>
      </c>
      <c r="D7245" s="18">
        <v>2736234.17</v>
      </c>
      <c r="E7245" s="18">
        <v>394.47</v>
      </c>
      <c r="F7245" s="18">
        <v>41696.519999999997</v>
      </c>
      <c r="G7245" s="18">
        <v>124708</v>
      </c>
      <c r="H7245" s="18">
        <f t="shared" si="165"/>
        <v>41546.519999999997</v>
      </c>
      <c r="I7245" s="3"/>
    </row>
    <row r="7246" spans="1:9" s="4" customFormat="1" ht="20.25" customHeight="1" x14ac:dyDescent="0.55000000000000004">
      <c r="A7246" s="18">
        <v>24.730085800000001</v>
      </c>
      <c r="B7246" s="18">
        <v>34.7797822</v>
      </c>
      <c r="C7246" s="18">
        <v>680006.62</v>
      </c>
      <c r="D7246" s="18">
        <v>2736230.93</v>
      </c>
      <c r="E7246" s="18">
        <v>394.51</v>
      </c>
      <c r="F7246" s="18">
        <v>41701.96</v>
      </c>
      <c r="G7246" s="18">
        <v>124710</v>
      </c>
      <c r="H7246" s="18">
        <f t="shared" si="165"/>
        <v>41551.96</v>
      </c>
      <c r="I7246" s="3"/>
    </row>
    <row r="7247" spans="1:9" s="4" customFormat="1" ht="20.25" customHeight="1" x14ac:dyDescent="0.55000000000000004">
      <c r="A7247" s="18">
        <v>24.7300568</v>
      </c>
      <c r="B7247" s="18">
        <v>34.779770599999999</v>
      </c>
      <c r="C7247" s="18">
        <v>680005.49</v>
      </c>
      <c r="D7247" s="18">
        <v>2736227.69</v>
      </c>
      <c r="E7247" s="18">
        <v>394.52</v>
      </c>
      <c r="F7247" s="18">
        <v>41706.19</v>
      </c>
      <c r="G7247" s="18">
        <v>124712</v>
      </c>
      <c r="H7247" s="18">
        <f t="shared" si="165"/>
        <v>41556.19</v>
      </c>
      <c r="I7247" s="3"/>
    </row>
    <row r="7248" spans="1:9" s="4" customFormat="1" ht="20.25" customHeight="1" x14ac:dyDescent="0.55000000000000004">
      <c r="A7248" s="18">
        <v>24.7300279</v>
      </c>
      <c r="B7248" s="18">
        <v>34.779759300000002</v>
      </c>
      <c r="C7248" s="18">
        <v>680004.39</v>
      </c>
      <c r="D7248" s="18">
        <v>2736224.48</v>
      </c>
      <c r="E7248" s="18">
        <v>394.61</v>
      </c>
      <c r="F7248" s="18">
        <v>41699.910000000003</v>
      </c>
      <c r="G7248" s="18">
        <v>124714</v>
      </c>
      <c r="H7248" s="18">
        <f t="shared" si="165"/>
        <v>41549.910000000003</v>
      </c>
      <c r="I7248" s="3"/>
    </row>
    <row r="7249" spans="1:9" s="4" customFormat="1" ht="20.25" customHeight="1" x14ac:dyDescent="0.55000000000000004">
      <c r="A7249" s="18">
        <v>24.729998699999999</v>
      </c>
      <c r="B7249" s="18">
        <v>34.779749000000002</v>
      </c>
      <c r="C7249" s="18">
        <v>680003.38</v>
      </c>
      <c r="D7249" s="18">
        <v>2736221.24</v>
      </c>
      <c r="E7249" s="18">
        <v>394.75</v>
      </c>
      <c r="F7249" s="18">
        <v>41699.870000000003</v>
      </c>
      <c r="G7249" s="18">
        <v>124716</v>
      </c>
      <c r="H7249" s="18">
        <f t="shared" si="165"/>
        <v>41549.870000000003</v>
      </c>
      <c r="I7249" s="3"/>
    </row>
    <row r="7250" spans="1:9" s="4" customFormat="1" ht="20.25" customHeight="1" x14ac:dyDescent="0.55000000000000004">
      <c r="A7250" s="18">
        <v>24.7299696</v>
      </c>
      <c r="B7250" s="18">
        <v>34.779738199999997</v>
      </c>
      <c r="C7250" s="18">
        <v>680002.34</v>
      </c>
      <c r="D7250" s="18">
        <v>2736217.99</v>
      </c>
      <c r="E7250" s="18">
        <v>394.84</v>
      </c>
      <c r="F7250" s="18">
        <v>41702.379999999997</v>
      </c>
      <c r="G7250" s="18">
        <v>124718</v>
      </c>
      <c r="H7250" s="18">
        <f t="shared" si="165"/>
        <v>41552.379999999997</v>
      </c>
      <c r="I7250" s="3"/>
    </row>
    <row r="7251" spans="1:9" s="4" customFormat="1" ht="20.25" customHeight="1" x14ac:dyDescent="0.55000000000000004">
      <c r="A7251" s="18">
        <v>24.7299392</v>
      </c>
      <c r="B7251" s="18">
        <v>34.779729600000003</v>
      </c>
      <c r="C7251" s="18">
        <v>680001.51</v>
      </c>
      <c r="D7251" s="18">
        <v>2736214.62</v>
      </c>
      <c r="E7251" s="18">
        <v>394.87</v>
      </c>
      <c r="F7251" s="18">
        <v>41695.050000000003</v>
      </c>
      <c r="G7251" s="18">
        <v>124720</v>
      </c>
      <c r="H7251" s="18">
        <f t="shared" si="165"/>
        <v>41545.050000000003</v>
      </c>
      <c r="I7251" s="3"/>
    </row>
    <row r="7252" spans="1:9" s="4" customFormat="1" ht="20.25" customHeight="1" x14ac:dyDescent="0.55000000000000004">
      <c r="A7252" s="18">
        <v>24.729907900000001</v>
      </c>
      <c r="B7252" s="18">
        <v>34.779721100000003</v>
      </c>
      <c r="C7252" s="18">
        <v>680000.69</v>
      </c>
      <c r="D7252" s="18">
        <v>2736211.14</v>
      </c>
      <c r="E7252" s="18">
        <v>394.9</v>
      </c>
      <c r="F7252" s="18">
        <v>41701.620000000003</v>
      </c>
      <c r="G7252" s="18">
        <v>124722</v>
      </c>
      <c r="H7252" s="18">
        <f t="shared" si="165"/>
        <v>41551.620000000003</v>
      </c>
      <c r="I7252" s="3"/>
    </row>
    <row r="7253" spans="1:9" s="4" customFormat="1" ht="20.25" customHeight="1" x14ac:dyDescent="0.55000000000000004">
      <c r="A7253" s="18">
        <v>24.7298787</v>
      </c>
      <c r="B7253" s="18">
        <v>34.779714400000003</v>
      </c>
      <c r="C7253" s="18">
        <v>680000.06</v>
      </c>
      <c r="D7253" s="18">
        <v>2736207.89</v>
      </c>
      <c r="E7253" s="18">
        <v>394.88</v>
      </c>
      <c r="F7253" s="18">
        <v>41695.94</v>
      </c>
      <c r="G7253" s="18">
        <v>124724</v>
      </c>
      <c r="H7253" s="18">
        <f t="shared" si="165"/>
        <v>41545.94</v>
      </c>
      <c r="I7253" s="3"/>
    </row>
    <row r="7254" spans="1:9" s="4" customFormat="1" ht="20.25" customHeight="1" x14ac:dyDescent="0.55000000000000004">
      <c r="A7254" s="18">
        <v>24.729848400000002</v>
      </c>
      <c r="B7254" s="18">
        <v>34.779707299999998</v>
      </c>
      <c r="C7254" s="18">
        <v>679999.38</v>
      </c>
      <c r="D7254" s="18">
        <v>2736204.53</v>
      </c>
      <c r="E7254" s="18">
        <v>394.98</v>
      </c>
      <c r="F7254" s="18">
        <v>41694.76</v>
      </c>
      <c r="G7254" s="18">
        <v>124726</v>
      </c>
      <c r="H7254" s="18">
        <f t="shared" si="165"/>
        <v>41544.76</v>
      </c>
      <c r="I7254" s="3"/>
    </row>
    <row r="7255" spans="1:9" s="4" customFormat="1" ht="20.25" customHeight="1" x14ac:dyDescent="0.55000000000000004">
      <c r="A7255" s="18">
        <v>24.729818699999999</v>
      </c>
      <c r="B7255" s="18">
        <v>34.779699200000003</v>
      </c>
      <c r="C7255" s="18">
        <v>679998.61</v>
      </c>
      <c r="D7255" s="18">
        <v>2736201.23</v>
      </c>
      <c r="E7255" s="18">
        <v>395.1</v>
      </c>
      <c r="F7255" s="18">
        <v>41694.97</v>
      </c>
      <c r="G7255" s="18">
        <v>124728</v>
      </c>
      <c r="H7255" s="18">
        <f t="shared" si="165"/>
        <v>41544.97</v>
      </c>
      <c r="I7255" s="3"/>
    </row>
    <row r="7256" spans="1:9" s="4" customFormat="1" ht="20.25" customHeight="1" x14ac:dyDescent="0.55000000000000004">
      <c r="A7256" s="18">
        <v>24.729790099999999</v>
      </c>
      <c r="B7256" s="18">
        <v>34.7796892</v>
      </c>
      <c r="C7256" s="18">
        <v>679997.64</v>
      </c>
      <c r="D7256" s="18">
        <v>2736198.05</v>
      </c>
      <c r="E7256" s="18">
        <v>395.13</v>
      </c>
      <c r="F7256" s="18">
        <v>41697.480000000003</v>
      </c>
      <c r="G7256" s="18">
        <v>124730</v>
      </c>
      <c r="H7256" s="18">
        <f t="shared" si="165"/>
        <v>41547.480000000003</v>
      </c>
      <c r="I7256" s="3"/>
    </row>
    <row r="7257" spans="1:9" s="4" customFormat="1" ht="20.25" customHeight="1" x14ac:dyDescent="0.55000000000000004">
      <c r="A7257" s="18">
        <v>24.729762300000001</v>
      </c>
      <c r="B7257" s="18">
        <v>34.779674900000003</v>
      </c>
      <c r="C7257" s="18">
        <v>679996.23</v>
      </c>
      <c r="D7257" s="18">
        <v>2736194.95</v>
      </c>
      <c r="E7257" s="18">
        <v>395.19</v>
      </c>
      <c r="F7257" s="18">
        <v>41696.74</v>
      </c>
      <c r="G7257" s="18">
        <v>124732</v>
      </c>
      <c r="H7257" s="18">
        <f t="shared" si="165"/>
        <v>41546.74</v>
      </c>
      <c r="I7257" s="3"/>
    </row>
    <row r="7258" spans="1:9" s="4" customFormat="1" ht="20.25" customHeight="1" x14ac:dyDescent="0.55000000000000004">
      <c r="A7258" s="18">
        <v>24.7297364</v>
      </c>
      <c r="B7258" s="18">
        <v>34.779662600000002</v>
      </c>
      <c r="C7258" s="18">
        <v>679995.02</v>
      </c>
      <c r="D7258" s="18">
        <v>2736192.06</v>
      </c>
      <c r="E7258" s="18">
        <v>395.28</v>
      </c>
      <c r="F7258" s="18">
        <v>41693.050000000003</v>
      </c>
      <c r="G7258" s="18">
        <v>124734</v>
      </c>
      <c r="H7258" s="18">
        <f t="shared" si="165"/>
        <v>41543.050000000003</v>
      </c>
      <c r="I7258" s="3"/>
    </row>
    <row r="7259" spans="1:9" s="4" customFormat="1" ht="20.25" customHeight="1" x14ac:dyDescent="0.55000000000000004">
      <c r="A7259" s="18">
        <v>24.729711600000002</v>
      </c>
      <c r="B7259" s="18">
        <v>34.779647400000002</v>
      </c>
      <c r="C7259" s="18">
        <v>679993.52</v>
      </c>
      <c r="D7259" s="18">
        <v>2736189.3</v>
      </c>
      <c r="E7259" s="18">
        <v>395.43</v>
      </c>
      <c r="F7259" s="18">
        <v>41691.93</v>
      </c>
      <c r="G7259" s="18">
        <v>124736</v>
      </c>
      <c r="H7259" s="18">
        <f t="shared" si="165"/>
        <v>41541.93</v>
      </c>
      <c r="I7259" s="3"/>
    </row>
    <row r="7260" spans="1:9" s="4" customFormat="1" ht="20.25" customHeight="1" x14ac:dyDescent="0.55000000000000004">
      <c r="A7260" s="18">
        <v>24.729689499999999</v>
      </c>
      <c r="B7260" s="18">
        <v>34.779628299999999</v>
      </c>
      <c r="C7260" s="18">
        <v>679991.62</v>
      </c>
      <c r="D7260" s="18">
        <v>2736186.83</v>
      </c>
      <c r="E7260" s="18">
        <v>395.43</v>
      </c>
      <c r="F7260" s="18">
        <v>41691.550000000003</v>
      </c>
      <c r="G7260" s="18">
        <v>124738</v>
      </c>
      <c r="H7260" s="18">
        <f t="shared" si="165"/>
        <v>41541.550000000003</v>
      </c>
      <c r="I7260" s="3"/>
    </row>
    <row r="7261" spans="1:9" s="4" customFormat="1" ht="20.25" customHeight="1" x14ac:dyDescent="0.55000000000000004">
      <c r="A7261" s="18">
        <v>24.729669099999999</v>
      </c>
      <c r="B7261" s="18">
        <v>34.779606100000002</v>
      </c>
      <c r="C7261" s="18">
        <v>679989.4</v>
      </c>
      <c r="D7261" s="18">
        <v>2736184.54</v>
      </c>
      <c r="E7261" s="18">
        <v>395.45</v>
      </c>
      <c r="F7261" s="18">
        <v>41687.129999999997</v>
      </c>
      <c r="G7261" s="18">
        <v>124740</v>
      </c>
      <c r="H7261" s="18">
        <f t="shared" si="165"/>
        <v>41537.129999999997</v>
      </c>
      <c r="I7261" s="3"/>
    </row>
    <row r="7262" spans="1:9" s="4" customFormat="1" ht="20.25" customHeight="1" x14ac:dyDescent="0.55000000000000004">
      <c r="A7262" s="18">
        <v>24.729663200000001</v>
      </c>
      <c r="B7262" s="18">
        <v>34.779578800000003</v>
      </c>
      <c r="C7262" s="18">
        <v>679986.65</v>
      </c>
      <c r="D7262" s="18">
        <v>2736183.85</v>
      </c>
      <c r="E7262" s="18">
        <v>395.76</v>
      </c>
      <c r="F7262" s="18">
        <v>41684.120000000003</v>
      </c>
      <c r="G7262" s="18">
        <v>124742</v>
      </c>
      <c r="H7262" s="18">
        <f t="shared" si="165"/>
        <v>41534.120000000003</v>
      </c>
      <c r="I7262" s="3"/>
    </row>
    <row r="7263" spans="1:9" s="4" customFormat="1" ht="20.25" customHeight="1" x14ac:dyDescent="0.55000000000000004">
      <c r="A7263" s="18">
        <v>24.729658100000002</v>
      </c>
      <c r="B7263" s="18">
        <v>34.779552299999999</v>
      </c>
      <c r="C7263" s="18">
        <v>679983.97</v>
      </c>
      <c r="D7263" s="18">
        <v>2736183.25</v>
      </c>
      <c r="E7263" s="18">
        <v>396.04</v>
      </c>
      <c r="F7263" s="18">
        <v>41683.71</v>
      </c>
      <c r="G7263" s="18">
        <v>124744</v>
      </c>
      <c r="H7263" s="18">
        <f t="shared" si="165"/>
        <v>41533.71</v>
      </c>
      <c r="I7263" s="3"/>
    </row>
    <row r="7264" spans="1:9" s="4" customFormat="1" ht="20.25" customHeight="1" x14ac:dyDescent="0.55000000000000004">
      <c r="A7264" s="18">
        <v>24.729651799999999</v>
      </c>
      <c r="B7264" s="18">
        <v>34.779525800000002</v>
      </c>
      <c r="C7264" s="18">
        <v>679981.3</v>
      </c>
      <c r="D7264" s="18">
        <v>2736182.52</v>
      </c>
      <c r="E7264" s="18">
        <v>396.3</v>
      </c>
      <c r="F7264" s="18">
        <v>41685.46</v>
      </c>
      <c r="G7264" s="18">
        <v>124746</v>
      </c>
      <c r="H7264" s="18">
        <f t="shared" si="165"/>
        <v>41535.46</v>
      </c>
      <c r="I7264" s="3"/>
    </row>
    <row r="7265" spans="1:9" s="4" customFormat="1" ht="20.25" customHeight="1" x14ac:dyDescent="0.55000000000000004">
      <c r="A7265" s="18">
        <v>24.729645399999999</v>
      </c>
      <c r="B7265" s="18">
        <v>34.779497399999997</v>
      </c>
      <c r="C7265" s="18">
        <v>679978.44</v>
      </c>
      <c r="D7265" s="18">
        <v>2736181.77</v>
      </c>
      <c r="E7265" s="18">
        <v>396.49</v>
      </c>
      <c r="F7265" s="18">
        <v>41688.550000000003</v>
      </c>
      <c r="G7265" s="18">
        <v>124748</v>
      </c>
      <c r="H7265" s="18">
        <f t="shared" si="165"/>
        <v>41538.550000000003</v>
      </c>
      <c r="I7265" s="3"/>
    </row>
    <row r="7266" spans="1:9" s="4" customFormat="1" ht="20.25" customHeight="1" x14ac:dyDescent="0.55000000000000004">
      <c r="A7266" s="18">
        <v>24.729639800000001</v>
      </c>
      <c r="B7266" s="18">
        <v>34.779468899999998</v>
      </c>
      <c r="C7266" s="18">
        <v>679975.57</v>
      </c>
      <c r="D7266" s="18">
        <v>2736181.12</v>
      </c>
      <c r="E7266" s="18">
        <v>396.63</v>
      </c>
      <c r="F7266" s="18">
        <v>41687.42</v>
      </c>
      <c r="G7266" s="18">
        <v>124750</v>
      </c>
      <c r="H7266" s="18">
        <f t="shared" si="165"/>
        <v>41537.42</v>
      </c>
      <c r="I7266" s="3"/>
    </row>
    <row r="7267" spans="1:9" s="4" customFormat="1" ht="20.25" customHeight="1" x14ac:dyDescent="0.55000000000000004">
      <c r="A7267" s="18">
        <v>24.729635099999999</v>
      </c>
      <c r="B7267" s="18">
        <v>34.779440399999999</v>
      </c>
      <c r="C7267" s="18">
        <v>679972.69</v>
      </c>
      <c r="D7267" s="18">
        <v>2736180.55</v>
      </c>
      <c r="E7267" s="18">
        <v>396.69</v>
      </c>
      <c r="F7267" s="18">
        <v>41686.5</v>
      </c>
      <c r="G7267" s="18">
        <v>124752</v>
      </c>
      <c r="H7267" s="18">
        <f t="shared" si="165"/>
        <v>41536.5</v>
      </c>
      <c r="I7267" s="3"/>
    </row>
    <row r="7268" spans="1:9" s="4" customFormat="1" ht="20.25" customHeight="1" x14ac:dyDescent="0.55000000000000004">
      <c r="A7268" s="18">
        <v>24.729631399999999</v>
      </c>
      <c r="B7268" s="18">
        <v>34.779412899999997</v>
      </c>
      <c r="C7268" s="18">
        <v>679969.91</v>
      </c>
      <c r="D7268" s="18">
        <v>2736180.1</v>
      </c>
      <c r="E7268" s="18">
        <v>396.79</v>
      </c>
      <c r="F7268" s="18">
        <v>41687.35</v>
      </c>
      <c r="G7268" s="18">
        <v>124754</v>
      </c>
      <c r="H7268" s="18">
        <f t="shared" si="165"/>
        <v>41537.35</v>
      </c>
      <c r="I7268" s="3"/>
    </row>
    <row r="7269" spans="1:9" s="4" customFormat="1" ht="20.25" customHeight="1" x14ac:dyDescent="0.55000000000000004">
      <c r="A7269" s="18">
        <v>24.729627099999998</v>
      </c>
      <c r="B7269" s="18">
        <v>34.779385900000001</v>
      </c>
      <c r="C7269" s="18">
        <v>679967.19</v>
      </c>
      <c r="D7269" s="18">
        <v>2736179.59</v>
      </c>
      <c r="E7269" s="18">
        <v>396.88</v>
      </c>
      <c r="F7269" s="18">
        <v>41691.050000000003</v>
      </c>
      <c r="G7269" s="18">
        <v>124756</v>
      </c>
      <c r="H7269" s="18">
        <f t="shared" si="165"/>
        <v>41541.050000000003</v>
      </c>
      <c r="I7269" s="3"/>
    </row>
    <row r="7270" spans="1:9" s="4" customFormat="1" ht="20.25" customHeight="1" x14ac:dyDescent="0.55000000000000004">
      <c r="A7270" s="18">
        <v>24.729622500000001</v>
      </c>
      <c r="B7270" s="18">
        <v>34.7793584</v>
      </c>
      <c r="C7270" s="18">
        <v>679964.41</v>
      </c>
      <c r="D7270" s="18">
        <v>2736179.05</v>
      </c>
      <c r="E7270" s="18">
        <v>396.91</v>
      </c>
      <c r="F7270" s="18">
        <v>41691.08</v>
      </c>
      <c r="G7270" s="18">
        <v>124758</v>
      </c>
      <c r="H7270" s="18">
        <f t="shared" si="165"/>
        <v>41541.08</v>
      </c>
      <c r="I7270" s="3"/>
    </row>
    <row r="7271" spans="1:9" s="4" customFormat="1" ht="20.25" customHeight="1" x14ac:dyDescent="0.55000000000000004">
      <c r="A7271" s="18">
        <v>24.729621399999999</v>
      </c>
      <c r="B7271" s="18">
        <v>34.779329599999997</v>
      </c>
      <c r="C7271" s="18">
        <v>679961.5</v>
      </c>
      <c r="D7271" s="18">
        <v>2736178.9</v>
      </c>
      <c r="E7271" s="18">
        <v>396.89</v>
      </c>
      <c r="F7271" s="18">
        <v>41691.65</v>
      </c>
      <c r="G7271" s="18">
        <v>124800</v>
      </c>
      <c r="H7271" s="18">
        <f t="shared" si="165"/>
        <v>41541.65</v>
      </c>
      <c r="I7271" s="3"/>
    </row>
    <row r="7272" spans="1:9" s="4" customFormat="1" ht="20.25" customHeight="1" x14ac:dyDescent="0.55000000000000004">
      <c r="A7272" s="18">
        <v>24.729624900000001</v>
      </c>
      <c r="B7272" s="18">
        <v>34.779297100000001</v>
      </c>
      <c r="C7272" s="18">
        <v>679958.21</v>
      </c>
      <c r="D7272" s="18">
        <v>2736179.24</v>
      </c>
      <c r="E7272" s="18">
        <v>396.76</v>
      </c>
      <c r="F7272" s="18">
        <v>41691.620000000003</v>
      </c>
      <c r="G7272" s="18">
        <v>124802</v>
      </c>
      <c r="H7272" s="18">
        <f t="shared" si="165"/>
        <v>41541.620000000003</v>
      </c>
      <c r="I7272" s="3"/>
    </row>
    <row r="7273" spans="1:9" s="4" customFormat="1" ht="20.25" customHeight="1" x14ac:dyDescent="0.55000000000000004">
      <c r="A7273" s="18">
        <v>24.7296312</v>
      </c>
      <c r="B7273" s="18">
        <v>34.779270099999998</v>
      </c>
      <c r="C7273" s="18">
        <v>679955.47</v>
      </c>
      <c r="D7273" s="18">
        <v>2736179.9</v>
      </c>
      <c r="E7273" s="18">
        <v>396.89</v>
      </c>
      <c r="F7273" s="18">
        <v>41692.620000000003</v>
      </c>
      <c r="G7273" s="18">
        <v>124804</v>
      </c>
      <c r="H7273" s="18">
        <f t="shared" si="165"/>
        <v>41542.620000000003</v>
      </c>
      <c r="I7273" s="3"/>
    </row>
    <row r="7274" spans="1:9" s="4" customFormat="1" ht="20.25" customHeight="1" x14ac:dyDescent="0.55000000000000004">
      <c r="A7274" s="18">
        <v>24.729635500000001</v>
      </c>
      <c r="B7274" s="18">
        <v>34.779241599999999</v>
      </c>
      <c r="C7274" s="18">
        <v>679952.58</v>
      </c>
      <c r="D7274" s="18">
        <v>2736180.33</v>
      </c>
      <c r="E7274" s="18">
        <v>396.91</v>
      </c>
      <c r="F7274" s="18">
        <v>41688.699999999997</v>
      </c>
      <c r="G7274" s="18">
        <v>124806</v>
      </c>
      <c r="H7274" s="18">
        <f t="shared" ref="H7274:H7337" si="166">SUM(F7274-150)</f>
        <v>41538.699999999997</v>
      </c>
      <c r="I7274" s="3"/>
    </row>
    <row r="7275" spans="1:9" s="4" customFormat="1" ht="20.25" customHeight="1" x14ac:dyDescent="0.55000000000000004">
      <c r="A7275" s="18">
        <v>24.729631000000001</v>
      </c>
      <c r="B7275" s="18">
        <v>34.7792162</v>
      </c>
      <c r="C7275" s="18">
        <v>679950.01</v>
      </c>
      <c r="D7275" s="18">
        <v>2736179.81</v>
      </c>
      <c r="E7275" s="18">
        <v>396.94</v>
      </c>
      <c r="F7275" s="18">
        <v>41700.550000000003</v>
      </c>
      <c r="G7275" s="18">
        <v>124808</v>
      </c>
      <c r="H7275" s="18">
        <f t="shared" si="166"/>
        <v>41550.550000000003</v>
      </c>
      <c r="I7275" s="3"/>
    </row>
    <row r="7276" spans="1:9" s="4" customFormat="1" ht="20.25" customHeight="1" x14ac:dyDescent="0.55000000000000004">
      <c r="A7276" s="18">
        <v>24.729633400000001</v>
      </c>
      <c r="B7276" s="18">
        <v>34.779188699999999</v>
      </c>
      <c r="C7276" s="18">
        <v>679947.23</v>
      </c>
      <c r="D7276" s="18">
        <v>2736180.03</v>
      </c>
      <c r="E7276" s="18">
        <v>396.93</v>
      </c>
      <c r="F7276" s="18">
        <v>41698.57</v>
      </c>
      <c r="G7276" s="18">
        <v>124810</v>
      </c>
      <c r="H7276" s="18">
        <f t="shared" si="166"/>
        <v>41548.57</v>
      </c>
      <c r="I7276" s="3"/>
    </row>
    <row r="7277" spans="1:9" s="4" customFormat="1" ht="20.25" customHeight="1" x14ac:dyDescent="0.55000000000000004">
      <c r="A7277" s="18">
        <v>24.729642299999998</v>
      </c>
      <c r="B7277" s="18">
        <v>34.779161299999998</v>
      </c>
      <c r="C7277" s="18">
        <v>679944.44</v>
      </c>
      <c r="D7277" s="18">
        <v>2736180.99</v>
      </c>
      <c r="E7277" s="18">
        <v>397.07</v>
      </c>
      <c r="F7277" s="18">
        <v>41696.080000000002</v>
      </c>
      <c r="G7277" s="18">
        <v>124812</v>
      </c>
      <c r="H7277" s="18">
        <f t="shared" si="166"/>
        <v>41546.080000000002</v>
      </c>
      <c r="I7277" s="3"/>
    </row>
    <row r="7278" spans="1:9" s="4" customFormat="1" ht="20.25" customHeight="1" x14ac:dyDescent="0.55000000000000004">
      <c r="A7278" s="18">
        <v>24.7296482</v>
      </c>
      <c r="B7278" s="18">
        <v>34.779135400000001</v>
      </c>
      <c r="C7278" s="18">
        <v>679941.82</v>
      </c>
      <c r="D7278" s="18">
        <v>2736181.6</v>
      </c>
      <c r="E7278" s="18">
        <v>397.12</v>
      </c>
      <c r="F7278" s="18">
        <v>41693</v>
      </c>
      <c r="G7278" s="18">
        <v>124814</v>
      </c>
      <c r="H7278" s="18">
        <f t="shared" si="166"/>
        <v>41543</v>
      </c>
      <c r="I7278" s="3"/>
    </row>
    <row r="7279" spans="1:9" s="4" customFormat="1" ht="20.25" customHeight="1" x14ac:dyDescent="0.55000000000000004">
      <c r="A7279" s="18">
        <v>24.729654499999999</v>
      </c>
      <c r="B7279" s="18">
        <v>34.779108800000003</v>
      </c>
      <c r="C7279" s="18">
        <v>679939.11</v>
      </c>
      <c r="D7279" s="18">
        <v>2736182.27</v>
      </c>
      <c r="E7279" s="18">
        <v>397.24</v>
      </c>
      <c r="F7279" s="18">
        <v>41689.17</v>
      </c>
      <c r="G7279" s="18">
        <v>124816</v>
      </c>
      <c r="H7279" s="18">
        <f t="shared" si="166"/>
        <v>41539.17</v>
      </c>
      <c r="I7279" s="3"/>
    </row>
    <row r="7280" spans="1:9" s="4" customFormat="1" ht="20.25" customHeight="1" x14ac:dyDescent="0.55000000000000004">
      <c r="A7280" s="18">
        <v>24.729660899999999</v>
      </c>
      <c r="B7280" s="18">
        <v>34.779082000000002</v>
      </c>
      <c r="C7280" s="18">
        <v>679936.39</v>
      </c>
      <c r="D7280" s="18">
        <v>2736182.94</v>
      </c>
      <c r="E7280" s="18">
        <v>397.3</v>
      </c>
      <c r="F7280" s="18">
        <v>41697.620000000003</v>
      </c>
      <c r="G7280" s="18">
        <v>124818</v>
      </c>
      <c r="H7280" s="18">
        <f t="shared" si="166"/>
        <v>41547.620000000003</v>
      </c>
      <c r="I7280" s="3"/>
    </row>
    <row r="7281" spans="1:9" s="4" customFormat="1" ht="20.25" customHeight="1" x14ac:dyDescent="0.55000000000000004">
      <c r="A7281" s="18">
        <v>24.729666600000002</v>
      </c>
      <c r="B7281" s="18">
        <v>34.779055800000002</v>
      </c>
      <c r="C7281" s="18">
        <v>679933.74</v>
      </c>
      <c r="D7281" s="18">
        <v>2736183.54</v>
      </c>
      <c r="E7281" s="18">
        <v>397.46</v>
      </c>
      <c r="F7281" s="18">
        <v>41698.49</v>
      </c>
      <c r="G7281" s="18">
        <v>124820</v>
      </c>
      <c r="H7281" s="18">
        <f t="shared" si="166"/>
        <v>41548.49</v>
      </c>
      <c r="I7281" s="3"/>
    </row>
    <row r="7282" spans="1:9" s="4" customFormat="1" ht="20.25" customHeight="1" x14ac:dyDescent="0.55000000000000004">
      <c r="A7282" s="18">
        <v>24.7296713</v>
      </c>
      <c r="B7282" s="18">
        <v>34.779029199999997</v>
      </c>
      <c r="C7282" s="18">
        <v>679931.04</v>
      </c>
      <c r="D7282" s="18">
        <v>2736184.02</v>
      </c>
      <c r="E7282" s="18">
        <v>397.59</v>
      </c>
      <c r="F7282" s="18">
        <v>41698.07</v>
      </c>
      <c r="G7282" s="18">
        <v>124822</v>
      </c>
      <c r="H7282" s="18">
        <f t="shared" si="166"/>
        <v>41548.07</v>
      </c>
      <c r="I7282" s="3"/>
    </row>
    <row r="7283" spans="1:9" s="4" customFormat="1" ht="20.25" customHeight="1" x14ac:dyDescent="0.55000000000000004">
      <c r="A7283" s="18">
        <v>24.729672699999998</v>
      </c>
      <c r="B7283" s="18">
        <v>34.7790021</v>
      </c>
      <c r="C7283" s="18">
        <v>679928.3</v>
      </c>
      <c r="D7283" s="18">
        <v>2736184.14</v>
      </c>
      <c r="E7283" s="18">
        <v>397.68</v>
      </c>
      <c r="F7283" s="18">
        <v>41697.82</v>
      </c>
      <c r="G7283" s="18">
        <v>124824</v>
      </c>
      <c r="H7283" s="18">
        <f t="shared" si="166"/>
        <v>41547.82</v>
      </c>
      <c r="I7283" s="3"/>
    </row>
    <row r="7284" spans="1:9" s="4" customFormat="1" ht="20.25" customHeight="1" x14ac:dyDescent="0.55000000000000004">
      <c r="A7284" s="18">
        <v>24.729677299999999</v>
      </c>
      <c r="B7284" s="18">
        <v>34.7789742</v>
      </c>
      <c r="C7284" s="18">
        <v>679925.46</v>
      </c>
      <c r="D7284" s="18">
        <v>2736184.61</v>
      </c>
      <c r="E7284" s="18">
        <v>397.76</v>
      </c>
      <c r="F7284" s="18">
        <v>41696.730000000003</v>
      </c>
      <c r="G7284" s="18">
        <v>124826</v>
      </c>
      <c r="H7284" s="18">
        <f t="shared" si="166"/>
        <v>41546.730000000003</v>
      </c>
      <c r="I7284" s="3"/>
    </row>
    <row r="7285" spans="1:9" s="4" customFormat="1" ht="20.25" customHeight="1" x14ac:dyDescent="0.55000000000000004">
      <c r="A7285" s="18">
        <v>24.729681500000002</v>
      </c>
      <c r="B7285" s="18">
        <v>34.778943699999999</v>
      </c>
      <c r="C7285" s="18">
        <v>679922.37</v>
      </c>
      <c r="D7285" s="18">
        <v>2736185.04</v>
      </c>
      <c r="E7285" s="18">
        <v>397.83</v>
      </c>
      <c r="F7285" s="18">
        <v>41694.410000000003</v>
      </c>
      <c r="G7285" s="18">
        <v>124828</v>
      </c>
      <c r="H7285" s="18">
        <f t="shared" si="166"/>
        <v>41544.410000000003</v>
      </c>
      <c r="I7285" s="3"/>
    </row>
    <row r="7286" spans="1:9" s="4" customFormat="1" ht="20.25" customHeight="1" x14ac:dyDescent="0.55000000000000004">
      <c r="A7286" s="18">
        <v>24.729690099999999</v>
      </c>
      <c r="B7286" s="18">
        <v>34.778914999999998</v>
      </c>
      <c r="C7286" s="18">
        <v>679919.46</v>
      </c>
      <c r="D7286" s="18">
        <v>2736185.95</v>
      </c>
      <c r="E7286" s="18">
        <v>398.01</v>
      </c>
      <c r="F7286" s="18">
        <v>41696.5</v>
      </c>
      <c r="G7286" s="18">
        <v>124830</v>
      </c>
      <c r="H7286" s="18">
        <f t="shared" si="166"/>
        <v>41546.5</v>
      </c>
      <c r="I7286" s="3"/>
    </row>
    <row r="7287" spans="1:9" s="4" customFormat="1" ht="20.25" customHeight="1" x14ac:dyDescent="0.55000000000000004">
      <c r="A7287" s="18">
        <v>24.729699100000001</v>
      </c>
      <c r="B7287" s="18">
        <v>34.778888600000002</v>
      </c>
      <c r="C7287" s="18">
        <v>679916.77</v>
      </c>
      <c r="D7287" s="18">
        <v>2736186.92</v>
      </c>
      <c r="E7287" s="18">
        <v>398.06</v>
      </c>
      <c r="F7287" s="18">
        <v>41693.43</v>
      </c>
      <c r="G7287" s="18">
        <v>124832</v>
      </c>
      <c r="H7287" s="18">
        <f t="shared" si="166"/>
        <v>41543.43</v>
      </c>
      <c r="I7287" s="3"/>
    </row>
    <row r="7288" spans="1:9" s="4" customFormat="1" ht="20.25" customHeight="1" x14ac:dyDescent="0.55000000000000004">
      <c r="A7288" s="18">
        <v>24.729703000000001</v>
      </c>
      <c r="B7288" s="18">
        <v>34.7788617</v>
      </c>
      <c r="C7288" s="18">
        <v>679914.05</v>
      </c>
      <c r="D7288" s="18">
        <v>2736187.31</v>
      </c>
      <c r="E7288" s="18">
        <v>398.21</v>
      </c>
      <c r="F7288" s="18">
        <v>41692.79</v>
      </c>
      <c r="G7288" s="18">
        <v>124834</v>
      </c>
      <c r="H7288" s="18">
        <f t="shared" si="166"/>
        <v>41542.79</v>
      </c>
      <c r="I7288" s="3"/>
    </row>
    <row r="7289" spans="1:9" s="4" customFormat="1" ht="20.25" customHeight="1" x14ac:dyDescent="0.55000000000000004">
      <c r="A7289" s="18">
        <v>24.7297042</v>
      </c>
      <c r="B7289" s="18">
        <v>34.778832800000004</v>
      </c>
      <c r="C7289" s="18">
        <v>679911.13</v>
      </c>
      <c r="D7289" s="18">
        <v>2736187.41</v>
      </c>
      <c r="E7289" s="18">
        <v>398.25</v>
      </c>
      <c r="F7289" s="18">
        <v>41694.449999999997</v>
      </c>
      <c r="G7289" s="18">
        <v>124836</v>
      </c>
      <c r="H7289" s="18">
        <f t="shared" si="166"/>
        <v>41544.449999999997</v>
      </c>
      <c r="I7289" s="3"/>
    </row>
    <row r="7290" spans="1:9" s="4" customFormat="1" ht="20.25" customHeight="1" x14ac:dyDescent="0.55000000000000004">
      <c r="A7290" s="18">
        <v>24.7297017</v>
      </c>
      <c r="B7290" s="18">
        <v>34.778804000000001</v>
      </c>
      <c r="C7290" s="18">
        <v>679908.21</v>
      </c>
      <c r="D7290" s="18">
        <v>2736187.09</v>
      </c>
      <c r="E7290" s="18">
        <v>398.21</v>
      </c>
      <c r="F7290" s="18">
        <v>41697.74</v>
      </c>
      <c r="G7290" s="18">
        <v>124838</v>
      </c>
      <c r="H7290" s="18">
        <f t="shared" si="166"/>
        <v>41547.74</v>
      </c>
      <c r="I7290" s="3"/>
    </row>
    <row r="7291" spans="1:9" s="4" customFormat="1" ht="20.25" customHeight="1" x14ac:dyDescent="0.55000000000000004">
      <c r="A7291" s="18">
        <v>24.729699</v>
      </c>
      <c r="B7291" s="18">
        <v>34.778775799999998</v>
      </c>
      <c r="C7291" s="18">
        <v>679905.37</v>
      </c>
      <c r="D7291" s="18">
        <v>2736186.76</v>
      </c>
      <c r="E7291" s="18">
        <v>398.3</v>
      </c>
      <c r="F7291" s="18">
        <v>41695.08</v>
      </c>
      <c r="G7291" s="18">
        <v>124840</v>
      </c>
      <c r="H7291" s="18">
        <f t="shared" si="166"/>
        <v>41545.08</v>
      </c>
      <c r="I7291" s="3"/>
    </row>
    <row r="7292" spans="1:9" s="4" customFormat="1" ht="20.25" customHeight="1" x14ac:dyDescent="0.55000000000000004">
      <c r="A7292" s="18">
        <v>24.7296896</v>
      </c>
      <c r="B7292" s="18">
        <v>34.778747299999999</v>
      </c>
      <c r="C7292" s="18">
        <v>679902.49</v>
      </c>
      <c r="D7292" s="18">
        <v>2736185.68</v>
      </c>
      <c r="E7292" s="18">
        <v>398.31</v>
      </c>
      <c r="F7292" s="18">
        <v>41696.769999999997</v>
      </c>
      <c r="G7292" s="18">
        <v>124842</v>
      </c>
      <c r="H7292" s="18">
        <f t="shared" si="166"/>
        <v>41546.769999999997</v>
      </c>
      <c r="I7292" s="3"/>
    </row>
    <row r="7293" spans="1:9" s="4" customFormat="1" ht="20.25" customHeight="1" x14ac:dyDescent="0.55000000000000004">
      <c r="A7293" s="18">
        <v>24.7296741</v>
      </c>
      <c r="B7293" s="18">
        <v>34.7787182</v>
      </c>
      <c r="C7293" s="18">
        <v>679899.57</v>
      </c>
      <c r="D7293" s="18">
        <v>2736183.93</v>
      </c>
      <c r="E7293" s="18">
        <v>398.32</v>
      </c>
      <c r="F7293" s="18">
        <v>41697.08</v>
      </c>
      <c r="G7293" s="18">
        <v>124844</v>
      </c>
      <c r="H7293" s="18">
        <f t="shared" si="166"/>
        <v>41547.08</v>
      </c>
      <c r="I7293" s="3"/>
    </row>
    <row r="7294" spans="1:9" s="4" customFormat="1" ht="20.25" customHeight="1" x14ac:dyDescent="0.55000000000000004">
      <c r="A7294" s="18">
        <v>24.729658499999999</v>
      </c>
      <c r="B7294" s="18">
        <v>34.7786908</v>
      </c>
      <c r="C7294" s="18">
        <v>679896.82</v>
      </c>
      <c r="D7294" s="18">
        <v>2736182.16</v>
      </c>
      <c r="E7294" s="18">
        <v>398.35</v>
      </c>
      <c r="F7294" s="18">
        <v>41699.449999999997</v>
      </c>
      <c r="G7294" s="18">
        <v>124846</v>
      </c>
      <c r="H7294" s="18">
        <f t="shared" si="166"/>
        <v>41549.449999999997</v>
      </c>
      <c r="I7294" s="3"/>
    </row>
    <row r="7295" spans="1:9" s="4" customFormat="1" ht="20.25" customHeight="1" x14ac:dyDescent="0.55000000000000004">
      <c r="A7295" s="18">
        <v>24.729646800000001</v>
      </c>
      <c r="B7295" s="18">
        <v>34.778660899999998</v>
      </c>
      <c r="C7295" s="18">
        <v>679893.82</v>
      </c>
      <c r="D7295" s="18">
        <v>2736180.82</v>
      </c>
      <c r="E7295" s="18">
        <v>398.36</v>
      </c>
      <c r="F7295" s="18">
        <v>41699.96</v>
      </c>
      <c r="G7295" s="18">
        <v>124848</v>
      </c>
      <c r="H7295" s="18">
        <f t="shared" si="166"/>
        <v>41549.96</v>
      </c>
      <c r="I7295" s="3"/>
    </row>
    <row r="7296" spans="1:9" s="4" customFormat="1" ht="20.25" customHeight="1" x14ac:dyDescent="0.55000000000000004">
      <c r="A7296" s="18">
        <v>24.729632599999999</v>
      </c>
      <c r="B7296" s="18">
        <v>34.778633599999999</v>
      </c>
      <c r="C7296" s="18">
        <v>679891.08</v>
      </c>
      <c r="D7296" s="18">
        <v>2736179.21</v>
      </c>
      <c r="E7296" s="18">
        <v>398.42</v>
      </c>
      <c r="F7296" s="18">
        <v>41699.660000000003</v>
      </c>
      <c r="G7296" s="18">
        <v>124850</v>
      </c>
      <c r="H7296" s="18">
        <f t="shared" si="166"/>
        <v>41549.660000000003</v>
      </c>
      <c r="I7296" s="3"/>
    </row>
    <row r="7297" spans="1:9" s="4" customFormat="1" ht="20.25" customHeight="1" x14ac:dyDescent="0.55000000000000004">
      <c r="A7297" s="18">
        <v>24.729614999999999</v>
      </c>
      <c r="B7297" s="18">
        <v>34.778607399999999</v>
      </c>
      <c r="C7297" s="18">
        <v>679888.45</v>
      </c>
      <c r="D7297" s="18">
        <v>2736177.23</v>
      </c>
      <c r="E7297" s="18">
        <v>398.46</v>
      </c>
      <c r="F7297" s="18">
        <v>41699.769999999997</v>
      </c>
      <c r="G7297" s="18">
        <v>124852</v>
      </c>
      <c r="H7297" s="18">
        <f t="shared" si="166"/>
        <v>41549.769999999997</v>
      </c>
      <c r="I7297" s="3"/>
    </row>
    <row r="7298" spans="1:9" s="4" customFormat="1" ht="20.25" customHeight="1" x14ac:dyDescent="0.55000000000000004">
      <c r="A7298" s="18">
        <v>24.729599499999999</v>
      </c>
      <c r="B7298" s="18">
        <v>34.778580599999998</v>
      </c>
      <c r="C7298" s="18">
        <v>679885.76</v>
      </c>
      <c r="D7298" s="18">
        <v>2736175.48</v>
      </c>
      <c r="E7298" s="18">
        <v>398.63</v>
      </c>
      <c r="F7298" s="18">
        <v>41701.980000000003</v>
      </c>
      <c r="G7298" s="18">
        <v>124854</v>
      </c>
      <c r="H7298" s="18">
        <f t="shared" si="166"/>
        <v>41551.980000000003</v>
      </c>
      <c r="I7298" s="3"/>
    </row>
    <row r="7299" spans="1:9" s="4" customFormat="1" ht="20.25" customHeight="1" x14ac:dyDescent="0.55000000000000004">
      <c r="A7299" s="18">
        <v>24.729585799999999</v>
      </c>
      <c r="B7299" s="18">
        <v>34.778555500000003</v>
      </c>
      <c r="C7299" s="18">
        <v>679883.25</v>
      </c>
      <c r="D7299" s="18">
        <v>2736173.93</v>
      </c>
      <c r="E7299" s="18">
        <v>398.79</v>
      </c>
      <c r="F7299" s="18">
        <v>41700.57</v>
      </c>
      <c r="G7299" s="18">
        <v>124856</v>
      </c>
      <c r="H7299" s="18">
        <f t="shared" si="166"/>
        <v>41550.57</v>
      </c>
      <c r="I7299" s="3"/>
    </row>
    <row r="7300" spans="1:9" s="4" customFormat="1" ht="20.25" customHeight="1" x14ac:dyDescent="0.55000000000000004">
      <c r="A7300" s="18">
        <v>24.7295689</v>
      </c>
      <c r="B7300" s="18">
        <v>34.778530799999999</v>
      </c>
      <c r="C7300" s="18">
        <v>679880.77</v>
      </c>
      <c r="D7300" s="18">
        <v>2736172.03</v>
      </c>
      <c r="E7300" s="18">
        <v>398.87</v>
      </c>
      <c r="F7300" s="18">
        <v>41700.89</v>
      </c>
      <c r="G7300" s="18">
        <v>124858</v>
      </c>
      <c r="H7300" s="18">
        <f t="shared" si="166"/>
        <v>41550.89</v>
      </c>
      <c r="I7300" s="3"/>
    </row>
    <row r="7301" spans="1:9" s="4" customFormat="1" ht="20.25" customHeight="1" x14ac:dyDescent="0.55000000000000004">
      <c r="A7301" s="18">
        <v>24.729556899999999</v>
      </c>
      <c r="B7301" s="18">
        <v>34.778504900000001</v>
      </c>
      <c r="C7301" s="18">
        <v>679878.16</v>
      </c>
      <c r="D7301" s="18">
        <v>2736170.66</v>
      </c>
      <c r="E7301" s="18">
        <v>398.9</v>
      </c>
      <c r="F7301" s="18">
        <v>41700.959999999999</v>
      </c>
      <c r="G7301" s="18">
        <v>124900</v>
      </c>
      <c r="H7301" s="18">
        <f t="shared" si="166"/>
        <v>41550.959999999999</v>
      </c>
      <c r="I7301" s="3"/>
    </row>
    <row r="7302" spans="1:9" s="4" customFormat="1" ht="20.25" customHeight="1" x14ac:dyDescent="0.55000000000000004">
      <c r="A7302" s="18">
        <v>24.729549299999999</v>
      </c>
      <c r="B7302" s="18">
        <v>34.778477299999999</v>
      </c>
      <c r="C7302" s="18">
        <v>679875.38</v>
      </c>
      <c r="D7302" s="18">
        <v>2736169.79</v>
      </c>
      <c r="E7302" s="18">
        <v>398.98</v>
      </c>
      <c r="F7302" s="18">
        <v>41699.379999999997</v>
      </c>
      <c r="G7302" s="18">
        <v>124902</v>
      </c>
      <c r="H7302" s="18">
        <f t="shared" si="166"/>
        <v>41549.379999999997</v>
      </c>
      <c r="I7302" s="3"/>
    </row>
    <row r="7303" spans="1:9" s="4" customFormat="1" ht="20.25" customHeight="1" x14ac:dyDescent="0.55000000000000004">
      <c r="A7303" s="18">
        <v>24.729542200000001</v>
      </c>
      <c r="B7303" s="18">
        <v>34.778449999999999</v>
      </c>
      <c r="C7303" s="18">
        <v>679872.63</v>
      </c>
      <c r="D7303" s="18">
        <v>2736168.97</v>
      </c>
      <c r="E7303" s="18">
        <v>399.1</v>
      </c>
      <c r="F7303" s="18">
        <v>41699.480000000003</v>
      </c>
      <c r="G7303" s="18">
        <v>124904</v>
      </c>
      <c r="H7303" s="18">
        <f t="shared" si="166"/>
        <v>41549.480000000003</v>
      </c>
      <c r="I7303" s="3"/>
    </row>
    <row r="7304" spans="1:9" s="4" customFormat="1" ht="20.25" customHeight="1" x14ac:dyDescent="0.55000000000000004">
      <c r="A7304" s="18">
        <v>24.729528200000001</v>
      </c>
      <c r="B7304" s="18">
        <v>34.778427700000002</v>
      </c>
      <c r="C7304" s="18">
        <v>679870.4</v>
      </c>
      <c r="D7304" s="18">
        <v>2736167.38</v>
      </c>
      <c r="E7304" s="18">
        <v>399.28</v>
      </c>
      <c r="F7304" s="18">
        <v>41701.25</v>
      </c>
      <c r="G7304" s="18">
        <v>124906</v>
      </c>
      <c r="H7304" s="18">
        <f t="shared" si="166"/>
        <v>41551.25</v>
      </c>
      <c r="I7304" s="3"/>
    </row>
    <row r="7305" spans="1:9" s="4" customFormat="1" ht="20.25" customHeight="1" x14ac:dyDescent="0.55000000000000004">
      <c r="A7305" s="18">
        <v>24.729512400000001</v>
      </c>
      <c r="B7305" s="18">
        <v>34.778405599999999</v>
      </c>
      <c r="C7305" s="18">
        <v>679868.19</v>
      </c>
      <c r="D7305" s="18">
        <v>2736165.61</v>
      </c>
      <c r="E7305" s="18">
        <v>399.41</v>
      </c>
      <c r="F7305" s="18">
        <v>41700.089999999997</v>
      </c>
      <c r="G7305" s="18">
        <v>124908</v>
      </c>
      <c r="H7305" s="18">
        <f t="shared" si="166"/>
        <v>41550.089999999997</v>
      </c>
      <c r="I7305" s="3"/>
    </row>
    <row r="7306" spans="1:9" s="4" customFormat="1" ht="20.25" customHeight="1" x14ac:dyDescent="0.55000000000000004">
      <c r="A7306" s="18">
        <v>24.729505499999998</v>
      </c>
      <c r="B7306" s="18">
        <v>34.778380400000003</v>
      </c>
      <c r="C7306" s="18">
        <v>679865.64</v>
      </c>
      <c r="D7306" s="18">
        <v>2736164.8</v>
      </c>
      <c r="E7306" s="18">
        <v>399.54</v>
      </c>
      <c r="F7306" s="18">
        <v>41701.65</v>
      </c>
      <c r="G7306" s="18">
        <v>124910</v>
      </c>
      <c r="H7306" s="18">
        <f t="shared" si="166"/>
        <v>41551.65</v>
      </c>
      <c r="I7306" s="3"/>
    </row>
    <row r="7307" spans="1:9" s="4" customFormat="1" ht="20.25" customHeight="1" x14ac:dyDescent="0.55000000000000004">
      <c r="A7307" s="18">
        <v>24.729504599999999</v>
      </c>
      <c r="B7307" s="18">
        <v>34.778351200000003</v>
      </c>
      <c r="C7307" s="18">
        <v>679862.7</v>
      </c>
      <c r="D7307" s="18">
        <v>2736164.66</v>
      </c>
      <c r="E7307" s="18">
        <v>399.37</v>
      </c>
      <c r="F7307" s="18">
        <v>41698.81</v>
      </c>
      <c r="G7307" s="18">
        <v>124912</v>
      </c>
      <c r="H7307" s="18">
        <f t="shared" si="166"/>
        <v>41548.81</v>
      </c>
      <c r="I7307" s="3"/>
    </row>
    <row r="7308" spans="1:9" s="4" customFormat="1" ht="20.25" customHeight="1" x14ac:dyDescent="0.55000000000000004">
      <c r="A7308" s="18">
        <v>24.729503300000001</v>
      </c>
      <c r="B7308" s="18">
        <v>34.778325100000004</v>
      </c>
      <c r="C7308" s="18">
        <v>679860.05</v>
      </c>
      <c r="D7308" s="18">
        <v>2736164.49</v>
      </c>
      <c r="E7308" s="18">
        <v>399.51</v>
      </c>
      <c r="F7308" s="18">
        <v>41699.449999999997</v>
      </c>
      <c r="G7308" s="18">
        <v>124914</v>
      </c>
      <c r="H7308" s="18">
        <f t="shared" si="166"/>
        <v>41549.449999999997</v>
      </c>
      <c r="I7308" s="3"/>
    </row>
    <row r="7309" spans="1:9" s="4" customFormat="1" ht="20.25" customHeight="1" x14ac:dyDescent="0.55000000000000004">
      <c r="A7309" s="18">
        <v>24.729498700000001</v>
      </c>
      <c r="B7309" s="18">
        <v>34.778298700000001</v>
      </c>
      <c r="C7309" s="18">
        <v>679857.39</v>
      </c>
      <c r="D7309" s="18">
        <v>2736163.94</v>
      </c>
      <c r="E7309" s="18">
        <v>399.5</v>
      </c>
      <c r="F7309" s="18">
        <v>41699.26</v>
      </c>
      <c r="G7309" s="18">
        <v>124916</v>
      </c>
      <c r="H7309" s="18">
        <f t="shared" si="166"/>
        <v>41549.26</v>
      </c>
      <c r="I7309" s="3"/>
    </row>
    <row r="7310" spans="1:9" s="4" customFormat="1" ht="20.25" customHeight="1" x14ac:dyDescent="0.55000000000000004">
      <c r="A7310" s="18">
        <v>24.729484899999999</v>
      </c>
      <c r="B7310" s="18">
        <v>34.778274400000001</v>
      </c>
      <c r="C7310" s="18">
        <v>679854.95</v>
      </c>
      <c r="D7310" s="18">
        <v>2736162.38</v>
      </c>
      <c r="E7310" s="18">
        <v>399.49</v>
      </c>
      <c r="F7310" s="18">
        <v>41700.79</v>
      </c>
      <c r="G7310" s="18">
        <v>124918</v>
      </c>
      <c r="H7310" s="18">
        <f t="shared" si="166"/>
        <v>41550.79</v>
      </c>
      <c r="I7310" s="3"/>
    </row>
    <row r="7311" spans="1:9" s="4" customFormat="1" ht="20.25" customHeight="1" x14ac:dyDescent="0.55000000000000004">
      <c r="A7311" s="18">
        <v>24.729467400000001</v>
      </c>
      <c r="B7311" s="18">
        <v>34.778253399999997</v>
      </c>
      <c r="C7311" s="18">
        <v>679852.85</v>
      </c>
      <c r="D7311" s="18">
        <v>2736160.42</v>
      </c>
      <c r="E7311" s="18">
        <v>399.58</v>
      </c>
      <c r="F7311" s="18">
        <v>41700.17</v>
      </c>
      <c r="G7311" s="18">
        <v>124920</v>
      </c>
      <c r="H7311" s="18">
        <f t="shared" si="166"/>
        <v>41550.17</v>
      </c>
      <c r="I7311" s="3"/>
    </row>
    <row r="7312" spans="1:9" s="4" customFormat="1" ht="20.25" customHeight="1" x14ac:dyDescent="0.55000000000000004">
      <c r="A7312" s="18">
        <v>24.729447700000001</v>
      </c>
      <c r="B7312" s="18">
        <v>34.778234300000001</v>
      </c>
      <c r="C7312" s="18">
        <v>679850.94</v>
      </c>
      <c r="D7312" s="18">
        <v>2736158.21</v>
      </c>
      <c r="E7312" s="18">
        <v>399.65</v>
      </c>
      <c r="F7312" s="18">
        <v>41702.269999999997</v>
      </c>
      <c r="G7312" s="18">
        <v>124922</v>
      </c>
      <c r="H7312" s="18">
        <f t="shared" si="166"/>
        <v>41552.269999999997</v>
      </c>
      <c r="I7312" s="3"/>
    </row>
    <row r="7313" spans="1:9" s="4" customFormat="1" ht="20.25" customHeight="1" x14ac:dyDescent="0.55000000000000004">
      <c r="A7313" s="18">
        <v>24.729429799999998</v>
      </c>
      <c r="B7313" s="18">
        <v>34.7782105</v>
      </c>
      <c r="C7313" s="18">
        <v>679848.57</v>
      </c>
      <c r="D7313" s="18">
        <v>2736156.2</v>
      </c>
      <c r="E7313" s="18">
        <v>399.62</v>
      </c>
      <c r="F7313" s="18">
        <v>41703.050000000003</v>
      </c>
      <c r="G7313" s="18">
        <v>124924</v>
      </c>
      <c r="H7313" s="18">
        <f t="shared" si="166"/>
        <v>41553.050000000003</v>
      </c>
      <c r="I7313" s="3"/>
    </row>
    <row r="7314" spans="1:9" s="4" customFormat="1" ht="20.25" customHeight="1" x14ac:dyDescent="0.55000000000000004">
      <c r="A7314" s="18">
        <v>24.729420000000001</v>
      </c>
      <c r="B7314" s="18">
        <v>34.7781783</v>
      </c>
      <c r="C7314" s="18">
        <v>679845.32</v>
      </c>
      <c r="D7314" s="18">
        <v>2736155.07</v>
      </c>
      <c r="E7314" s="18">
        <v>399.53</v>
      </c>
      <c r="F7314" s="18">
        <v>41702.949999999997</v>
      </c>
      <c r="G7314" s="18">
        <v>124926</v>
      </c>
      <c r="H7314" s="18">
        <f t="shared" si="166"/>
        <v>41552.949999999997</v>
      </c>
      <c r="I7314" s="3"/>
    </row>
    <row r="7315" spans="1:9" s="4" customFormat="1" ht="20.25" customHeight="1" x14ac:dyDescent="0.55000000000000004">
      <c r="A7315" s="18">
        <v>24.729420699999999</v>
      </c>
      <c r="B7315" s="18">
        <v>34.778150799999999</v>
      </c>
      <c r="C7315" s="18">
        <v>679842.54</v>
      </c>
      <c r="D7315" s="18">
        <v>2736155.11</v>
      </c>
      <c r="E7315" s="18">
        <v>399.91</v>
      </c>
      <c r="F7315" s="18">
        <v>41705.370000000003</v>
      </c>
      <c r="G7315" s="18">
        <v>124928</v>
      </c>
      <c r="H7315" s="18">
        <f t="shared" si="166"/>
        <v>41555.370000000003</v>
      </c>
      <c r="I7315" s="3"/>
    </row>
    <row r="7316" spans="1:9" s="4" customFormat="1" ht="20.25" customHeight="1" x14ac:dyDescent="0.55000000000000004">
      <c r="A7316" s="18">
        <v>24.729423499999999</v>
      </c>
      <c r="B7316" s="18">
        <v>34.778119099999998</v>
      </c>
      <c r="C7316" s="18">
        <v>679839.33</v>
      </c>
      <c r="D7316" s="18">
        <v>2736155.38</v>
      </c>
      <c r="E7316" s="18">
        <v>399.85</v>
      </c>
      <c r="F7316" s="18">
        <v>41702.17</v>
      </c>
      <c r="G7316" s="18">
        <v>124930</v>
      </c>
      <c r="H7316" s="18">
        <f t="shared" si="166"/>
        <v>41552.17</v>
      </c>
      <c r="I7316" s="3"/>
    </row>
    <row r="7317" spans="1:9" s="4" customFormat="1" ht="20.25" customHeight="1" x14ac:dyDescent="0.55000000000000004">
      <c r="A7317" s="18">
        <v>24.729422100000001</v>
      </c>
      <c r="B7317" s="18">
        <v>34.778088400000001</v>
      </c>
      <c r="C7317" s="18">
        <v>679836.23</v>
      </c>
      <c r="D7317" s="18">
        <v>2736155.19</v>
      </c>
      <c r="E7317" s="18">
        <v>400.3</v>
      </c>
      <c r="F7317" s="18">
        <v>41703.21</v>
      </c>
      <c r="G7317" s="18">
        <v>124932</v>
      </c>
      <c r="H7317" s="18">
        <f t="shared" si="166"/>
        <v>41553.21</v>
      </c>
      <c r="I7317" s="3"/>
    </row>
    <row r="7318" spans="1:9" s="4" customFormat="1" ht="20.25" customHeight="1" x14ac:dyDescent="0.55000000000000004">
      <c r="A7318" s="18">
        <v>24.729417300000001</v>
      </c>
      <c r="B7318" s="18">
        <v>34.778058000000001</v>
      </c>
      <c r="C7318" s="18">
        <v>679833.16</v>
      </c>
      <c r="D7318" s="18">
        <v>2736154.62</v>
      </c>
      <c r="E7318" s="18">
        <v>400.37</v>
      </c>
      <c r="F7318" s="18">
        <v>41700.449999999997</v>
      </c>
      <c r="G7318" s="18">
        <v>124934</v>
      </c>
      <c r="H7318" s="18">
        <f t="shared" si="166"/>
        <v>41550.449999999997</v>
      </c>
      <c r="I7318" s="3"/>
    </row>
    <row r="7319" spans="1:9" s="4" customFormat="1" ht="20.25" customHeight="1" x14ac:dyDescent="0.55000000000000004">
      <c r="A7319" s="18">
        <v>24.7294123</v>
      </c>
      <c r="B7319" s="18">
        <v>34.7780281</v>
      </c>
      <c r="C7319" s="18">
        <v>679830.14</v>
      </c>
      <c r="D7319" s="18">
        <v>2736154.02</v>
      </c>
      <c r="E7319" s="18">
        <v>400.43</v>
      </c>
      <c r="F7319" s="18">
        <v>41701.660000000003</v>
      </c>
      <c r="G7319" s="18">
        <v>124936</v>
      </c>
      <c r="H7319" s="18">
        <f t="shared" si="166"/>
        <v>41551.660000000003</v>
      </c>
      <c r="I7319" s="3"/>
    </row>
    <row r="7320" spans="1:9" s="4" customFormat="1" ht="20.25" customHeight="1" x14ac:dyDescent="0.55000000000000004">
      <c r="A7320" s="18">
        <v>24.729403900000001</v>
      </c>
      <c r="B7320" s="18">
        <v>34.778001500000002</v>
      </c>
      <c r="C7320" s="18">
        <v>679827.46</v>
      </c>
      <c r="D7320" s="18">
        <v>2736153.06</v>
      </c>
      <c r="E7320" s="18">
        <v>400.66</v>
      </c>
      <c r="F7320" s="18">
        <v>41700.07</v>
      </c>
      <c r="G7320" s="18">
        <v>124938</v>
      </c>
      <c r="H7320" s="18">
        <f t="shared" si="166"/>
        <v>41550.07</v>
      </c>
      <c r="I7320" s="3"/>
    </row>
    <row r="7321" spans="1:9" s="4" customFormat="1" ht="20.25" customHeight="1" x14ac:dyDescent="0.55000000000000004">
      <c r="A7321" s="18">
        <v>24.729391700000001</v>
      </c>
      <c r="B7321" s="18">
        <v>34.777977800000002</v>
      </c>
      <c r="C7321" s="18">
        <v>679825.08</v>
      </c>
      <c r="D7321" s="18">
        <v>2736151.68</v>
      </c>
      <c r="E7321" s="18">
        <v>400.72</v>
      </c>
      <c r="F7321" s="18">
        <v>41700.519999999997</v>
      </c>
      <c r="G7321" s="18">
        <v>124940</v>
      </c>
      <c r="H7321" s="18">
        <f t="shared" si="166"/>
        <v>41550.519999999997</v>
      </c>
      <c r="I7321" s="3"/>
    </row>
    <row r="7322" spans="1:9" s="4" customFormat="1" ht="20.25" customHeight="1" x14ac:dyDescent="0.55000000000000004">
      <c r="A7322" s="18">
        <v>24.729375099999999</v>
      </c>
      <c r="B7322" s="18">
        <v>34.7779569</v>
      </c>
      <c r="C7322" s="18">
        <v>679822.99</v>
      </c>
      <c r="D7322" s="18">
        <v>2736149.81</v>
      </c>
      <c r="E7322" s="18">
        <v>400.89</v>
      </c>
      <c r="F7322" s="18">
        <v>41701.269999999997</v>
      </c>
      <c r="G7322" s="18">
        <v>124942</v>
      </c>
      <c r="H7322" s="18">
        <f t="shared" si="166"/>
        <v>41551.269999999997</v>
      </c>
      <c r="I7322" s="3"/>
    </row>
    <row r="7323" spans="1:9" s="4" customFormat="1" ht="20.25" customHeight="1" x14ac:dyDescent="0.55000000000000004">
      <c r="A7323" s="18">
        <v>24.729351099999999</v>
      </c>
      <c r="B7323" s="18">
        <v>34.777946100000001</v>
      </c>
      <c r="C7323" s="18">
        <v>679821.93</v>
      </c>
      <c r="D7323" s="18">
        <v>2736147.13</v>
      </c>
      <c r="E7323" s="18">
        <v>401.03</v>
      </c>
      <c r="F7323" s="18">
        <v>41700.730000000003</v>
      </c>
      <c r="G7323" s="18">
        <v>124944</v>
      </c>
      <c r="H7323" s="18">
        <f t="shared" si="166"/>
        <v>41550.730000000003</v>
      </c>
      <c r="I7323" s="3"/>
    </row>
    <row r="7324" spans="1:9" s="4" customFormat="1" ht="20.25" customHeight="1" x14ac:dyDescent="0.55000000000000004">
      <c r="A7324" s="18">
        <v>24.729328200000001</v>
      </c>
      <c r="B7324" s="18">
        <v>34.777932800000002</v>
      </c>
      <c r="C7324" s="18">
        <v>679820.62</v>
      </c>
      <c r="D7324" s="18">
        <v>2736144.58</v>
      </c>
      <c r="E7324" s="18">
        <v>401.15</v>
      </c>
      <c r="F7324" s="18">
        <v>41700.17</v>
      </c>
      <c r="G7324" s="18">
        <v>124946</v>
      </c>
      <c r="H7324" s="18">
        <f t="shared" si="166"/>
        <v>41550.17</v>
      </c>
      <c r="I7324" s="3"/>
    </row>
    <row r="7325" spans="1:9" s="4" customFormat="1" ht="20.25" customHeight="1" x14ac:dyDescent="0.55000000000000004">
      <c r="A7325" s="18">
        <v>24.7293059</v>
      </c>
      <c r="B7325" s="18">
        <v>34.7779211</v>
      </c>
      <c r="C7325" s="18">
        <v>679819.47</v>
      </c>
      <c r="D7325" s="18">
        <v>2736142.1</v>
      </c>
      <c r="E7325" s="18">
        <v>401.26</v>
      </c>
      <c r="F7325" s="18">
        <v>41700.65</v>
      </c>
      <c r="G7325" s="18">
        <v>124948</v>
      </c>
      <c r="H7325" s="18">
        <f t="shared" si="166"/>
        <v>41550.65</v>
      </c>
      <c r="I7325" s="3"/>
    </row>
    <row r="7326" spans="1:9" s="4" customFormat="1" ht="20.25" customHeight="1" x14ac:dyDescent="0.55000000000000004">
      <c r="A7326" s="18">
        <v>24.729285900000001</v>
      </c>
      <c r="B7326" s="18">
        <v>34.7779053</v>
      </c>
      <c r="C7326" s="18">
        <v>679817.9</v>
      </c>
      <c r="D7326" s="18">
        <v>2736139.86</v>
      </c>
      <c r="E7326" s="18">
        <v>401.36</v>
      </c>
      <c r="F7326" s="18">
        <v>41699.550000000003</v>
      </c>
      <c r="G7326" s="18">
        <v>124950</v>
      </c>
      <c r="H7326" s="18">
        <f t="shared" si="166"/>
        <v>41549.550000000003</v>
      </c>
      <c r="I7326" s="3"/>
    </row>
    <row r="7327" spans="1:9" s="4" customFormat="1" ht="20.25" customHeight="1" x14ac:dyDescent="0.55000000000000004">
      <c r="A7327" s="18">
        <v>24.7292627</v>
      </c>
      <c r="B7327" s="18">
        <v>34.777896400000003</v>
      </c>
      <c r="C7327" s="18">
        <v>679817.03</v>
      </c>
      <c r="D7327" s="18">
        <v>2736137.28</v>
      </c>
      <c r="E7327" s="18">
        <v>401.18</v>
      </c>
      <c r="F7327" s="18">
        <v>41701.83</v>
      </c>
      <c r="G7327" s="18">
        <v>124952</v>
      </c>
      <c r="H7327" s="18">
        <f t="shared" si="166"/>
        <v>41551.83</v>
      </c>
      <c r="I7327" s="3"/>
    </row>
    <row r="7328" spans="1:9" s="4" customFormat="1" ht="20.25" customHeight="1" x14ac:dyDescent="0.55000000000000004">
      <c r="A7328" s="18">
        <v>24.729240000000001</v>
      </c>
      <c r="B7328" s="18">
        <v>34.777881200000003</v>
      </c>
      <c r="C7328" s="18">
        <v>679815.52</v>
      </c>
      <c r="D7328" s="18">
        <v>2736134.74</v>
      </c>
      <c r="E7328" s="18">
        <v>401.15</v>
      </c>
      <c r="F7328" s="18">
        <v>41700.92</v>
      </c>
      <c r="G7328" s="18">
        <v>124954</v>
      </c>
      <c r="H7328" s="18">
        <f t="shared" si="166"/>
        <v>41550.92</v>
      </c>
      <c r="I7328" s="3"/>
    </row>
    <row r="7329" spans="1:9" s="4" customFormat="1" ht="20.25" customHeight="1" x14ac:dyDescent="0.55000000000000004">
      <c r="A7329" s="18">
        <v>24.729223900000001</v>
      </c>
      <c r="B7329" s="18">
        <v>34.777859399999997</v>
      </c>
      <c r="C7329" s="18">
        <v>679813.34</v>
      </c>
      <c r="D7329" s="18">
        <v>2736132.93</v>
      </c>
      <c r="E7329" s="18">
        <v>401.35</v>
      </c>
      <c r="F7329" s="18">
        <v>41700.410000000003</v>
      </c>
      <c r="G7329" s="18">
        <v>124956</v>
      </c>
      <c r="H7329" s="18">
        <f t="shared" si="166"/>
        <v>41550.410000000003</v>
      </c>
      <c r="I7329" s="3"/>
    </row>
    <row r="7330" spans="1:9" s="4" customFormat="1" ht="20.25" customHeight="1" x14ac:dyDescent="0.55000000000000004">
      <c r="A7330" s="18">
        <v>24.729209600000001</v>
      </c>
      <c r="B7330" s="18">
        <v>34.777837400000003</v>
      </c>
      <c r="C7330" s="18">
        <v>679811.14</v>
      </c>
      <c r="D7330" s="18">
        <v>2736131.32</v>
      </c>
      <c r="E7330" s="18">
        <v>401.51</v>
      </c>
      <c r="F7330" s="18">
        <v>41701.1</v>
      </c>
      <c r="G7330" s="18">
        <v>124958</v>
      </c>
      <c r="H7330" s="18">
        <f t="shared" si="166"/>
        <v>41551.1</v>
      </c>
      <c r="I7330" s="3"/>
    </row>
    <row r="7331" spans="1:9" s="4" customFormat="1" ht="20.25" customHeight="1" x14ac:dyDescent="0.55000000000000004">
      <c r="A7331" s="18">
        <v>24.729195600000001</v>
      </c>
      <c r="B7331" s="18">
        <v>34.777813600000002</v>
      </c>
      <c r="C7331" s="18">
        <v>679808.76</v>
      </c>
      <c r="D7331" s="18">
        <v>2736129.74</v>
      </c>
      <c r="E7331" s="18">
        <v>401.51</v>
      </c>
      <c r="F7331" s="18">
        <v>41698.81</v>
      </c>
      <c r="G7331" s="18">
        <v>125000</v>
      </c>
      <c r="H7331" s="18">
        <f t="shared" si="166"/>
        <v>41548.81</v>
      </c>
      <c r="I7331" s="3"/>
    </row>
    <row r="7332" spans="1:9" s="4" customFormat="1" ht="20.25" customHeight="1" x14ac:dyDescent="0.55000000000000004">
      <c r="A7332" s="18">
        <v>24.729181799999999</v>
      </c>
      <c r="B7332" s="18">
        <v>34.777789800000001</v>
      </c>
      <c r="C7332" s="18">
        <v>679806.37</v>
      </c>
      <c r="D7332" s="18">
        <v>2736128.17</v>
      </c>
      <c r="E7332" s="18">
        <v>401.52</v>
      </c>
      <c r="F7332" s="18">
        <v>41698.5</v>
      </c>
      <c r="G7332" s="18">
        <v>125002</v>
      </c>
      <c r="H7332" s="18">
        <f t="shared" si="166"/>
        <v>41548.5</v>
      </c>
      <c r="I7332" s="3"/>
    </row>
    <row r="7333" spans="1:9" s="4" customFormat="1" ht="20.25" customHeight="1" x14ac:dyDescent="0.55000000000000004">
      <c r="A7333" s="18">
        <v>24.729163</v>
      </c>
      <c r="B7333" s="18">
        <v>34.7777709</v>
      </c>
      <c r="C7333" s="18">
        <v>679804.48</v>
      </c>
      <c r="D7333" s="18">
        <v>2736126.07</v>
      </c>
      <c r="E7333" s="18">
        <v>401.64</v>
      </c>
      <c r="F7333" s="18">
        <v>41698.06</v>
      </c>
      <c r="G7333" s="18">
        <v>125004</v>
      </c>
      <c r="H7333" s="18">
        <f t="shared" si="166"/>
        <v>41548.06</v>
      </c>
      <c r="I7333" s="3"/>
    </row>
    <row r="7334" spans="1:9" s="4" customFormat="1" ht="20.25" customHeight="1" x14ac:dyDescent="0.55000000000000004">
      <c r="A7334" s="18">
        <v>24.729141800000001</v>
      </c>
      <c r="B7334" s="18">
        <v>34.777754600000002</v>
      </c>
      <c r="C7334" s="18">
        <v>679802.86</v>
      </c>
      <c r="D7334" s="18">
        <v>2736123.7</v>
      </c>
      <c r="E7334" s="18">
        <v>401.75</v>
      </c>
      <c r="F7334" s="18">
        <v>41698.81</v>
      </c>
      <c r="G7334" s="18">
        <v>125006</v>
      </c>
      <c r="H7334" s="18">
        <f t="shared" si="166"/>
        <v>41548.81</v>
      </c>
      <c r="I7334" s="3"/>
    </row>
    <row r="7335" spans="1:9" s="4" customFormat="1" ht="20.25" customHeight="1" x14ac:dyDescent="0.55000000000000004">
      <c r="A7335" s="18">
        <v>24.729122499999999</v>
      </c>
      <c r="B7335" s="18">
        <v>34.777736300000001</v>
      </c>
      <c r="C7335" s="18">
        <v>679801.04</v>
      </c>
      <c r="D7335" s="18">
        <v>2736121.54</v>
      </c>
      <c r="E7335" s="18">
        <v>401.79</v>
      </c>
      <c r="F7335" s="18">
        <v>41698.949999999997</v>
      </c>
      <c r="G7335" s="18">
        <v>125008</v>
      </c>
      <c r="H7335" s="18">
        <f t="shared" si="166"/>
        <v>41548.949999999997</v>
      </c>
      <c r="I7335" s="3"/>
    </row>
    <row r="7336" spans="1:9" s="4" customFormat="1" ht="20.25" customHeight="1" x14ac:dyDescent="0.55000000000000004">
      <c r="A7336" s="18">
        <v>24.729101799999999</v>
      </c>
      <c r="B7336" s="18">
        <v>34.7777168</v>
      </c>
      <c r="C7336" s="18">
        <v>679799.1</v>
      </c>
      <c r="D7336" s="18">
        <v>2736119.22</v>
      </c>
      <c r="E7336" s="18">
        <v>401.91</v>
      </c>
      <c r="F7336" s="18">
        <v>41700.44</v>
      </c>
      <c r="G7336" s="18">
        <v>125010</v>
      </c>
      <c r="H7336" s="18">
        <f t="shared" si="166"/>
        <v>41550.44</v>
      </c>
      <c r="I7336" s="3"/>
    </row>
    <row r="7337" spans="1:9" s="4" customFormat="1" ht="20.25" customHeight="1" x14ac:dyDescent="0.55000000000000004">
      <c r="A7337" s="18">
        <v>24.729082200000001</v>
      </c>
      <c r="B7337" s="18">
        <v>34.777698100000002</v>
      </c>
      <c r="C7337" s="18">
        <v>679797.23</v>
      </c>
      <c r="D7337" s="18">
        <v>2736117.02</v>
      </c>
      <c r="E7337" s="18">
        <v>402.03</v>
      </c>
      <c r="F7337" s="18">
        <v>41701.980000000003</v>
      </c>
      <c r="G7337" s="18">
        <v>125012</v>
      </c>
      <c r="H7337" s="18">
        <f t="shared" si="166"/>
        <v>41551.980000000003</v>
      </c>
      <c r="I7337" s="3"/>
    </row>
    <row r="7338" spans="1:9" s="4" customFormat="1" ht="20.25" customHeight="1" x14ac:dyDescent="0.55000000000000004">
      <c r="A7338" s="18">
        <v>24.7290587</v>
      </c>
      <c r="B7338" s="18">
        <v>34.777681100000002</v>
      </c>
      <c r="C7338" s="18">
        <v>679795.55</v>
      </c>
      <c r="D7338" s="18">
        <v>2736114.4</v>
      </c>
      <c r="E7338" s="18">
        <v>402.17</v>
      </c>
      <c r="F7338" s="18">
        <v>41701.129999999997</v>
      </c>
      <c r="G7338" s="18">
        <v>125014</v>
      </c>
      <c r="H7338" s="18">
        <f t="shared" ref="H7338:H7401" si="167">SUM(F7338-150)</f>
        <v>41551.129999999997</v>
      </c>
      <c r="I7338" s="3"/>
    </row>
    <row r="7339" spans="1:9" s="4" customFormat="1" ht="20.25" customHeight="1" x14ac:dyDescent="0.55000000000000004">
      <c r="A7339" s="18">
        <v>24.729039199999999</v>
      </c>
      <c r="B7339" s="18">
        <v>34.777663400000002</v>
      </c>
      <c r="C7339" s="18">
        <v>679793.78</v>
      </c>
      <c r="D7339" s="18">
        <v>2736112.22</v>
      </c>
      <c r="E7339" s="18">
        <v>402.29</v>
      </c>
      <c r="F7339" s="18">
        <v>41697.97</v>
      </c>
      <c r="G7339" s="18">
        <v>125016</v>
      </c>
      <c r="H7339" s="18">
        <f t="shared" si="167"/>
        <v>41547.97</v>
      </c>
      <c r="I7339" s="3"/>
    </row>
    <row r="7340" spans="1:9" s="4" customFormat="1" ht="20.25" customHeight="1" x14ac:dyDescent="0.55000000000000004">
      <c r="A7340" s="18">
        <v>24.729014299999999</v>
      </c>
      <c r="B7340" s="18">
        <v>34.777650899999998</v>
      </c>
      <c r="C7340" s="18">
        <v>679792.56</v>
      </c>
      <c r="D7340" s="18">
        <v>2736109.45</v>
      </c>
      <c r="E7340" s="18">
        <v>402.37</v>
      </c>
      <c r="F7340" s="18">
        <v>41696.06</v>
      </c>
      <c r="G7340" s="18">
        <v>125018</v>
      </c>
      <c r="H7340" s="18">
        <f t="shared" si="167"/>
        <v>41546.06</v>
      </c>
      <c r="I7340" s="3"/>
    </row>
    <row r="7341" spans="1:9" s="4" customFormat="1" ht="20.25" customHeight="1" x14ac:dyDescent="0.55000000000000004">
      <c r="A7341" s="18">
        <v>24.728993299999999</v>
      </c>
      <c r="B7341" s="18">
        <v>34.777635199999999</v>
      </c>
      <c r="C7341" s="18">
        <v>679790.99</v>
      </c>
      <c r="D7341" s="18">
        <v>2736107.09</v>
      </c>
      <c r="E7341" s="18">
        <v>402.41</v>
      </c>
      <c r="F7341" s="18">
        <v>41693.53</v>
      </c>
      <c r="G7341" s="18">
        <v>125020</v>
      </c>
      <c r="H7341" s="18">
        <f t="shared" si="167"/>
        <v>41543.53</v>
      </c>
      <c r="I7341" s="3"/>
    </row>
    <row r="7342" spans="1:9" s="4" customFormat="1" ht="20.25" customHeight="1" x14ac:dyDescent="0.55000000000000004">
      <c r="A7342" s="18">
        <v>24.728969200000002</v>
      </c>
      <c r="B7342" s="18">
        <v>34.777620800000001</v>
      </c>
      <c r="C7342" s="18">
        <v>679789.58</v>
      </c>
      <c r="D7342" s="18">
        <v>2736104.4</v>
      </c>
      <c r="E7342" s="18">
        <v>402.56</v>
      </c>
      <c r="F7342" s="18">
        <v>41699.69</v>
      </c>
      <c r="G7342" s="18">
        <v>125022</v>
      </c>
      <c r="H7342" s="18">
        <f t="shared" si="167"/>
        <v>41549.69</v>
      </c>
      <c r="I7342" s="3"/>
    </row>
    <row r="7343" spans="1:9" s="4" customFormat="1" ht="20.25" customHeight="1" x14ac:dyDescent="0.55000000000000004">
      <c r="A7343" s="18">
        <v>24.728947600000001</v>
      </c>
      <c r="B7343" s="18">
        <v>34.777603599999999</v>
      </c>
      <c r="C7343" s="18">
        <v>679787.86</v>
      </c>
      <c r="D7343" s="18">
        <v>2736102</v>
      </c>
      <c r="E7343" s="18">
        <v>402.71</v>
      </c>
      <c r="F7343" s="18">
        <v>41707.39</v>
      </c>
      <c r="G7343" s="18">
        <v>125024</v>
      </c>
      <c r="H7343" s="18">
        <f t="shared" si="167"/>
        <v>41557.39</v>
      </c>
      <c r="I7343" s="3"/>
    </row>
    <row r="7344" spans="1:9" s="4" customFormat="1" ht="20.25" customHeight="1" x14ac:dyDescent="0.55000000000000004">
      <c r="A7344" s="18">
        <v>24.7289265</v>
      </c>
      <c r="B7344" s="18">
        <v>34.777586399999997</v>
      </c>
      <c r="C7344" s="18">
        <v>679786.16</v>
      </c>
      <c r="D7344" s="18">
        <v>2736099.63</v>
      </c>
      <c r="E7344" s="18">
        <v>402.8</v>
      </c>
      <c r="F7344" s="18">
        <v>41708.050000000003</v>
      </c>
      <c r="G7344" s="18">
        <v>125026</v>
      </c>
      <c r="H7344" s="18">
        <f t="shared" si="167"/>
        <v>41558.050000000003</v>
      </c>
      <c r="I7344" s="3"/>
    </row>
    <row r="7345" spans="1:9" s="4" customFormat="1" ht="20.25" customHeight="1" x14ac:dyDescent="0.55000000000000004">
      <c r="A7345" s="18">
        <v>24.728904499999999</v>
      </c>
      <c r="B7345" s="18">
        <v>34.7775678</v>
      </c>
      <c r="C7345" s="18">
        <v>679784.3</v>
      </c>
      <c r="D7345" s="18">
        <v>2736097.18</v>
      </c>
      <c r="E7345" s="18">
        <v>402.81</v>
      </c>
      <c r="F7345" s="18">
        <v>41707.800000000003</v>
      </c>
      <c r="G7345" s="18">
        <v>125028</v>
      </c>
      <c r="H7345" s="18">
        <f t="shared" si="167"/>
        <v>41557.800000000003</v>
      </c>
      <c r="I7345" s="3"/>
    </row>
    <row r="7346" spans="1:9" s="4" customFormat="1" ht="20.25" customHeight="1" x14ac:dyDescent="0.55000000000000004">
      <c r="A7346" s="18">
        <v>24.728885500000001</v>
      </c>
      <c r="B7346" s="18">
        <v>34.777546800000003</v>
      </c>
      <c r="C7346" s="18">
        <v>679782.21</v>
      </c>
      <c r="D7346" s="18">
        <v>2736095.04</v>
      </c>
      <c r="E7346" s="18">
        <v>402.92</v>
      </c>
      <c r="F7346" s="18">
        <v>41706.620000000003</v>
      </c>
      <c r="G7346" s="18">
        <v>125030</v>
      </c>
      <c r="H7346" s="18">
        <f t="shared" si="167"/>
        <v>41556.620000000003</v>
      </c>
      <c r="I7346" s="3"/>
    </row>
    <row r="7347" spans="1:9" s="4" customFormat="1" ht="20.25" customHeight="1" x14ac:dyDescent="0.55000000000000004">
      <c r="A7347" s="18">
        <v>24.7288648</v>
      </c>
      <c r="B7347" s="18">
        <v>34.777527399999997</v>
      </c>
      <c r="C7347" s="18">
        <v>679780.28</v>
      </c>
      <c r="D7347" s="18">
        <v>2736092.72</v>
      </c>
      <c r="E7347" s="18">
        <v>403.09</v>
      </c>
      <c r="F7347" s="18">
        <v>41707.57</v>
      </c>
      <c r="G7347" s="18">
        <v>125032</v>
      </c>
      <c r="H7347" s="18">
        <f t="shared" si="167"/>
        <v>41557.57</v>
      </c>
      <c r="I7347" s="3"/>
    </row>
    <row r="7348" spans="1:9" s="4" customFormat="1" ht="20.25" customHeight="1" x14ac:dyDescent="0.55000000000000004">
      <c r="A7348" s="18">
        <v>24.728843300000001</v>
      </c>
      <c r="B7348" s="18">
        <v>34.777509199999997</v>
      </c>
      <c r="C7348" s="18">
        <v>679778.47</v>
      </c>
      <c r="D7348" s="18">
        <v>2736090.31</v>
      </c>
      <c r="E7348" s="18">
        <v>403.13</v>
      </c>
      <c r="F7348" s="18">
        <v>41705.5</v>
      </c>
      <c r="G7348" s="18">
        <v>125034</v>
      </c>
      <c r="H7348" s="18">
        <f t="shared" si="167"/>
        <v>41555.5</v>
      </c>
      <c r="I7348" s="3"/>
    </row>
    <row r="7349" spans="1:9" s="4" customFormat="1" ht="20.25" customHeight="1" x14ac:dyDescent="0.55000000000000004">
      <c r="A7349" s="18">
        <v>24.728822600000001</v>
      </c>
      <c r="B7349" s="18">
        <v>34.777490499999999</v>
      </c>
      <c r="C7349" s="18">
        <v>679776.61</v>
      </c>
      <c r="D7349" s="18">
        <v>2736088</v>
      </c>
      <c r="E7349" s="18">
        <v>403.36</v>
      </c>
      <c r="F7349" s="18">
        <v>41703.69</v>
      </c>
      <c r="G7349" s="18">
        <v>125036</v>
      </c>
      <c r="H7349" s="18">
        <f t="shared" si="167"/>
        <v>41553.69</v>
      </c>
      <c r="I7349" s="3"/>
    </row>
    <row r="7350" spans="1:9" s="4" customFormat="1" ht="20.25" customHeight="1" x14ac:dyDescent="0.55000000000000004">
      <c r="A7350" s="18">
        <v>24.728803200000002</v>
      </c>
      <c r="B7350" s="18">
        <v>34.777470399999999</v>
      </c>
      <c r="C7350" s="18">
        <v>679774.6</v>
      </c>
      <c r="D7350" s="18">
        <v>2736085.83</v>
      </c>
      <c r="E7350" s="18">
        <v>403.44</v>
      </c>
      <c r="F7350" s="18">
        <v>41701.33</v>
      </c>
      <c r="G7350" s="18">
        <v>125038</v>
      </c>
      <c r="H7350" s="18">
        <f t="shared" si="167"/>
        <v>41551.33</v>
      </c>
      <c r="I7350" s="3"/>
    </row>
    <row r="7351" spans="1:9" s="4" customFormat="1" ht="20.25" customHeight="1" x14ac:dyDescent="0.55000000000000004">
      <c r="A7351" s="18">
        <v>24.7287821</v>
      </c>
      <c r="B7351" s="18">
        <v>34.777451200000002</v>
      </c>
      <c r="C7351" s="18">
        <v>679772.68</v>
      </c>
      <c r="D7351" s="18">
        <v>2736083.46</v>
      </c>
      <c r="E7351" s="18">
        <v>403.53</v>
      </c>
      <c r="F7351" s="18">
        <v>41703.440000000002</v>
      </c>
      <c r="G7351" s="18">
        <v>125040</v>
      </c>
      <c r="H7351" s="18">
        <f t="shared" si="167"/>
        <v>41553.440000000002</v>
      </c>
      <c r="I7351" s="3"/>
    </row>
    <row r="7352" spans="1:9" s="4" customFormat="1" ht="20.25" customHeight="1" x14ac:dyDescent="0.55000000000000004">
      <c r="A7352" s="18">
        <v>24.728762799999998</v>
      </c>
      <c r="B7352" s="18">
        <v>34.777430099999997</v>
      </c>
      <c r="C7352" s="18">
        <v>679770.58</v>
      </c>
      <c r="D7352" s="18">
        <v>2736081.3</v>
      </c>
      <c r="E7352" s="18">
        <v>403.67</v>
      </c>
      <c r="F7352" s="18">
        <v>41702.699999999997</v>
      </c>
      <c r="G7352" s="18">
        <v>125042</v>
      </c>
      <c r="H7352" s="18">
        <f t="shared" si="167"/>
        <v>41552.699999999997</v>
      </c>
      <c r="I7352" s="3"/>
    </row>
    <row r="7353" spans="1:9" s="4" customFormat="1" ht="20.25" customHeight="1" x14ac:dyDescent="0.55000000000000004">
      <c r="A7353" s="18">
        <v>24.7287426</v>
      </c>
      <c r="B7353" s="18">
        <v>34.777411700000002</v>
      </c>
      <c r="C7353" s="18">
        <v>679768.74</v>
      </c>
      <c r="D7353" s="18">
        <v>2736079.03</v>
      </c>
      <c r="E7353" s="18">
        <v>403.76</v>
      </c>
      <c r="F7353" s="18">
        <v>41700.959999999999</v>
      </c>
      <c r="G7353" s="18">
        <v>125044</v>
      </c>
      <c r="H7353" s="18">
        <f t="shared" si="167"/>
        <v>41550.959999999999</v>
      </c>
      <c r="I7353" s="3"/>
    </row>
    <row r="7354" spans="1:9" s="4" customFormat="1" ht="20.25" customHeight="1" x14ac:dyDescent="0.55000000000000004">
      <c r="A7354" s="18">
        <v>24.728726399999999</v>
      </c>
      <c r="B7354" s="18">
        <v>34.777391399999999</v>
      </c>
      <c r="C7354" s="18">
        <v>679766.72</v>
      </c>
      <c r="D7354" s="18">
        <v>2736077.21</v>
      </c>
      <c r="E7354" s="18">
        <v>403.83</v>
      </c>
      <c r="F7354" s="18">
        <v>41697.06</v>
      </c>
      <c r="G7354" s="18">
        <v>125046</v>
      </c>
      <c r="H7354" s="18">
        <f t="shared" si="167"/>
        <v>41547.06</v>
      </c>
      <c r="I7354" s="3"/>
    </row>
    <row r="7355" spans="1:9" s="4" customFormat="1" ht="20.25" customHeight="1" x14ac:dyDescent="0.55000000000000004">
      <c r="A7355" s="18">
        <v>24.728707</v>
      </c>
      <c r="B7355" s="18">
        <v>34.777380000000001</v>
      </c>
      <c r="C7355" s="18">
        <v>679765.59</v>
      </c>
      <c r="D7355" s="18">
        <v>2736075.05</v>
      </c>
      <c r="E7355" s="18">
        <v>403.91</v>
      </c>
      <c r="F7355" s="18">
        <v>41699.370000000003</v>
      </c>
      <c r="G7355" s="18">
        <v>125048</v>
      </c>
      <c r="H7355" s="18">
        <f t="shared" si="167"/>
        <v>41549.370000000003</v>
      </c>
      <c r="I7355" s="3"/>
    </row>
    <row r="7356" spans="1:9" s="4" customFormat="1" ht="20.25" customHeight="1" x14ac:dyDescent="0.55000000000000004">
      <c r="A7356" s="18">
        <v>24.7286924</v>
      </c>
      <c r="B7356" s="18">
        <v>34.7773623</v>
      </c>
      <c r="C7356" s="18">
        <v>679763.82</v>
      </c>
      <c r="D7356" s="18">
        <v>2736073.41</v>
      </c>
      <c r="E7356" s="18">
        <v>404.22</v>
      </c>
      <c r="F7356" s="18">
        <v>41697.660000000003</v>
      </c>
      <c r="G7356" s="18">
        <v>125050</v>
      </c>
      <c r="H7356" s="18">
        <f t="shared" si="167"/>
        <v>41547.660000000003</v>
      </c>
      <c r="I7356" s="3"/>
    </row>
    <row r="7357" spans="1:9" s="4" customFormat="1" ht="20.25" customHeight="1" x14ac:dyDescent="0.55000000000000004">
      <c r="A7357" s="18">
        <v>24.7286757</v>
      </c>
      <c r="B7357" s="18">
        <v>34.777347900000002</v>
      </c>
      <c r="C7357" s="18">
        <v>679762.39</v>
      </c>
      <c r="D7357" s="18">
        <v>2736071.54</v>
      </c>
      <c r="E7357" s="18">
        <v>404.45</v>
      </c>
      <c r="F7357" s="18">
        <v>41696.230000000003</v>
      </c>
      <c r="G7357" s="18">
        <v>125052</v>
      </c>
      <c r="H7357" s="18">
        <f t="shared" si="167"/>
        <v>41546.230000000003</v>
      </c>
      <c r="I7357" s="3"/>
    </row>
    <row r="7358" spans="1:9" s="4" customFormat="1" ht="20.25" customHeight="1" x14ac:dyDescent="0.55000000000000004">
      <c r="A7358" s="18">
        <v>24.728658500000002</v>
      </c>
      <c r="B7358" s="18">
        <v>34.777330599999999</v>
      </c>
      <c r="C7358" s="18">
        <v>679760.66</v>
      </c>
      <c r="D7358" s="18">
        <v>2736069.62</v>
      </c>
      <c r="E7358" s="18">
        <v>404.78</v>
      </c>
      <c r="F7358" s="18">
        <v>41697.82</v>
      </c>
      <c r="G7358" s="18">
        <v>125054</v>
      </c>
      <c r="H7358" s="18">
        <f t="shared" si="167"/>
        <v>41547.82</v>
      </c>
      <c r="I7358" s="3"/>
    </row>
    <row r="7359" spans="1:9" s="4" customFormat="1" ht="20.25" customHeight="1" x14ac:dyDescent="0.55000000000000004">
      <c r="A7359" s="18">
        <v>24.728639099999999</v>
      </c>
      <c r="B7359" s="18">
        <v>34.777307999999998</v>
      </c>
      <c r="C7359" s="18">
        <v>679758.4</v>
      </c>
      <c r="D7359" s="18">
        <v>2736067.43</v>
      </c>
      <c r="E7359" s="18">
        <v>404.89</v>
      </c>
      <c r="F7359" s="18">
        <v>41696.019999999997</v>
      </c>
      <c r="G7359" s="18">
        <v>125056</v>
      </c>
      <c r="H7359" s="18">
        <f t="shared" si="167"/>
        <v>41546.019999999997</v>
      </c>
      <c r="I7359" s="3"/>
    </row>
    <row r="7360" spans="1:9" s="4" customFormat="1" ht="20.25" customHeight="1" x14ac:dyDescent="0.55000000000000004">
      <c r="A7360" s="18">
        <v>24.728623500000001</v>
      </c>
      <c r="B7360" s="18">
        <v>34.777286699999998</v>
      </c>
      <c r="C7360" s="18">
        <v>679756.27</v>
      </c>
      <c r="D7360" s="18">
        <v>2736065.68</v>
      </c>
      <c r="E7360" s="18">
        <v>405.24</v>
      </c>
      <c r="F7360" s="18">
        <v>41696.800000000003</v>
      </c>
      <c r="G7360" s="18">
        <v>125058</v>
      </c>
      <c r="H7360" s="18">
        <f t="shared" si="167"/>
        <v>41546.800000000003</v>
      </c>
      <c r="I7360" s="3"/>
    </row>
    <row r="7361" spans="1:9" s="4" customFormat="1" ht="20.25" customHeight="1" x14ac:dyDescent="0.55000000000000004">
      <c r="A7361" s="18">
        <v>24.728604900000001</v>
      </c>
      <c r="B7361" s="18">
        <v>34.7772705</v>
      </c>
      <c r="C7361" s="18">
        <v>679754.66</v>
      </c>
      <c r="D7361" s="18">
        <v>2736063.6</v>
      </c>
      <c r="E7361" s="18">
        <v>405.39</v>
      </c>
      <c r="F7361" s="18">
        <v>41695.64</v>
      </c>
      <c r="G7361" s="18">
        <v>125100</v>
      </c>
      <c r="H7361" s="18">
        <f t="shared" si="167"/>
        <v>41545.64</v>
      </c>
      <c r="I7361" s="3"/>
    </row>
    <row r="7362" spans="1:9" s="4" customFormat="1" ht="20.25" customHeight="1" x14ac:dyDescent="0.55000000000000004">
      <c r="A7362" s="18">
        <v>24.728583</v>
      </c>
      <c r="B7362" s="18">
        <v>34.777256600000001</v>
      </c>
      <c r="C7362" s="18">
        <v>679753.28</v>
      </c>
      <c r="D7362" s="18">
        <v>2736061.16</v>
      </c>
      <c r="E7362" s="18">
        <v>405.6</v>
      </c>
      <c r="F7362" s="18">
        <v>41697.75</v>
      </c>
      <c r="G7362" s="18">
        <v>125102</v>
      </c>
      <c r="H7362" s="18">
        <f t="shared" si="167"/>
        <v>41547.75</v>
      </c>
      <c r="I7362" s="3"/>
    </row>
    <row r="7363" spans="1:9" s="4" customFormat="1" ht="20.25" customHeight="1" x14ac:dyDescent="0.55000000000000004">
      <c r="A7363" s="18">
        <v>24.728560099999999</v>
      </c>
      <c r="B7363" s="18">
        <v>34.777244400000001</v>
      </c>
      <c r="C7363" s="18">
        <v>679752.09</v>
      </c>
      <c r="D7363" s="18">
        <v>2736058.6</v>
      </c>
      <c r="E7363" s="18">
        <v>405.76</v>
      </c>
      <c r="F7363" s="18">
        <v>41698.339999999997</v>
      </c>
      <c r="G7363" s="18">
        <v>125104</v>
      </c>
      <c r="H7363" s="18">
        <f t="shared" si="167"/>
        <v>41548.339999999997</v>
      </c>
      <c r="I7363" s="3"/>
    </row>
    <row r="7364" spans="1:9" s="4" customFormat="1" ht="20.25" customHeight="1" x14ac:dyDescent="0.55000000000000004">
      <c r="A7364" s="18">
        <v>24.728538100000002</v>
      </c>
      <c r="B7364" s="18">
        <v>34.7772279</v>
      </c>
      <c r="C7364" s="18">
        <v>679750.45</v>
      </c>
      <c r="D7364" s="18">
        <v>2736056.15</v>
      </c>
      <c r="E7364" s="18">
        <v>405.89</v>
      </c>
      <c r="F7364" s="18">
        <v>41699.050000000003</v>
      </c>
      <c r="G7364" s="18">
        <v>125106</v>
      </c>
      <c r="H7364" s="18">
        <f t="shared" si="167"/>
        <v>41549.050000000003</v>
      </c>
      <c r="I7364" s="3"/>
    </row>
    <row r="7365" spans="1:9" s="4" customFormat="1" ht="20.25" customHeight="1" x14ac:dyDescent="0.55000000000000004">
      <c r="A7365" s="18">
        <v>24.7285161</v>
      </c>
      <c r="B7365" s="18">
        <v>34.777207400000002</v>
      </c>
      <c r="C7365" s="18">
        <v>679748.41</v>
      </c>
      <c r="D7365" s="18">
        <v>2736053.68</v>
      </c>
      <c r="E7365" s="18">
        <v>406.41</v>
      </c>
      <c r="F7365" s="18">
        <v>41697.9</v>
      </c>
      <c r="G7365" s="18">
        <v>125108</v>
      </c>
      <c r="H7365" s="18">
        <f t="shared" si="167"/>
        <v>41547.9</v>
      </c>
      <c r="I7365" s="3"/>
    </row>
    <row r="7366" spans="1:9" s="4" customFormat="1" ht="20.25" customHeight="1" x14ac:dyDescent="0.55000000000000004">
      <c r="A7366" s="18">
        <v>24.728501900000001</v>
      </c>
      <c r="B7366" s="18">
        <v>34.777185600000003</v>
      </c>
      <c r="C7366" s="18">
        <v>679746.22</v>
      </c>
      <c r="D7366" s="18">
        <v>2736052.08</v>
      </c>
      <c r="E7366" s="18">
        <v>406.53</v>
      </c>
      <c r="F7366" s="18">
        <v>41700.720000000001</v>
      </c>
      <c r="G7366" s="18">
        <v>125110</v>
      </c>
      <c r="H7366" s="18">
        <f t="shared" si="167"/>
        <v>41550.720000000001</v>
      </c>
      <c r="I7366" s="3"/>
    </row>
    <row r="7367" spans="1:9" s="4" customFormat="1" ht="20.25" customHeight="1" x14ac:dyDescent="0.55000000000000004">
      <c r="A7367" s="18">
        <v>24.728497000000001</v>
      </c>
      <c r="B7367" s="18">
        <v>34.777158999999997</v>
      </c>
      <c r="C7367" s="18">
        <v>679743.53</v>
      </c>
      <c r="D7367" s="18">
        <v>2736051.51</v>
      </c>
      <c r="E7367" s="18">
        <v>406.44</v>
      </c>
      <c r="F7367" s="18">
        <v>41698.980000000003</v>
      </c>
      <c r="G7367" s="18">
        <v>125112</v>
      </c>
      <c r="H7367" s="18">
        <f t="shared" si="167"/>
        <v>41548.980000000003</v>
      </c>
      <c r="I7367" s="3"/>
    </row>
    <row r="7368" spans="1:9" s="4" customFormat="1" ht="20.25" customHeight="1" x14ac:dyDescent="0.55000000000000004">
      <c r="A7368" s="18">
        <v>24.7284896</v>
      </c>
      <c r="B7368" s="18">
        <v>34.777131599999997</v>
      </c>
      <c r="C7368" s="18">
        <v>679740.77</v>
      </c>
      <c r="D7368" s="18">
        <v>2736050.64</v>
      </c>
      <c r="E7368" s="18">
        <v>406.51</v>
      </c>
      <c r="F7368" s="18">
        <v>41700.800000000003</v>
      </c>
      <c r="G7368" s="18">
        <v>125114</v>
      </c>
      <c r="H7368" s="18">
        <f t="shared" si="167"/>
        <v>41550.800000000003</v>
      </c>
      <c r="I7368" s="3"/>
    </row>
    <row r="7369" spans="1:9" s="4" customFormat="1" ht="20.25" customHeight="1" x14ac:dyDescent="0.55000000000000004">
      <c r="A7369" s="18">
        <v>24.728482</v>
      </c>
      <c r="B7369" s="18">
        <v>34.7771075</v>
      </c>
      <c r="C7369" s="18">
        <v>679738.35</v>
      </c>
      <c r="D7369" s="18">
        <v>2736049.77</v>
      </c>
      <c r="E7369" s="18">
        <v>406.68</v>
      </c>
      <c r="F7369" s="18">
        <v>41701.26</v>
      </c>
      <c r="G7369" s="18">
        <v>125116</v>
      </c>
      <c r="H7369" s="18">
        <f t="shared" si="167"/>
        <v>41551.26</v>
      </c>
      <c r="I7369" s="3"/>
    </row>
    <row r="7370" spans="1:9" s="4" customFormat="1" ht="20.25" customHeight="1" x14ac:dyDescent="0.55000000000000004">
      <c r="A7370" s="18">
        <v>24.728478200000001</v>
      </c>
      <c r="B7370" s="18">
        <v>34.777081600000002</v>
      </c>
      <c r="C7370" s="18">
        <v>679735.73</v>
      </c>
      <c r="D7370" s="18">
        <v>2736049.32</v>
      </c>
      <c r="E7370" s="18">
        <v>406.68</v>
      </c>
      <c r="F7370" s="18">
        <v>41697.51</v>
      </c>
      <c r="G7370" s="18">
        <v>125118</v>
      </c>
      <c r="H7370" s="18">
        <f t="shared" si="167"/>
        <v>41547.51</v>
      </c>
      <c r="I7370" s="3"/>
    </row>
    <row r="7371" spans="1:9" s="4" customFormat="1" ht="20.25" customHeight="1" x14ac:dyDescent="0.55000000000000004">
      <c r="A7371" s="18">
        <v>24.728469700000002</v>
      </c>
      <c r="B7371" s="18">
        <v>34.777055699999998</v>
      </c>
      <c r="C7371" s="18">
        <v>679733.13</v>
      </c>
      <c r="D7371" s="18">
        <v>2736048.35</v>
      </c>
      <c r="E7371" s="18">
        <v>406.67</v>
      </c>
      <c r="F7371" s="18">
        <v>41695.14</v>
      </c>
      <c r="G7371" s="18">
        <v>125120</v>
      </c>
      <c r="H7371" s="18">
        <f t="shared" si="167"/>
        <v>41545.14</v>
      </c>
      <c r="I7371" s="3"/>
    </row>
    <row r="7372" spans="1:9" s="4" customFormat="1" ht="20.25" customHeight="1" x14ac:dyDescent="0.55000000000000004">
      <c r="A7372" s="18">
        <v>24.728459900000001</v>
      </c>
      <c r="B7372" s="18">
        <v>34.777034100000002</v>
      </c>
      <c r="C7372" s="18">
        <v>679730.96</v>
      </c>
      <c r="D7372" s="18">
        <v>2736047.23</v>
      </c>
      <c r="E7372" s="18">
        <v>406.81</v>
      </c>
      <c r="F7372" s="18">
        <v>41695.25</v>
      </c>
      <c r="G7372" s="18">
        <v>125122</v>
      </c>
      <c r="H7372" s="18">
        <f t="shared" si="167"/>
        <v>41545.25</v>
      </c>
      <c r="I7372" s="3"/>
    </row>
    <row r="7373" spans="1:9" s="4" customFormat="1" ht="20.25" customHeight="1" x14ac:dyDescent="0.55000000000000004">
      <c r="A7373" s="18">
        <v>24.7284434</v>
      </c>
      <c r="B7373" s="18">
        <v>34.7770206</v>
      </c>
      <c r="C7373" s="18">
        <v>679729.62</v>
      </c>
      <c r="D7373" s="18">
        <v>2736045.38</v>
      </c>
      <c r="E7373" s="18">
        <v>407.02</v>
      </c>
      <c r="F7373" s="18">
        <v>41698.85</v>
      </c>
      <c r="G7373" s="18">
        <v>125124</v>
      </c>
      <c r="H7373" s="18">
        <f t="shared" si="167"/>
        <v>41548.85</v>
      </c>
      <c r="I7373" s="3"/>
    </row>
    <row r="7374" spans="1:9" s="4" customFormat="1" ht="20.25" customHeight="1" x14ac:dyDescent="0.55000000000000004">
      <c r="A7374" s="18">
        <v>24.728427400000001</v>
      </c>
      <c r="B7374" s="18">
        <v>34.777006999999998</v>
      </c>
      <c r="C7374" s="18">
        <v>679728.26</v>
      </c>
      <c r="D7374" s="18">
        <v>2736043.6</v>
      </c>
      <c r="E7374" s="18">
        <v>407.11</v>
      </c>
      <c r="F7374" s="18">
        <v>41699.69</v>
      </c>
      <c r="G7374" s="18">
        <v>125126</v>
      </c>
      <c r="H7374" s="18">
        <f t="shared" si="167"/>
        <v>41549.69</v>
      </c>
      <c r="I7374" s="3"/>
    </row>
    <row r="7375" spans="1:9" s="4" customFormat="1" ht="20.25" customHeight="1" x14ac:dyDescent="0.55000000000000004">
      <c r="A7375" s="18">
        <v>24.728416800000002</v>
      </c>
      <c r="B7375" s="18">
        <v>34.776979500000003</v>
      </c>
      <c r="C7375" s="18">
        <v>679725.49</v>
      </c>
      <c r="D7375" s="18">
        <v>2736042.38</v>
      </c>
      <c r="E7375" s="18">
        <v>407.15</v>
      </c>
      <c r="F7375" s="18">
        <v>41697.040000000001</v>
      </c>
      <c r="G7375" s="18">
        <v>125128</v>
      </c>
      <c r="H7375" s="18">
        <f t="shared" si="167"/>
        <v>41547.040000000001</v>
      </c>
      <c r="I7375" s="3"/>
    </row>
    <row r="7376" spans="1:9" s="4" customFormat="1" ht="20.25" customHeight="1" x14ac:dyDescent="0.55000000000000004">
      <c r="A7376" s="18">
        <v>24.728400300000001</v>
      </c>
      <c r="B7376" s="18">
        <v>34.776971199999998</v>
      </c>
      <c r="C7376" s="18">
        <v>679724.67</v>
      </c>
      <c r="D7376" s="18">
        <v>2736040.54</v>
      </c>
      <c r="E7376" s="18">
        <v>407.47</v>
      </c>
      <c r="F7376" s="18">
        <v>41695.660000000003</v>
      </c>
      <c r="G7376" s="18">
        <v>125130</v>
      </c>
      <c r="H7376" s="18">
        <f t="shared" si="167"/>
        <v>41545.660000000003</v>
      </c>
      <c r="I7376" s="3"/>
    </row>
    <row r="7377" spans="1:9" s="4" customFormat="1" ht="20.25" customHeight="1" x14ac:dyDescent="0.55000000000000004">
      <c r="A7377" s="18">
        <v>24.728373900000001</v>
      </c>
      <c r="B7377" s="18">
        <v>34.776966100000003</v>
      </c>
      <c r="C7377" s="18">
        <v>679724.2</v>
      </c>
      <c r="D7377" s="18">
        <v>2736037.61</v>
      </c>
      <c r="E7377" s="18">
        <v>407.69</v>
      </c>
      <c r="F7377" s="18">
        <v>41696.370000000003</v>
      </c>
      <c r="G7377" s="18">
        <v>125132</v>
      </c>
      <c r="H7377" s="18">
        <f t="shared" si="167"/>
        <v>41546.370000000003</v>
      </c>
      <c r="I7377" s="3"/>
    </row>
    <row r="7378" spans="1:9" s="4" customFormat="1" ht="20.25" customHeight="1" x14ac:dyDescent="0.55000000000000004">
      <c r="A7378" s="18">
        <v>24.7283477</v>
      </c>
      <c r="B7378" s="18">
        <v>34.776958999999998</v>
      </c>
      <c r="C7378" s="18">
        <v>679723.52000000002</v>
      </c>
      <c r="D7378" s="18">
        <v>2736034.7</v>
      </c>
      <c r="E7378" s="18">
        <v>407.97</v>
      </c>
      <c r="F7378" s="18">
        <v>41692.199999999997</v>
      </c>
      <c r="G7378" s="18">
        <v>125134</v>
      </c>
      <c r="H7378" s="18">
        <f t="shared" si="167"/>
        <v>41542.199999999997</v>
      </c>
      <c r="I7378" s="3"/>
    </row>
    <row r="7379" spans="1:9" s="4" customFormat="1" ht="20.25" customHeight="1" x14ac:dyDescent="0.55000000000000004">
      <c r="A7379" s="18">
        <v>24.728322500000001</v>
      </c>
      <c r="B7379" s="18">
        <v>34.776961200000002</v>
      </c>
      <c r="C7379" s="18">
        <v>679723.77</v>
      </c>
      <c r="D7379" s="18">
        <v>2736031.91</v>
      </c>
      <c r="E7379" s="18">
        <v>408.1</v>
      </c>
      <c r="F7379" s="18">
        <v>41693.61</v>
      </c>
      <c r="G7379" s="18">
        <v>125136</v>
      </c>
      <c r="H7379" s="18">
        <f t="shared" si="167"/>
        <v>41543.61</v>
      </c>
      <c r="I7379" s="3"/>
    </row>
    <row r="7380" spans="1:9" s="4" customFormat="1" ht="20.25" customHeight="1" x14ac:dyDescent="0.55000000000000004">
      <c r="A7380" s="18">
        <v>24.728299700000001</v>
      </c>
      <c r="B7380" s="18">
        <v>34.776972700000002</v>
      </c>
      <c r="C7380" s="18">
        <v>679724.97</v>
      </c>
      <c r="D7380" s="18">
        <v>2736029.4</v>
      </c>
      <c r="E7380" s="18">
        <v>408.24</v>
      </c>
      <c r="F7380" s="18">
        <v>41693.160000000003</v>
      </c>
      <c r="G7380" s="18">
        <v>125138</v>
      </c>
      <c r="H7380" s="18">
        <f t="shared" si="167"/>
        <v>41543.160000000003</v>
      </c>
      <c r="I7380" s="3"/>
    </row>
    <row r="7381" spans="1:9" s="4" customFormat="1" ht="20.25" customHeight="1" x14ac:dyDescent="0.55000000000000004">
      <c r="A7381" s="18">
        <v>24.7282768</v>
      </c>
      <c r="B7381" s="18">
        <v>34.776987499999997</v>
      </c>
      <c r="C7381" s="18">
        <v>679726.5</v>
      </c>
      <c r="D7381" s="18">
        <v>2736026.88</v>
      </c>
      <c r="E7381" s="18">
        <v>408.32</v>
      </c>
      <c r="F7381" s="18">
        <v>41693.25</v>
      </c>
      <c r="G7381" s="18">
        <v>125140</v>
      </c>
      <c r="H7381" s="18">
        <f t="shared" si="167"/>
        <v>41543.25</v>
      </c>
      <c r="I7381" s="3"/>
    </row>
    <row r="7382" spans="1:9" s="4" customFormat="1" ht="20.25" customHeight="1" x14ac:dyDescent="0.55000000000000004">
      <c r="A7382" s="18">
        <v>24.7282513</v>
      </c>
      <c r="B7382" s="18">
        <v>34.776996599999997</v>
      </c>
      <c r="C7382" s="18">
        <v>679727.46</v>
      </c>
      <c r="D7382" s="18">
        <v>2736024.07</v>
      </c>
      <c r="E7382" s="18">
        <v>408.38</v>
      </c>
      <c r="F7382" s="18">
        <v>41693.19</v>
      </c>
      <c r="G7382" s="18">
        <v>125142</v>
      </c>
      <c r="H7382" s="18">
        <f t="shared" si="167"/>
        <v>41543.19</v>
      </c>
      <c r="I7382" s="3"/>
    </row>
    <row r="7383" spans="1:9" s="4" customFormat="1" ht="20.25" customHeight="1" x14ac:dyDescent="0.55000000000000004">
      <c r="A7383" s="18">
        <v>24.728225599999998</v>
      </c>
      <c r="B7383" s="18">
        <v>34.777002000000003</v>
      </c>
      <c r="C7383" s="18">
        <v>679728.04</v>
      </c>
      <c r="D7383" s="18">
        <v>2736021.24</v>
      </c>
      <c r="E7383" s="18">
        <v>408.5</v>
      </c>
      <c r="F7383" s="18">
        <v>41693.19</v>
      </c>
      <c r="G7383" s="18">
        <v>125144</v>
      </c>
      <c r="H7383" s="18">
        <f t="shared" si="167"/>
        <v>41543.19</v>
      </c>
      <c r="I7383" s="3"/>
    </row>
    <row r="7384" spans="1:9" s="4" customFormat="1" ht="20.25" customHeight="1" x14ac:dyDescent="0.55000000000000004">
      <c r="A7384" s="18">
        <v>24.728199400000001</v>
      </c>
      <c r="B7384" s="18">
        <v>34.777005799999998</v>
      </c>
      <c r="C7384" s="18">
        <v>679728.47</v>
      </c>
      <c r="D7384" s="18">
        <v>2736018.33</v>
      </c>
      <c r="E7384" s="18">
        <v>408.66</v>
      </c>
      <c r="F7384" s="18">
        <v>41691.22</v>
      </c>
      <c r="G7384" s="18">
        <v>125146</v>
      </c>
      <c r="H7384" s="18">
        <f t="shared" si="167"/>
        <v>41541.22</v>
      </c>
      <c r="I7384" s="3"/>
    </row>
    <row r="7385" spans="1:9" s="4" customFormat="1" ht="20.25" customHeight="1" x14ac:dyDescent="0.55000000000000004">
      <c r="A7385" s="18">
        <v>24.728170599999999</v>
      </c>
      <c r="B7385" s="18">
        <v>34.7770084</v>
      </c>
      <c r="C7385" s="18">
        <v>679728.77</v>
      </c>
      <c r="D7385" s="18">
        <v>2736015.15</v>
      </c>
      <c r="E7385" s="18">
        <v>408.71</v>
      </c>
      <c r="F7385" s="18">
        <v>41691.279999999999</v>
      </c>
      <c r="G7385" s="18">
        <v>125148</v>
      </c>
      <c r="H7385" s="18">
        <f t="shared" si="167"/>
        <v>41541.279999999999</v>
      </c>
      <c r="I7385" s="3"/>
    </row>
    <row r="7386" spans="1:9" s="4" customFormat="1" ht="20.25" customHeight="1" x14ac:dyDescent="0.55000000000000004">
      <c r="A7386" s="18">
        <v>24.7281437</v>
      </c>
      <c r="B7386" s="18">
        <v>34.777006</v>
      </c>
      <c r="C7386" s="18">
        <v>679728.56</v>
      </c>
      <c r="D7386" s="18">
        <v>2736012.17</v>
      </c>
      <c r="E7386" s="18">
        <v>408.75</v>
      </c>
      <c r="F7386" s="18">
        <v>41690.35</v>
      </c>
      <c r="G7386" s="18">
        <v>125150</v>
      </c>
      <c r="H7386" s="18">
        <f t="shared" si="167"/>
        <v>41540.35</v>
      </c>
      <c r="I7386" s="3"/>
    </row>
    <row r="7387" spans="1:9" s="4" customFormat="1" ht="20.25" customHeight="1" x14ac:dyDescent="0.55000000000000004">
      <c r="A7387" s="18">
        <v>24.728116700000001</v>
      </c>
      <c r="B7387" s="18">
        <v>34.777001499999997</v>
      </c>
      <c r="C7387" s="18">
        <v>679728.15</v>
      </c>
      <c r="D7387" s="18">
        <v>2736009.17</v>
      </c>
      <c r="E7387" s="18">
        <v>408.91</v>
      </c>
      <c r="F7387" s="18">
        <v>41689.64</v>
      </c>
      <c r="G7387" s="18">
        <v>125152</v>
      </c>
      <c r="H7387" s="18">
        <f t="shared" si="167"/>
        <v>41539.64</v>
      </c>
      <c r="I7387" s="3"/>
    </row>
    <row r="7388" spans="1:9" s="4" customFormat="1" ht="20.25" customHeight="1" x14ac:dyDescent="0.55000000000000004">
      <c r="A7388" s="18">
        <v>24.728094299999999</v>
      </c>
      <c r="B7388" s="18">
        <v>34.776991000000002</v>
      </c>
      <c r="C7388" s="18">
        <v>679727.11</v>
      </c>
      <c r="D7388" s="18">
        <v>2736006.68</v>
      </c>
      <c r="E7388" s="18">
        <v>408.98</v>
      </c>
      <c r="F7388" s="18">
        <v>41689.03</v>
      </c>
      <c r="G7388" s="18">
        <v>125154</v>
      </c>
      <c r="H7388" s="18">
        <f t="shared" si="167"/>
        <v>41539.03</v>
      </c>
      <c r="I7388" s="3"/>
    </row>
    <row r="7389" spans="1:9" s="4" customFormat="1" ht="20.25" customHeight="1" x14ac:dyDescent="0.55000000000000004">
      <c r="A7389" s="18">
        <v>24.728068799999999</v>
      </c>
      <c r="B7389" s="18">
        <v>34.776985099999997</v>
      </c>
      <c r="C7389" s="18">
        <v>679726.56</v>
      </c>
      <c r="D7389" s="18">
        <v>2736003.85</v>
      </c>
      <c r="E7389" s="18">
        <v>409.05</v>
      </c>
      <c r="F7389" s="18">
        <v>41688.300000000003</v>
      </c>
      <c r="G7389" s="18">
        <v>125156</v>
      </c>
      <c r="H7389" s="18">
        <f t="shared" si="167"/>
        <v>41538.300000000003</v>
      </c>
      <c r="I7389" s="3"/>
    </row>
    <row r="7390" spans="1:9" s="4" customFormat="1" ht="20.25" customHeight="1" x14ac:dyDescent="0.55000000000000004">
      <c r="A7390" s="18">
        <v>24.728042299999998</v>
      </c>
      <c r="B7390" s="18">
        <v>34.776972499999999</v>
      </c>
      <c r="C7390" s="18">
        <v>679725.32</v>
      </c>
      <c r="D7390" s="18">
        <v>2736000.89</v>
      </c>
      <c r="E7390" s="18">
        <v>409.13</v>
      </c>
      <c r="F7390" s="18">
        <v>41688.53</v>
      </c>
      <c r="G7390" s="18">
        <v>125158</v>
      </c>
      <c r="H7390" s="18">
        <f t="shared" si="167"/>
        <v>41538.53</v>
      </c>
      <c r="I7390" s="3"/>
    </row>
    <row r="7391" spans="1:9" s="4" customFormat="1" ht="20.25" customHeight="1" x14ac:dyDescent="0.55000000000000004">
      <c r="A7391" s="18">
        <v>24.728023</v>
      </c>
      <c r="B7391" s="18">
        <v>34.776954799999999</v>
      </c>
      <c r="C7391" s="18">
        <v>679723.56</v>
      </c>
      <c r="D7391" s="18">
        <v>2735998.73</v>
      </c>
      <c r="E7391" s="18">
        <v>409.43</v>
      </c>
      <c r="F7391" s="18">
        <v>41688.75</v>
      </c>
      <c r="G7391" s="18">
        <v>125200</v>
      </c>
      <c r="H7391" s="18">
        <f t="shared" si="167"/>
        <v>41538.75</v>
      </c>
      <c r="I7391" s="3"/>
    </row>
    <row r="7392" spans="1:9" s="4" customFormat="1" ht="20.25" customHeight="1" x14ac:dyDescent="0.55000000000000004">
      <c r="A7392" s="18">
        <v>24.7280023</v>
      </c>
      <c r="B7392" s="18">
        <v>34.776935799999997</v>
      </c>
      <c r="C7392" s="18">
        <v>679721.67</v>
      </c>
      <c r="D7392" s="18">
        <v>2735996.42</v>
      </c>
      <c r="E7392" s="18">
        <v>409.72</v>
      </c>
      <c r="F7392" s="18">
        <v>41689.160000000003</v>
      </c>
      <c r="G7392" s="18">
        <v>125202</v>
      </c>
      <c r="H7392" s="18">
        <f t="shared" si="167"/>
        <v>41539.160000000003</v>
      </c>
      <c r="I7392" s="3"/>
    </row>
    <row r="7393" spans="1:9" s="4" customFormat="1" ht="20.25" customHeight="1" x14ac:dyDescent="0.55000000000000004">
      <c r="A7393" s="18">
        <v>24.727981100000001</v>
      </c>
      <c r="B7393" s="18">
        <v>34.776921399999999</v>
      </c>
      <c r="C7393" s="18">
        <v>679720.24</v>
      </c>
      <c r="D7393" s="18">
        <v>2735994.05</v>
      </c>
      <c r="E7393" s="18">
        <v>410.01</v>
      </c>
      <c r="F7393" s="18">
        <v>41688.74</v>
      </c>
      <c r="G7393" s="18">
        <v>125204</v>
      </c>
      <c r="H7393" s="18">
        <f t="shared" si="167"/>
        <v>41538.74</v>
      </c>
      <c r="I7393" s="3"/>
    </row>
    <row r="7394" spans="1:9" s="4" customFormat="1" ht="20.25" customHeight="1" x14ac:dyDescent="0.55000000000000004">
      <c r="A7394" s="18">
        <v>24.727960100000001</v>
      </c>
      <c r="B7394" s="18">
        <v>34.776906099999998</v>
      </c>
      <c r="C7394" s="18">
        <v>679718.72</v>
      </c>
      <c r="D7394" s="18">
        <v>2735991.7</v>
      </c>
      <c r="E7394" s="18">
        <v>410.14</v>
      </c>
      <c r="F7394" s="18">
        <v>41689.06</v>
      </c>
      <c r="G7394" s="18">
        <v>125206</v>
      </c>
      <c r="H7394" s="18">
        <f t="shared" si="167"/>
        <v>41539.06</v>
      </c>
      <c r="I7394" s="3"/>
    </row>
    <row r="7395" spans="1:9" s="4" customFormat="1" ht="20.25" customHeight="1" x14ac:dyDescent="0.55000000000000004">
      <c r="A7395" s="18">
        <v>24.727937499999999</v>
      </c>
      <c r="B7395" s="18">
        <v>34.7768929</v>
      </c>
      <c r="C7395" s="18">
        <v>679717.42</v>
      </c>
      <c r="D7395" s="18">
        <v>2735989.19</v>
      </c>
      <c r="E7395" s="18">
        <v>410.13</v>
      </c>
      <c r="F7395" s="18">
        <v>41688.639999999999</v>
      </c>
      <c r="G7395" s="18">
        <v>125208</v>
      </c>
      <c r="H7395" s="18">
        <f t="shared" si="167"/>
        <v>41538.639999999999</v>
      </c>
      <c r="I7395" s="3"/>
    </row>
    <row r="7396" spans="1:9" s="4" customFormat="1" ht="20.25" customHeight="1" x14ac:dyDescent="0.55000000000000004">
      <c r="A7396" s="18">
        <v>24.727907800000001</v>
      </c>
      <c r="B7396" s="18">
        <v>34.776886500000003</v>
      </c>
      <c r="C7396" s="18">
        <v>679716.82</v>
      </c>
      <c r="D7396" s="18">
        <v>2735985.89</v>
      </c>
      <c r="E7396" s="18">
        <v>410.04</v>
      </c>
      <c r="F7396" s="18">
        <v>41687.67</v>
      </c>
      <c r="G7396" s="18">
        <v>125210</v>
      </c>
      <c r="H7396" s="18">
        <f t="shared" si="167"/>
        <v>41537.67</v>
      </c>
      <c r="I7396" s="3"/>
    </row>
    <row r="7397" spans="1:9" s="4" customFormat="1" ht="20.25" customHeight="1" x14ac:dyDescent="0.55000000000000004">
      <c r="A7397" s="18">
        <v>24.7278813</v>
      </c>
      <c r="B7397" s="18">
        <v>34.776873600000002</v>
      </c>
      <c r="C7397" s="18">
        <v>679715.55</v>
      </c>
      <c r="D7397" s="18">
        <v>2735982.93</v>
      </c>
      <c r="E7397" s="18">
        <v>410.27</v>
      </c>
      <c r="F7397" s="18">
        <v>41686.46</v>
      </c>
      <c r="G7397" s="18">
        <v>125212</v>
      </c>
      <c r="H7397" s="18">
        <f t="shared" si="167"/>
        <v>41536.46</v>
      </c>
      <c r="I7397" s="3"/>
    </row>
    <row r="7398" spans="1:9" s="4" customFormat="1" ht="20.25" customHeight="1" x14ac:dyDescent="0.55000000000000004">
      <c r="A7398" s="18">
        <v>24.7278576</v>
      </c>
      <c r="B7398" s="18">
        <v>34.776870799999998</v>
      </c>
      <c r="C7398" s="18">
        <v>679715.3</v>
      </c>
      <c r="D7398" s="18">
        <v>2735980.31</v>
      </c>
      <c r="E7398" s="18">
        <v>410.45</v>
      </c>
      <c r="F7398" s="18">
        <v>41688.44</v>
      </c>
      <c r="G7398" s="18">
        <v>125214</v>
      </c>
      <c r="H7398" s="18">
        <f t="shared" si="167"/>
        <v>41538.44</v>
      </c>
      <c r="I7398" s="3"/>
    </row>
    <row r="7399" spans="1:9" s="4" customFormat="1" ht="20.25" customHeight="1" x14ac:dyDescent="0.55000000000000004">
      <c r="A7399" s="18">
        <v>24.727828299999999</v>
      </c>
      <c r="B7399" s="18">
        <v>34.776855699999999</v>
      </c>
      <c r="C7399" s="18">
        <v>679713.82</v>
      </c>
      <c r="D7399" s="18">
        <v>2735977.03</v>
      </c>
      <c r="E7399" s="18">
        <v>410.69</v>
      </c>
      <c r="F7399" s="18">
        <v>41687.300000000003</v>
      </c>
      <c r="G7399" s="18">
        <v>125216</v>
      </c>
      <c r="H7399" s="18">
        <f t="shared" si="167"/>
        <v>41537.300000000003</v>
      </c>
      <c r="I7399" s="3"/>
    </row>
    <row r="7400" spans="1:9" s="4" customFormat="1" ht="20.25" customHeight="1" x14ac:dyDescent="0.55000000000000004">
      <c r="A7400" s="18">
        <v>24.727802199999999</v>
      </c>
      <c r="B7400" s="18">
        <v>34.776843</v>
      </c>
      <c r="C7400" s="18">
        <v>679712.57</v>
      </c>
      <c r="D7400" s="18">
        <v>2735974.13</v>
      </c>
      <c r="E7400" s="18">
        <v>410.8</v>
      </c>
      <c r="F7400" s="18">
        <v>41687.269999999997</v>
      </c>
      <c r="G7400" s="18">
        <v>125218</v>
      </c>
      <c r="H7400" s="18">
        <f t="shared" si="167"/>
        <v>41537.269999999997</v>
      </c>
      <c r="I7400" s="3"/>
    </row>
    <row r="7401" spans="1:9" s="4" customFormat="1" ht="20.25" customHeight="1" x14ac:dyDescent="0.55000000000000004">
      <c r="A7401" s="18">
        <v>24.727776599999999</v>
      </c>
      <c r="B7401" s="18">
        <v>34.776840499999999</v>
      </c>
      <c r="C7401" s="18">
        <v>679712.35</v>
      </c>
      <c r="D7401" s="18">
        <v>2735971.29</v>
      </c>
      <c r="E7401" s="18">
        <v>410.86</v>
      </c>
      <c r="F7401" s="18">
        <v>41686.959999999999</v>
      </c>
      <c r="G7401" s="18">
        <v>125220</v>
      </c>
      <c r="H7401" s="18">
        <f t="shared" si="167"/>
        <v>41536.959999999999</v>
      </c>
      <c r="I7401" s="3"/>
    </row>
    <row r="7402" spans="1:9" s="4" customFormat="1" ht="20.25" customHeight="1" x14ac:dyDescent="0.55000000000000004">
      <c r="A7402" s="18">
        <v>24.727748500000001</v>
      </c>
      <c r="B7402" s="18">
        <v>34.776838300000001</v>
      </c>
      <c r="C7402" s="18">
        <v>679712.17</v>
      </c>
      <c r="D7402" s="18">
        <v>2735968.18</v>
      </c>
      <c r="E7402" s="18">
        <v>410.94</v>
      </c>
      <c r="F7402" s="18">
        <v>41685.919999999998</v>
      </c>
      <c r="G7402" s="18">
        <v>125222</v>
      </c>
      <c r="H7402" s="18">
        <f t="shared" ref="H7402:H7465" si="168">SUM(F7402-150)</f>
        <v>41535.919999999998</v>
      </c>
      <c r="I7402" s="3"/>
    </row>
    <row r="7403" spans="1:9" s="4" customFormat="1" ht="20.25" customHeight="1" x14ac:dyDescent="0.55000000000000004">
      <c r="A7403" s="18">
        <v>24.7277263</v>
      </c>
      <c r="B7403" s="18">
        <v>34.7768303</v>
      </c>
      <c r="C7403" s="18">
        <v>679711.39</v>
      </c>
      <c r="D7403" s="18">
        <v>2735965.71</v>
      </c>
      <c r="E7403" s="18">
        <v>411.16</v>
      </c>
      <c r="F7403" s="18">
        <v>41685.879999999997</v>
      </c>
      <c r="G7403" s="18">
        <v>125224</v>
      </c>
      <c r="H7403" s="18">
        <f t="shared" si="168"/>
        <v>41535.879999999997</v>
      </c>
      <c r="I7403" s="3"/>
    </row>
    <row r="7404" spans="1:9" s="4" customFormat="1" ht="20.25" customHeight="1" x14ac:dyDescent="0.55000000000000004">
      <c r="A7404" s="18">
        <v>24.727697500000001</v>
      </c>
      <c r="B7404" s="18">
        <v>34.776824699999999</v>
      </c>
      <c r="C7404" s="18">
        <v>679710.87</v>
      </c>
      <c r="D7404" s="18">
        <v>2735962.51</v>
      </c>
      <c r="E7404" s="18">
        <v>411.03</v>
      </c>
      <c r="F7404" s="18">
        <v>41686.089999999997</v>
      </c>
      <c r="G7404" s="18">
        <v>125226</v>
      </c>
      <c r="H7404" s="18">
        <f t="shared" si="168"/>
        <v>41536.089999999997</v>
      </c>
      <c r="I7404" s="3"/>
    </row>
    <row r="7405" spans="1:9" s="4" customFormat="1" ht="20.25" customHeight="1" x14ac:dyDescent="0.55000000000000004">
      <c r="A7405" s="18">
        <v>24.727669899999999</v>
      </c>
      <c r="B7405" s="18">
        <v>34.776825100000003</v>
      </c>
      <c r="C7405" s="18">
        <v>679710.94</v>
      </c>
      <c r="D7405" s="18">
        <v>2735959.46</v>
      </c>
      <c r="E7405" s="18">
        <v>411.26</v>
      </c>
      <c r="F7405" s="18">
        <v>41686.18</v>
      </c>
      <c r="G7405" s="18">
        <v>125228</v>
      </c>
      <c r="H7405" s="18">
        <f t="shared" si="168"/>
        <v>41536.18</v>
      </c>
      <c r="I7405" s="3"/>
    </row>
    <row r="7406" spans="1:9" s="4" customFormat="1" ht="20.25" customHeight="1" x14ac:dyDescent="0.55000000000000004">
      <c r="A7406" s="18">
        <v>24.7276408</v>
      </c>
      <c r="B7406" s="18">
        <v>34.776820899999997</v>
      </c>
      <c r="C7406" s="18">
        <v>679710.56</v>
      </c>
      <c r="D7406" s="18">
        <v>2735956.23</v>
      </c>
      <c r="E7406" s="18">
        <v>411.48</v>
      </c>
      <c r="F7406" s="18">
        <v>41684.339999999997</v>
      </c>
      <c r="G7406" s="18">
        <v>125230</v>
      </c>
      <c r="H7406" s="18">
        <f t="shared" si="168"/>
        <v>41534.339999999997</v>
      </c>
      <c r="I7406" s="3"/>
    </row>
    <row r="7407" spans="1:9" s="4" customFormat="1" ht="20.25" customHeight="1" x14ac:dyDescent="0.55000000000000004">
      <c r="A7407" s="18">
        <v>24.727615499999999</v>
      </c>
      <c r="B7407" s="18">
        <v>34.776820100000002</v>
      </c>
      <c r="C7407" s="18">
        <v>679710.52</v>
      </c>
      <c r="D7407" s="18">
        <v>2735953.42</v>
      </c>
      <c r="E7407" s="18">
        <v>411.64</v>
      </c>
      <c r="F7407" s="18">
        <v>41686.269999999997</v>
      </c>
      <c r="G7407" s="18">
        <v>125232</v>
      </c>
      <c r="H7407" s="18">
        <f t="shared" si="168"/>
        <v>41536.269999999997</v>
      </c>
      <c r="I7407" s="3"/>
    </row>
    <row r="7408" spans="1:9" s="4" customFormat="1" ht="20.25" customHeight="1" x14ac:dyDescent="0.55000000000000004">
      <c r="A7408" s="18">
        <v>24.727589200000001</v>
      </c>
      <c r="B7408" s="18">
        <v>34.7768175</v>
      </c>
      <c r="C7408" s="18">
        <v>679710.29</v>
      </c>
      <c r="D7408" s="18">
        <v>2735950.51</v>
      </c>
      <c r="E7408" s="18">
        <v>411.74</v>
      </c>
      <c r="F7408" s="18">
        <v>41685.14</v>
      </c>
      <c r="G7408" s="18">
        <v>125234</v>
      </c>
      <c r="H7408" s="18">
        <f t="shared" si="168"/>
        <v>41535.14</v>
      </c>
      <c r="I7408" s="3"/>
    </row>
    <row r="7409" spans="1:9" s="4" customFormat="1" ht="20.25" customHeight="1" x14ac:dyDescent="0.55000000000000004">
      <c r="A7409" s="18">
        <v>24.727561900000001</v>
      </c>
      <c r="B7409" s="18">
        <v>34.776817299999998</v>
      </c>
      <c r="C7409" s="18">
        <v>679710.31</v>
      </c>
      <c r="D7409" s="18">
        <v>2735947.48</v>
      </c>
      <c r="E7409" s="18">
        <v>411.98</v>
      </c>
      <c r="F7409" s="18">
        <v>41686.42</v>
      </c>
      <c r="G7409" s="18">
        <v>125236</v>
      </c>
      <c r="H7409" s="18">
        <f t="shared" si="168"/>
        <v>41536.42</v>
      </c>
      <c r="I7409" s="3"/>
    </row>
    <row r="7410" spans="1:9" s="4" customFormat="1" ht="20.25" customHeight="1" x14ac:dyDescent="0.55000000000000004">
      <c r="A7410" s="18">
        <v>24.727534599999998</v>
      </c>
      <c r="B7410" s="18">
        <v>34.776813300000001</v>
      </c>
      <c r="C7410" s="18">
        <v>679709.95</v>
      </c>
      <c r="D7410" s="18">
        <v>2735944.46</v>
      </c>
      <c r="E7410" s="18">
        <v>412.19</v>
      </c>
      <c r="F7410" s="18">
        <v>41686.720000000001</v>
      </c>
      <c r="G7410" s="18">
        <v>125238</v>
      </c>
      <c r="H7410" s="18">
        <f t="shared" si="168"/>
        <v>41536.720000000001</v>
      </c>
      <c r="I7410" s="3"/>
    </row>
    <row r="7411" spans="1:9" s="4" customFormat="1" ht="20.25" customHeight="1" x14ac:dyDescent="0.55000000000000004">
      <c r="A7411" s="18">
        <v>24.727510899999999</v>
      </c>
      <c r="B7411" s="18">
        <v>34.7768047</v>
      </c>
      <c r="C7411" s="18">
        <v>679709.12</v>
      </c>
      <c r="D7411" s="18">
        <v>2735941.81</v>
      </c>
      <c r="E7411" s="18">
        <v>412.16</v>
      </c>
      <c r="F7411" s="18">
        <v>41686.86</v>
      </c>
      <c r="G7411" s="18">
        <v>125240</v>
      </c>
      <c r="H7411" s="18">
        <f t="shared" si="168"/>
        <v>41536.86</v>
      </c>
      <c r="I7411" s="3"/>
    </row>
    <row r="7412" spans="1:9" s="4" customFormat="1" ht="20.25" customHeight="1" x14ac:dyDescent="0.55000000000000004">
      <c r="A7412" s="18">
        <v>24.727488999999998</v>
      </c>
      <c r="B7412" s="18">
        <v>34.776805299999999</v>
      </c>
      <c r="C7412" s="18">
        <v>679709.2</v>
      </c>
      <c r="D7412" s="18">
        <v>2735939.4</v>
      </c>
      <c r="E7412" s="18">
        <v>412.2</v>
      </c>
      <c r="F7412" s="18">
        <v>41687.230000000003</v>
      </c>
      <c r="G7412" s="18">
        <v>125242</v>
      </c>
      <c r="H7412" s="18">
        <f t="shared" si="168"/>
        <v>41537.230000000003</v>
      </c>
      <c r="I7412" s="3"/>
    </row>
    <row r="7413" spans="1:9" s="4" customFormat="1" ht="20.25" customHeight="1" x14ac:dyDescent="0.55000000000000004">
      <c r="A7413" s="18">
        <v>24.727463100000001</v>
      </c>
      <c r="B7413" s="18">
        <v>34.776812999999997</v>
      </c>
      <c r="C7413" s="18">
        <v>679710.02</v>
      </c>
      <c r="D7413" s="18">
        <v>2735936.53</v>
      </c>
      <c r="E7413" s="18">
        <v>412.19</v>
      </c>
      <c r="F7413" s="18">
        <v>41686.39</v>
      </c>
      <c r="G7413" s="18">
        <v>125244</v>
      </c>
      <c r="H7413" s="18">
        <f t="shared" si="168"/>
        <v>41536.39</v>
      </c>
      <c r="I7413" s="3"/>
    </row>
    <row r="7414" spans="1:9" s="4" customFormat="1" ht="20.25" customHeight="1" x14ac:dyDescent="0.55000000000000004">
      <c r="A7414" s="18">
        <v>24.727434200000001</v>
      </c>
      <c r="B7414" s="18">
        <v>34.776827300000001</v>
      </c>
      <c r="C7414" s="18">
        <v>679711.51</v>
      </c>
      <c r="D7414" s="18">
        <v>2735933.35</v>
      </c>
      <c r="E7414" s="18">
        <v>412.53</v>
      </c>
      <c r="F7414" s="18">
        <v>41685.54</v>
      </c>
      <c r="G7414" s="18">
        <v>125246</v>
      </c>
      <c r="H7414" s="18">
        <f t="shared" si="168"/>
        <v>41535.54</v>
      </c>
      <c r="I7414" s="3"/>
    </row>
    <row r="7415" spans="1:9" s="4" customFormat="1" ht="20.25" customHeight="1" x14ac:dyDescent="0.55000000000000004">
      <c r="A7415" s="18">
        <v>24.727411400000001</v>
      </c>
      <c r="B7415" s="18">
        <v>34.776844500000003</v>
      </c>
      <c r="C7415" s="18">
        <v>679713.28000000003</v>
      </c>
      <c r="D7415" s="18">
        <v>2735930.84</v>
      </c>
      <c r="E7415" s="18">
        <v>412.66</v>
      </c>
      <c r="F7415" s="18">
        <v>41686.9</v>
      </c>
      <c r="G7415" s="18">
        <v>125248</v>
      </c>
      <c r="H7415" s="18">
        <f t="shared" si="168"/>
        <v>41536.9</v>
      </c>
      <c r="I7415" s="3"/>
    </row>
    <row r="7416" spans="1:9" s="4" customFormat="1" ht="20.25" customHeight="1" x14ac:dyDescent="0.55000000000000004">
      <c r="A7416" s="18">
        <v>24.7273894</v>
      </c>
      <c r="B7416" s="18">
        <v>34.776861099999998</v>
      </c>
      <c r="C7416" s="18">
        <v>679714.99</v>
      </c>
      <c r="D7416" s="18">
        <v>2735928.43</v>
      </c>
      <c r="E7416" s="18">
        <v>412.83</v>
      </c>
      <c r="F7416" s="18">
        <v>41686.47</v>
      </c>
      <c r="G7416" s="18">
        <v>125250</v>
      </c>
      <c r="H7416" s="18">
        <f t="shared" si="168"/>
        <v>41536.47</v>
      </c>
      <c r="I7416" s="3"/>
    </row>
    <row r="7417" spans="1:9" s="4" customFormat="1" ht="20.25" customHeight="1" x14ac:dyDescent="0.55000000000000004">
      <c r="A7417" s="18">
        <v>24.727365500000001</v>
      </c>
      <c r="B7417" s="18">
        <v>34.776870000000002</v>
      </c>
      <c r="C7417" s="18">
        <v>679715.92</v>
      </c>
      <c r="D7417" s="18">
        <v>2735925.8</v>
      </c>
      <c r="E7417" s="18">
        <v>412.93</v>
      </c>
      <c r="F7417" s="18">
        <v>41685.269999999997</v>
      </c>
      <c r="G7417" s="18">
        <v>125252</v>
      </c>
      <c r="H7417" s="18">
        <f t="shared" si="168"/>
        <v>41535.269999999997</v>
      </c>
      <c r="I7417" s="3"/>
    </row>
    <row r="7418" spans="1:9" s="4" customFormat="1" ht="20.25" customHeight="1" x14ac:dyDescent="0.55000000000000004">
      <c r="A7418" s="18">
        <v>24.7273426</v>
      </c>
      <c r="B7418" s="18">
        <v>34.776879200000003</v>
      </c>
      <c r="C7418" s="18">
        <v>679716.89</v>
      </c>
      <c r="D7418" s="18">
        <v>2735923.28</v>
      </c>
      <c r="E7418" s="18">
        <v>413</v>
      </c>
      <c r="F7418" s="18">
        <v>41683.43</v>
      </c>
      <c r="G7418" s="18">
        <v>125254</v>
      </c>
      <c r="H7418" s="18">
        <f t="shared" si="168"/>
        <v>41533.43</v>
      </c>
      <c r="I7418" s="3"/>
    </row>
    <row r="7419" spans="1:9" s="4" customFormat="1" ht="20.25" customHeight="1" x14ac:dyDescent="0.55000000000000004">
      <c r="A7419" s="18">
        <v>24.727320599999999</v>
      </c>
      <c r="B7419" s="18">
        <v>34.776896200000003</v>
      </c>
      <c r="C7419" s="18">
        <v>679718.64</v>
      </c>
      <c r="D7419" s="18">
        <v>2735920.86</v>
      </c>
      <c r="E7419" s="18">
        <v>413.12</v>
      </c>
      <c r="F7419" s="18">
        <v>41684.83</v>
      </c>
      <c r="G7419" s="18">
        <v>125256</v>
      </c>
      <c r="H7419" s="18">
        <f t="shared" si="168"/>
        <v>41534.83</v>
      </c>
      <c r="I7419" s="3"/>
    </row>
    <row r="7420" spans="1:9" s="4" customFormat="1" ht="20.25" customHeight="1" x14ac:dyDescent="0.55000000000000004">
      <c r="A7420" s="18">
        <v>24.727299800000001</v>
      </c>
      <c r="B7420" s="18">
        <v>34.776908800000001</v>
      </c>
      <c r="C7420" s="18">
        <v>679719.95</v>
      </c>
      <c r="D7420" s="18">
        <v>2735918.57</v>
      </c>
      <c r="E7420" s="18">
        <v>413.16</v>
      </c>
      <c r="F7420" s="18">
        <v>41680.33</v>
      </c>
      <c r="G7420" s="18">
        <v>125258</v>
      </c>
      <c r="H7420" s="18">
        <f t="shared" si="168"/>
        <v>41530.33</v>
      </c>
      <c r="I7420" s="3"/>
    </row>
    <row r="7421" spans="1:9" s="4" customFormat="1" ht="20.25" customHeight="1" x14ac:dyDescent="0.55000000000000004">
      <c r="A7421" s="18">
        <v>24.727274999999999</v>
      </c>
      <c r="B7421" s="18">
        <v>34.776921600000001</v>
      </c>
      <c r="C7421" s="18">
        <v>679721.28</v>
      </c>
      <c r="D7421" s="18">
        <v>2735915.84</v>
      </c>
      <c r="E7421" s="18">
        <v>413.18</v>
      </c>
      <c r="F7421" s="18">
        <v>41682.629999999997</v>
      </c>
      <c r="G7421" s="18">
        <v>125300</v>
      </c>
      <c r="H7421" s="18">
        <f t="shared" si="168"/>
        <v>41532.629999999997</v>
      </c>
      <c r="I7421" s="3"/>
    </row>
    <row r="7422" spans="1:9" s="4" customFormat="1" ht="20.25" customHeight="1" x14ac:dyDescent="0.55000000000000004">
      <c r="A7422" s="18">
        <v>24.727263499999999</v>
      </c>
      <c r="B7422" s="18">
        <v>34.776929899999999</v>
      </c>
      <c r="C7422" s="18">
        <v>679722.13</v>
      </c>
      <c r="D7422" s="18">
        <v>2735914.58</v>
      </c>
      <c r="E7422" s="18">
        <v>413.28</v>
      </c>
      <c r="F7422" s="18">
        <v>41690.94</v>
      </c>
      <c r="G7422" s="18">
        <v>125302</v>
      </c>
      <c r="H7422" s="18">
        <f t="shared" si="168"/>
        <v>41540.94</v>
      </c>
      <c r="I7422" s="3"/>
    </row>
    <row r="7423" spans="1:9" s="4" customFormat="1" ht="20.25" customHeight="1" x14ac:dyDescent="0.55000000000000004">
      <c r="A7423" s="18">
        <v>24.727242199999999</v>
      </c>
      <c r="B7423" s="18">
        <v>34.776934500000003</v>
      </c>
      <c r="C7423" s="18">
        <v>679722.63</v>
      </c>
      <c r="D7423" s="18">
        <v>2735912.22</v>
      </c>
      <c r="E7423" s="18">
        <v>413.42</v>
      </c>
      <c r="F7423" s="18">
        <v>41682.720000000001</v>
      </c>
      <c r="G7423" s="18">
        <v>125304</v>
      </c>
      <c r="H7423" s="18">
        <f t="shared" si="168"/>
        <v>41532.720000000001</v>
      </c>
      <c r="I7423" s="3"/>
    </row>
    <row r="7424" spans="1:9" s="4" customFormat="1" ht="20.25" customHeight="1" x14ac:dyDescent="0.55000000000000004">
      <c r="A7424" s="18">
        <v>24.727216800000001</v>
      </c>
      <c r="B7424" s="18">
        <v>34.776937199999999</v>
      </c>
      <c r="C7424" s="18">
        <v>679722.94</v>
      </c>
      <c r="D7424" s="18">
        <v>2735909.41</v>
      </c>
      <c r="E7424" s="18">
        <v>413.52</v>
      </c>
      <c r="F7424" s="18">
        <v>41682.99</v>
      </c>
      <c r="G7424" s="18">
        <v>125306</v>
      </c>
      <c r="H7424" s="18">
        <f t="shared" si="168"/>
        <v>41532.99</v>
      </c>
      <c r="I7424" s="3"/>
    </row>
    <row r="7425" spans="1:9" s="4" customFormat="1" ht="20.25" customHeight="1" x14ac:dyDescent="0.55000000000000004">
      <c r="A7425" s="18">
        <v>24.727190100000001</v>
      </c>
      <c r="B7425" s="18">
        <v>34.776934599999997</v>
      </c>
      <c r="C7425" s="18">
        <v>679722.71</v>
      </c>
      <c r="D7425" s="18">
        <v>2735906.46</v>
      </c>
      <c r="E7425" s="18">
        <v>413.6</v>
      </c>
      <c r="F7425" s="18">
        <v>41681.279999999999</v>
      </c>
      <c r="G7425" s="18">
        <v>125308</v>
      </c>
      <c r="H7425" s="18">
        <f t="shared" si="168"/>
        <v>41531.279999999999</v>
      </c>
      <c r="I7425" s="3"/>
    </row>
    <row r="7426" spans="1:9" s="4" customFormat="1" ht="20.25" customHeight="1" x14ac:dyDescent="0.55000000000000004">
      <c r="A7426" s="18">
        <v>24.727164299999998</v>
      </c>
      <c r="B7426" s="18">
        <v>34.776931300000001</v>
      </c>
      <c r="C7426" s="18">
        <v>679722.42</v>
      </c>
      <c r="D7426" s="18">
        <v>2735903.6</v>
      </c>
      <c r="E7426" s="18">
        <v>413.77</v>
      </c>
      <c r="F7426" s="18">
        <v>41681.199999999997</v>
      </c>
      <c r="G7426" s="18">
        <v>125310</v>
      </c>
      <c r="H7426" s="18">
        <f t="shared" si="168"/>
        <v>41531.199999999997</v>
      </c>
      <c r="I7426" s="3"/>
    </row>
    <row r="7427" spans="1:9" s="4" customFormat="1" ht="20.25" customHeight="1" x14ac:dyDescent="0.55000000000000004">
      <c r="A7427" s="18">
        <v>24.7271438</v>
      </c>
      <c r="B7427" s="18">
        <v>34.7769397</v>
      </c>
      <c r="C7427" s="18">
        <v>679723.29</v>
      </c>
      <c r="D7427" s="18">
        <v>2735901.33</v>
      </c>
      <c r="E7427" s="18">
        <v>414.22</v>
      </c>
      <c r="F7427" s="18">
        <v>41685.83</v>
      </c>
      <c r="G7427" s="18">
        <v>125312</v>
      </c>
      <c r="H7427" s="18">
        <f t="shared" si="168"/>
        <v>41535.83</v>
      </c>
      <c r="I7427" s="3"/>
    </row>
    <row r="7428" spans="1:9" s="4" customFormat="1" ht="20.25" customHeight="1" x14ac:dyDescent="0.55000000000000004">
      <c r="A7428" s="18">
        <v>24.727123800000001</v>
      </c>
      <c r="B7428" s="18">
        <v>34.776946299999999</v>
      </c>
      <c r="C7428" s="18">
        <v>679724</v>
      </c>
      <c r="D7428" s="18">
        <v>2735899.13</v>
      </c>
      <c r="E7428" s="18">
        <v>414.23</v>
      </c>
      <c r="F7428" s="18">
        <v>41682.31</v>
      </c>
      <c r="G7428" s="18">
        <v>125314</v>
      </c>
      <c r="H7428" s="18">
        <f t="shared" si="168"/>
        <v>41532.31</v>
      </c>
      <c r="I7428" s="3"/>
    </row>
    <row r="7429" spans="1:9" s="4" customFormat="1" ht="20.25" customHeight="1" x14ac:dyDescent="0.55000000000000004">
      <c r="A7429" s="18">
        <v>24.727101600000001</v>
      </c>
      <c r="B7429" s="18">
        <v>34.776958399999998</v>
      </c>
      <c r="C7429" s="18">
        <v>679725.25</v>
      </c>
      <c r="D7429" s="18">
        <v>2735896.69</v>
      </c>
      <c r="E7429" s="18">
        <v>414.34</v>
      </c>
      <c r="F7429" s="18">
        <v>41683.85</v>
      </c>
      <c r="G7429" s="18">
        <v>125316</v>
      </c>
      <c r="H7429" s="18">
        <f t="shared" si="168"/>
        <v>41533.85</v>
      </c>
      <c r="I7429" s="3"/>
    </row>
    <row r="7430" spans="1:9" s="4" customFormat="1" ht="20.25" customHeight="1" x14ac:dyDescent="0.55000000000000004">
      <c r="A7430" s="18">
        <v>24.727078800000001</v>
      </c>
      <c r="B7430" s="18">
        <v>34.776968799999999</v>
      </c>
      <c r="C7430" s="18">
        <v>679726.34</v>
      </c>
      <c r="D7430" s="18">
        <v>2735894.18</v>
      </c>
      <c r="E7430" s="18">
        <v>414.62</v>
      </c>
      <c r="F7430" s="18">
        <v>41683.74</v>
      </c>
      <c r="G7430" s="18">
        <v>125318</v>
      </c>
      <c r="H7430" s="18">
        <f t="shared" si="168"/>
        <v>41533.74</v>
      </c>
      <c r="I7430" s="3"/>
    </row>
    <row r="7431" spans="1:9" s="4" customFormat="1" ht="20.25" customHeight="1" x14ac:dyDescent="0.55000000000000004">
      <c r="A7431" s="18">
        <v>24.727052499999999</v>
      </c>
      <c r="B7431" s="18">
        <v>34.776973400000003</v>
      </c>
      <c r="C7431" s="18">
        <v>679726.84</v>
      </c>
      <c r="D7431" s="18">
        <v>2735891.26</v>
      </c>
      <c r="E7431" s="18">
        <v>414.87</v>
      </c>
      <c r="F7431" s="18">
        <v>41683.18</v>
      </c>
      <c r="G7431" s="18">
        <v>125320</v>
      </c>
      <c r="H7431" s="18">
        <f t="shared" si="168"/>
        <v>41533.18</v>
      </c>
      <c r="I7431" s="3"/>
    </row>
    <row r="7432" spans="1:9" s="4" customFormat="1" ht="20.25" customHeight="1" x14ac:dyDescent="0.55000000000000004">
      <c r="A7432" s="18">
        <v>24.7270246</v>
      </c>
      <c r="B7432" s="18">
        <v>34.776981999999997</v>
      </c>
      <c r="C7432" s="18">
        <v>679727.74</v>
      </c>
      <c r="D7432" s="18">
        <v>2735888.19</v>
      </c>
      <c r="E7432" s="18">
        <v>414.97</v>
      </c>
      <c r="F7432" s="18">
        <v>41682.85</v>
      </c>
      <c r="G7432" s="18">
        <v>125322</v>
      </c>
      <c r="H7432" s="18">
        <f t="shared" si="168"/>
        <v>41532.85</v>
      </c>
      <c r="I7432" s="3"/>
    </row>
    <row r="7433" spans="1:9" s="4" customFormat="1" ht="20.25" customHeight="1" x14ac:dyDescent="0.55000000000000004">
      <c r="A7433" s="18">
        <v>24.727001699999999</v>
      </c>
      <c r="B7433" s="18">
        <v>34.776991000000002</v>
      </c>
      <c r="C7433" s="18">
        <v>679728.69</v>
      </c>
      <c r="D7433" s="18">
        <v>2735885.66</v>
      </c>
      <c r="E7433" s="18">
        <v>415.53</v>
      </c>
      <c r="F7433" s="18">
        <v>41683.65</v>
      </c>
      <c r="G7433" s="18">
        <v>125324</v>
      </c>
      <c r="H7433" s="18">
        <f t="shared" si="168"/>
        <v>41533.65</v>
      </c>
      <c r="I7433" s="3"/>
    </row>
    <row r="7434" spans="1:9" s="4" customFormat="1" ht="20.25" customHeight="1" x14ac:dyDescent="0.55000000000000004">
      <c r="A7434" s="18">
        <v>24.726976100000002</v>
      </c>
      <c r="B7434" s="18">
        <v>34.776996099999998</v>
      </c>
      <c r="C7434" s="18">
        <v>679729.25</v>
      </c>
      <c r="D7434" s="18">
        <v>2735882.83</v>
      </c>
      <c r="E7434" s="18">
        <v>415.75</v>
      </c>
      <c r="F7434" s="18">
        <v>41682.33</v>
      </c>
      <c r="G7434" s="18">
        <v>125326</v>
      </c>
      <c r="H7434" s="18">
        <f t="shared" si="168"/>
        <v>41532.33</v>
      </c>
      <c r="I7434" s="3"/>
    </row>
    <row r="7435" spans="1:9" s="4" customFormat="1" ht="20.25" customHeight="1" x14ac:dyDescent="0.55000000000000004">
      <c r="A7435" s="18">
        <v>24.726952399999998</v>
      </c>
      <c r="B7435" s="18">
        <v>34.7770048</v>
      </c>
      <c r="C7435" s="18">
        <v>679730.16</v>
      </c>
      <c r="D7435" s="18">
        <v>2735880.22</v>
      </c>
      <c r="E7435" s="18">
        <v>415.74</v>
      </c>
      <c r="F7435" s="18">
        <v>41681.300000000003</v>
      </c>
      <c r="G7435" s="18">
        <v>125328</v>
      </c>
      <c r="H7435" s="18">
        <f t="shared" si="168"/>
        <v>41531.300000000003</v>
      </c>
      <c r="I7435" s="3"/>
    </row>
    <row r="7436" spans="1:9" s="4" customFormat="1" ht="20.25" customHeight="1" x14ac:dyDescent="0.55000000000000004">
      <c r="A7436" s="18">
        <v>24.726929200000001</v>
      </c>
      <c r="B7436" s="18">
        <v>34.777017299999997</v>
      </c>
      <c r="C7436" s="18">
        <v>679731.45</v>
      </c>
      <c r="D7436" s="18">
        <v>2735877.67</v>
      </c>
      <c r="E7436" s="18">
        <v>415.64</v>
      </c>
      <c r="F7436" s="18">
        <v>41682.480000000003</v>
      </c>
      <c r="G7436" s="18">
        <v>125330</v>
      </c>
      <c r="H7436" s="18">
        <f t="shared" si="168"/>
        <v>41532.480000000003</v>
      </c>
      <c r="I7436" s="3"/>
    </row>
    <row r="7437" spans="1:9" s="4" customFormat="1" ht="20.25" customHeight="1" x14ac:dyDescent="0.55000000000000004">
      <c r="A7437" s="18">
        <v>24.7269045</v>
      </c>
      <c r="B7437" s="18">
        <v>34.777028999999999</v>
      </c>
      <c r="C7437" s="18">
        <v>679732.67</v>
      </c>
      <c r="D7437" s="18">
        <v>2735874.94</v>
      </c>
      <c r="E7437" s="18">
        <v>415.64</v>
      </c>
      <c r="F7437" s="18">
        <v>41683.81</v>
      </c>
      <c r="G7437" s="18">
        <v>125332</v>
      </c>
      <c r="H7437" s="18">
        <f t="shared" si="168"/>
        <v>41533.81</v>
      </c>
      <c r="I7437" s="3"/>
    </row>
    <row r="7438" spans="1:9" s="4" customFormat="1" ht="20.25" customHeight="1" x14ac:dyDescent="0.55000000000000004">
      <c r="A7438" s="18">
        <v>24.726881200000001</v>
      </c>
      <c r="B7438" s="18">
        <v>34.7770388</v>
      </c>
      <c r="C7438" s="18">
        <v>679733.69</v>
      </c>
      <c r="D7438" s="18">
        <v>2735872.38</v>
      </c>
      <c r="E7438" s="18">
        <v>415.72</v>
      </c>
      <c r="F7438" s="18">
        <v>41684.17</v>
      </c>
      <c r="G7438" s="18">
        <v>125334</v>
      </c>
      <c r="H7438" s="18">
        <f t="shared" si="168"/>
        <v>41534.17</v>
      </c>
      <c r="I7438" s="3"/>
    </row>
    <row r="7439" spans="1:9" s="4" customFormat="1" ht="20.25" customHeight="1" x14ac:dyDescent="0.55000000000000004">
      <c r="A7439" s="18">
        <v>24.726856600000001</v>
      </c>
      <c r="B7439" s="18">
        <v>34.7770467</v>
      </c>
      <c r="C7439" s="18">
        <v>679734.53</v>
      </c>
      <c r="D7439" s="18">
        <v>2735869.66</v>
      </c>
      <c r="E7439" s="18">
        <v>415.78</v>
      </c>
      <c r="F7439" s="18">
        <v>41684.03</v>
      </c>
      <c r="G7439" s="18">
        <v>125336</v>
      </c>
      <c r="H7439" s="18">
        <f t="shared" si="168"/>
        <v>41534.03</v>
      </c>
      <c r="I7439" s="3"/>
    </row>
    <row r="7440" spans="1:9" s="4" customFormat="1" ht="20.25" customHeight="1" x14ac:dyDescent="0.55000000000000004">
      <c r="A7440" s="18">
        <v>24.7268343</v>
      </c>
      <c r="B7440" s="18">
        <v>34.777054499999998</v>
      </c>
      <c r="C7440" s="18">
        <v>679735.36</v>
      </c>
      <c r="D7440" s="18">
        <v>2735867.2</v>
      </c>
      <c r="E7440" s="18">
        <v>415.89</v>
      </c>
      <c r="F7440" s="18">
        <v>41684.660000000003</v>
      </c>
      <c r="G7440" s="18">
        <v>125338</v>
      </c>
      <c r="H7440" s="18">
        <f t="shared" si="168"/>
        <v>41534.660000000003</v>
      </c>
      <c r="I7440" s="3"/>
    </row>
    <row r="7441" spans="1:9" s="4" customFormat="1" ht="20.25" customHeight="1" x14ac:dyDescent="0.55000000000000004">
      <c r="A7441" s="18">
        <v>24.726814000000001</v>
      </c>
      <c r="B7441" s="18">
        <v>34.777067500000001</v>
      </c>
      <c r="C7441" s="18">
        <v>679736.7</v>
      </c>
      <c r="D7441" s="18">
        <v>2735864.97</v>
      </c>
      <c r="E7441" s="18">
        <v>416.13</v>
      </c>
      <c r="F7441" s="18">
        <v>41685.339999999997</v>
      </c>
      <c r="G7441" s="18">
        <v>125340</v>
      </c>
      <c r="H7441" s="18">
        <f t="shared" si="168"/>
        <v>41535.339999999997</v>
      </c>
      <c r="I7441" s="3"/>
    </row>
    <row r="7442" spans="1:9" s="4" customFormat="1" ht="20.25" customHeight="1" x14ac:dyDescent="0.55000000000000004">
      <c r="A7442" s="18">
        <v>24.7267929</v>
      </c>
      <c r="B7442" s="18">
        <v>34.777077599999998</v>
      </c>
      <c r="C7442" s="18">
        <v>679737.75</v>
      </c>
      <c r="D7442" s="18">
        <v>2735862.65</v>
      </c>
      <c r="E7442" s="18">
        <v>416.25</v>
      </c>
      <c r="F7442" s="18">
        <v>41685.18</v>
      </c>
      <c r="G7442" s="18">
        <v>125342</v>
      </c>
      <c r="H7442" s="18">
        <f t="shared" si="168"/>
        <v>41535.18</v>
      </c>
      <c r="I7442" s="3"/>
    </row>
    <row r="7443" spans="1:9" s="4" customFormat="1" ht="20.25" customHeight="1" x14ac:dyDescent="0.55000000000000004">
      <c r="A7443" s="18">
        <v>24.726767899999999</v>
      </c>
      <c r="B7443" s="18">
        <v>34.777082900000003</v>
      </c>
      <c r="C7443" s="18">
        <v>679738.32</v>
      </c>
      <c r="D7443" s="18">
        <v>2735859.88</v>
      </c>
      <c r="E7443" s="18">
        <v>416.2</v>
      </c>
      <c r="F7443" s="18">
        <v>41683.86</v>
      </c>
      <c r="G7443" s="18">
        <v>125344</v>
      </c>
      <c r="H7443" s="18">
        <f t="shared" si="168"/>
        <v>41533.86</v>
      </c>
      <c r="I7443" s="3"/>
    </row>
    <row r="7444" spans="1:9" s="4" customFormat="1" ht="20.25" customHeight="1" x14ac:dyDescent="0.55000000000000004">
      <c r="A7444" s="18">
        <v>24.726743500000001</v>
      </c>
      <c r="B7444" s="18">
        <v>34.7770929</v>
      </c>
      <c r="C7444" s="18">
        <v>679739.37</v>
      </c>
      <c r="D7444" s="18">
        <v>2735857.2</v>
      </c>
      <c r="E7444" s="18">
        <v>416.2</v>
      </c>
      <c r="F7444" s="18">
        <v>41683.49</v>
      </c>
      <c r="G7444" s="18">
        <v>125346</v>
      </c>
      <c r="H7444" s="18">
        <f t="shared" si="168"/>
        <v>41533.49</v>
      </c>
      <c r="I7444" s="3"/>
    </row>
    <row r="7445" spans="1:9" s="4" customFormat="1" ht="20.25" customHeight="1" x14ac:dyDescent="0.55000000000000004">
      <c r="A7445" s="18">
        <v>24.726727700000001</v>
      </c>
      <c r="B7445" s="18">
        <v>34.777110899999997</v>
      </c>
      <c r="C7445" s="18">
        <v>679741.21</v>
      </c>
      <c r="D7445" s="18">
        <v>2735855.48</v>
      </c>
      <c r="E7445" s="18">
        <v>416.4</v>
      </c>
      <c r="F7445" s="18">
        <v>41683.699999999997</v>
      </c>
      <c r="G7445" s="18">
        <v>125348</v>
      </c>
      <c r="H7445" s="18">
        <f t="shared" si="168"/>
        <v>41533.699999999997</v>
      </c>
      <c r="I7445" s="3"/>
    </row>
    <row r="7446" spans="1:9" s="4" customFormat="1" ht="20.25" customHeight="1" x14ac:dyDescent="0.55000000000000004">
      <c r="A7446" s="18">
        <v>24.726712299999999</v>
      </c>
      <c r="B7446" s="18">
        <v>34.777132799999997</v>
      </c>
      <c r="C7446" s="18">
        <v>679743.46</v>
      </c>
      <c r="D7446" s="18">
        <v>2735853.79</v>
      </c>
      <c r="E7446" s="18">
        <v>416.62</v>
      </c>
      <c r="F7446" s="18">
        <v>41685.370000000003</v>
      </c>
      <c r="G7446" s="18">
        <v>125350</v>
      </c>
      <c r="H7446" s="18">
        <f t="shared" si="168"/>
        <v>41535.370000000003</v>
      </c>
      <c r="I7446" s="3"/>
    </row>
    <row r="7447" spans="1:9" s="4" customFormat="1" ht="20.25" customHeight="1" x14ac:dyDescent="0.55000000000000004">
      <c r="A7447" s="18">
        <v>24.726693300000001</v>
      </c>
      <c r="B7447" s="18">
        <v>34.777150599999999</v>
      </c>
      <c r="C7447" s="18">
        <v>679745.28</v>
      </c>
      <c r="D7447" s="18">
        <v>2735851.72</v>
      </c>
      <c r="E7447" s="18">
        <v>416.92</v>
      </c>
      <c r="F7447" s="18">
        <v>41685.050000000003</v>
      </c>
      <c r="G7447" s="18">
        <v>125352</v>
      </c>
      <c r="H7447" s="18">
        <f t="shared" si="168"/>
        <v>41535.050000000003</v>
      </c>
      <c r="I7447" s="3"/>
    </row>
    <row r="7448" spans="1:9" s="4" customFormat="1" ht="20.25" customHeight="1" x14ac:dyDescent="0.55000000000000004">
      <c r="A7448" s="18">
        <v>24.726670599999999</v>
      </c>
      <c r="B7448" s="18">
        <v>34.777165699999998</v>
      </c>
      <c r="C7448" s="18">
        <v>679746.84</v>
      </c>
      <c r="D7448" s="18">
        <v>2735849.22</v>
      </c>
      <c r="E7448" s="18">
        <v>417.01</v>
      </c>
      <c r="F7448" s="18">
        <v>41685.82</v>
      </c>
      <c r="G7448" s="18">
        <v>125354</v>
      </c>
      <c r="H7448" s="18">
        <f t="shared" si="168"/>
        <v>41535.82</v>
      </c>
      <c r="I7448" s="3"/>
    </row>
    <row r="7449" spans="1:9" s="4" customFormat="1" ht="20.25" customHeight="1" x14ac:dyDescent="0.55000000000000004">
      <c r="A7449" s="18">
        <v>24.7266467</v>
      </c>
      <c r="B7449" s="18">
        <v>34.777176500000003</v>
      </c>
      <c r="C7449" s="18">
        <v>679747.97</v>
      </c>
      <c r="D7449" s="18">
        <v>2735846.59</v>
      </c>
      <c r="E7449" s="18">
        <v>417.12</v>
      </c>
      <c r="F7449" s="18">
        <v>41685.279999999999</v>
      </c>
      <c r="G7449" s="18">
        <v>125356</v>
      </c>
      <c r="H7449" s="18">
        <f t="shared" si="168"/>
        <v>41535.279999999999</v>
      </c>
      <c r="I7449" s="3"/>
    </row>
    <row r="7450" spans="1:9" s="4" customFormat="1" ht="20.25" customHeight="1" x14ac:dyDescent="0.55000000000000004">
      <c r="A7450" s="18">
        <v>24.7266242</v>
      </c>
      <c r="B7450" s="18">
        <v>34.777188600000002</v>
      </c>
      <c r="C7450" s="18">
        <v>679749.22</v>
      </c>
      <c r="D7450" s="18">
        <v>2735844.11</v>
      </c>
      <c r="E7450" s="18">
        <v>417.35</v>
      </c>
      <c r="F7450" s="18">
        <v>41685.69</v>
      </c>
      <c r="G7450" s="18">
        <v>125358</v>
      </c>
      <c r="H7450" s="18">
        <f t="shared" si="168"/>
        <v>41535.69</v>
      </c>
      <c r="I7450" s="3"/>
    </row>
    <row r="7451" spans="1:9" s="4" customFormat="1" ht="20.25" customHeight="1" x14ac:dyDescent="0.55000000000000004">
      <c r="A7451" s="18">
        <v>24.726603099999998</v>
      </c>
      <c r="B7451" s="18">
        <v>34.777201400000003</v>
      </c>
      <c r="C7451" s="18">
        <v>679750.55</v>
      </c>
      <c r="D7451" s="18">
        <v>2735841.79</v>
      </c>
      <c r="E7451" s="18">
        <v>417.45</v>
      </c>
      <c r="F7451" s="18">
        <v>41686.44</v>
      </c>
      <c r="G7451" s="18">
        <v>125400</v>
      </c>
      <c r="H7451" s="18">
        <f t="shared" si="168"/>
        <v>41536.44</v>
      </c>
      <c r="I7451" s="3"/>
    </row>
    <row r="7452" spans="1:9" s="4" customFormat="1" ht="20.25" customHeight="1" x14ac:dyDescent="0.55000000000000004">
      <c r="A7452" s="18">
        <v>24.7265841</v>
      </c>
      <c r="B7452" s="18">
        <v>34.777222799999997</v>
      </c>
      <c r="C7452" s="18">
        <v>679752.74</v>
      </c>
      <c r="D7452" s="18">
        <v>2735839.72</v>
      </c>
      <c r="E7452" s="18">
        <v>417.78</v>
      </c>
      <c r="F7452" s="18">
        <v>41688.959999999999</v>
      </c>
      <c r="G7452" s="18">
        <v>125402</v>
      </c>
      <c r="H7452" s="18">
        <f t="shared" si="168"/>
        <v>41538.959999999999</v>
      </c>
      <c r="I7452" s="3"/>
    </row>
    <row r="7453" spans="1:9" s="4" customFormat="1" ht="20.25" customHeight="1" x14ac:dyDescent="0.55000000000000004">
      <c r="A7453" s="18">
        <v>24.7265655</v>
      </c>
      <c r="B7453" s="18">
        <v>34.777233299999999</v>
      </c>
      <c r="C7453" s="18">
        <v>679753.83</v>
      </c>
      <c r="D7453" s="18">
        <v>2735837.66</v>
      </c>
      <c r="E7453" s="18">
        <v>418.17</v>
      </c>
      <c r="F7453" s="18">
        <v>41684.99</v>
      </c>
      <c r="G7453" s="18">
        <v>125404</v>
      </c>
      <c r="H7453" s="18">
        <f t="shared" si="168"/>
        <v>41534.99</v>
      </c>
      <c r="I7453" s="3"/>
    </row>
    <row r="7454" spans="1:9" s="4" customFormat="1" ht="20.25" customHeight="1" x14ac:dyDescent="0.55000000000000004">
      <c r="A7454" s="18">
        <v>24.726552000000002</v>
      </c>
      <c r="B7454" s="18">
        <v>34.777253000000002</v>
      </c>
      <c r="C7454" s="18">
        <v>679755.84</v>
      </c>
      <c r="D7454" s="18">
        <v>2735836.2</v>
      </c>
      <c r="E7454" s="18">
        <v>418.32</v>
      </c>
      <c r="F7454" s="18">
        <v>41687.15</v>
      </c>
      <c r="G7454" s="18">
        <v>125406</v>
      </c>
      <c r="H7454" s="18">
        <f t="shared" si="168"/>
        <v>41537.15</v>
      </c>
      <c r="I7454" s="3"/>
    </row>
    <row r="7455" spans="1:9" s="4" customFormat="1" ht="20.25" customHeight="1" x14ac:dyDescent="0.55000000000000004">
      <c r="A7455" s="18">
        <v>24.726537400000002</v>
      </c>
      <c r="B7455" s="18">
        <v>34.777272699999997</v>
      </c>
      <c r="C7455" s="18">
        <v>679757.86</v>
      </c>
      <c r="D7455" s="18">
        <v>2735834.61</v>
      </c>
      <c r="E7455" s="18">
        <v>418.44</v>
      </c>
      <c r="F7455" s="18">
        <v>41685.800000000003</v>
      </c>
      <c r="G7455" s="18">
        <v>125408</v>
      </c>
      <c r="H7455" s="18">
        <f t="shared" si="168"/>
        <v>41535.800000000003</v>
      </c>
      <c r="I7455" s="3"/>
    </row>
    <row r="7456" spans="1:9" s="4" customFormat="1" ht="20.25" customHeight="1" x14ac:dyDescent="0.55000000000000004">
      <c r="A7456" s="18">
        <v>24.7265272</v>
      </c>
      <c r="B7456" s="18">
        <v>34.777296800000002</v>
      </c>
      <c r="C7456" s="18">
        <v>679760.31</v>
      </c>
      <c r="D7456" s="18">
        <v>2735833.51</v>
      </c>
      <c r="E7456" s="18">
        <v>418.6</v>
      </c>
      <c r="F7456" s="18">
        <v>41684.97</v>
      </c>
      <c r="G7456" s="18">
        <v>125410</v>
      </c>
      <c r="H7456" s="18">
        <f t="shared" si="168"/>
        <v>41534.97</v>
      </c>
      <c r="I7456" s="3"/>
    </row>
    <row r="7457" spans="1:9" s="4" customFormat="1" ht="20.25" customHeight="1" x14ac:dyDescent="0.55000000000000004">
      <c r="A7457" s="18">
        <v>24.726516700000001</v>
      </c>
      <c r="B7457" s="18">
        <v>34.777317199999999</v>
      </c>
      <c r="C7457" s="18">
        <v>679762.38</v>
      </c>
      <c r="D7457" s="18">
        <v>2735832.37</v>
      </c>
      <c r="E7457" s="18">
        <v>418.75</v>
      </c>
      <c r="F7457" s="18">
        <v>41686.230000000003</v>
      </c>
      <c r="G7457" s="18">
        <v>125412</v>
      </c>
      <c r="H7457" s="18">
        <f t="shared" si="168"/>
        <v>41536.230000000003</v>
      </c>
      <c r="I7457" s="3"/>
    </row>
    <row r="7458" spans="1:9" s="4" customFormat="1" ht="20.25" customHeight="1" x14ac:dyDescent="0.55000000000000004">
      <c r="A7458" s="18">
        <v>24.726510900000001</v>
      </c>
      <c r="B7458" s="18">
        <v>34.7773234</v>
      </c>
      <c r="C7458" s="18">
        <v>679763.03</v>
      </c>
      <c r="D7458" s="18">
        <v>2735831.74</v>
      </c>
      <c r="E7458" s="18">
        <v>418.9</v>
      </c>
      <c r="F7458" s="18">
        <v>41680.480000000003</v>
      </c>
      <c r="G7458" s="18">
        <v>125414</v>
      </c>
      <c r="H7458" s="18">
        <f t="shared" si="168"/>
        <v>41530.480000000003</v>
      </c>
      <c r="I7458" s="3"/>
    </row>
    <row r="7459" spans="1:9" s="4" customFormat="1" ht="20.25" customHeight="1" x14ac:dyDescent="0.55000000000000004">
      <c r="A7459" s="18" t="s">
        <v>7</v>
      </c>
      <c r="B7459" s="18"/>
      <c r="C7459" s="18"/>
      <c r="D7459" s="18"/>
      <c r="E7459" s="18"/>
      <c r="F7459" s="18"/>
      <c r="G7459" s="18"/>
      <c r="H7459" s="18">
        <f t="shared" si="168"/>
        <v>-150</v>
      </c>
      <c r="I7459" s="3"/>
    </row>
    <row r="7460" spans="1:9" s="4" customFormat="1" ht="20.25" customHeight="1" x14ac:dyDescent="0.55000000000000004">
      <c r="A7460" s="18">
        <v>24.728733699999999</v>
      </c>
      <c r="B7460" s="18">
        <v>34.777464100000003</v>
      </c>
      <c r="C7460" s="18">
        <v>679774.06</v>
      </c>
      <c r="D7460" s="18">
        <v>2736078.11</v>
      </c>
      <c r="E7460" s="18">
        <v>403.66</v>
      </c>
      <c r="F7460" s="18">
        <v>41719.19</v>
      </c>
      <c r="G7460" s="18">
        <v>125930</v>
      </c>
      <c r="H7460" s="18">
        <f t="shared" si="168"/>
        <v>41569.19</v>
      </c>
      <c r="I7460" s="3"/>
    </row>
    <row r="7461" spans="1:9" s="4" customFormat="1" ht="20.25" customHeight="1" x14ac:dyDescent="0.55000000000000004">
      <c r="A7461" s="18">
        <v>24.728742100000002</v>
      </c>
      <c r="B7461" s="18">
        <v>34.777484899999997</v>
      </c>
      <c r="C7461" s="18">
        <v>679776.15</v>
      </c>
      <c r="D7461" s="18">
        <v>2736079.07</v>
      </c>
      <c r="E7461" s="18">
        <v>403.79</v>
      </c>
      <c r="F7461" s="18">
        <v>41717.42</v>
      </c>
      <c r="G7461" s="18">
        <v>125932</v>
      </c>
      <c r="H7461" s="18">
        <f t="shared" si="168"/>
        <v>41567.42</v>
      </c>
      <c r="I7461" s="3"/>
    </row>
    <row r="7462" spans="1:9" s="4" customFormat="1" ht="20.25" customHeight="1" x14ac:dyDescent="0.55000000000000004">
      <c r="A7462" s="18">
        <v>24.728752100000001</v>
      </c>
      <c r="B7462" s="18">
        <v>34.777501100000002</v>
      </c>
      <c r="C7462" s="18">
        <v>679777.78</v>
      </c>
      <c r="D7462" s="18">
        <v>2736080.2</v>
      </c>
      <c r="E7462" s="18">
        <v>403.79</v>
      </c>
      <c r="F7462" s="18">
        <v>41716.79</v>
      </c>
      <c r="G7462" s="18">
        <v>125934</v>
      </c>
      <c r="H7462" s="18">
        <f t="shared" si="168"/>
        <v>41566.79</v>
      </c>
      <c r="I7462" s="3"/>
    </row>
    <row r="7463" spans="1:9" s="4" customFormat="1" ht="20.25" customHeight="1" x14ac:dyDescent="0.55000000000000004">
      <c r="A7463" s="18">
        <v>24.7287748</v>
      </c>
      <c r="B7463" s="18">
        <v>34.777524100000001</v>
      </c>
      <c r="C7463" s="18">
        <v>679780.08</v>
      </c>
      <c r="D7463" s="18">
        <v>2736082.74</v>
      </c>
      <c r="E7463" s="18">
        <v>403.22</v>
      </c>
      <c r="F7463" s="18">
        <v>41716.65</v>
      </c>
      <c r="G7463" s="18">
        <v>125936</v>
      </c>
      <c r="H7463" s="18">
        <f t="shared" si="168"/>
        <v>41566.65</v>
      </c>
      <c r="I7463" s="3"/>
    </row>
    <row r="7464" spans="1:9" s="4" customFormat="1" ht="20.25" customHeight="1" x14ac:dyDescent="0.55000000000000004">
      <c r="A7464" s="18">
        <v>24.7287885</v>
      </c>
      <c r="B7464" s="18">
        <v>34.777538900000003</v>
      </c>
      <c r="C7464" s="18">
        <v>679781.54</v>
      </c>
      <c r="D7464" s="18">
        <v>2736084.29</v>
      </c>
      <c r="E7464" s="18">
        <v>403.38</v>
      </c>
      <c r="F7464" s="18">
        <v>41716.379999999997</v>
      </c>
      <c r="G7464" s="18">
        <v>125938</v>
      </c>
      <c r="H7464" s="18">
        <f t="shared" si="168"/>
        <v>41566.379999999997</v>
      </c>
      <c r="I7464" s="3"/>
    </row>
    <row r="7465" spans="1:9" s="4" customFormat="1" ht="20.25" customHeight="1" x14ac:dyDescent="0.55000000000000004">
      <c r="A7465" s="18">
        <v>24.728795900000001</v>
      </c>
      <c r="B7465" s="18">
        <v>34.777564099999999</v>
      </c>
      <c r="C7465" s="18">
        <v>679784.09</v>
      </c>
      <c r="D7465" s="18">
        <v>2736085.14</v>
      </c>
      <c r="E7465" s="18">
        <v>403.38</v>
      </c>
      <c r="F7465" s="18">
        <v>41716.57</v>
      </c>
      <c r="G7465" s="18">
        <v>125940</v>
      </c>
      <c r="H7465" s="18">
        <f t="shared" si="168"/>
        <v>41566.57</v>
      </c>
      <c r="I7465" s="3"/>
    </row>
    <row r="7466" spans="1:9" s="4" customFormat="1" ht="20.25" customHeight="1" x14ac:dyDescent="0.55000000000000004">
      <c r="A7466" s="18">
        <v>24.728801799999999</v>
      </c>
      <c r="B7466" s="18">
        <v>34.777589800000001</v>
      </c>
      <c r="C7466" s="18">
        <v>679786.68</v>
      </c>
      <c r="D7466" s="18">
        <v>2736085.82</v>
      </c>
      <c r="E7466" s="18">
        <v>403.6</v>
      </c>
      <c r="F7466" s="18">
        <v>41715.57</v>
      </c>
      <c r="G7466" s="18">
        <v>125942</v>
      </c>
      <c r="H7466" s="18">
        <f t="shared" ref="H7466:H7504" si="169">SUM(F7466-150)</f>
        <v>41565.57</v>
      </c>
      <c r="I7466" s="3"/>
    </row>
    <row r="7467" spans="1:9" s="4" customFormat="1" ht="20.25" customHeight="1" x14ac:dyDescent="0.55000000000000004">
      <c r="A7467" s="18">
        <v>24.7288122</v>
      </c>
      <c r="B7467" s="18">
        <v>34.777608299999997</v>
      </c>
      <c r="C7467" s="18">
        <v>679788.53</v>
      </c>
      <c r="D7467" s="18">
        <v>2736087</v>
      </c>
      <c r="E7467" s="18">
        <v>403.66</v>
      </c>
      <c r="F7467" s="18">
        <v>41716.35</v>
      </c>
      <c r="G7467" s="18">
        <v>125944</v>
      </c>
      <c r="H7467" s="18">
        <f t="shared" si="169"/>
        <v>41566.35</v>
      </c>
      <c r="I7467" s="3"/>
    </row>
    <row r="7468" spans="1:9" s="4" customFormat="1" ht="20.25" customHeight="1" x14ac:dyDescent="0.55000000000000004">
      <c r="A7468" s="18">
        <v>24.728825199999999</v>
      </c>
      <c r="B7468" s="18">
        <v>34.777628</v>
      </c>
      <c r="C7468" s="18">
        <v>679790.51</v>
      </c>
      <c r="D7468" s="18">
        <v>2736088.47</v>
      </c>
      <c r="E7468" s="18">
        <v>403.58</v>
      </c>
      <c r="F7468" s="18">
        <v>41716.400000000001</v>
      </c>
      <c r="G7468" s="18">
        <v>125946</v>
      </c>
      <c r="H7468" s="18">
        <f t="shared" si="169"/>
        <v>41566.400000000001</v>
      </c>
      <c r="I7468" s="3"/>
    </row>
    <row r="7469" spans="1:9" s="4" customFormat="1" ht="20.25" customHeight="1" x14ac:dyDescent="0.55000000000000004">
      <c r="A7469" s="18">
        <v>24.728838199999998</v>
      </c>
      <c r="B7469" s="18">
        <v>34.777646099999998</v>
      </c>
      <c r="C7469" s="18">
        <v>679792.32</v>
      </c>
      <c r="D7469" s="18">
        <v>2736089.94</v>
      </c>
      <c r="E7469" s="18">
        <v>403.43</v>
      </c>
      <c r="F7469" s="18">
        <v>41718.120000000003</v>
      </c>
      <c r="G7469" s="18">
        <v>125948</v>
      </c>
      <c r="H7469" s="18">
        <f t="shared" si="169"/>
        <v>41568.120000000003</v>
      </c>
      <c r="I7469" s="3"/>
    </row>
    <row r="7470" spans="1:9" s="4" customFormat="1" ht="20.25" customHeight="1" x14ac:dyDescent="0.55000000000000004">
      <c r="A7470" s="18">
        <v>24.728850900000001</v>
      </c>
      <c r="B7470" s="18">
        <v>34.777663599999997</v>
      </c>
      <c r="C7470" s="18">
        <v>679794.07</v>
      </c>
      <c r="D7470" s="18">
        <v>2736091.36</v>
      </c>
      <c r="E7470" s="18">
        <v>403.22</v>
      </c>
      <c r="F7470" s="18">
        <v>41718.39</v>
      </c>
      <c r="G7470" s="18">
        <v>125950</v>
      </c>
      <c r="H7470" s="18">
        <f t="shared" si="169"/>
        <v>41568.39</v>
      </c>
      <c r="I7470" s="3"/>
    </row>
    <row r="7471" spans="1:9" s="4" customFormat="1" ht="20.25" customHeight="1" x14ac:dyDescent="0.55000000000000004">
      <c r="A7471" s="18">
        <v>24.728864000000002</v>
      </c>
      <c r="B7471" s="18">
        <v>34.777683799999998</v>
      </c>
      <c r="C7471" s="18">
        <v>679796.09</v>
      </c>
      <c r="D7471" s="18">
        <v>2736092.84</v>
      </c>
      <c r="E7471" s="18">
        <v>403.07</v>
      </c>
      <c r="F7471" s="18">
        <v>41719.61</v>
      </c>
      <c r="G7471" s="18">
        <v>125952</v>
      </c>
      <c r="H7471" s="18">
        <f t="shared" si="169"/>
        <v>41569.61</v>
      </c>
      <c r="I7471" s="3"/>
    </row>
    <row r="7472" spans="1:9" s="4" customFormat="1" ht="20.25" customHeight="1" x14ac:dyDescent="0.55000000000000004">
      <c r="A7472" s="18">
        <v>24.7288794</v>
      </c>
      <c r="B7472" s="18">
        <v>34.777698700000002</v>
      </c>
      <c r="C7472" s="18">
        <v>679797.59</v>
      </c>
      <c r="D7472" s="18">
        <v>2736094.56</v>
      </c>
      <c r="E7472" s="18">
        <v>402.84</v>
      </c>
      <c r="F7472" s="18">
        <v>41719.58</v>
      </c>
      <c r="G7472" s="18">
        <v>125954</v>
      </c>
      <c r="H7472" s="18">
        <f t="shared" si="169"/>
        <v>41569.58</v>
      </c>
      <c r="I7472" s="3"/>
    </row>
    <row r="7473" spans="1:9" s="4" customFormat="1" ht="20.25" customHeight="1" x14ac:dyDescent="0.55000000000000004">
      <c r="A7473" s="18">
        <v>24.7288946</v>
      </c>
      <c r="B7473" s="18">
        <v>34.777715800000003</v>
      </c>
      <c r="C7473" s="18">
        <v>679799.29</v>
      </c>
      <c r="D7473" s="18">
        <v>2736096.27</v>
      </c>
      <c r="E7473" s="18">
        <v>402.62</v>
      </c>
      <c r="F7473" s="18">
        <v>41716.269999999997</v>
      </c>
      <c r="G7473" s="18">
        <v>125956</v>
      </c>
      <c r="H7473" s="18">
        <f t="shared" si="169"/>
        <v>41566.269999999997</v>
      </c>
      <c r="I7473" s="3"/>
    </row>
    <row r="7474" spans="1:9" s="4" customFormat="1" ht="20.25" customHeight="1" x14ac:dyDescent="0.55000000000000004">
      <c r="A7474" s="18">
        <v>24.728909999999999</v>
      </c>
      <c r="B7474" s="18">
        <v>34.777731899999999</v>
      </c>
      <c r="C7474" s="18">
        <v>679800.89</v>
      </c>
      <c r="D7474" s="18">
        <v>2736098</v>
      </c>
      <c r="E7474" s="18">
        <v>402.59</v>
      </c>
      <c r="F7474" s="18">
        <v>41713.42</v>
      </c>
      <c r="G7474" s="18">
        <v>125958</v>
      </c>
      <c r="H7474" s="18">
        <f t="shared" si="169"/>
        <v>41563.42</v>
      </c>
      <c r="I7474" s="3"/>
    </row>
    <row r="7475" spans="1:9" s="4" customFormat="1" ht="20.25" customHeight="1" x14ac:dyDescent="0.55000000000000004">
      <c r="A7475" s="18">
        <v>24.7289259</v>
      </c>
      <c r="B7475" s="18">
        <v>34.777742000000003</v>
      </c>
      <c r="C7475" s="18">
        <v>679801.89</v>
      </c>
      <c r="D7475" s="18">
        <v>2736099.77</v>
      </c>
      <c r="E7475" s="18">
        <v>402.51</v>
      </c>
      <c r="F7475" s="18">
        <v>41714.28</v>
      </c>
      <c r="G7475" s="18">
        <v>130000</v>
      </c>
      <c r="H7475" s="18">
        <f t="shared" si="169"/>
        <v>41564.28</v>
      </c>
      <c r="I7475" s="3"/>
    </row>
    <row r="7476" spans="1:9" s="4" customFormat="1" ht="20.25" customHeight="1" x14ac:dyDescent="0.55000000000000004">
      <c r="A7476" s="18">
        <v>24.7289426</v>
      </c>
      <c r="B7476" s="18">
        <v>34.777755499999998</v>
      </c>
      <c r="C7476" s="18">
        <v>679803.24</v>
      </c>
      <c r="D7476" s="18">
        <v>2736101.64</v>
      </c>
      <c r="E7476" s="18">
        <v>402.31</v>
      </c>
      <c r="F7476" s="18">
        <v>41713.129999999997</v>
      </c>
      <c r="G7476" s="18">
        <v>130002</v>
      </c>
      <c r="H7476" s="18">
        <f t="shared" si="169"/>
        <v>41563.129999999997</v>
      </c>
      <c r="I7476" s="3"/>
    </row>
    <row r="7477" spans="1:9" s="4" customFormat="1" ht="20.25" customHeight="1" x14ac:dyDescent="0.55000000000000004">
      <c r="A7477" s="18">
        <v>24.728959499999998</v>
      </c>
      <c r="B7477" s="18">
        <v>34.777774700000002</v>
      </c>
      <c r="C7477" s="18">
        <v>679805.16</v>
      </c>
      <c r="D7477" s="18">
        <v>2736103.53</v>
      </c>
      <c r="E7477" s="18">
        <v>402.07</v>
      </c>
      <c r="F7477" s="18">
        <v>41712.129999999997</v>
      </c>
      <c r="G7477" s="18">
        <v>130004</v>
      </c>
      <c r="H7477" s="18">
        <f t="shared" si="169"/>
        <v>41562.129999999997</v>
      </c>
      <c r="I7477" s="3"/>
    </row>
    <row r="7478" spans="1:9" s="4" customFormat="1" ht="20.25" customHeight="1" x14ac:dyDescent="0.55000000000000004">
      <c r="A7478" s="18">
        <v>24.728982200000001</v>
      </c>
      <c r="B7478" s="18">
        <v>34.777783100000001</v>
      </c>
      <c r="C7478" s="18">
        <v>679805.98</v>
      </c>
      <c r="D7478" s="18">
        <v>2736106.07</v>
      </c>
      <c r="E7478" s="18">
        <v>401.9</v>
      </c>
      <c r="F7478" s="18">
        <v>41714.720000000001</v>
      </c>
      <c r="G7478" s="18">
        <v>130006</v>
      </c>
      <c r="H7478" s="18">
        <f t="shared" si="169"/>
        <v>41564.720000000001</v>
      </c>
      <c r="I7478" s="3"/>
    </row>
    <row r="7479" spans="1:9" s="4" customFormat="1" ht="20.25" customHeight="1" x14ac:dyDescent="0.55000000000000004">
      <c r="A7479" s="18">
        <v>24.729005900000001</v>
      </c>
      <c r="B7479" s="18">
        <v>34.777788100000002</v>
      </c>
      <c r="C7479" s="18">
        <v>679806.45</v>
      </c>
      <c r="D7479" s="18">
        <v>2736108.69</v>
      </c>
      <c r="E7479" s="18">
        <v>401.76</v>
      </c>
      <c r="F7479" s="18">
        <v>41714.879999999997</v>
      </c>
      <c r="G7479" s="18">
        <v>130008</v>
      </c>
      <c r="H7479" s="18">
        <f t="shared" si="169"/>
        <v>41564.879999999997</v>
      </c>
      <c r="I7479" s="3"/>
    </row>
    <row r="7480" spans="1:9" s="4" customFormat="1" ht="20.25" customHeight="1" x14ac:dyDescent="0.55000000000000004">
      <c r="A7480" s="18">
        <v>24.7290253</v>
      </c>
      <c r="B7480" s="18">
        <v>34.777802399999999</v>
      </c>
      <c r="C7480" s="18">
        <v>679807.87</v>
      </c>
      <c r="D7480" s="18">
        <v>2736110.86</v>
      </c>
      <c r="E7480" s="18">
        <v>401.73</v>
      </c>
      <c r="F7480" s="18">
        <v>41715.120000000003</v>
      </c>
      <c r="G7480" s="18">
        <v>130010</v>
      </c>
      <c r="H7480" s="18">
        <f t="shared" si="169"/>
        <v>41565.120000000003</v>
      </c>
      <c r="I7480" s="3"/>
    </row>
    <row r="7481" spans="1:9" s="4" customFormat="1" ht="20.25" customHeight="1" x14ac:dyDescent="0.55000000000000004">
      <c r="A7481" s="18">
        <v>24.7290454</v>
      </c>
      <c r="B7481" s="18">
        <v>34.777815699999998</v>
      </c>
      <c r="C7481" s="18">
        <v>679809.18</v>
      </c>
      <c r="D7481" s="18">
        <v>2736113.1</v>
      </c>
      <c r="E7481" s="18">
        <v>401.63</v>
      </c>
      <c r="F7481" s="18">
        <v>41713.980000000003</v>
      </c>
      <c r="G7481" s="18">
        <v>130012</v>
      </c>
      <c r="H7481" s="18">
        <f t="shared" si="169"/>
        <v>41563.980000000003</v>
      </c>
      <c r="I7481" s="3"/>
    </row>
    <row r="7482" spans="1:9" s="4" customFormat="1" ht="20.25" customHeight="1" x14ac:dyDescent="0.55000000000000004">
      <c r="A7482" s="18">
        <v>24.729065899999998</v>
      </c>
      <c r="B7482" s="18">
        <v>34.777830399999999</v>
      </c>
      <c r="C7482" s="18">
        <v>679810.64</v>
      </c>
      <c r="D7482" s="18">
        <v>2736115.4</v>
      </c>
      <c r="E7482" s="18">
        <v>401.45</v>
      </c>
      <c r="F7482" s="18">
        <v>41713.839999999997</v>
      </c>
      <c r="G7482" s="18">
        <v>130014</v>
      </c>
      <c r="H7482" s="18">
        <f t="shared" si="169"/>
        <v>41563.839999999997</v>
      </c>
      <c r="I7482" s="3"/>
    </row>
    <row r="7483" spans="1:9" s="4" customFormat="1" ht="20.25" customHeight="1" x14ac:dyDescent="0.55000000000000004">
      <c r="A7483" s="18">
        <v>24.729083599999999</v>
      </c>
      <c r="B7483" s="18">
        <v>34.777846799999999</v>
      </c>
      <c r="C7483" s="18">
        <v>679812.28</v>
      </c>
      <c r="D7483" s="18">
        <v>2736117.37</v>
      </c>
      <c r="E7483" s="18">
        <v>401.44</v>
      </c>
      <c r="F7483" s="18">
        <v>41712.800000000003</v>
      </c>
      <c r="G7483" s="18">
        <v>130016</v>
      </c>
      <c r="H7483" s="18">
        <f t="shared" si="169"/>
        <v>41562.800000000003</v>
      </c>
      <c r="I7483" s="3"/>
    </row>
    <row r="7484" spans="1:9" s="4" customFormat="1" ht="20.25" customHeight="1" x14ac:dyDescent="0.55000000000000004">
      <c r="A7484" s="18">
        <v>24.729100899999999</v>
      </c>
      <c r="B7484" s="18">
        <v>34.7778615</v>
      </c>
      <c r="C7484" s="18">
        <v>679813.73</v>
      </c>
      <c r="D7484" s="18">
        <v>2736119.32</v>
      </c>
      <c r="E7484" s="18">
        <v>401.32</v>
      </c>
      <c r="F7484" s="18">
        <v>41712</v>
      </c>
      <c r="G7484" s="18">
        <v>130018</v>
      </c>
      <c r="H7484" s="18">
        <f t="shared" si="169"/>
        <v>41562</v>
      </c>
      <c r="I7484" s="3"/>
    </row>
    <row r="7485" spans="1:9" s="4" customFormat="1" ht="20.25" customHeight="1" x14ac:dyDescent="0.55000000000000004">
      <c r="A7485" s="18">
        <v>24.729120999999999</v>
      </c>
      <c r="B7485" s="18">
        <v>34.777871400000002</v>
      </c>
      <c r="C7485" s="18">
        <v>679814.71</v>
      </c>
      <c r="D7485" s="18">
        <v>2736121.55</v>
      </c>
      <c r="E7485" s="18">
        <v>401.18</v>
      </c>
      <c r="F7485" s="18">
        <v>41713.46</v>
      </c>
      <c r="G7485" s="18">
        <v>130020</v>
      </c>
      <c r="H7485" s="18">
        <f t="shared" si="169"/>
        <v>41563.46</v>
      </c>
      <c r="I7485" s="3"/>
    </row>
    <row r="7486" spans="1:9" s="4" customFormat="1" ht="20.25" customHeight="1" x14ac:dyDescent="0.55000000000000004">
      <c r="A7486" s="18">
        <v>24.729141800000001</v>
      </c>
      <c r="B7486" s="18">
        <v>34.777881700000002</v>
      </c>
      <c r="C7486" s="18">
        <v>679815.71</v>
      </c>
      <c r="D7486" s="18">
        <v>2736123.87</v>
      </c>
      <c r="E7486" s="18">
        <v>401.17</v>
      </c>
      <c r="F7486" s="18">
        <v>41713.31</v>
      </c>
      <c r="G7486" s="18">
        <v>130022</v>
      </c>
      <c r="H7486" s="18">
        <f t="shared" si="169"/>
        <v>41563.31</v>
      </c>
      <c r="I7486" s="3"/>
    </row>
    <row r="7487" spans="1:9" s="4" customFormat="1" ht="20.25" customHeight="1" x14ac:dyDescent="0.55000000000000004">
      <c r="A7487" s="18">
        <v>24.729162800000001</v>
      </c>
      <c r="B7487" s="18">
        <v>34.777891099999998</v>
      </c>
      <c r="C7487" s="18">
        <v>679816.64</v>
      </c>
      <c r="D7487" s="18">
        <v>2736126.2</v>
      </c>
      <c r="E7487" s="18">
        <v>401.06</v>
      </c>
      <c r="F7487" s="18">
        <v>41714.29</v>
      </c>
      <c r="G7487" s="18">
        <v>130024</v>
      </c>
      <c r="H7487" s="18">
        <f t="shared" si="169"/>
        <v>41564.29</v>
      </c>
      <c r="I7487" s="3"/>
    </row>
    <row r="7488" spans="1:9" s="4" customFormat="1" ht="20.25" customHeight="1" x14ac:dyDescent="0.55000000000000004">
      <c r="A7488" s="18">
        <v>24.729180199999998</v>
      </c>
      <c r="B7488" s="18">
        <v>34.777908500000002</v>
      </c>
      <c r="C7488" s="18">
        <v>679818.37</v>
      </c>
      <c r="D7488" s="18">
        <v>2736128.16</v>
      </c>
      <c r="E7488" s="18">
        <v>401.04</v>
      </c>
      <c r="F7488" s="18">
        <v>41714.5</v>
      </c>
      <c r="G7488" s="18">
        <v>130026</v>
      </c>
      <c r="H7488" s="18">
        <f t="shared" si="169"/>
        <v>41564.5</v>
      </c>
      <c r="I7488" s="3"/>
    </row>
    <row r="7489" spans="1:9" s="4" customFormat="1" ht="20.25" customHeight="1" x14ac:dyDescent="0.55000000000000004">
      <c r="A7489" s="18">
        <v>24.7291925</v>
      </c>
      <c r="B7489" s="18">
        <v>34.777928000000003</v>
      </c>
      <c r="C7489" s="18">
        <v>679820.33</v>
      </c>
      <c r="D7489" s="18">
        <v>2736129.54</v>
      </c>
      <c r="E7489" s="18">
        <v>400.95</v>
      </c>
      <c r="F7489" s="18">
        <v>41713.449999999997</v>
      </c>
      <c r="G7489" s="18">
        <v>130028</v>
      </c>
      <c r="H7489" s="18">
        <f t="shared" si="169"/>
        <v>41563.449999999997</v>
      </c>
      <c r="I7489" s="3"/>
    </row>
    <row r="7490" spans="1:9" s="4" customFormat="1" ht="20.25" customHeight="1" x14ac:dyDescent="0.55000000000000004">
      <c r="A7490" s="18">
        <v>24.729208199999999</v>
      </c>
      <c r="B7490" s="18">
        <v>34.777949399999997</v>
      </c>
      <c r="C7490" s="18">
        <v>679822.47</v>
      </c>
      <c r="D7490" s="18">
        <v>2736131.31</v>
      </c>
      <c r="E7490" s="18">
        <v>400.8</v>
      </c>
      <c r="F7490" s="18">
        <v>41714.959999999999</v>
      </c>
      <c r="G7490" s="18">
        <v>130030</v>
      </c>
      <c r="H7490" s="18">
        <f t="shared" si="169"/>
        <v>41564.959999999999</v>
      </c>
      <c r="I7490" s="3"/>
    </row>
    <row r="7491" spans="1:9" s="4" customFormat="1" ht="20.25" customHeight="1" x14ac:dyDescent="0.55000000000000004">
      <c r="A7491" s="18">
        <v>24.7292232</v>
      </c>
      <c r="B7491" s="18">
        <v>34.777969599999999</v>
      </c>
      <c r="C7491" s="18">
        <v>679824.49</v>
      </c>
      <c r="D7491" s="18">
        <v>2736133</v>
      </c>
      <c r="E7491" s="18">
        <v>400.67</v>
      </c>
      <c r="F7491" s="18">
        <v>41715.53</v>
      </c>
      <c r="G7491" s="18">
        <v>130032</v>
      </c>
      <c r="H7491" s="18">
        <f t="shared" si="169"/>
        <v>41565.53</v>
      </c>
      <c r="I7491" s="3"/>
    </row>
    <row r="7492" spans="1:9" s="4" customFormat="1" ht="20.25" customHeight="1" x14ac:dyDescent="0.55000000000000004">
      <c r="A7492" s="18">
        <v>24.729236700000001</v>
      </c>
      <c r="B7492" s="18">
        <v>34.777991800000002</v>
      </c>
      <c r="C7492" s="18">
        <v>679826.71</v>
      </c>
      <c r="D7492" s="18">
        <v>2736134.52</v>
      </c>
      <c r="E7492" s="18">
        <v>400.62</v>
      </c>
      <c r="F7492" s="18">
        <v>41716.49</v>
      </c>
      <c r="G7492" s="18">
        <v>130034</v>
      </c>
      <c r="H7492" s="18">
        <f t="shared" si="169"/>
        <v>41566.49</v>
      </c>
      <c r="I7492" s="3"/>
    </row>
    <row r="7493" spans="1:9" s="4" customFormat="1" ht="20.25" customHeight="1" x14ac:dyDescent="0.55000000000000004">
      <c r="A7493" s="18">
        <v>24.7292421</v>
      </c>
      <c r="B7493" s="18">
        <v>34.778017900000002</v>
      </c>
      <c r="C7493" s="18">
        <v>679829.35</v>
      </c>
      <c r="D7493" s="18">
        <v>2736135.16</v>
      </c>
      <c r="E7493" s="18">
        <v>400.57</v>
      </c>
      <c r="F7493" s="18">
        <v>41718.410000000003</v>
      </c>
      <c r="G7493" s="18">
        <v>130036</v>
      </c>
      <c r="H7493" s="18">
        <f t="shared" si="169"/>
        <v>41568.410000000003</v>
      </c>
      <c r="I7493" s="3"/>
    </row>
    <row r="7494" spans="1:9" s="4" customFormat="1" ht="20.25" customHeight="1" x14ac:dyDescent="0.55000000000000004">
      <c r="A7494" s="18">
        <v>24.729246400000001</v>
      </c>
      <c r="B7494" s="18">
        <v>34.778044199999997</v>
      </c>
      <c r="C7494" s="18">
        <v>679832.01</v>
      </c>
      <c r="D7494" s="18">
        <v>2736135.67</v>
      </c>
      <c r="E7494" s="18">
        <v>400.52</v>
      </c>
      <c r="F7494" s="18">
        <v>41715.74</v>
      </c>
      <c r="G7494" s="18">
        <v>130038</v>
      </c>
      <c r="H7494" s="18">
        <f t="shared" si="169"/>
        <v>41565.74</v>
      </c>
      <c r="I7494" s="3"/>
    </row>
    <row r="7495" spans="1:9" s="4" customFormat="1" ht="20.25" customHeight="1" x14ac:dyDescent="0.55000000000000004">
      <c r="A7495" s="18">
        <v>24.729251300000001</v>
      </c>
      <c r="B7495" s="18">
        <v>34.7780694</v>
      </c>
      <c r="C7495" s="18">
        <v>679834.55</v>
      </c>
      <c r="D7495" s="18">
        <v>2736136.25</v>
      </c>
      <c r="E7495" s="18">
        <v>400.5</v>
      </c>
      <c r="F7495" s="18">
        <v>41719.050000000003</v>
      </c>
      <c r="G7495" s="18">
        <v>130040</v>
      </c>
      <c r="H7495" s="18">
        <f t="shared" si="169"/>
        <v>41569.050000000003</v>
      </c>
      <c r="I7495" s="3"/>
    </row>
    <row r="7496" spans="1:9" s="4" customFormat="1" ht="20.25" customHeight="1" x14ac:dyDescent="0.55000000000000004">
      <c r="A7496" s="18">
        <v>24.729255800000001</v>
      </c>
      <c r="B7496" s="18">
        <v>34.778095800000003</v>
      </c>
      <c r="C7496" s="18">
        <v>679837.21</v>
      </c>
      <c r="D7496" s="18">
        <v>2736136.77</v>
      </c>
      <c r="E7496" s="18">
        <v>400.46</v>
      </c>
      <c r="F7496" s="18">
        <v>41717.75</v>
      </c>
      <c r="G7496" s="18">
        <v>130042</v>
      </c>
      <c r="H7496" s="18">
        <f t="shared" si="169"/>
        <v>41567.75</v>
      </c>
      <c r="I7496" s="3"/>
    </row>
    <row r="7497" spans="1:9" s="4" customFormat="1" ht="20.25" customHeight="1" x14ac:dyDescent="0.55000000000000004">
      <c r="A7497" s="18">
        <v>24.729260799999999</v>
      </c>
      <c r="B7497" s="18">
        <v>34.778120800000003</v>
      </c>
      <c r="C7497" s="18">
        <v>679839.73</v>
      </c>
      <c r="D7497" s="18">
        <v>2736137.36</v>
      </c>
      <c r="E7497" s="18">
        <v>400.4</v>
      </c>
      <c r="F7497" s="18">
        <v>41719.01</v>
      </c>
      <c r="G7497" s="18">
        <v>130044</v>
      </c>
      <c r="H7497" s="18">
        <f t="shared" si="169"/>
        <v>41569.01</v>
      </c>
      <c r="I7497" s="3"/>
    </row>
    <row r="7498" spans="1:9" s="4" customFormat="1" ht="20.25" customHeight="1" x14ac:dyDescent="0.55000000000000004">
      <c r="A7498" s="18">
        <v>24.729267100000001</v>
      </c>
      <c r="B7498" s="18">
        <v>34.778146100000001</v>
      </c>
      <c r="C7498" s="18">
        <v>679842.29</v>
      </c>
      <c r="D7498" s="18">
        <v>2736138.09</v>
      </c>
      <c r="E7498" s="18">
        <v>400.35</v>
      </c>
      <c r="F7498" s="18">
        <v>41718.050000000003</v>
      </c>
      <c r="G7498" s="18">
        <v>130046</v>
      </c>
      <c r="H7498" s="18">
        <f t="shared" si="169"/>
        <v>41568.050000000003</v>
      </c>
      <c r="I7498" s="3"/>
    </row>
    <row r="7499" spans="1:9" s="4" customFormat="1" ht="20.25" customHeight="1" x14ac:dyDescent="0.55000000000000004">
      <c r="A7499" s="18">
        <v>24.729271000000001</v>
      </c>
      <c r="B7499" s="18">
        <v>34.778172599999998</v>
      </c>
      <c r="C7499" s="18">
        <v>679844.96</v>
      </c>
      <c r="D7499" s="18">
        <v>2736138.56</v>
      </c>
      <c r="E7499" s="18">
        <v>400.37</v>
      </c>
      <c r="F7499" s="18">
        <v>41717.760000000002</v>
      </c>
      <c r="G7499" s="18">
        <v>130048</v>
      </c>
      <c r="H7499" s="18">
        <f t="shared" si="169"/>
        <v>41567.760000000002</v>
      </c>
      <c r="I7499" s="3"/>
    </row>
    <row r="7500" spans="1:9" s="4" customFormat="1" ht="20.25" customHeight="1" x14ac:dyDescent="0.55000000000000004">
      <c r="A7500" s="18">
        <v>24.7292755</v>
      </c>
      <c r="B7500" s="18">
        <v>34.778199600000001</v>
      </c>
      <c r="C7500" s="18">
        <v>679847.68</v>
      </c>
      <c r="D7500" s="18">
        <v>2736139.1</v>
      </c>
      <c r="E7500" s="18">
        <v>400.27</v>
      </c>
      <c r="F7500" s="18">
        <v>41716.85</v>
      </c>
      <c r="G7500" s="18">
        <v>130050</v>
      </c>
      <c r="H7500" s="18">
        <f t="shared" si="169"/>
        <v>41566.85</v>
      </c>
      <c r="I7500" s="3"/>
    </row>
    <row r="7501" spans="1:9" s="4" customFormat="1" ht="20.25" customHeight="1" x14ac:dyDescent="0.55000000000000004">
      <c r="A7501" s="18">
        <v>24.729279699999999</v>
      </c>
      <c r="B7501" s="18">
        <v>34.778225900000002</v>
      </c>
      <c r="C7501" s="18">
        <v>679850.34</v>
      </c>
      <c r="D7501" s="18">
        <v>2736139.59</v>
      </c>
      <c r="E7501" s="18">
        <v>400.11</v>
      </c>
      <c r="F7501" s="18">
        <v>41717.46</v>
      </c>
      <c r="G7501" s="18">
        <v>130052</v>
      </c>
      <c r="H7501" s="18">
        <f t="shared" si="169"/>
        <v>41567.46</v>
      </c>
      <c r="I7501" s="3"/>
    </row>
    <row r="7502" spans="1:9" s="4" customFormat="1" ht="20.25" customHeight="1" x14ac:dyDescent="0.55000000000000004">
      <c r="A7502" s="18">
        <v>24.729286299999998</v>
      </c>
      <c r="B7502" s="18">
        <v>34.778251699999998</v>
      </c>
      <c r="C7502" s="18">
        <v>679852.94</v>
      </c>
      <c r="D7502" s="18">
        <v>2736140.36</v>
      </c>
      <c r="E7502" s="18">
        <v>400.09</v>
      </c>
      <c r="F7502" s="18">
        <v>41717.660000000003</v>
      </c>
      <c r="G7502" s="18">
        <v>130054</v>
      </c>
      <c r="H7502" s="18">
        <f t="shared" si="169"/>
        <v>41567.660000000003</v>
      </c>
      <c r="I7502" s="3"/>
    </row>
    <row r="7503" spans="1:9" s="4" customFormat="1" ht="20.25" customHeight="1" x14ac:dyDescent="0.55000000000000004">
      <c r="A7503" s="18">
        <v>24.729296600000001</v>
      </c>
      <c r="B7503" s="18">
        <v>34.7782749</v>
      </c>
      <c r="C7503" s="18">
        <v>679855.27</v>
      </c>
      <c r="D7503" s="18">
        <v>2736141.53</v>
      </c>
      <c r="E7503" s="18">
        <v>400</v>
      </c>
      <c r="F7503" s="18">
        <v>41718.74</v>
      </c>
      <c r="G7503" s="18">
        <v>130056</v>
      </c>
      <c r="H7503" s="18">
        <f t="shared" si="169"/>
        <v>41568.74</v>
      </c>
      <c r="I7503" s="3"/>
    </row>
    <row r="7504" spans="1:9" s="4" customFormat="1" ht="20.25" customHeight="1" x14ac:dyDescent="0.55000000000000004">
      <c r="A7504" s="18">
        <v>24.7293129</v>
      </c>
      <c r="B7504" s="18">
        <v>34.778295499999999</v>
      </c>
      <c r="C7504" s="18">
        <v>679857.33</v>
      </c>
      <c r="D7504" s="18">
        <v>2736143.37</v>
      </c>
      <c r="E7504" s="18">
        <v>399.79</v>
      </c>
      <c r="F7504" s="18">
        <v>41718.46</v>
      </c>
      <c r="G7504" s="18">
        <v>130058</v>
      </c>
      <c r="H7504" s="18">
        <f t="shared" si="169"/>
        <v>41568.46</v>
      </c>
      <c r="I7504" s="3"/>
    </row>
    <row r="7505" spans="1:9" s="4" customFormat="1" ht="20.25" customHeight="1" x14ac:dyDescent="0.55000000000000004">
      <c r="A7505" s="18">
        <v>24.7293272</v>
      </c>
      <c r="B7505" s="18">
        <v>34.778319500000002</v>
      </c>
      <c r="C7505" s="18">
        <v>679859.74</v>
      </c>
      <c r="D7505" s="18">
        <v>2736144.98</v>
      </c>
      <c r="E7505" s="18">
        <v>399.65</v>
      </c>
      <c r="F7505" s="18">
        <v>41719.589999999997</v>
      </c>
      <c r="G7505" s="18">
        <v>130100</v>
      </c>
      <c r="H7505" s="18">
        <f>SUM(F7505-153)</f>
        <v>41566.589999999997</v>
      </c>
      <c r="I7505" s="3"/>
    </row>
    <row r="7506" spans="1:9" s="4" customFormat="1" ht="20.25" customHeight="1" x14ac:dyDescent="0.55000000000000004">
      <c r="A7506" s="18">
        <v>24.7293272</v>
      </c>
      <c r="B7506" s="18">
        <v>34.778344099999998</v>
      </c>
      <c r="C7506" s="18">
        <v>679862.23</v>
      </c>
      <c r="D7506" s="18">
        <v>2736145.01</v>
      </c>
      <c r="E7506" s="18">
        <v>399.84</v>
      </c>
      <c r="F7506" s="18">
        <v>41718.199999999997</v>
      </c>
      <c r="G7506" s="18">
        <v>130102</v>
      </c>
      <c r="H7506" s="18">
        <f t="shared" ref="H7506:H7569" si="170">SUM(F7506-153)</f>
        <v>41565.199999999997</v>
      </c>
      <c r="I7506" s="3"/>
    </row>
    <row r="7507" spans="1:9" s="4" customFormat="1" ht="20.25" customHeight="1" x14ac:dyDescent="0.55000000000000004">
      <c r="A7507" s="18">
        <v>24.729324699999999</v>
      </c>
      <c r="B7507" s="18">
        <v>34.778371399999997</v>
      </c>
      <c r="C7507" s="18">
        <v>679865</v>
      </c>
      <c r="D7507" s="18">
        <v>2736144.77</v>
      </c>
      <c r="E7507" s="18">
        <v>399.83</v>
      </c>
      <c r="F7507" s="18">
        <v>41716.28</v>
      </c>
      <c r="G7507" s="18">
        <v>130104</v>
      </c>
      <c r="H7507" s="18">
        <f t="shared" si="170"/>
        <v>41563.279999999999</v>
      </c>
      <c r="I7507" s="3"/>
    </row>
    <row r="7508" spans="1:9" s="4" customFormat="1" ht="20.25" customHeight="1" x14ac:dyDescent="0.55000000000000004">
      <c r="A7508" s="18">
        <v>24.729319499999999</v>
      </c>
      <c r="B7508" s="18">
        <v>34.778399800000003</v>
      </c>
      <c r="C7508" s="18">
        <v>679867.87</v>
      </c>
      <c r="D7508" s="18">
        <v>2736144.23</v>
      </c>
      <c r="E7508" s="18">
        <v>400.07</v>
      </c>
      <c r="F7508" s="18">
        <v>41717.800000000003</v>
      </c>
      <c r="G7508" s="18">
        <v>130106</v>
      </c>
      <c r="H7508" s="18">
        <f t="shared" si="170"/>
        <v>41564.800000000003</v>
      </c>
      <c r="I7508" s="3"/>
    </row>
    <row r="7509" spans="1:9" s="4" customFormat="1" ht="20.25" customHeight="1" x14ac:dyDescent="0.55000000000000004">
      <c r="A7509" s="18">
        <v>24.729307500000001</v>
      </c>
      <c r="B7509" s="18">
        <v>34.778424600000001</v>
      </c>
      <c r="C7509" s="18">
        <v>679870.4</v>
      </c>
      <c r="D7509" s="18">
        <v>2736142.93</v>
      </c>
      <c r="E7509" s="18">
        <v>400.36</v>
      </c>
      <c r="F7509" s="18">
        <v>41715.5</v>
      </c>
      <c r="G7509" s="18">
        <v>130108</v>
      </c>
      <c r="H7509" s="18">
        <f t="shared" si="170"/>
        <v>41562.5</v>
      </c>
      <c r="I7509" s="3"/>
    </row>
    <row r="7510" spans="1:9" s="4" customFormat="1" ht="20.25" customHeight="1" x14ac:dyDescent="0.55000000000000004">
      <c r="A7510" s="18">
        <v>24.729297299999999</v>
      </c>
      <c r="B7510" s="18">
        <v>34.778452199999997</v>
      </c>
      <c r="C7510" s="18">
        <v>679873.2</v>
      </c>
      <c r="D7510" s="18">
        <v>2736141.85</v>
      </c>
      <c r="E7510" s="18">
        <v>400.45</v>
      </c>
      <c r="F7510" s="18">
        <v>41717.21</v>
      </c>
      <c r="G7510" s="18">
        <v>130110</v>
      </c>
      <c r="H7510" s="18">
        <f t="shared" si="170"/>
        <v>41564.21</v>
      </c>
      <c r="I7510" s="3"/>
    </row>
    <row r="7511" spans="1:9" s="4" customFormat="1" ht="20.25" customHeight="1" x14ac:dyDescent="0.55000000000000004">
      <c r="A7511" s="18">
        <v>24.7292858</v>
      </c>
      <c r="B7511" s="18">
        <v>34.778473200000001</v>
      </c>
      <c r="C7511" s="18">
        <v>679875.35</v>
      </c>
      <c r="D7511" s="18">
        <v>2736140.59</v>
      </c>
      <c r="E7511" s="18">
        <v>400.66</v>
      </c>
      <c r="F7511" s="18">
        <v>41713.629999999997</v>
      </c>
      <c r="G7511" s="18">
        <v>130112</v>
      </c>
      <c r="H7511" s="18">
        <f t="shared" si="170"/>
        <v>41560.629999999997</v>
      </c>
      <c r="I7511" s="3"/>
    </row>
    <row r="7512" spans="1:9" s="4" customFormat="1" ht="20.25" customHeight="1" x14ac:dyDescent="0.55000000000000004">
      <c r="A7512" s="18">
        <v>24.729275399999999</v>
      </c>
      <c r="B7512" s="18">
        <v>34.778495800000002</v>
      </c>
      <c r="C7512" s="18">
        <v>679877.65</v>
      </c>
      <c r="D7512" s="18">
        <v>2736139.47</v>
      </c>
      <c r="E7512" s="18">
        <v>400.87</v>
      </c>
      <c r="F7512" s="18">
        <v>41713.75</v>
      </c>
      <c r="G7512" s="18">
        <v>130114</v>
      </c>
      <c r="H7512" s="18">
        <f t="shared" si="170"/>
        <v>41560.75</v>
      </c>
      <c r="I7512" s="3"/>
    </row>
    <row r="7513" spans="1:9" s="4" customFormat="1" ht="20.25" customHeight="1" x14ac:dyDescent="0.55000000000000004">
      <c r="A7513" s="18">
        <v>24.7292646</v>
      </c>
      <c r="B7513" s="18">
        <v>34.778518499999997</v>
      </c>
      <c r="C7513" s="18">
        <v>679879.97</v>
      </c>
      <c r="D7513" s="18">
        <v>2736138.31</v>
      </c>
      <c r="E7513" s="18">
        <v>401.08</v>
      </c>
      <c r="F7513" s="18">
        <v>41717.03</v>
      </c>
      <c r="G7513" s="18">
        <v>130116</v>
      </c>
      <c r="H7513" s="18">
        <f t="shared" si="170"/>
        <v>41564.03</v>
      </c>
      <c r="I7513" s="3"/>
    </row>
    <row r="7514" spans="1:9" s="4" customFormat="1" ht="20.25" customHeight="1" x14ac:dyDescent="0.55000000000000004">
      <c r="A7514" s="18">
        <v>24.7292542</v>
      </c>
      <c r="B7514" s="18">
        <v>34.778534399999998</v>
      </c>
      <c r="C7514" s="18">
        <v>679881.58</v>
      </c>
      <c r="D7514" s="18">
        <v>2736137.17</v>
      </c>
      <c r="E7514" s="18">
        <v>401.5</v>
      </c>
      <c r="F7514" s="18">
        <v>41714.53</v>
      </c>
      <c r="G7514" s="18">
        <v>130118</v>
      </c>
      <c r="H7514" s="18">
        <f t="shared" si="170"/>
        <v>41561.53</v>
      </c>
      <c r="I7514" s="3"/>
    </row>
    <row r="7515" spans="1:9" s="4" customFormat="1" ht="20.25" customHeight="1" x14ac:dyDescent="0.55000000000000004">
      <c r="A7515" s="18">
        <v>24.7292481</v>
      </c>
      <c r="B7515" s="18">
        <v>34.778557499999998</v>
      </c>
      <c r="C7515" s="18">
        <v>679883.93</v>
      </c>
      <c r="D7515" s="18">
        <v>2736136.53</v>
      </c>
      <c r="E7515" s="18">
        <v>401.72</v>
      </c>
      <c r="F7515" s="18">
        <v>41716.68</v>
      </c>
      <c r="G7515" s="18">
        <v>130120</v>
      </c>
      <c r="H7515" s="18">
        <f t="shared" si="170"/>
        <v>41563.68</v>
      </c>
      <c r="I7515" s="3"/>
    </row>
    <row r="7516" spans="1:9" s="4" customFormat="1" ht="20.25" customHeight="1" x14ac:dyDescent="0.55000000000000004">
      <c r="A7516" s="18">
        <v>24.729242500000002</v>
      </c>
      <c r="B7516" s="18">
        <v>34.7785777</v>
      </c>
      <c r="C7516" s="18">
        <v>679885.98</v>
      </c>
      <c r="D7516" s="18">
        <v>2736135.93</v>
      </c>
      <c r="E7516" s="18">
        <v>402.19</v>
      </c>
      <c r="F7516" s="18">
        <v>41715.74</v>
      </c>
      <c r="G7516" s="18">
        <v>130122</v>
      </c>
      <c r="H7516" s="18">
        <f t="shared" si="170"/>
        <v>41562.74</v>
      </c>
      <c r="I7516" s="3"/>
    </row>
    <row r="7517" spans="1:9" s="4" customFormat="1" ht="20.25" customHeight="1" x14ac:dyDescent="0.55000000000000004">
      <c r="A7517" s="18">
        <v>24.729234600000002</v>
      </c>
      <c r="B7517" s="18">
        <v>34.778599</v>
      </c>
      <c r="C7517" s="18">
        <v>679888.15</v>
      </c>
      <c r="D7517" s="18">
        <v>2736135.09</v>
      </c>
      <c r="E7517" s="18">
        <v>402.43</v>
      </c>
      <c r="F7517" s="18">
        <v>41714.480000000003</v>
      </c>
      <c r="G7517" s="18">
        <v>130124</v>
      </c>
      <c r="H7517" s="18">
        <f t="shared" si="170"/>
        <v>41561.480000000003</v>
      </c>
      <c r="I7517" s="3"/>
    </row>
    <row r="7518" spans="1:9" s="4" customFormat="1" ht="20.25" customHeight="1" x14ac:dyDescent="0.55000000000000004">
      <c r="A7518" s="18">
        <v>24.7292284</v>
      </c>
      <c r="B7518" s="18">
        <v>34.7786227</v>
      </c>
      <c r="C7518" s="18">
        <v>679890.55</v>
      </c>
      <c r="D7518" s="18">
        <v>2736134.44</v>
      </c>
      <c r="E7518" s="18">
        <v>402.55</v>
      </c>
      <c r="F7518" s="18">
        <v>41713.089999999997</v>
      </c>
      <c r="G7518" s="18">
        <v>130126</v>
      </c>
      <c r="H7518" s="18">
        <f t="shared" si="170"/>
        <v>41560.089999999997</v>
      </c>
      <c r="I7518" s="3"/>
    </row>
    <row r="7519" spans="1:9" s="4" customFormat="1" ht="20.25" customHeight="1" x14ac:dyDescent="0.55000000000000004">
      <c r="A7519" s="18">
        <v>24.729225499999998</v>
      </c>
      <c r="B7519" s="18">
        <v>34.778644999999997</v>
      </c>
      <c r="C7519" s="18">
        <v>679892.82</v>
      </c>
      <c r="D7519" s="18">
        <v>2736134.14</v>
      </c>
      <c r="E7519" s="18">
        <v>402.28</v>
      </c>
      <c r="F7519" s="18">
        <v>41712.18</v>
      </c>
      <c r="G7519" s="18">
        <v>130128</v>
      </c>
      <c r="H7519" s="18">
        <f t="shared" si="170"/>
        <v>41559.18</v>
      </c>
      <c r="I7519" s="3"/>
    </row>
    <row r="7520" spans="1:9" s="4" customFormat="1" ht="20.25" customHeight="1" x14ac:dyDescent="0.55000000000000004">
      <c r="A7520" s="18">
        <v>24.7292229</v>
      </c>
      <c r="B7520" s="18">
        <v>34.778670400000003</v>
      </c>
      <c r="C7520" s="18">
        <v>679895.39</v>
      </c>
      <c r="D7520" s="18">
        <v>2736133.89</v>
      </c>
      <c r="E7520" s="18">
        <v>401.5</v>
      </c>
      <c r="F7520" s="18">
        <v>41716.230000000003</v>
      </c>
      <c r="G7520" s="18">
        <v>130130</v>
      </c>
      <c r="H7520" s="18">
        <f t="shared" si="170"/>
        <v>41563.230000000003</v>
      </c>
      <c r="I7520" s="3"/>
    </row>
    <row r="7521" spans="1:9" s="4" customFormat="1" ht="20.25" customHeight="1" x14ac:dyDescent="0.55000000000000004">
      <c r="A7521" s="18">
        <v>24.729211200000002</v>
      </c>
      <c r="B7521" s="18">
        <v>34.778691899999998</v>
      </c>
      <c r="C7521" s="18">
        <v>679897.58</v>
      </c>
      <c r="D7521" s="18">
        <v>2736132.62</v>
      </c>
      <c r="E7521" s="18">
        <v>400.67</v>
      </c>
      <c r="F7521" s="18">
        <v>41714.93</v>
      </c>
      <c r="G7521" s="18">
        <v>130132</v>
      </c>
      <c r="H7521" s="18">
        <f t="shared" si="170"/>
        <v>41561.93</v>
      </c>
      <c r="I7521" s="3"/>
    </row>
    <row r="7522" spans="1:9" s="4" customFormat="1" ht="20.25" customHeight="1" x14ac:dyDescent="0.55000000000000004">
      <c r="A7522" s="18">
        <v>24.729203399999999</v>
      </c>
      <c r="B7522" s="18">
        <v>34.778718300000001</v>
      </c>
      <c r="C7522" s="18">
        <v>679900.26</v>
      </c>
      <c r="D7522" s="18">
        <v>2736131.79</v>
      </c>
      <c r="E7522" s="18">
        <v>400</v>
      </c>
      <c r="F7522" s="18">
        <v>41716.79</v>
      </c>
      <c r="G7522" s="18">
        <v>130134</v>
      </c>
      <c r="H7522" s="18">
        <f t="shared" si="170"/>
        <v>41563.79</v>
      </c>
      <c r="I7522" s="3"/>
    </row>
    <row r="7523" spans="1:9" s="4" customFormat="1" ht="20.25" customHeight="1" x14ac:dyDescent="0.55000000000000004">
      <c r="A7523" s="18">
        <v>24.7291989</v>
      </c>
      <c r="B7523" s="18">
        <v>34.778740499999998</v>
      </c>
      <c r="C7523" s="18">
        <v>679902.51</v>
      </c>
      <c r="D7523" s="18">
        <v>2736131.32</v>
      </c>
      <c r="E7523" s="18">
        <v>399.96</v>
      </c>
      <c r="F7523" s="18">
        <v>41714.769999999997</v>
      </c>
      <c r="G7523" s="18">
        <v>130136</v>
      </c>
      <c r="H7523" s="18">
        <f t="shared" si="170"/>
        <v>41561.769999999997</v>
      </c>
      <c r="I7523" s="3"/>
    </row>
    <row r="7524" spans="1:9" s="4" customFormat="1" ht="20.25" customHeight="1" x14ac:dyDescent="0.55000000000000004">
      <c r="A7524" s="18">
        <v>24.729197899999999</v>
      </c>
      <c r="B7524" s="18">
        <v>34.778767500000001</v>
      </c>
      <c r="C7524" s="18">
        <v>679905.25</v>
      </c>
      <c r="D7524" s="18">
        <v>2736131.24</v>
      </c>
      <c r="E7524" s="18">
        <v>399.72</v>
      </c>
      <c r="F7524" s="18">
        <v>41714.660000000003</v>
      </c>
      <c r="G7524" s="18">
        <v>130138</v>
      </c>
      <c r="H7524" s="18">
        <f t="shared" si="170"/>
        <v>41561.660000000003</v>
      </c>
      <c r="I7524" s="3"/>
    </row>
    <row r="7525" spans="1:9" s="4" customFormat="1" ht="20.25" customHeight="1" x14ac:dyDescent="0.55000000000000004">
      <c r="A7525" s="18">
        <v>24.729194100000001</v>
      </c>
      <c r="B7525" s="18">
        <v>34.778793200000003</v>
      </c>
      <c r="C7525" s="18">
        <v>679907.86</v>
      </c>
      <c r="D7525" s="18">
        <v>2736130.85</v>
      </c>
      <c r="E7525" s="18">
        <v>399.67</v>
      </c>
      <c r="F7525" s="18">
        <v>41713.22</v>
      </c>
      <c r="G7525" s="18">
        <v>130140</v>
      </c>
      <c r="H7525" s="18">
        <f t="shared" si="170"/>
        <v>41560.22</v>
      </c>
      <c r="I7525" s="3"/>
    </row>
    <row r="7526" spans="1:9" s="4" customFormat="1" ht="20.25" customHeight="1" x14ac:dyDescent="0.55000000000000004">
      <c r="A7526" s="18">
        <v>24.729193800000001</v>
      </c>
      <c r="B7526" s="18">
        <v>34.778816999999997</v>
      </c>
      <c r="C7526" s="18">
        <v>679910.26</v>
      </c>
      <c r="D7526" s="18">
        <v>2736130.85</v>
      </c>
      <c r="E7526" s="18">
        <v>399.64</v>
      </c>
      <c r="F7526" s="18">
        <v>41713.120000000003</v>
      </c>
      <c r="G7526" s="18">
        <v>130142</v>
      </c>
      <c r="H7526" s="18">
        <f t="shared" si="170"/>
        <v>41560.120000000003</v>
      </c>
      <c r="I7526" s="3"/>
    </row>
    <row r="7527" spans="1:9" s="4" customFormat="1" ht="20.25" customHeight="1" x14ac:dyDescent="0.55000000000000004">
      <c r="A7527" s="18">
        <v>24.729198400000001</v>
      </c>
      <c r="B7527" s="18">
        <v>34.778842500000003</v>
      </c>
      <c r="C7527" s="18">
        <v>679912.84</v>
      </c>
      <c r="D7527" s="18">
        <v>2736131.4</v>
      </c>
      <c r="E7527" s="18">
        <v>399.52</v>
      </c>
      <c r="F7527" s="18">
        <v>41712.639999999999</v>
      </c>
      <c r="G7527" s="18">
        <v>130144</v>
      </c>
      <c r="H7527" s="18">
        <f t="shared" si="170"/>
        <v>41559.64</v>
      </c>
      <c r="I7527" s="3"/>
    </row>
    <row r="7528" spans="1:9" s="4" customFormat="1" ht="20.25" customHeight="1" x14ac:dyDescent="0.55000000000000004">
      <c r="A7528" s="18">
        <v>24.729202000000001</v>
      </c>
      <c r="B7528" s="18">
        <v>34.778870400000002</v>
      </c>
      <c r="C7528" s="18">
        <v>679915.65</v>
      </c>
      <c r="D7528" s="18">
        <v>2736131.84</v>
      </c>
      <c r="E7528" s="18">
        <v>399.38</v>
      </c>
      <c r="F7528" s="18">
        <v>41712.9</v>
      </c>
      <c r="G7528" s="18">
        <v>130146</v>
      </c>
      <c r="H7528" s="18">
        <f t="shared" si="170"/>
        <v>41559.9</v>
      </c>
      <c r="I7528" s="3"/>
    </row>
    <row r="7529" spans="1:9" s="4" customFormat="1" ht="20.25" customHeight="1" x14ac:dyDescent="0.55000000000000004">
      <c r="A7529" s="18">
        <v>24.7292077</v>
      </c>
      <c r="B7529" s="18">
        <v>34.778892900000002</v>
      </c>
      <c r="C7529" s="18">
        <v>679917.92</v>
      </c>
      <c r="D7529" s="18">
        <v>2736132.49</v>
      </c>
      <c r="E7529" s="18">
        <v>399.22</v>
      </c>
      <c r="F7529" s="18">
        <v>41715</v>
      </c>
      <c r="G7529" s="18">
        <v>130148</v>
      </c>
      <c r="H7529" s="18">
        <f t="shared" si="170"/>
        <v>41562</v>
      </c>
      <c r="I7529" s="3"/>
    </row>
    <row r="7530" spans="1:9" s="4" customFormat="1" ht="20.25" customHeight="1" x14ac:dyDescent="0.55000000000000004">
      <c r="A7530" s="18">
        <v>24.729213900000001</v>
      </c>
      <c r="B7530" s="18">
        <v>34.778917300000003</v>
      </c>
      <c r="C7530" s="18">
        <v>679920.38</v>
      </c>
      <c r="D7530" s="18">
        <v>2736133.21</v>
      </c>
      <c r="E7530" s="18">
        <v>398.91</v>
      </c>
      <c r="F7530" s="18">
        <v>41716.46</v>
      </c>
      <c r="G7530" s="18">
        <v>130150</v>
      </c>
      <c r="H7530" s="18">
        <f t="shared" si="170"/>
        <v>41563.46</v>
      </c>
      <c r="I7530" s="3"/>
    </row>
    <row r="7531" spans="1:9" s="4" customFormat="1" ht="20.25" customHeight="1" x14ac:dyDescent="0.55000000000000004">
      <c r="A7531" s="18">
        <v>24.7292199</v>
      </c>
      <c r="B7531" s="18">
        <v>34.778942200000003</v>
      </c>
      <c r="C7531" s="18">
        <v>679922.89</v>
      </c>
      <c r="D7531" s="18">
        <v>2736133.91</v>
      </c>
      <c r="E7531" s="18">
        <v>398.72</v>
      </c>
      <c r="F7531" s="18">
        <v>41717.78</v>
      </c>
      <c r="G7531" s="18">
        <v>130152</v>
      </c>
      <c r="H7531" s="18">
        <f t="shared" si="170"/>
        <v>41564.78</v>
      </c>
      <c r="I7531" s="3"/>
    </row>
    <row r="7532" spans="1:9" s="4" customFormat="1" ht="20.25" customHeight="1" x14ac:dyDescent="0.55000000000000004">
      <c r="A7532" s="18">
        <v>24.729228500000001</v>
      </c>
      <c r="B7532" s="18">
        <v>34.778965399999997</v>
      </c>
      <c r="C7532" s="18">
        <v>679925.22</v>
      </c>
      <c r="D7532" s="18">
        <v>2736134.9</v>
      </c>
      <c r="E7532" s="18">
        <v>398.43</v>
      </c>
      <c r="F7532" s="18">
        <v>41716.949999999997</v>
      </c>
      <c r="G7532" s="18">
        <v>130154</v>
      </c>
      <c r="H7532" s="18">
        <f t="shared" si="170"/>
        <v>41563.949999999997</v>
      </c>
      <c r="I7532" s="3"/>
    </row>
    <row r="7533" spans="1:9" s="4" customFormat="1" ht="20.25" customHeight="1" x14ac:dyDescent="0.55000000000000004">
      <c r="A7533" s="18">
        <v>24.729240300000001</v>
      </c>
      <c r="B7533" s="18">
        <v>34.778982499999998</v>
      </c>
      <c r="C7533" s="18">
        <v>679926.94</v>
      </c>
      <c r="D7533" s="18">
        <v>2736136.23</v>
      </c>
      <c r="E7533" s="18">
        <v>398.04</v>
      </c>
      <c r="F7533" s="18">
        <v>41715.300000000003</v>
      </c>
      <c r="G7533" s="18">
        <v>130156</v>
      </c>
      <c r="H7533" s="18">
        <f t="shared" si="170"/>
        <v>41562.300000000003</v>
      </c>
      <c r="I7533" s="3"/>
    </row>
    <row r="7534" spans="1:9" s="4" customFormat="1" ht="20.25" customHeight="1" x14ac:dyDescent="0.55000000000000004">
      <c r="A7534" s="18">
        <v>24.729252800000001</v>
      </c>
      <c r="B7534" s="18">
        <v>34.778995700000003</v>
      </c>
      <c r="C7534" s="18">
        <v>679928.25</v>
      </c>
      <c r="D7534" s="18">
        <v>2736137.62</v>
      </c>
      <c r="E7534" s="18">
        <v>397.94</v>
      </c>
      <c r="F7534" s="18">
        <v>41713.82</v>
      </c>
      <c r="G7534" s="18">
        <v>130158</v>
      </c>
      <c r="H7534" s="18">
        <f t="shared" si="170"/>
        <v>41560.82</v>
      </c>
      <c r="I7534" s="3"/>
    </row>
    <row r="7535" spans="1:9" s="4" customFormat="1" ht="20.25" customHeight="1" x14ac:dyDescent="0.55000000000000004">
      <c r="A7535" s="18">
        <v>24.729264799999999</v>
      </c>
      <c r="B7535" s="18">
        <v>34.779013800000001</v>
      </c>
      <c r="C7535" s="18">
        <v>679930.06</v>
      </c>
      <c r="D7535" s="18">
        <v>2736138.98</v>
      </c>
      <c r="E7535" s="18">
        <v>397.68</v>
      </c>
      <c r="F7535" s="18">
        <v>41714.089999999997</v>
      </c>
      <c r="G7535" s="18">
        <v>130200</v>
      </c>
      <c r="H7535" s="18">
        <f t="shared" si="170"/>
        <v>41561.089999999997</v>
      </c>
      <c r="I7535" s="3"/>
    </row>
    <row r="7536" spans="1:9" s="4" customFormat="1" ht="20.25" customHeight="1" x14ac:dyDescent="0.55000000000000004">
      <c r="A7536" s="18">
        <v>24.729272699999999</v>
      </c>
      <c r="B7536" s="18">
        <v>34.7790344</v>
      </c>
      <c r="C7536" s="18">
        <v>679932.14</v>
      </c>
      <c r="D7536" s="18">
        <v>2736139.88</v>
      </c>
      <c r="E7536" s="18">
        <v>397.42</v>
      </c>
      <c r="F7536" s="18">
        <v>41715.53</v>
      </c>
      <c r="G7536" s="18">
        <v>130202</v>
      </c>
      <c r="H7536" s="18">
        <f t="shared" si="170"/>
        <v>41562.53</v>
      </c>
      <c r="I7536" s="3"/>
    </row>
    <row r="7537" spans="1:9" s="4" customFormat="1" ht="20.25" customHeight="1" x14ac:dyDescent="0.55000000000000004">
      <c r="A7537" s="18">
        <v>24.7292746</v>
      </c>
      <c r="B7537" s="18">
        <v>34.7790569</v>
      </c>
      <c r="C7537" s="18">
        <v>679934.42</v>
      </c>
      <c r="D7537" s="18">
        <v>2736140.13</v>
      </c>
      <c r="E7537" s="18">
        <v>397.35</v>
      </c>
      <c r="F7537" s="18">
        <v>41717.620000000003</v>
      </c>
      <c r="G7537" s="18">
        <v>130204</v>
      </c>
      <c r="H7537" s="18">
        <f t="shared" si="170"/>
        <v>41564.620000000003</v>
      </c>
      <c r="I7537" s="3"/>
    </row>
    <row r="7538" spans="1:9" s="4" customFormat="1" ht="20.25" customHeight="1" x14ac:dyDescent="0.55000000000000004">
      <c r="A7538" s="18">
        <v>24.7292764</v>
      </c>
      <c r="B7538" s="18">
        <v>34.779078499999997</v>
      </c>
      <c r="C7538" s="18">
        <v>679936.59</v>
      </c>
      <c r="D7538" s="18">
        <v>2736140.35</v>
      </c>
      <c r="E7538" s="18">
        <v>397.23</v>
      </c>
      <c r="F7538" s="18">
        <v>41717.339999999997</v>
      </c>
      <c r="G7538" s="18">
        <v>130206</v>
      </c>
      <c r="H7538" s="18">
        <f t="shared" si="170"/>
        <v>41564.339999999997</v>
      </c>
      <c r="I7538" s="3"/>
    </row>
    <row r="7539" spans="1:9" s="4" customFormat="1" ht="20.25" customHeight="1" x14ac:dyDescent="0.55000000000000004">
      <c r="A7539" s="18">
        <v>24.729288700000001</v>
      </c>
      <c r="B7539" s="18">
        <v>34.779096600000003</v>
      </c>
      <c r="C7539" s="18">
        <v>679938.41</v>
      </c>
      <c r="D7539" s="18">
        <v>2736141.73</v>
      </c>
      <c r="E7539" s="18">
        <v>397.04</v>
      </c>
      <c r="F7539" s="18">
        <v>41714.89</v>
      </c>
      <c r="G7539" s="18">
        <v>130208</v>
      </c>
      <c r="H7539" s="18">
        <f t="shared" si="170"/>
        <v>41561.89</v>
      </c>
      <c r="I7539" s="3"/>
    </row>
    <row r="7540" spans="1:9" s="4" customFormat="1" ht="20.25" customHeight="1" x14ac:dyDescent="0.55000000000000004">
      <c r="A7540" s="18">
        <v>24.729297200000001</v>
      </c>
      <c r="B7540" s="18">
        <v>34.779119399999999</v>
      </c>
      <c r="C7540" s="18">
        <v>679940.71</v>
      </c>
      <c r="D7540" s="18">
        <v>2736142.71</v>
      </c>
      <c r="E7540" s="18">
        <v>396.85</v>
      </c>
      <c r="F7540" s="18">
        <v>41707.21</v>
      </c>
      <c r="G7540" s="18">
        <v>130210</v>
      </c>
      <c r="H7540" s="18">
        <f t="shared" si="170"/>
        <v>41554.21</v>
      </c>
      <c r="I7540" s="3"/>
    </row>
    <row r="7541" spans="1:9" s="4" customFormat="1" ht="20.25" customHeight="1" x14ac:dyDescent="0.55000000000000004">
      <c r="A7541" s="18">
        <v>24.729298499999999</v>
      </c>
      <c r="B7541" s="18">
        <v>34.779145499999998</v>
      </c>
      <c r="C7541" s="18">
        <v>679943.34</v>
      </c>
      <c r="D7541" s="18">
        <v>2736142.88</v>
      </c>
      <c r="E7541" s="18">
        <v>396.69</v>
      </c>
      <c r="F7541" s="18">
        <v>41707.870000000003</v>
      </c>
      <c r="G7541" s="18">
        <v>130212</v>
      </c>
      <c r="H7541" s="18">
        <f t="shared" si="170"/>
        <v>41554.870000000003</v>
      </c>
      <c r="I7541" s="3"/>
    </row>
    <row r="7542" spans="1:9" s="4" customFormat="1" ht="20.25" customHeight="1" x14ac:dyDescent="0.55000000000000004">
      <c r="A7542" s="18">
        <v>24.729299000000001</v>
      </c>
      <c r="B7542" s="18">
        <v>34.779170200000003</v>
      </c>
      <c r="C7542" s="18">
        <v>679945.84</v>
      </c>
      <c r="D7542" s="18">
        <v>2736142.98</v>
      </c>
      <c r="E7542" s="18">
        <v>396.6</v>
      </c>
      <c r="F7542" s="18">
        <v>41717.01</v>
      </c>
      <c r="G7542" s="18">
        <v>130214</v>
      </c>
      <c r="H7542" s="18">
        <f t="shared" si="170"/>
        <v>41564.01</v>
      </c>
      <c r="I7542" s="3"/>
    </row>
    <row r="7543" spans="1:9" s="4" customFormat="1" ht="20.25" customHeight="1" x14ac:dyDescent="0.55000000000000004">
      <c r="A7543" s="18">
        <v>24.729303900000001</v>
      </c>
      <c r="B7543" s="18">
        <v>34.779195399999999</v>
      </c>
      <c r="C7543" s="18">
        <v>679948.38</v>
      </c>
      <c r="D7543" s="18">
        <v>2736143.55</v>
      </c>
      <c r="E7543" s="18">
        <v>396.53</v>
      </c>
      <c r="F7543" s="18">
        <v>41724.879999999997</v>
      </c>
      <c r="G7543" s="18">
        <v>130216</v>
      </c>
      <c r="H7543" s="18">
        <f t="shared" si="170"/>
        <v>41571.879999999997</v>
      </c>
      <c r="I7543" s="3"/>
    </row>
    <row r="7544" spans="1:9" s="4" customFormat="1" ht="20.25" customHeight="1" x14ac:dyDescent="0.55000000000000004">
      <c r="A7544" s="18">
        <v>24.729308700000001</v>
      </c>
      <c r="B7544" s="18">
        <v>34.779219400000002</v>
      </c>
      <c r="C7544" s="18">
        <v>679950.8</v>
      </c>
      <c r="D7544" s="18">
        <v>2736144.11</v>
      </c>
      <c r="E7544" s="18">
        <v>396.53</v>
      </c>
      <c r="F7544" s="18">
        <v>41726.339999999997</v>
      </c>
      <c r="G7544" s="18">
        <v>130218</v>
      </c>
      <c r="H7544" s="18">
        <f t="shared" si="170"/>
        <v>41573.339999999997</v>
      </c>
      <c r="I7544" s="3"/>
    </row>
    <row r="7545" spans="1:9" s="4" customFormat="1" ht="20.25" customHeight="1" x14ac:dyDescent="0.55000000000000004">
      <c r="A7545" s="18">
        <v>24.729313099999999</v>
      </c>
      <c r="B7545" s="18">
        <v>34.7792435</v>
      </c>
      <c r="C7545" s="18">
        <v>679953.23</v>
      </c>
      <c r="D7545" s="18">
        <v>2736144.63</v>
      </c>
      <c r="E7545" s="18">
        <v>396.54</v>
      </c>
      <c r="F7545" s="18">
        <v>41715.129999999997</v>
      </c>
      <c r="G7545" s="18">
        <v>130220</v>
      </c>
      <c r="H7545" s="18">
        <f t="shared" si="170"/>
        <v>41562.129999999997</v>
      </c>
      <c r="I7545" s="3"/>
    </row>
    <row r="7546" spans="1:9" s="4" customFormat="1" ht="20.25" customHeight="1" x14ac:dyDescent="0.55000000000000004">
      <c r="A7546" s="18">
        <v>24.7293211</v>
      </c>
      <c r="B7546" s="18">
        <v>34.779266999999997</v>
      </c>
      <c r="C7546" s="18">
        <v>679955.6</v>
      </c>
      <c r="D7546" s="18">
        <v>2736145.55</v>
      </c>
      <c r="E7546" s="18">
        <v>396.45</v>
      </c>
      <c r="F7546" s="18">
        <v>41714.6</v>
      </c>
      <c r="G7546" s="18">
        <v>130222</v>
      </c>
      <c r="H7546" s="18">
        <f t="shared" si="170"/>
        <v>41561.599999999999</v>
      </c>
      <c r="I7546" s="3"/>
    </row>
    <row r="7547" spans="1:9" s="4" customFormat="1" ht="20.25" customHeight="1" x14ac:dyDescent="0.55000000000000004">
      <c r="A7547" s="18">
        <v>24.729331200000001</v>
      </c>
      <c r="B7547" s="18">
        <v>34.779292599999998</v>
      </c>
      <c r="C7547" s="18">
        <v>679958.18</v>
      </c>
      <c r="D7547" s="18">
        <v>2736146.7</v>
      </c>
      <c r="E7547" s="18">
        <v>396.31</v>
      </c>
      <c r="F7547" s="18">
        <v>41715.39</v>
      </c>
      <c r="G7547" s="18">
        <v>130224</v>
      </c>
      <c r="H7547" s="18">
        <f t="shared" si="170"/>
        <v>41562.39</v>
      </c>
      <c r="I7547" s="3"/>
    </row>
    <row r="7548" spans="1:9" s="4" customFormat="1" ht="20.25" customHeight="1" x14ac:dyDescent="0.55000000000000004">
      <c r="A7548" s="18">
        <v>24.729338299999998</v>
      </c>
      <c r="B7548" s="18">
        <v>34.779315099999998</v>
      </c>
      <c r="C7548" s="18">
        <v>679960.44</v>
      </c>
      <c r="D7548" s="18">
        <v>2736147.52</v>
      </c>
      <c r="E7548" s="18">
        <v>396.46</v>
      </c>
      <c r="F7548" s="18">
        <v>41717.980000000003</v>
      </c>
      <c r="G7548" s="18">
        <v>130226</v>
      </c>
      <c r="H7548" s="18">
        <f t="shared" si="170"/>
        <v>41564.980000000003</v>
      </c>
      <c r="I7548" s="3"/>
    </row>
    <row r="7549" spans="1:9" s="4" customFormat="1" ht="20.25" customHeight="1" x14ac:dyDescent="0.55000000000000004">
      <c r="A7549" s="18">
        <v>24.729351099999999</v>
      </c>
      <c r="B7549" s="18">
        <v>34.779338799999998</v>
      </c>
      <c r="C7549" s="18">
        <v>679962.82</v>
      </c>
      <c r="D7549" s="18">
        <v>2736148.96</v>
      </c>
      <c r="E7549" s="18">
        <v>396.33</v>
      </c>
      <c r="F7549" s="18">
        <v>41722.410000000003</v>
      </c>
      <c r="G7549" s="18">
        <v>130228</v>
      </c>
      <c r="H7549" s="18">
        <f t="shared" si="170"/>
        <v>41569.410000000003</v>
      </c>
      <c r="I7549" s="3"/>
    </row>
    <row r="7550" spans="1:9" s="4" customFormat="1" ht="20.25" customHeight="1" x14ac:dyDescent="0.55000000000000004">
      <c r="A7550" s="18">
        <v>24.7293634</v>
      </c>
      <c r="B7550" s="18">
        <v>34.779360099999998</v>
      </c>
      <c r="C7550" s="18">
        <v>679964.96</v>
      </c>
      <c r="D7550" s="18">
        <v>2736150.36</v>
      </c>
      <c r="E7550" s="18">
        <v>396.38</v>
      </c>
      <c r="F7550" s="18">
        <v>41717.26</v>
      </c>
      <c r="G7550" s="18">
        <v>130230</v>
      </c>
      <c r="H7550" s="18">
        <f t="shared" si="170"/>
        <v>41564.26</v>
      </c>
      <c r="I7550" s="3"/>
    </row>
    <row r="7551" spans="1:9" s="4" customFormat="1" ht="20.25" customHeight="1" x14ac:dyDescent="0.55000000000000004">
      <c r="A7551" s="18">
        <v>24.729376800000001</v>
      </c>
      <c r="B7551" s="18">
        <v>34.779383000000003</v>
      </c>
      <c r="C7551" s="18">
        <v>679967.25</v>
      </c>
      <c r="D7551" s="18">
        <v>2736151.87</v>
      </c>
      <c r="E7551" s="18">
        <v>396.25</v>
      </c>
      <c r="F7551" s="18">
        <v>41719.599999999999</v>
      </c>
      <c r="G7551" s="18">
        <v>130232</v>
      </c>
      <c r="H7551" s="18">
        <f t="shared" si="170"/>
        <v>41566.6</v>
      </c>
      <c r="I7551" s="3"/>
    </row>
    <row r="7552" spans="1:9" s="4" customFormat="1" ht="20.25" customHeight="1" x14ac:dyDescent="0.55000000000000004">
      <c r="A7552" s="18">
        <v>24.729392399999998</v>
      </c>
      <c r="B7552" s="18">
        <v>34.779405400000002</v>
      </c>
      <c r="C7552" s="18">
        <v>679969.5</v>
      </c>
      <c r="D7552" s="18">
        <v>2736153.63</v>
      </c>
      <c r="E7552" s="18">
        <v>396.26</v>
      </c>
      <c r="F7552" s="18">
        <v>41715.879999999997</v>
      </c>
      <c r="G7552" s="18">
        <v>130234</v>
      </c>
      <c r="H7552" s="18">
        <f t="shared" si="170"/>
        <v>41562.879999999997</v>
      </c>
      <c r="I7552" s="3"/>
    </row>
    <row r="7553" spans="1:9" s="4" customFormat="1" ht="20.25" customHeight="1" x14ac:dyDescent="0.55000000000000004">
      <c r="A7553" s="18">
        <v>24.729405799999999</v>
      </c>
      <c r="B7553" s="18">
        <v>34.779428500000002</v>
      </c>
      <c r="C7553" s="18">
        <v>679971.82</v>
      </c>
      <c r="D7553" s="18">
        <v>2736155.14</v>
      </c>
      <c r="E7553" s="18">
        <v>396.3</v>
      </c>
      <c r="F7553" s="18">
        <v>41724.14</v>
      </c>
      <c r="G7553" s="18">
        <v>130236</v>
      </c>
      <c r="H7553" s="18">
        <f t="shared" si="170"/>
        <v>41571.14</v>
      </c>
      <c r="I7553" s="3"/>
    </row>
    <row r="7554" spans="1:9" s="4" customFormat="1" ht="20.25" customHeight="1" x14ac:dyDescent="0.55000000000000004">
      <c r="A7554" s="18">
        <v>24.729417699999999</v>
      </c>
      <c r="B7554" s="18">
        <v>34.779449999999997</v>
      </c>
      <c r="C7554" s="18">
        <v>679973.98</v>
      </c>
      <c r="D7554" s="18">
        <v>2736156.48</v>
      </c>
      <c r="E7554" s="18">
        <v>396.28</v>
      </c>
      <c r="F7554" s="18">
        <v>41724.160000000003</v>
      </c>
      <c r="G7554" s="18">
        <v>130238</v>
      </c>
      <c r="H7554" s="18">
        <f t="shared" si="170"/>
        <v>41571.160000000003</v>
      </c>
      <c r="I7554" s="3"/>
    </row>
    <row r="7555" spans="1:9" s="4" customFormat="1" ht="20.25" customHeight="1" x14ac:dyDescent="0.55000000000000004">
      <c r="A7555" s="18">
        <v>24.729429199999998</v>
      </c>
      <c r="B7555" s="18">
        <v>34.779472699999999</v>
      </c>
      <c r="C7555" s="18">
        <v>679976.25</v>
      </c>
      <c r="D7555" s="18">
        <v>2736157.79</v>
      </c>
      <c r="E7555" s="18">
        <v>396.19</v>
      </c>
      <c r="F7555" s="18">
        <v>41712.230000000003</v>
      </c>
      <c r="G7555" s="18">
        <v>130240</v>
      </c>
      <c r="H7555" s="18">
        <f t="shared" si="170"/>
        <v>41559.230000000003</v>
      </c>
      <c r="I7555" s="3"/>
    </row>
    <row r="7556" spans="1:9" s="4" customFormat="1" ht="20.25" customHeight="1" x14ac:dyDescent="0.55000000000000004">
      <c r="A7556" s="18">
        <v>24.729441699999999</v>
      </c>
      <c r="B7556" s="18">
        <v>34.779492699999999</v>
      </c>
      <c r="C7556" s="18">
        <v>679978.26</v>
      </c>
      <c r="D7556" s="18">
        <v>2736159.2</v>
      </c>
      <c r="E7556" s="18">
        <v>396.24</v>
      </c>
      <c r="F7556" s="18">
        <v>41698.74</v>
      </c>
      <c r="G7556" s="18">
        <v>130242</v>
      </c>
      <c r="H7556" s="18">
        <f t="shared" si="170"/>
        <v>41545.74</v>
      </c>
      <c r="I7556" s="3"/>
    </row>
    <row r="7557" spans="1:9" s="4" customFormat="1" ht="20.25" customHeight="1" x14ac:dyDescent="0.55000000000000004">
      <c r="A7557" s="18">
        <v>24.7294546</v>
      </c>
      <c r="B7557" s="18">
        <v>34.779514599999999</v>
      </c>
      <c r="C7557" s="18">
        <v>679980.45</v>
      </c>
      <c r="D7557" s="18">
        <v>2736160.66</v>
      </c>
      <c r="E7557" s="18">
        <v>396.11</v>
      </c>
      <c r="F7557" s="18">
        <v>41710.629999999997</v>
      </c>
      <c r="G7557" s="18">
        <v>130244</v>
      </c>
      <c r="H7557" s="18">
        <f t="shared" si="170"/>
        <v>41557.629999999997</v>
      </c>
      <c r="I7557" s="3"/>
    </row>
    <row r="7558" spans="1:9" s="4" customFormat="1" ht="20.25" customHeight="1" x14ac:dyDescent="0.55000000000000004">
      <c r="A7558" s="18">
        <v>24.7294658</v>
      </c>
      <c r="B7558" s="18">
        <v>34.779536700000001</v>
      </c>
      <c r="C7558" s="18">
        <v>679982.67</v>
      </c>
      <c r="D7558" s="18">
        <v>2736161.93</v>
      </c>
      <c r="E7558" s="18">
        <v>396.15</v>
      </c>
      <c r="F7558" s="18">
        <v>41717.79</v>
      </c>
      <c r="G7558" s="18">
        <v>130246</v>
      </c>
      <c r="H7558" s="18">
        <f t="shared" si="170"/>
        <v>41564.79</v>
      </c>
      <c r="I7558" s="3"/>
    </row>
    <row r="7559" spans="1:9" s="4" customFormat="1" ht="20.25" customHeight="1" x14ac:dyDescent="0.55000000000000004">
      <c r="A7559" s="18">
        <v>24.7294786</v>
      </c>
      <c r="B7559" s="18">
        <v>34.7795579</v>
      </c>
      <c r="C7559" s="18">
        <v>679984.8</v>
      </c>
      <c r="D7559" s="18">
        <v>2736163.38</v>
      </c>
      <c r="E7559" s="18">
        <v>396.05</v>
      </c>
      <c r="F7559" s="18">
        <v>41719.339999999997</v>
      </c>
      <c r="G7559" s="18">
        <v>130248</v>
      </c>
      <c r="H7559" s="18">
        <f t="shared" si="170"/>
        <v>41566.339999999997</v>
      </c>
      <c r="I7559" s="3"/>
    </row>
    <row r="7560" spans="1:9" s="4" customFormat="1" ht="20.25" customHeight="1" x14ac:dyDescent="0.55000000000000004">
      <c r="A7560" s="18">
        <v>24.729495100000001</v>
      </c>
      <c r="B7560" s="18">
        <v>34.779577000000003</v>
      </c>
      <c r="C7560" s="18">
        <v>679986.71</v>
      </c>
      <c r="D7560" s="18">
        <v>2736165.23</v>
      </c>
      <c r="E7560" s="18">
        <v>395.94</v>
      </c>
      <c r="F7560" s="18">
        <v>41712.25</v>
      </c>
      <c r="G7560" s="18">
        <v>130250</v>
      </c>
      <c r="H7560" s="18">
        <f t="shared" si="170"/>
        <v>41559.25</v>
      </c>
      <c r="I7560" s="3"/>
    </row>
    <row r="7561" spans="1:9" s="4" customFormat="1" ht="20.25" customHeight="1" x14ac:dyDescent="0.55000000000000004">
      <c r="A7561" s="18">
        <v>24.729516199999999</v>
      </c>
      <c r="B7561" s="18">
        <v>34.779587999999997</v>
      </c>
      <c r="C7561" s="18">
        <v>679987.79</v>
      </c>
      <c r="D7561" s="18">
        <v>2736167.58</v>
      </c>
      <c r="E7561" s="18">
        <v>395.85</v>
      </c>
      <c r="F7561" s="18">
        <v>41713.699999999997</v>
      </c>
      <c r="G7561" s="18">
        <v>130252</v>
      </c>
      <c r="H7561" s="18">
        <f t="shared" si="170"/>
        <v>41560.699999999997</v>
      </c>
      <c r="I7561" s="3"/>
    </row>
    <row r="7562" spans="1:9" s="4" customFormat="1" ht="20.25" customHeight="1" x14ac:dyDescent="0.55000000000000004">
      <c r="A7562" s="18">
        <v>24.729537799999999</v>
      </c>
      <c r="B7562" s="18">
        <v>34.779594199999998</v>
      </c>
      <c r="C7562" s="18">
        <v>679988.39</v>
      </c>
      <c r="D7562" s="18">
        <v>2736169.98</v>
      </c>
      <c r="E7562" s="18">
        <v>395.89</v>
      </c>
      <c r="F7562" s="18">
        <v>41715.050000000003</v>
      </c>
      <c r="G7562" s="18">
        <v>130254</v>
      </c>
      <c r="H7562" s="18">
        <f t="shared" si="170"/>
        <v>41562.050000000003</v>
      </c>
      <c r="I7562" s="3"/>
    </row>
    <row r="7563" spans="1:9" s="4" customFormat="1" ht="20.25" customHeight="1" x14ac:dyDescent="0.55000000000000004">
      <c r="A7563" s="18">
        <v>24.729559399999999</v>
      </c>
      <c r="B7563" s="18">
        <v>34.7796059</v>
      </c>
      <c r="C7563" s="18">
        <v>679989.54</v>
      </c>
      <c r="D7563" s="18">
        <v>2736172.39</v>
      </c>
      <c r="E7563" s="18">
        <v>395.76</v>
      </c>
      <c r="F7563" s="18">
        <v>41720.46</v>
      </c>
      <c r="G7563" s="18">
        <v>130256</v>
      </c>
      <c r="H7563" s="18">
        <f t="shared" si="170"/>
        <v>41567.46</v>
      </c>
      <c r="I7563" s="3"/>
    </row>
    <row r="7564" spans="1:9" s="4" customFormat="1" ht="20.25" customHeight="1" x14ac:dyDescent="0.55000000000000004">
      <c r="A7564" s="18">
        <v>24.7295813</v>
      </c>
      <c r="B7564" s="18">
        <v>34.779617999999999</v>
      </c>
      <c r="C7564" s="18">
        <v>679990.73</v>
      </c>
      <c r="D7564" s="18">
        <v>2736174.83</v>
      </c>
      <c r="E7564" s="18">
        <v>395.68</v>
      </c>
      <c r="F7564" s="18">
        <v>41711.14</v>
      </c>
      <c r="G7564" s="18">
        <v>130258</v>
      </c>
      <c r="H7564" s="18">
        <f t="shared" si="170"/>
        <v>41558.14</v>
      </c>
      <c r="I7564" s="3"/>
    </row>
    <row r="7565" spans="1:9" s="4" customFormat="1" ht="20.25" customHeight="1" x14ac:dyDescent="0.55000000000000004">
      <c r="A7565" s="18">
        <v>24.7296014</v>
      </c>
      <c r="B7565" s="18">
        <v>34.779632399999997</v>
      </c>
      <c r="C7565" s="18">
        <v>679992.16</v>
      </c>
      <c r="D7565" s="18">
        <v>2736177.08</v>
      </c>
      <c r="E7565" s="18">
        <v>395.63</v>
      </c>
      <c r="F7565" s="18">
        <v>41703.839999999997</v>
      </c>
      <c r="G7565" s="18">
        <v>130300</v>
      </c>
      <c r="H7565" s="18">
        <f t="shared" si="170"/>
        <v>41550.839999999997</v>
      </c>
      <c r="I7565" s="3"/>
    </row>
    <row r="7566" spans="1:9" s="4" customFormat="1" ht="20.25" customHeight="1" x14ac:dyDescent="0.55000000000000004">
      <c r="A7566" s="18">
        <v>24.7296187</v>
      </c>
      <c r="B7566" s="18">
        <v>34.779648700000003</v>
      </c>
      <c r="C7566" s="18">
        <v>679993.78</v>
      </c>
      <c r="D7566" s="18">
        <v>2736179.02</v>
      </c>
      <c r="E7566" s="18">
        <v>395.47</v>
      </c>
      <c r="F7566" s="18">
        <v>41709.64</v>
      </c>
      <c r="G7566" s="18">
        <v>130302</v>
      </c>
      <c r="H7566" s="18">
        <f t="shared" si="170"/>
        <v>41556.639999999999</v>
      </c>
      <c r="I7566" s="3"/>
    </row>
    <row r="7567" spans="1:9" s="4" customFormat="1" ht="20.25" customHeight="1" x14ac:dyDescent="0.55000000000000004">
      <c r="A7567" s="18">
        <v>24.729640799999999</v>
      </c>
      <c r="B7567" s="18">
        <v>34.779659100000003</v>
      </c>
      <c r="C7567" s="18">
        <v>679994.81</v>
      </c>
      <c r="D7567" s="18">
        <v>2736181.47</v>
      </c>
      <c r="E7567" s="18">
        <v>395.41</v>
      </c>
      <c r="F7567" s="18">
        <v>41713.33</v>
      </c>
      <c r="G7567" s="18">
        <v>130304</v>
      </c>
      <c r="H7567" s="18">
        <f t="shared" si="170"/>
        <v>41560.33</v>
      </c>
      <c r="I7567" s="3"/>
    </row>
    <row r="7568" spans="1:9" s="4" customFormat="1" ht="20.25" customHeight="1" x14ac:dyDescent="0.55000000000000004">
      <c r="A7568" s="18">
        <v>24.729652699999999</v>
      </c>
      <c r="B7568" s="18">
        <v>34.779667000000003</v>
      </c>
      <c r="C7568" s="18">
        <v>679995.58</v>
      </c>
      <c r="D7568" s="18">
        <v>2736182.8</v>
      </c>
      <c r="E7568" s="18">
        <v>395.36</v>
      </c>
      <c r="F7568" s="18">
        <v>41718.36</v>
      </c>
      <c r="G7568" s="18">
        <v>130306</v>
      </c>
      <c r="H7568" s="18">
        <f t="shared" si="170"/>
        <v>41565.360000000001</v>
      </c>
      <c r="I7568" s="3"/>
    </row>
    <row r="7569" spans="1:9" s="4" customFormat="1" ht="20.25" customHeight="1" x14ac:dyDescent="0.55000000000000004">
      <c r="A7569" s="18">
        <v>24.7296622</v>
      </c>
      <c r="B7569" s="18">
        <v>34.779677599999999</v>
      </c>
      <c r="C7569" s="18">
        <v>679996.65</v>
      </c>
      <c r="D7569" s="18">
        <v>2736183.87</v>
      </c>
      <c r="E7569" s="18">
        <v>395.29</v>
      </c>
      <c r="F7569" s="18">
        <v>41705.18</v>
      </c>
      <c r="G7569" s="18">
        <v>130308</v>
      </c>
      <c r="H7569" s="18">
        <f t="shared" si="170"/>
        <v>41552.18</v>
      </c>
      <c r="I7569" s="3"/>
    </row>
    <row r="7570" spans="1:9" s="4" customFormat="1" ht="20.25" customHeight="1" x14ac:dyDescent="0.55000000000000004">
      <c r="A7570" s="18">
        <v>24.729673500000001</v>
      </c>
      <c r="B7570" s="18">
        <v>34.779695199999999</v>
      </c>
      <c r="C7570" s="18">
        <v>679998.41</v>
      </c>
      <c r="D7570" s="18">
        <v>2736185.14</v>
      </c>
      <c r="E7570" s="18">
        <v>395.24</v>
      </c>
      <c r="F7570" s="18">
        <v>41708.6</v>
      </c>
      <c r="G7570" s="18">
        <v>130310</v>
      </c>
      <c r="H7570" s="18">
        <f t="shared" ref="H7570:H7633" si="171">SUM(F7570-153)</f>
        <v>41555.599999999999</v>
      </c>
      <c r="I7570" s="3"/>
    </row>
    <row r="7571" spans="1:9" s="4" customFormat="1" ht="20.25" customHeight="1" x14ac:dyDescent="0.55000000000000004">
      <c r="A7571" s="18">
        <v>24.729689400000002</v>
      </c>
      <c r="B7571" s="18">
        <v>34.779711599999999</v>
      </c>
      <c r="C7571" s="18">
        <v>680000.05</v>
      </c>
      <c r="D7571" s="18">
        <v>2736186.92</v>
      </c>
      <c r="E7571" s="18">
        <v>395.05</v>
      </c>
      <c r="F7571" s="18">
        <v>41700.94</v>
      </c>
      <c r="G7571" s="18">
        <v>130312</v>
      </c>
      <c r="H7571" s="18">
        <f t="shared" si="171"/>
        <v>41547.94</v>
      </c>
      <c r="I7571" s="3"/>
    </row>
    <row r="7572" spans="1:9" s="4" customFormat="1" ht="20.25" customHeight="1" x14ac:dyDescent="0.55000000000000004">
      <c r="A7572" s="18">
        <v>24.729705200000001</v>
      </c>
      <c r="B7572" s="18">
        <v>34.779729000000003</v>
      </c>
      <c r="C7572" s="18">
        <v>680001.78</v>
      </c>
      <c r="D7572" s="18">
        <v>2736188.7</v>
      </c>
      <c r="E7572" s="18">
        <v>394.99</v>
      </c>
      <c r="F7572" s="18">
        <v>41711.1</v>
      </c>
      <c r="G7572" s="18">
        <v>130314</v>
      </c>
      <c r="H7572" s="18">
        <f t="shared" si="171"/>
        <v>41558.1</v>
      </c>
      <c r="I7572" s="3"/>
    </row>
    <row r="7573" spans="1:9" s="4" customFormat="1" ht="20.25" customHeight="1" x14ac:dyDescent="0.55000000000000004">
      <c r="A7573" s="18">
        <v>24.729721699999999</v>
      </c>
      <c r="B7573" s="18">
        <v>34.779745200000001</v>
      </c>
      <c r="C7573" s="18">
        <v>680003.4</v>
      </c>
      <c r="D7573" s="18">
        <v>2736190.54</v>
      </c>
      <c r="E7573" s="18">
        <v>394.72</v>
      </c>
      <c r="F7573" s="18">
        <v>41717.730000000003</v>
      </c>
      <c r="G7573" s="18">
        <v>130316</v>
      </c>
      <c r="H7573" s="18">
        <f t="shared" si="171"/>
        <v>41564.730000000003</v>
      </c>
      <c r="I7573" s="3"/>
    </row>
    <row r="7574" spans="1:9" s="4" customFormat="1" ht="20.25" customHeight="1" x14ac:dyDescent="0.55000000000000004">
      <c r="A7574" s="18">
        <v>24.729739500000001</v>
      </c>
      <c r="B7574" s="18">
        <v>34.779764399999998</v>
      </c>
      <c r="C7574" s="18">
        <v>680005.32</v>
      </c>
      <c r="D7574" s="18">
        <v>2736192.55</v>
      </c>
      <c r="E7574" s="18">
        <v>394.62</v>
      </c>
      <c r="F7574" s="18">
        <v>41722.080000000002</v>
      </c>
      <c r="G7574" s="18">
        <v>130318</v>
      </c>
      <c r="H7574" s="18">
        <f t="shared" si="171"/>
        <v>41569.08</v>
      </c>
      <c r="I7574" s="3"/>
    </row>
    <row r="7575" spans="1:9" s="4" customFormat="1" ht="20.25" customHeight="1" x14ac:dyDescent="0.55000000000000004">
      <c r="A7575" s="18">
        <v>24.729755900000001</v>
      </c>
      <c r="B7575" s="18">
        <v>34.779780700000003</v>
      </c>
      <c r="C7575" s="18">
        <v>680006.94</v>
      </c>
      <c r="D7575" s="18">
        <v>2736194.38</v>
      </c>
      <c r="E7575" s="18">
        <v>394.62</v>
      </c>
      <c r="F7575" s="18">
        <v>41718.49</v>
      </c>
      <c r="G7575" s="18">
        <v>130320</v>
      </c>
      <c r="H7575" s="18">
        <f t="shared" si="171"/>
        <v>41565.49</v>
      </c>
      <c r="I7575" s="3"/>
    </row>
    <row r="7576" spans="1:9" s="4" customFormat="1" ht="20.25" customHeight="1" x14ac:dyDescent="0.55000000000000004">
      <c r="A7576" s="18">
        <v>24.729773300000002</v>
      </c>
      <c r="B7576" s="18">
        <v>34.779792999999998</v>
      </c>
      <c r="C7576" s="18">
        <v>680008.15</v>
      </c>
      <c r="D7576" s="18">
        <v>2736196.32</v>
      </c>
      <c r="E7576" s="18">
        <v>394.52</v>
      </c>
      <c r="F7576" s="18">
        <v>41718.300000000003</v>
      </c>
      <c r="G7576" s="18">
        <v>130322</v>
      </c>
      <c r="H7576" s="18">
        <f t="shared" si="171"/>
        <v>41565.300000000003</v>
      </c>
      <c r="I7576" s="3"/>
    </row>
    <row r="7577" spans="1:9" s="4" customFormat="1" ht="20.25" customHeight="1" x14ac:dyDescent="0.55000000000000004">
      <c r="A7577" s="18">
        <v>24.7297926</v>
      </c>
      <c r="B7577" s="18">
        <v>34.779804200000001</v>
      </c>
      <c r="C7577" s="18">
        <v>680009.26</v>
      </c>
      <c r="D7577" s="18">
        <v>2736198.48</v>
      </c>
      <c r="E7577" s="18">
        <v>394.48</v>
      </c>
      <c r="F7577" s="18">
        <v>41720.449999999997</v>
      </c>
      <c r="G7577" s="18">
        <v>130324</v>
      </c>
      <c r="H7577" s="18">
        <f t="shared" si="171"/>
        <v>41567.449999999997</v>
      </c>
      <c r="I7577" s="3"/>
    </row>
    <row r="7578" spans="1:9" s="4" customFormat="1" ht="20.25" customHeight="1" x14ac:dyDescent="0.55000000000000004">
      <c r="A7578" s="18">
        <v>24.729812800000001</v>
      </c>
      <c r="B7578" s="18">
        <v>34.779817600000001</v>
      </c>
      <c r="C7578" s="18">
        <v>680010.6</v>
      </c>
      <c r="D7578" s="18">
        <v>2736200.73</v>
      </c>
      <c r="E7578" s="18">
        <v>394.4</v>
      </c>
      <c r="F7578" s="18">
        <v>41720.629999999997</v>
      </c>
      <c r="G7578" s="18">
        <v>130326</v>
      </c>
      <c r="H7578" s="18">
        <f t="shared" si="171"/>
        <v>41567.629999999997</v>
      </c>
      <c r="I7578" s="3"/>
    </row>
    <row r="7579" spans="1:9" s="4" customFormat="1" ht="20.25" customHeight="1" x14ac:dyDescent="0.55000000000000004">
      <c r="A7579" s="18">
        <v>24.7298355</v>
      </c>
      <c r="B7579" s="18">
        <v>34.779823899999997</v>
      </c>
      <c r="C7579" s="18">
        <v>680011.2</v>
      </c>
      <c r="D7579" s="18">
        <v>2736203.26</v>
      </c>
      <c r="E7579" s="18">
        <v>394.24</v>
      </c>
      <c r="F7579" s="18">
        <v>41716.9</v>
      </c>
      <c r="G7579" s="18">
        <v>130328</v>
      </c>
      <c r="H7579" s="18">
        <f t="shared" si="171"/>
        <v>41563.9</v>
      </c>
      <c r="I7579" s="3"/>
    </row>
    <row r="7580" spans="1:9" s="4" customFormat="1" ht="20.25" customHeight="1" x14ac:dyDescent="0.55000000000000004">
      <c r="A7580" s="18">
        <v>24.7298583</v>
      </c>
      <c r="B7580" s="18">
        <v>34.779823999999998</v>
      </c>
      <c r="C7580" s="18">
        <v>680011.17</v>
      </c>
      <c r="D7580" s="18">
        <v>2736205.78</v>
      </c>
      <c r="E7580" s="18">
        <v>394.27</v>
      </c>
      <c r="F7580" s="18">
        <v>41720.07</v>
      </c>
      <c r="G7580" s="18">
        <v>130330</v>
      </c>
      <c r="H7580" s="18">
        <f t="shared" si="171"/>
        <v>41567.07</v>
      </c>
      <c r="I7580" s="3"/>
    </row>
    <row r="7581" spans="1:9" s="4" customFormat="1" ht="20.25" customHeight="1" x14ac:dyDescent="0.55000000000000004">
      <c r="A7581" s="18">
        <v>24.729882100000001</v>
      </c>
      <c r="B7581" s="18">
        <v>34.779827500000003</v>
      </c>
      <c r="C7581" s="18">
        <v>680011.49</v>
      </c>
      <c r="D7581" s="18">
        <v>2736208.42</v>
      </c>
      <c r="E7581" s="18">
        <v>394.26</v>
      </c>
      <c r="F7581" s="18">
        <v>41717.440000000002</v>
      </c>
      <c r="G7581" s="18">
        <v>130332</v>
      </c>
      <c r="H7581" s="18">
        <f t="shared" si="171"/>
        <v>41564.44</v>
      </c>
      <c r="I7581" s="3"/>
    </row>
    <row r="7582" spans="1:9" s="4" customFormat="1" ht="20.25" customHeight="1" x14ac:dyDescent="0.55000000000000004">
      <c r="A7582" s="18">
        <v>24.729904999999999</v>
      </c>
      <c r="B7582" s="18">
        <v>34.7798339</v>
      </c>
      <c r="C7582" s="18">
        <v>680012.11</v>
      </c>
      <c r="D7582" s="18">
        <v>2736210.96</v>
      </c>
      <c r="E7582" s="18">
        <v>394.22</v>
      </c>
      <c r="F7582" s="18">
        <v>41718.11</v>
      </c>
      <c r="G7582" s="18">
        <v>130334</v>
      </c>
      <c r="H7582" s="18">
        <f t="shared" si="171"/>
        <v>41565.11</v>
      </c>
      <c r="I7582" s="3"/>
    </row>
    <row r="7583" spans="1:9" s="4" customFormat="1" ht="20.25" customHeight="1" x14ac:dyDescent="0.55000000000000004">
      <c r="A7583" s="18">
        <v>24.729927499999999</v>
      </c>
      <c r="B7583" s="18">
        <v>34.779840900000004</v>
      </c>
      <c r="C7583" s="18">
        <v>680012.78</v>
      </c>
      <c r="D7583" s="18">
        <v>2736213.46</v>
      </c>
      <c r="E7583" s="18">
        <v>394.19</v>
      </c>
      <c r="F7583" s="18">
        <v>41721.42</v>
      </c>
      <c r="G7583" s="18">
        <v>130336</v>
      </c>
      <c r="H7583" s="18">
        <f t="shared" si="171"/>
        <v>41568.42</v>
      </c>
      <c r="I7583" s="3"/>
    </row>
    <row r="7584" spans="1:9" s="4" customFormat="1" ht="20.25" customHeight="1" x14ac:dyDescent="0.55000000000000004">
      <c r="A7584" s="18">
        <v>24.729949999999999</v>
      </c>
      <c r="B7584" s="18">
        <v>34.779850600000003</v>
      </c>
      <c r="C7584" s="18">
        <v>680013.73</v>
      </c>
      <c r="D7584" s="18">
        <v>2736215.97</v>
      </c>
      <c r="E7584" s="18">
        <v>394.15</v>
      </c>
      <c r="F7584" s="18">
        <v>41721.4</v>
      </c>
      <c r="G7584" s="18">
        <v>130338</v>
      </c>
      <c r="H7584" s="18">
        <f t="shared" si="171"/>
        <v>41568.400000000001</v>
      </c>
      <c r="I7584" s="3"/>
    </row>
    <row r="7585" spans="1:9" s="4" customFormat="1" ht="20.25" customHeight="1" x14ac:dyDescent="0.55000000000000004">
      <c r="A7585" s="18">
        <v>24.729973000000001</v>
      </c>
      <c r="B7585" s="18">
        <v>34.779858500000003</v>
      </c>
      <c r="C7585" s="18">
        <v>680014.49</v>
      </c>
      <c r="D7585" s="18">
        <v>2736218.53</v>
      </c>
      <c r="E7585" s="18">
        <v>394.07</v>
      </c>
      <c r="F7585" s="18">
        <v>41729.19</v>
      </c>
      <c r="G7585" s="18">
        <v>130340</v>
      </c>
      <c r="H7585" s="18">
        <f t="shared" si="171"/>
        <v>41576.19</v>
      </c>
      <c r="I7585" s="3"/>
    </row>
    <row r="7586" spans="1:9" s="4" customFormat="1" ht="20.25" customHeight="1" x14ac:dyDescent="0.55000000000000004">
      <c r="A7586" s="18">
        <v>24.729995599999999</v>
      </c>
      <c r="B7586" s="18">
        <v>34.779865000000001</v>
      </c>
      <c r="C7586" s="18">
        <v>680015.12</v>
      </c>
      <c r="D7586" s="18">
        <v>2736221.05</v>
      </c>
      <c r="E7586" s="18">
        <v>394.11</v>
      </c>
      <c r="F7586" s="18">
        <v>41725.879999999997</v>
      </c>
      <c r="G7586" s="18">
        <v>130342</v>
      </c>
      <c r="H7586" s="18">
        <f t="shared" si="171"/>
        <v>41572.879999999997</v>
      </c>
      <c r="I7586" s="3"/>
    </row>
    <row r="7587" spans="1:9" s="4" customFormat="1" ht="20.25" customHeight="1" x14ac:dyDescent="0.55000000000000004">
      <c r="A7587" s="18">
        <v>24.730019299999999</v>
      </c>
      <c r="B7587" s="18">
        <v>34.779870199999998</v>
      </c>
      <c r="C7587" s="18">
        <v>680015.62</v>
      </c>
      <c r="D7587" s="18">
        <v>2736223.67</v>
      </c>
      <c r="E7587" s="18">
        <v>394.02</v>
      </c>
      <c r="F7587" s="18">
        <v>41728.559999999998</v>
      </c>
      <c r="G7587" s="18">
        <v>130344</v>
      </c>
      <c r="H7587" s="18">
        <f t="shared" si="171"/>
        <v>41575.56</v>
      </c>
      <c r="I7587" s="3"/>
    </row>
    <row r="7588" spans="1:9" s="4" customFormat="1" ht="20.25" customHeight="1" x14ac:dyDescent="0.55000000000000004">
      <c r="A7588" s="18">
        <v>24.730042300000001</v>
      </c>
      <c r="B7588" s="18">
        <v>34.779873500000001</v>
      </c>
      <c r="C7588" s="18">
        <v>680015.92</v>
      </c>
      <c r="D7588" s="18">
        <v>2736226.23</v>
      </c>
      <c r="E7588" s="18">
        <v>393.96</v>
      </c>
      <c r="F7588" s="18">
        <v>41721.129999999997</v>
      </c>
      <c r="G7588" s="18">
        <v>130346</v>
      </c>
      <c r="H7588" s="18">
        <f t="shared" si="171"/>
        <v>41568.129999999997</v>
      </c>
      <c r="I7588" s="3"/>
    </row>
    <row r="7589" spans="1:9" s="4" customFormat="1" ht="20.25" customHeight="1" x14ac:dyDescent="0.55000000000000004">
      <c r="A7589" s="18">
        <v>24.730065400000001</v>
      </c>
      <c r="B7589" s="18">
        <v>34.779876199999997</v>
      </c>
      <c r="C7589" s="18">
        <v>680016.15</v>
      </c>
      <c r="D7589" s="18">
        <v>2736228.79</v>
      </c>
      <c r="E7589" s="18">
        <v>393.95</v>
      </c>
      <c r="F7589" s="18">
        <v>41701.39</v>
      </c>
      <c r="G7589" s="18">
        <v>130348</v>
      </c>
      <c r="H7589" s="18">
        <f t="shared" si="171"/>
        <v>41548.39</v>
      </c>
      <c r="I7589" s="3"/>
    </row>
    <row r="7590" spans="1:9" s="4" customFormat="1" ht="20.25" customHeight="1" x14ac:dyDescent="0.55000000000000004">
      <c r="A7590" s="18">
        <v>24.730087900000001</v>
      </c>
      <c r="B7590" s="18">
        <v>34.779879700000002</v>
      </c>
      <c r="C7590" s="18">
        <v>680016.48</v>
      </c>
      <c r="D7590" s="18">
        <v>2736231.28</v>
      </c>
      <c r="E7590" s="18">
        <v>393.82</v>
      </c>
      <c r="F7590" s="18">
        <v>41717.760000000002</v>
      </c>
      <c r="G7590" s="18">
        <v>130350</v>
      </c>
      <c r="H7590" s="18">
        <f t="shared" si="171"/>
        <v>41564.76</v>
      </c>
      <c r="I7590" s="3"/>
    </row>
    <row r="7591" spans="1:9" s="4" customFormat="1" ht="20.25" customHeight="1" x14ac:dyDescent="0.55000000000000004">
      <c r="A7591" s="18">
        <v>24.7301112</v>
      </c>
      <c r="B7591" s="18">
        <v>34.779884199999998</v>
      </c>
      <c r="C7591" s="18">
        <v>680016.9</v>
      </c>
      <c r="D7591" s="18">
        <v>2736233.87</v>
      </c>
      <c r="E7591" s="18">
        <v>393.73</v>
      </c>
      <c r="F7591" s="18">
        <v>41715.35</v>
      </c>
      <c r="G7591" s="18">
        <v>130352</v>
      </c>
      <c r="H7591" s="18">
        <f t="shared" si="171"/>
        <v>41562.35</v>
      </c>
      <c r="I7591" s="3"/>
    </row>
    <row r="7592" spans="1:9" s="4" customFormat="1" ht="20.25" customHeight="1" x14ac:dyDescent="0.55000000000000004">
      <c r="A7592" s="18">
        <v>24.730133299999999</v>
      </c>
      <c r="B7592" s="18">
        <v>34.779890799999997</v>
      </c>
      <c r="C7592" s="18">
        <v>680017.54</v>
      </c>
      <c r="D7592" s="18">
        <v>2736236.32</v>
      </c>
      <c r="E7592" s="18">
        <v>393.78</v>
      </c>
      <c r="F7592" s="18">
        <v>41712.910000000003</v>
      </c>
      <c r="G7592" s="18">
        <v>130354</v>
      </c>
      <c r="H7592" s="18">
        <f t="shared" si="171"/>
        <v>41559.910000000003</v>
      </c>
      <c r="I7592" s="3"/>
    </row>
    <row r="7593" spans="1:9" s="4" customFormat="1" ht="20.25" customHeight="1" x14ac:dyDescent="0.55000000000000004">
      <c r="A7593" s="18">
        <v>24.730155799999999</v>
      </c>
      <c r="B7593" s="18">
        <v>34.779896899999997</v>
      </c>
      <c r="C7593" s="18">
        <v>680018.12</v>
      </c>
      <c r="D7593" s="18">
        <v>2736238.82</v>
      </c>
      <c r="E7593" s="18">
        <v>393.66</v>
      </c>
      <c r="F7593" s="18">
        <v>41722.03</v>
      </c>
      <c r="G7593" s="18">
        <v>130356</v>
      </c>
      <c r="H7593" s="18">
        <f t="shared" si="171"/>
        <v>41569.03</v>
      </c>
      <c r="I7593" s="3"/>
    </row>
    <row r="7594" spans="1:9" s="4" customFormat="1" ht="20.25" customHeight="1" x14ac:dyDescent="0.55000000000000004">
      <c r="A7594" s="18">
        <v>24.7301781</v>
      </c>
      <c r="B7594" s="18">
        <v>34.779905599999999</v>
      </c>
      <c r="C7594" s="18">
        <v>680018.96</v>
      </c>
      <c r="D7594" s="18">
        <v>2736241.31</v>
      </c>
      <c r="E7594" s="18">
        <v>393.63</v>
      </c>
      <c r="F7594" s="18">
        <v>41719.760000000002</v>
      </c>
      <c r="G7594" s="18">
        <v>130358</v>
      </c>
      <c r="H7594" s="18">
        <f t="shared" si="171"/>
        <v>41566.76</v>
      </c>
      <c r="I7594" s="3"/>
    </row>
    <row r="7595" spans="1:9" s="4" customFormat="1" ht="20.25" customHeight="1" x14ac:dyDescent="0.55000000000000004">
      <c r="A7595" s="18">
        <v>24.7302</v>
      </c>
      <c r="B7595" s="18">
        <v>34.779911300000002</v>
      </c>
      <c r="C7595" s="18">
        <v>680019.51</v>
      </c>
      <c r="D7595" s="18">
        <v>2736243.75</v>
      </c>
      <c r="E7595" s="18">
        <v>393.63</v>
      </c>
      <c r="F7595" s="18">
        <v>41725.51</v>
      </c>
      <c r="G7595" s="18">
        <v>130400</v>
      </c>
      <c r="H7595" s="18">
        <f t="shared" si="171"/>
        <v>41572.51</v>
      </c>
      <c r="I7595" s="3"/>
    </row>
    <row r="7596" spans="1:9" s="4" customFormat="1" ht="20.25" customHeight="1" x14ac:dyDescent="0.55000000000000004">
      <c r="A7596" s="18">
        <v>24.730222699999999</v>
      </c>
      <c r="B7596" s="18">
        <v>34.779916900000003</v>
      </c>
      <c r="C7596" s="18">
        <v>680020.05</v>
      </c>
      <c r="D7596" s="18">
        <v>2736246.26</v>
      </c>
      <c r="E7596" s="18">
        <v>393.51</v>
      </c>
      <c r="F7596" s="18">
        <v>41731.120000000003</v>
      </c>
      <c r="G7596" s="18">
        <v>130402</v>
      </c>
      <c r="H7596" s="18">
        <f t="shared" si="171"/>
        <v>41578.120000000003</v>
      </c>
      <c r="I7596" s="3"/>
    </row>
    <row r="7597" spans="1:9" s="4" customFormat="1" ht="20.25" customHeight="1" x14ac:dyDescent="0.55000000000000004">
      <c r="A7597" s="18">
        <v>24.730244299999999</v>
      </c>
      <c r="B7597" s="18">
        <v>34.779925300000002</v>
      </c>
      <c r="C7597" s="18">
        <v>680020.87</v>
      </c>
      <c r="D7597" s="18">
        <v>2736248.67</v>
      </c>
      <c r="E7597" s="18">
        <v>393.51</v>
      </c>
      <c r="F7597" s="18">
        <v>41725.29</v>
      </c>
      <c r="G7597" s="18">
        <v>130404</v>
      </c>
      <c r="H7597" s="18">
        <f t="shared" si="171"/>
        <v>41572.29</v>
      </c>
      <c r="I7597" s="3"/>
    </row>
    <row r="7598" spans="1:9" s="4" customFormat="1" ht="20.25" customHeight="1" x14ac:dyDescent="0.55000000000000004">
      <c r="A7598" s="18">
        <v>24.730267000000001</v>
      </c>
      <c r="B7598" s="18">
        <v>34.779935399999999</v>
      </c>
      <c r="C7598" s="18">
        <v>680021.86</v>
      </c>
      <c r="D7598" s="18">
        <v>2736251.19</v>
      </c>
      <c r="E7598" s="18">
        <v>393.46</v>
      </c>
      <c r="F7598" s="18">
        <v>41721.97</v>
      </c>
      <c r="G7598" s="18">
        <v>130406</v>
      </c>
      <c r="H7598" s="18">
        <f t="shared" si="171"/>
        <v>41568.97</v>
      </c>
      <c r="I7598" s="3"/>
    </row>
    <row r="7599" spans="1:9" s="4" customFormat="1" ht="20.25" customHeight="1" x14ac:dyDescent="0.55000000000000004">
      <c r="A7599" s="18">
        <v>24.730288099999999</v>
      </c>
      <c r="B7599" s="18">
        <v>34.779944200000003</v>
      </c>
      <c r="C7599" s="18">
        <v>680022.71</v>
      </c>
      <c r="D7599" s="18">
        <v>2736253.55</v>
      </c>
      <c r="E7599" s="18">
        <v>393.37</v>
      </c>
      <c r="F7599" s="18">
        <v>41722.370000000003</v>
      </c>
      <c r="G7599" s="18">
        <v>130408</v>
      </c>
      <c r="H7599" s="18">
        <f t="shared" si="171"/>
        <v>41569.370000000003</v>
      </c>
      <c r="I7599" s="3"/>
    </row>
    <row r="7600" spans="1:9" s="4" customFormat="1" ht="20.25" customHeight="1" x14ac:dyDescent="0.55000000000000004">
      <c r="A7600" s="18">
        <v>24.730310299999999</v>
      </c>
      <c r="B7600" s="18">
        <v>34.779953300000003</v>
      </c>
      <c r="C7600" s="18">
        <v>680023.6</v>
      </c>
      <c r="D7600" s="18">
        <v>2736256.01</v>
      </c>
      <c r="E7600" s="18">
        <v>393.35</v>
      </c>
      <c r="F7600" s="18">
        <v>41726.65</v>
      </c>
      <c r="G7600" s="18">
        <v>130410</v>
      </c>
      <c r="H7600" s="18">
        <f t="shared" si="171"/>
        <v>41573.65</v>
      </c>
      <c r="I7600" s="3"/>
    </row>
    <row r="7601" spans="1:9" s="4" customFormat="1" ht="20.25" customHeight="1" x14ac:dyDescent="0.55000000000000004">
      <c r="A7601" s="18">
        <v>24.730332400000002</v>
      </c>
      <c r="B7601" s="18">
        <v>34.779961200000002</v>
      </c>
      <c r="C7601" s="18">
        <v>680024.37</v>
      </c>
      <c r="D7601" s="18">
        <v>2736258.47</v>
      </c>
      <c r="E7601" s="18">
        <v>393.27</v>
      </c>
      <c r="F7601" s="18">
        <v>41732.42</v>
      </c>
      <c r="G7601" s="18">
        <v>130412</v>
      </c>
      <c r="H7601" s="18">
        <f t="shared" si="171"/>
        <v>41579.42</v>
      </c>
      <c r="I7601" s="3"/>
    </row>
    <row r="7602" spans="1:9" s="4" customFormat="1" ht="20.25" customHeight="1" x14ac:dyDescent="0.55000000000000004">
      <c r="A7602" s="18">
        <v>24.730357000000001</v>
      </c>
      <c r="B7602" s="18">
        <v>34.779964499999998</v>
      </c>
      <c r="C7602" s="18">
        <v>680024.67</v>
      </c>
      <c r="D7602" s="18">
        <v>2736261.2</v>
      </c>
      <c r="E7602" s="18">
        <v>393.13</v>
      </c>
      <c r="F7602" s="18">
        <v>41738.910000000003</v>
      </c>
      <c r="G7602" s="18">
        <v>130414</v>
      </c>
      <c r="H7602" s="18">
        <f t="shared" si="171"/>
        <v>41585.910000000003</v>
      </c>
      <c r="I7602" s="3"/>
    </row>
    <row r="7603" spans="1:9" s="4" customFormat="1" ht="20.25" customHeight="1" x14ac:dyDescent="0.55000000000000004">
      <c r="A7603" s="18">
        <v>24.730379200000002</v>
      </c>
      <c r="B7603" s="18">
        <v>34.779973300000002</v>
      </c>
      <c r="C7603" s="18">
        <v>680025.53</v>
      </c>
      <c r="D7603" s="18">
        <v>2736263.67</v>
      </c>
      <c r="E7603" s="18">
        <v>393.17</v>
      </c>
      <c r="F7603" s="18">
        <v>41724.160000000003</v>
      </c>
      <c r="G7603" s="18">
        <v>130416</v>
      </c>
      <c r="H7603" s="18">
        <f t="shared" si="171"/>
        <v>41571.160000000003</v>
      </c>
      <c r="I7603" s="3"/>
    </row>
    <row r="7604" spans="1:9" s="4" customFormat="1" ht="20.25" customHeight="1" x14ac:dyDescent="0.55000000000000004">
      <c r="A7604" s="18">
        <v>24.730393899999999</v>
      </c>
      <c r="B7604" s="18">
        <v>34.7799841</v>
      </c>
      <c r="C7604" s="18">
        <v>680026.59</v>
      </c>
      <c r="D7604" s="18">
        <v>2736265.31</v>
      </c>
      <c r="E7604" s="18">
        <v>393.12</v>
      </c>
      <c r="F7604" s="18">
        <v>41726.06</v>
      </c>
      <c r="G7604" s="18">
        <v>130418</v>
      </c>
      <c r="H7604" s="18">
        <f t="shared" si="171"/>
        <v>41573.06</v>
      </c>
      <c r="I7604" s="3"/>
    </row>
    <row r="7605" spans="1:9" s="4" customFormat="1" ht="20.25" customHeight="1" x14ac:dyDescent="0.55000000000000004">
      <c r="A7605" s="18">
        <v>24.7303943</v>
      </c>
      <c r="B7605" s="18">
        <v>34.779985500000002</v>
      </c>
      <c r="C7605" s="18">
        <v>680026.74</v>
      </c>
      <c r="D7605" s="18">
        <v>2736265.36</v>
      </c>
      <c r="E7605" s="18">
        <v>393.14</v>
      </c>
      <c r="F7605" s="18">
        <v>41723.760000000002</v>
      </c>
      <c r="G7605" s="18">
        <v>130420</v>
      </c>
      <c r="H7605" s="18">
        <f t="shared" si="171"/>
        <v>41570.76</v>
      </c>
      <c r="I7605" s="3"/>
    </row>
    <row r="7606" spans="1:9" s="4" customFormat="1" ht="20.25" customHeight="1" x14ac:dyDescent="0.55000000000000004">
      <c r="A7606" s="18">
        <v>24.730403200000001</v>
      </c>
      <c r="B7606" s="18">
        <v>34.779989299999997</v>
      </c>
      <c r="C7606" s="18">
        <v>680027.11</v>
      </c>
      <c r="D7606" s="18">
        <v>2736266.36</v>
      </c>
      <c r="E7606" s="18">
        <v>393.11</v>
      </c>
      <c r="F7606" s="18">
        <v>41725.730000000003</v>
      </c>
      <c r="G7606" s="18">
        <v>130422</v>
      </c>
      <c r="H7606" s="18">
        <f t="shared" si="171"/>
        <v>41572.730000000003</v>
      </c>
      <c r="I7606" s="3"/>
    </row>
    <row r="7607" spans="1:9" s="4" customFormat="1" ht="20.25" customHeight="1" x14ac:dyDescent="0.55000000000000004">
      <c r="A7607" s="18">
        <v>24.730424200000002</v>
      </c>
      <c r="B7607" s="18">
        <v>34.779997100000003</v>
      </c>
      <c r="C7607" s="18">
        <v>680027.87</v>
      </c>
      <c r="D7607" s="18">
        <v>2736268.69</v>
      </c>
      <c r="E7607" s="18">
        <v>393.05</v>
      </c>
      <c r="F7607" s="18">
        <v>41725.29</v>
      </c>
      <c r="G7607" s="18">
        <v>130424</v>
      </c>
      <c r="H7607" s="18">
        <f t="shared" si="171"/>
        <v>41572.29</v>
      </c>
      <c r="I7607" s="3"/>
    </row>
    <row r="7608" spans="1:9" s="4" customFormat="1" ht="20.25" customHeight="1" x14ac:dyDescent="0.55000000000000004">
      <c r="A7608" s="18">
        <v>24.730446799999999</v>
      </c>
      <c r="B7608" s="18">
        <v>34.7800042</v>
      </c>
      <c r="C7608" s="18">
        <v>680028.56</v>
      </c>
      <c r="D7608" s="18">
        <v>2736271.2</v>
      </c>
      <c r="E7608" s="18">
        <v>393.07</v>
      </c>
      <c r="F7608" s="18">
        <v>41721.230000000003</v>
      </c>
      <c r="G7608" s="18">
        <v>130426</v>
      </c>
      <c r="H7608" s="18">
        <f t="shared" si="171"/>
        <v>41568.230000000003</v>
      </c>
      <c r="I7608" s="3"/>
    </row>
    <row r="7609" spans="1:9" s="4" customFormat="1" ht="20.25" customHeight="1" x14ac:dyDescent="0.55000000000000004">
      <c r="A7609" s="18">
        <v>24.730469100000001</v>
      </c>
      <c r="B7609" s="18">
        <v>34.780008700000003</v>
      </c>
      <c r="C7609" s="18">
        <v>680028.98</v>
      </c>
      <c r="D7609" s="18">
        <v>2736273.67</v>
      </c>
      <c r="E7609" s="18">
        <v>393.07</v>
      </c>
      <c r="F7609" s="18">
        <v>41723.67</v>
      </c>
      <c r="G7609" s="18">
        <v>130428</v>
      </c>
      <c r="H7609" s="18">
        <f t="shared" si="171"/>
        <v>41570.67</v>
      </c>
      <c r="I7609" s="3"/>
    </row>
    <row r="7610" spans="1:9" s="4" customFormat="1" ht="20.25" customHeight="1" x14ac:dyDescent="0.55000000000000004">
      <c r="A7610" s="18">
        <v>24.730492900000002</v>
      </c>
      <c r="B7610" s="18">
        <v>34.780011700000003</v>
      </c>
      <c r="C7610" s="18">
        <v>680029.24</v>
      </c>
      <c r="D7610" s="18">
        <v>2736276.31</v>
      </c>
      <c r="E7610" s="18">
        <v>392.94</v>
      </c>
      <c r="F7610" s="18">
        <v>41720.86</v>
      </c>
      <c r="G7610" s="18">
        <v>130430</v>
      </c>
      <c r="H7610" s="18">
        <f t="shared" si="171"/>
        <v>41567.86</v>
      </c>
      <c r="I7610" s="3"/>
    </row>
    <row r="7611" spans="1:9" s="4" customFormat="1" ht="20.25" customHeight="1" x14ac:dyDescent="0.55000000000000004">
      <c r="A7611" s="18">
        <v>24.7305156</v>
      </c>
      <c r="B7611" s="18">
        <v>34.780018599999998</v>
      </c>
      <c r="C7611" s="18">
        <v>680029.91</v>
      </c>
      <c r="D7611" s="18">
        <v>2736278.84</v>
      </c>
      <c r="E7611" s="18">
        <v>392.94</v>
      </c>
      <c r="F7611" s="18">
        <v>41715.300000000003</v>
      </c>
      <c r="G7611" s="18">
        <v>130432</v>
      </c>
      <c r="H7611" s="18">
        <f t="shared" si="171"/>
        <v>41562.300000000003</v>
      </c>
      <c r="I7611" s="3"/>
    </row>
    <row r="7612" spans="1:9" s="4" customFormat="1" ht="20.25" customHeight="1" x14ac:dyDescent="0.55000000000000004">
      <c r="A7612" s="18">
        <v>24.730537099999999</v>
      </c>
      <c r="B7612" s="18">
        <v>34.780026499999998</v>
      </c>
      <c r="C7612" s="18">
        <v>680030.68</v>
      </c>
      <c r="D7612" s="18">
        <v>2736281.23</v>
      </c>
      <c r="E7612" s="18">
        <v>392.88</v>
      </c>
      <c r="F7612" s="18">
        <v>41715.61</v>
      </c>
      <c r="G7612" s="18">
        <v>130434</v>
      </c>
      <c r="H7612" s="18">
        <f t="shared" si="171"/>
        <v>41562.61</v>
      </c>
      <c r="I7612" s="3"/>
    </row>
    <row r="7613" spans="1:9" s="4" customFormat="1" ht="20.25" customHeight="1" x14ac:dyDescent="0.55000000000000004">
      <c r="A7613" s="18">
        <v>24.730557300000001</v>
      </c>
      <c r="B7613" s="18">
        <v>34.780034399999998</v>
      </c>
      <c r="C7613" s="18">
        <v>680031.45</v>
      </c>
      <c r="D7613" s="18">
        <v>2736283.48</v>
      </c>
      <c r="E7613" s="18">
        <v>392.78</v>
      </c>
      <c r="F7613" s="18">
        <v>41717.65</v>
      </c>
      <c r="G7613" s="18">
        <v>130436</v>
      </c>
      <c r="H7613" s="18">
        <f t="shared" si="171"/>
        <v>41564.65</v>
      </c>
      <c r="I7613" s="3"/>
    </row>
    <row r="7614" spans="1:9" s="4" customFormat="1" ht="20.25" customHeight="1" x14ac:dyDescent="0.55000000000000004">
      <c r="A7614" s="18">
        <v>24.730576800000001</v>
      </c>
      <c r="B7614" s="18">
        <v>34.780042199999997</v>
      </c>
      <c r="C7614" s="18">
        <v>680032.21</v>
      </c>
      <c r="D7614" s="18">
        <v>2736285.65</v>
      </c>
      <c r="E7614" s="18">
        <v>392.79</v>
      </c>
      <c r="F7614" s="18">
        <v>41714.6</v>
      </c>
      <c r="G7614" s="18">
        <v>130438</v>
      </c>
      <c r="H7614" s="18">
        <f t="shared" si="171"/>
        <v>41561.599999999999</v>
      </c>
      <c r="I7614" s="3"/>
    </row>
    <row r="7615" spans="1:9" s="4" customFormat="1" ht="20.25" customHeight="1" x14ac:dyDescent="0.55000000000000004">
      <c r="A7615" s="18">
        <v>24.730595600000001</v>
      </c>
      <c r="B7615" s="18">
        <v>34.7800504</v>
      </c>
      <c r="C7615" s="18">
        <v>680033.02</v>
      </c>
      <c r="D7615" s="18">
        <v>2736287.74</v>
      </c>
      <c r="E7615" s="18">
        <v>392.67</v>
      </c>
      <c r="F7615" s="18">
        <v>41711.199999999997</v>
      </c>
      <c r="G7615" s="18">
        <v>130440</v>
      </c>
      <c r="H7615" s="18">
        <f t="shared" si="171"/>
        <v>41558.199999999997</v>
      </c>
      <c r="I7615" s="3"/>
    </row>
    <row r="7616" spans="1:9" s="4" customFormat="1" ht="20.25" customHeight="1" x14ac:dyDescent="0.55000000000000004">
      <c r="A7616" s="18">
        <v>24.730613399999999</v>
      </c>
      <c r="B7616" s="18">
        <v>34.780059999999999</v>
      </c>
      <c r="C7616" s="18">
        <v>680033.96</v>
      </c>
      <c r="D7616" s="18">
        <v>2736289.72</v>
      </c>
      <c r="E7616" s="18">
        <v>392.64</v>
      </c>
      <c r="F7616" s="18">
        <v>41710.67</v>
      </c>
      <c r="G7616" s="18">
        <v>130442</v>
      </c>
      <c r="H7616" s="18">
        <f t="shared" si="171"/>
        <v>41557.67</v>
      </c>
      <c r="I7616" s="3"/>
    </row>
    <row r="7617" spans="1:9" s="4" customFormat="1" ht="20.25" customHeight="1" x14ac:dyDescent="0.55000000000000004">
      <c r="A7617" s="18">
        <v>24.730629</v>
      </c>
      <c r="B7617" s="18">
        <v>34.780063499999997</v>
      </c>
      <c r="C7617" s="18">
        <v>680034.3</v>
      </c>
      <c r="D7617" s="18">
        <v>2736291.45</v>
      </c>
      <c r="E7617" s="18">
        <v>392.67</v>
      </c>
      <c r="F7617" s="18">
        <v>41719.519999999997</v>
      </c>
      <c r="G7617" s="18">
        <v>130444</v>
      </c>
      <c r="H7617" s="18">
        <f t="shared" si="171"/>
        <v>41566.519999999997</v>
      </c>
      <c r="I7617" s="3"/>
    </row>
    <row r="7618" spans="1:9" s="4" customFormat="1" ht="20.25" customHeight="1" x14ac:dyDescent="0.55000000000000004">
      <c r="A7618" s="18">
        <v>24.730646799999999</v>
      </c>
      <c r="B7618" s="18">
        <v>34.780072199999999</v>
      </c>
      <c r="C7618" s="18">
        <v>680035.14</v>
      </c>
      <c r="D7618" s="18">
        <v>2736293.44</v>
      </c>
      <c r="E7618" s="18">
        <v>392.6</v>
      </c>
      <c r="F7618" s="18">
        <v>41714.79</v>
      </c>
      <c r="G7618" s="18">
        <v>130446</v>
      </c>
      <c r="H7618" s="18">
        <f t="shared" si="171"/>
        <v>41561.79</v>
      </c>
      <c r="I7618" s="3"/>
    </row>
    <row r="7619" spans="1:9" s="4" customFormat="1" ht="20.25" customHeight="1" x14ac:dyDescent="0.55000000000000004">
      <c r="A7619" s="18">
        <v>24.730667499999999</v>
      </c>
      <c r="B7619" s="18">
        <v>34.780083500000003</v>
      </c>
      <c r="C7619" s="18">
        <v>680036.26</v>
      </c>
      <c r="D7619" s="18">
        <v>2736295.75</v>
      </c>
      <c r="E7619" s="18">
        <v>392.57</v>
      </c>
      <c r="F7619" s="18">
        <v>41711.129999999997</v>
      </c>
      <c r="G7619" s="18">
        <v>130448</v>
      </c>
      <c r="H7619" s="18">
        <f t="shared" si="171"/>
        <v>41558.129999999997</v>
      </c>
      <c r="I7619" s="3"/>
    </row>
    <row r="7620" spans="1:9" s="4" customFormat="1" ht="20.25" customHeight="1" x14ac:dyDescent="0.55000000000000004">
      <c r="A7620" s="18">
        <v>24.730690800000001</v>
      </c>
      <c r="B7620" s="18">
        <v>34.780093200000003</v>
      </c>
      <c r="C7620" s="18">
        <v>680037.21</v>
      </c>
      <c r="D7620" s="18">
        <v>2736298.35</v>
      </c>
      <c r="E7620" s="18">
        <v>392.45</v>
      </c>
      <c r="F7620" s="18">
        <v>41707.72</v>
      </c>
      <c r="G7620" s="18">
        <v>130450</v>
      </c>
      <c r="H7620" s="18">
        <f t="shared" si="171"/>
        <v>41554.720000000001</v>
      </c>
      <c r="I7620" s="3"/>
    </row>
    <row r="7621" spans="1:9" s="4" customFormat="1" ht="20.25" customHeight="1" x14ac:dyDescent="0.55000000000000004">
      <c r="A7621" s="18">
        <v>24.730714599999999</v>
      </c>
      <c r="B7621" s="18">
        <v>34.780101700000003</v>
      </c>
      <c r="C7621" s="18">
        <v>680038.03</v>
      </c>
      <c r="D7621" s="18">
        <v>2736300.99</v>
      </c>
      <c r="E7621" s="18">
        <v>392.31</v>
      </c>
      <c r="F7621" s="18">
        <v>41705.769999999997</v>
      </c>
      <c r="G7621" s="18">
        <v>130452</v>
      </c>
      <c r="H7621" s="18">
        <f t="shared" si="171"/>
        <v>41552.769999999997</v>
      </c>
      <c r="I7621" s="3"/>
    </row>
    <row r="7622" spans="1:9" s="4" customFormat="1" ht="20.25" customHeight="1" x14ac:dyDescent="0.55000000000000004">
      <c r="A7622" s="18">
        <v>24.7307348</v>
      </c>
      <c r="B7622" s="18">
        <v>34.780115299999999</v>
      </c>
      <c r="C7622" s="18">
        <v>680039.37</v>
      </c>
      <c r="D7622" s="18">
        <v>2736303.24</v>
      </c>
      <c r="E7622" s="18">
        <v>392.34</v>
      </c>
      <c r="F7622" s="18">
        <v>41711.08</v>
      </c>
      <c r="G7622" s="18">
        <v>130454</v>
      </c>
      <c r="H7622" s="18">
        <f t="shared" si="171"/>
        <v>41558.080000000002</v>
      </c>
      <c r="I7622" s="3"/>
    </row>
    <row r="7623" spans="1:9" s="4" customFormat="1" ht="20.25" customHeight="1" x14ac:dyDescent="0.55000000000000004">
      <c r="A7623" s="18">
        <v>24.730753100000001</v>
      </c>
      <c r="B7623" s="18">
        <v>34.780127100000001</v>
      </c>
      <c r="C7623" s="18">
        <v>680040.55</v>
      </c>
      <c r="D7623" s="18">
        <v>2736305.28</v>
      </c>
      <c r="E7623" s="18">
        <v>392.19</v>
      </c>
      <c r="F7623" s="18">
        <v>41707.82</v>
      </c>
      <c r="G7623" s="18">
        <v>130456</v>
      </c>
      <c r="H7623" s="18">
        <f t="shared" si="171"/>
        <v>41554.82</v>
      </c>
      <c r="I7623" s="3"/>
    </row>
    <row r="7624" spans="1:9" s="4" customFormat="1" ht="20.25" customHeight="1" x14ac:dyDescent="0.55000000000000004">
      <c r="A7624" s="18">
        <v>24.730774400000001</v>
      </c>
      <c r="B7624" s="18">
        <v>34.7801391</v>
      </c>
      <c r="C7624" s="18">
        <v>680041.73</v>
      </c>
      <c r="D7624" s="18">
        <v>2736307.66</v>
      </c>
      <c r="E7624" s="18">
        <v>392.12</v>
      </c>
      <c r="F7624" s="18">
        <v>41700.339999999997</v>
      </c>
      <c r="G7624" s="18">
        <v>130458</v>
      </c>
      <c r="H7624" s="18">
        <f t="shared" si="171"/>
        <v>41547.339999999997</v>
      </c>
      <c r="I7624" s="3"/>
    </row>
    <row r="7625" spans="1:9" s="4" customFormat="1" ht="20.25" customHeight="1" x14ac:dyDescent="0.55000000000000004">
      <c r="A7625" s="18">
        <v>24.730797500000001</v>
      </c>
      <c r="B7625" s="18">
        <v>34.780149899999998</v>
      </c>
      <c r="C7625" s="18">
        <v>680042.78</v>
      </c>
      <c r="D7625" s="18">
        <v>2736310.23</v>
      </c>
      <c r="E7625" s="18">
        <v>392.13</v>
      </c>
      <c r="F7625" s="18">
        <v>41704.49</v>
      </c>
      <c r="G7625" s="18">
        <v>130500</v>
      </c>
      <c r="H7625" s="18">
        <f t="shared" si="171"/>
        <v>41551.49</v>
      </c>
      <c r="I7625" s="3"/>
    </row>
    <row r="7626" spans="1:9" s="4" customFormat="1" ht="20.25" customHeight="1" x14ac:dyDescent="0.55000000000000004">
      <c r="A7626" s="18">
        <v>24.7308214</v>
      </c>
      <c r="B7626" s="18">
        <v>34.780162599999997</v>
      </c>
      <c r="C7626" s="18">
        <v>680044.03</v>
      </c>
      <c r="D7626" s="18">
        <v>2736312.89</v>
      </c>
      <c r="E7626" s="18">
        <v>392.12</v>
      </c>
      <c r="F7626" s="18">
        <v>41705.379999999997</v>
      </c>
      <c r="G7626" s="18">
        <v>130502</v>
      </c>
      <c r="H7626" s="18">
        <f t="shared" si="171"/>
        <v>41552.379999999997</v>
      </c>
      <c r="I7626" s="3"/>
    </row>
    <row r="7627" spans="1:9" s="4" customFormat="1" ht="20.25" customHeight="1" x14ac:dyDescent="0.55000000000000004">
      <c r="A7627" s="18">
        <v>24.7308415</v>
      </c>
      <c r="B7627" s="18">
        <v>34.780174199999998</v>
      </c>
      <c r="C7627" s="18">
        <v>680045.19</v>
      </c>
      <c r="D7627" s="18">
        <v>2736315.14</v>
      </c>
      <c r="E7627" s="18">
        <v>392.12</v>
      </c>
      <c r="F7627" s="18">
        <v>41712.120000000003</v>
      </c>
      <c r="G7627" s="18">
        <v>130504</v>
      </c>
      <c r="H7627" s="18">
        <f t="shared" si="171"/>
        <v>41559.120000000003</v>
      </c>
      <c r="I7627" s="3"/>
    </row>
    <row r="7628" spans="1:9" s="4" customFormat="1" ht="20.25" customHeight="1" x14ac:dyDescent="0.55000000000000004">
      <c r="A7628" s="18">
        <v>24.7308634</v>
      </c>
      <c r="B7628" s="18">
        <v>34.780186899999997</v>
      </c>
      <c r="C7628" s="18">
        <v>680046.44</v>
      </c>
      <c r="D7628" s="18">
        <v>2736317.58</v>
      </c>
      <c r="E7628" s="18">
        <v>392</v>
      </c>
      <c r="F7628" s="18">
        <v>41706.89</v>
      </c>
      <c r="G7628" s="18">
        <v>130506</v>
      </c>
      <c r="H7628" s="18">
        <f t="shared" si="171"/>
        <v>41553.89</v>
      </c>
      <c r="I7628" s="3"/>
    </row>
    <row r="7629" spans="1:9" s="4" customFormat="1" ht="20.25" customHeight="1" x14ac:dyDescent="0.55000000000000004">
      <c r="A7629" s="18">
        <v>24.7308849</v>
      </c>
      <c r="B7629" s="18">
        <v>34.780197600000001</v>
      </c>
      <c r="C7629" s="18">
        <v>680047.49</v>
      </c>
      <c r="D7629" s="18">
        <v>2736319.98</v>
      </c>
      <c r="E7629" s="18">
        <v>392.01</v>
      </c>
      <c r="F7629" s="18">
        <v>41706.61</v>
      </c>
      <c r="G7629" s="18">
        <v>130508</v>
      </c>
      <c r="H7629" s="18">
        <f t="shared" si="171"/>
        <v>41553.61</v>
      </c>
      <c r="I7629" s="3"/>
    </row>
    <row r="7630" spans="1:9" s="4" customFormat="1" ht="20.25" customHeight="1" x14ac:dyDescent="0.55000000000000004">
      <c r="A7630" s="18">
        <v>24.730906699999998</v>
      </c>
      <c r="B7630" s="18">
        <v>34.780209900000003</v>
      </c>
      <c r="C7630" s="18">
        <v>680048.7</v>
      </c>
      <c r="D7630" s="18">
        <v>2736322.41</v>
      </c>
      <c r="E7630" s="18">
        <v>392.06</v>
      </c>
      <c r="F7630" s="18">
        <v>41710.129999999997</v>
      </c>
      <c r="G7630" s="18">
        <v>130510</v>
      </c>
      <c r="H7630" s="18">
        <f t="shared" si="171"/>
        <v>41557.129999999997</v>
      </c>
      <c r="I7630" s="3"/>
    </row>
    <row r="7631" spans="1:9" s="4" customFormat="1" ht="20.25" customHeight="1" x14ac:dyDescent="0.55000000000000004">
      <c r="A7631" s="18">
        <v>24.7309278</v>
      </c>
      <c r="B7631" s="18">
        <v>34.780216299999999</v>
      </c>
      <c r="C7631" s="18">
        <v>680049.32</v>
      </c>
      <c r="D7631" s="18">
        <v>2736324.76</v>
      </c>
      <c r="E7631" s="18">
        <v>391.96</v>
      </c>
      <c r="F7631" s="18">
        <v>41714.22</v>
      </c>
      <c r="G7631" s="18">
        <v>130512</v>
      </c>
      <c r="H7631" s="18">
        <f t="shared" si="171"/>
        <v>41561.22</v>
      </c>
      <c r="I7631" s="3"/>
    </row>
    <row r="7632" spans="1:9" s="4" customFormat="1" ht="20.25" customHeight="1" x14ac:dyDescent="0.55000000000000004">
      <c r="A7632" s="18">
        <v>24.7309515</v>
      </c>
      <c r="B7632" s="18">
        <v>34.780222799999997</v>
      </c>
      <c r="C7632" s="18">
        <v>680049.94</v>
      </c>
      <c r="D7632" s="18">
        <v>2736327.38</v>
      </c>
      <c r="E7632" s="18">
        <v>391.93</v>
      </c>
      <c r="F7632" s="18">
        <v>41722.089999999997</v>
      </c>
      <c r="G7632" s="18">
        <v>130514</v>
      </c>
      <c r="H7632" s="18">
        <f t="shared" si="171"/>
        <v>41569.089999999997</v>
      </c>
      <c r="I7632" s="3"/>
    </row>
    <row r="7633" spans="1:9" s="4" customFormat="1" ht="20.25" customHeight="1" x14ac:dyDescent="0.55000000000000004">
      <c r="A7633" s="18">
        <v>24.7309743</v>
      </c>
      <c r="B7633" s="18">
        <v>34.780231899999997</v>
      </c>
      <c r="C7633" s="18">
        <v>680050.83</v>
      </c>
      <c r="D7633" s="18">
        <v>2736329.92</v>
      </c>
      <c r="E7633" s="18">
        <v>391.94</v>
      </c>
      <c r="F7633" s="18">
        <v>41711.99</v>
      </c>
      <c r="G7633" s="18">
        <v>130516</v>
      </c>
      <c r="H7633" s="18">
        <f t="shared" si="171"/>
        <v>41558.99</v>
      </c>
      <c r="I7633" s="3"/>
    </row>
    <row r="7634" spans="1:9" s="4" customFormat="1" ht="20.25" customHeight="1" x14ac:dyDescent="0.55000000000000004">
      <c r="A7634" s="18">
        <v>24.730992000000001</v>
      </c>
      <c r="B7634" s="18">
        <v>34.780249400000002</v>
      </c>
      <c r="C7634" s="18">
        <v>680052.57</v>
      </c>
      <c r="D7634" s="18">
        <v>2736331.9</v>
      </c>
      <c r="E7634" s="18">
        <v>391.84</v>
      </c>
      <c r="F7634" s="18">
        <v>41711.9</v>
      </c>
      <c r="G7634" s="18">
        <v>130518</v>
      </c>
      <c r="H7634" s="18">
        <f t="shared" ref="H7634:H7697" si="172">SUM(F7634-153)</f>
        <v>41558.9</v>
      </c>
      <c r="I7634" s="3"/>
    </row>
    <row r="7635" spans="1:9" s="4" customFormat="1" ht="20.25" customHeight="1" x14ac:dyDescent="0.55000000000000004">
      <c r="A7635" s="18">
        <v>24.731009</v>
      </c>
      <c r="B7635" s="18">
        <v>34.780270399999999</v>
      </c>
      <c r="C7635" s="18">
        <v>680054.67</v>
      </c>
      <c r="D7635" s="18">
        <v>2736333.81</v>
      </c>
      <c r="E7635" s="18">
        <v>391.77</v>
      </c>
      <c r="F7635" s="18">
        <v>41716.42</v>
      </c>
      <c r="G7635" s="18">
        <v>130520</v>
      </c>
      <c r="H7635" s="18">
        <f t="shared" si="172"/>
        <v>41563.42</v>
      </c>
      <c r="I7635" s="3"/>
    </row>
    <row r="7636" spans="1:9" s="4" customFormat="1" ht="20.25" customHeight="1" x14ac:dyDescent="0.55000000000000004">
      <c r="A7636" s="18">
        <v>24.731028899999998</v>
      </c>
      <c r="B7636" s="18">
        <v>34.7802851</v>
      </c>
      <c r="C7636" s="18">
        <v>680056.14</v>
      </c>
      <c r="D7636" s="18">
        <v>2736336.04</v>
      </c>
      <c r="E7636" s="18">
        <v>391.73</v>
      </c>
      <c r="F7636" s="18">
        <v>41722.47</v>
      </c>
      <c r="G7636" s="18">
        <v>130522</v>
      </c>
      <c r="H7636" s="18">
        <f t="shared" si="172"/>
        <v>41569.47</v>
      </c>
      <c r="I7636" s="3"/>
    </row>
    <row r="7637" spans="1:9" s="4" customFormat="1" ht="20.25" customHeight="1" x14ac:dyDescent="0.55000000000000004">
      <c r="A7637" s="18">
        <v>24.731049599999999</v>
      </c>
      <c r="B7637" s="18">
        <v>34.780298600000002</v>
      </c>
      <c r="C7637" s="18">
        <v>680057.46</v>
      </c>
      <c r="D7637" s="18">
        <v>2736338.35</v>
      </c>
      <c r="E7637" s="18">
        <v>391.66</v>
      </c>
      <c r="F7637" s="18">
        <v>41719.550000000003</v>
      </c>
      <c r="G7637" s="18">
        <v>130524</v>
      </c>
      <c r="H7637" s="18">
        <f t="shared" si="172"/>
        <v>41566.550000000003</v>
      </c>
      <c r="I7637" s="3"/>
    </row>
    <row r="7638" spans="1:9" s="4" customFormat="1" ht="20.25" customHeight="1" x14ac:dyDescent="0.55000000000000004">
      <c r="A7638" s="18">
        <v>24.731071499999999</v>
      </c>
      <c r="B7638" s="18">
        <v>34.780309299999999</v>
      </c>
      <c r="C7638" s="18">
        <v>680058.52</v>
      </c>
      <c r="D7638" s="18">
        <v>2736340.79</v>
      </c>
      <c r="E7638" s="18">
        <v>391.65</v>
      </c>
      <c r="F7638" s="18">
        <v>41721.050000000003</v>
      </c>
      <c r="G7638" s="18">
        <v>130526</v>
      </c>
      <c r="H7638" s="18">
        <f t="shared" si="172"/>
        <v>41568.050000000003</v>
      </c>
      <c r="I7638" s="3"/>
    </row>
    <row r="7639" spans="1:9" s="4" customFormat="1" ht="20.25" customHeight="1" x14ac:dyDescent="0.55000000000000004">
      <c r="A7639" s="18">
        <v>24.7310932</v>
      </c>
      <c r="B7639" s="18">
        <v>34.780324299999997</v>
      </c>
      <c r="C7639" s="18">
        <v>680060</v>
      </c>
      <c r="D7639" s="18">
        <v>2736343.21</v>
      </c>
      <c r="E7639" s="18">
        <v>391.63</v>
      </c>
      <c r="F7639" s="18">
        <v>41724.43</v>
      </c>
      <c r="G7639" s="18">
        <v>130528</v>
      </c>
      <c r="H7639" s="18">
        <f t="shared" si="172"/>
        <v>41571.43</v>
      </c>
      <c r="I7639" s="3"/>
    </row>
    <row r="7640" spans="1:9" s="4" customFormat="1" ht="20.25" customHeight="1" x14ac:dyDescent="0.55000000000000004">
      <c r="A7640" s="18">
        <v>24.7311136</v>
      </c>
      <c r="B7640" s="18">
        <v>34.780341499999999</v>
      </c>
      <c r="C7640" s="18">
        <v>680061.72</v>
      </c>
      <c r="D7640" s="18">
        <v>2736345.49</v>
      </c>
      <c r="E7640" s="18">
        <v>391.5</v>
      </c>
      <c r="F7640" s="18">
        <v>41726.379999999997</v>
      </c>
      <c r="G7640" s="18">
        <v>130530</v>
      </c>
      <c r="H7640" s="18">
        <f t="shared" si="172"/>
        <v>41573.379999999997</v>
      </c>
      <c r="I7640" s="3"/>
    </row>
    <row r="7641" spans="1:9" s="4" customFormat="1" ht="20.25" customHeight="1" x14ac:dyDescent="0.55000000000000004">
      <c r="A7641" s="18">
        <v>24.731131699999999</v>
      </c>
      <c r="B7641" s="18">
        <v>34.780359500000003</v>
      </c>
      <c r="C7641" s="18">
        <v>680063.51</v>
      </c>
      <c r="D7641" s="18">
        <v>2736347.53</v>
      </c>
      <c r="E7641" s="18">
        <v>391.43</v>
      </c>
      <c r="F7641" s="18">
        <v>41717.64</v>
      </c>
      <c r="G7641" s="18">
        <v>130532</v>
      </c>
      <c r="H7641" s="18">
        <f t="shared" si="172"/>
        <v>41564.639999999999</v>
      </c>
      <c r="I7641" s="3"/>
    </row>
    <row r="7642" spans="1:9" s="4" customFormat="1" ht="20.25" customHeight="1" x14ac:dyDescent="0.55000000000000004">
      <c r="A7642" s="18">
        <v>24.731150499999998</v>
      </c>
      <c r="B7642" s="18">
        <v>34.780376799999999</v>
      </c>
      <c r="C7642" s="18">
        <v>680065.23</v>
      </c>
      <c r="D7642" s="18">
        <v>2736349.64</v>
      </c>
      <c r="E7642" s="18">
        <v>391.45</v>
      </c>
      <c r="F7642" s="18">
        <v>41718.39</v>
      </c>
      <c r="G7642" s="18">
        <v>130534</v>
      </c>
      <c r="H7642" s="18">
        <f t="shared" si="172"/>
        <v>41565.39</v>
      </c>
      <c r="I7642" s="3"/>
    </row>
    <row r="7643" spans="1:9" s="4" customFormat="1" ht="20.25" customHeight="1" x14ac:dyDescent="0.55000000000000004">
      <c r="A7643" s="18">
        <v>24.731168400000001</v>
      </c>
      <c r="B7643" s="18">
        <v>34.780395499999997</v>
      </c>
      <c r="C7643" s="18">
        <v>680067.1</v>
      </c>
      <c r="D7643" s="18">
        <v>2736351.64</v>
      </c>
      <c r="E7643" s="18">
        <v>391.46</v>
      </c>
      <c r="F7643" s="18">
        <v>41715.730000000003</v>
      </c>
      <c r="G7643" s="18">
        <v>130536</v>
      </c>
      <c r="H7643" s="18">
        <f t="shared" si="172"/>
        <v>41562.730000000003</v>
      </c>
      <c r="I7643" s="3"/>
    </row>
    <row r="7644" spans="1:9" s="4" customFormat="1" ht="20.25" customHeight="1" x14ac:dyDescent="0.55000000000000004">
      <c r="A7644" s="18">
        <v>24.731186900000001</v>
      </c>
      <c r="B7644" s="18">
        <v>34.780413600000003</v>
      </c>
      <c r="C7644" s="18">
        <v>680068.91</v>
      </c>
      <c r="D7644" s="18">
        <v>2736353.72</v>
      </c>
      <c r="E7644" s="18">
        <v>391.38</v>
      </c>
      <c r="F7644" s="18">
        <v>41708.39</v>
      </c>
      <c r="G7644" s="18">
        <v>130538</v>
      </c>
      <c r="H7644" s="18">
        <f t="shared" si="172"/>
        <v>41555.39</v>
      </c>
      <c r="I7644" s="3"/>
    </row>
    <row r="7645" spans="1:9" s="4" customFormat="1" ht="20.25" customHeight="1" x14ac:dyDescent="0.55000000000000004">
      <c r="A7645" s="18">
        <v>24.731206400000001</v>
      </c>
      <c r="B7645" s="18">
        <v>34.780432500000003</v>
      </c>
      <c r="C7645" s="18">
        <v>680070.79</v>
      </c>
      <c r="D7645" s="18">
        <v>2736355.89</v>
      </c>
      <c r="E7645" s="18">
        <v>391.32</v>
      </c>
      <c r="F7645" s="18">
        <v>41723.21</v>
      </c>
      <c r="G7645" s="18">
        <v>130540</v>
      </c>
      <c r="H7645" s="18">
        <f t="shared" si="172"/>
        <v>41570.21</v>
      </c>
      <c r="I7645" s="3"/>
    </row>
    <row r="7646" spans="1:9" s="4" customFormat="1" ht="20.25" customHeight="1" x14ac:dyDescent="0.55000000000000004">
      <c r="A7646" s="18">
        <v>24.731226100000001</v>
      </c>
      <c r="B7646" s="18">
        <v>34.780447899999999</v>
      </c>
      <c r="C7646" s="18">
        <v>680072.32</v>
      </c>
      <c r="D7646" s="18">
        <v>2736358.1</v>
      </c>
      <c r="E7646" s="18">
        <v>391.31</v>
      </c>
      <c r="F7646" s="18">
        <v>41726.089999999997</v>
      </c>
      <c r="G7646" s="18">
        <v>130542</v>
      </c>
      <c r="H7646" s="18">
        <f t="shared" si="172"/>
        <v>41573.089999999997</v>
      </c>
      <c r="I7646" s="3"/>
    </row>
    <row r="7647" spans="1:9" s="4" customFormat="1" ht="20.25" customHeight="1" x14ac:dyDescent="0.55000000000000004">
      <c r="A7647" s="18">
        <v>24.731245699999999</v>
      </c>
      <c r="B7647" s="18">
        <v>34.780464899999998</v>
      </c>
      <c r="C7647" s="18">
        <v>680074.01</v>
      </c>
      <c r="D7647" s="18">
        <v>2736360.29</v>
      </c>
      <c r="E7647" s="18">
        <v>391.31</v>
      </c>
      <c r="F7647" s="18">
        <v>41731.07</v>
      </c>
      <c r="G7647" s="18">
        <v>130544</v>
      </c>
      <c r="H7647" s="18">
        <f t="shared" si="172"/>
        <v>41578.07</v>
      </c>
      <c r="I7647" s="3"/>
    </row>
    <row r="7648" spans="1:9" s="4" customFormat="1" ht="20.25" customHeight="1" x14ac:dyDescent="0.55000000000000004">
      <c r="A7648" s="18">
        <v>24.7312671</v>
      </c>
      <c r="B7648" s="18">
        <v>34.780480099999998</v>
      </c>
      <c r="C7648" s="18">
        <v>680075.52</v>
      </c>
      <c r="D7648" s="18">
        <v>2736362.68</v>
      </c>
      <c r="E7648" s="18">
        <v>391.17</v>
      </c>
      <c r="F7648" s="18">
        <v>41721.42</v>
      </c>
      <c r="G7648" s="18">
        <v>130546</v>
      </c>
      <c r="H7648" s="18">
        <f t="shared" si="172"/>
        <v>41568.42</v>
      </c>
      <c r="I7648" s="3"/>
    </row>
    <row r="7649" spans="1:9" s="4" customFormat="1" ht="20.25" customHeight="1" x14ac:dyDescent="0.55000000000000004">
      <c r="A7649" s="18">
        <v>24.731289400000001</v>
      </c>
      <c r="B7649" s="18">
        <v>34.780495899999998</v>
      </c>
      <c r="C7649" s="18">
        <v>680077.08</v>
      </c>
      <c r="D7649" s="18">
        <v>2736365.17</v>
      </c>
      <c r="E7649" s="18">
        <v>391.08</v>
      </c>
      <c r="F7649" s="18">
        <v>41721.230000000003</v>
      </c>
      <c r="G7649" s="18">
        <v>130548</v>
      </c>
      <c r="H7649" s="18">
        <f t="shared" si="172"/>
        <v>41568.230000000003</v>
      </c>
      <c r="I7649" s="3"/>
    </row>
    <row r="7650" spans="1:9" s="4" customFormat="1" ht="20.25" customHeight="1" x14ac:dyDescent="0.55000000000000004">
      <c r="A7650" s="18">
        <v>24.731310100000002</v>
      </c>
      <c r="B7650" s="18">
        <v>34.780509899999998</v>
      </c>
      <c r="C7650" s="18">
        <v>680078.46</v>
      </c>
      <c r="D7650" s="18">
        <v>2736367.48</v>
      </c>
      <c r="E7650" s="18">
        <v>391.01</v>
      </c>
      <c r="F7650" s="18">
        <v>41733.1</v>
      </c>
      <c r="G7650" s="18">
        <v>130550</v>
      </c>
      <c r="H7650" s="18">
        <f t="shared" si="172"/>
        <v>41580.1</v>
      </c>
      <c r="I7650" s="3"/>
    </row>
    <row r="7651" spans="1:9" s="4" customFormat="1" ht="20.25" customHeight="1" x14ac:dyDescent="0.55000000000000004">
      <c r="A7651" s="18">
        <v>24.731330400000001</v>
      </c>
      <c r="B7651" s="18">
        <v>34.780525799999999</v>
      </c>
      <c r="C7651" s="18">
        <v>680080.05</v>
      </c>
      <c r="D7651" s="18">
        <v>2736369.75</v>
      </c>
      <c r="E7651" s="18">
        <v>391</v>
      </c>
      <c r="F7651" s="18">
        <v>41717.68</v>
      </c>
      <c r="G7651" s="18">
        <v>130552</v>
      </c>
      <c r="H7651" s="18">
        <f t="shared" si="172"/>
        <v>41564.68</v>
      </c>
      <c r="I7651" s="3"/>
    </row>
    <row r="7652" spans="1:9" s="4" customFormat="1" ht="20.25" customHeight="1" x14ac:dyDescent="0.55000000000000004">
      <c r="A7652" s="18">
        <v>24.731347599999999</v>
      </c>
      <c r="B7652" s="18">
        <v>34.780544800000001</v>
      </c>
      <c r="C7652" s="18">
        <v>680081.95</v>
      </c>
      <c r="D7652" s="18">
        <v>2736371.68</v>
      </c>
      <c r="E7652" s="18">
        <v>390.95</v>
      </c>
      <c r="F7652" s="18">
        <v>41719.58</v>
      </c>
      <c r="G7652" s="18">
        <v>130554</v>
      </c>
      <c r="H7652" s="18">
        <f t="shared" si="172"/>
        <v>41566.58</v>
      </c>
      <c r="I7652" s="3"/>
    </row>
    <row r="7653" spans="1:9" s="4" customFormat="1" ht="20.25" customHeight="1" x14ac:dyDescent="0.55000000000000004">
      <c r="A7653" s="18">
        <v>24.731365199999999</v>
      </c>
      <c r="B7653" s="18">
        <v>34.780562500000002</v>
      </c>
      <c r="C7653" s="18">
        <v>680083.71</v>
      </c>
      <c r="D7653" s="18">
        <v>2736373.65</v>
      </c>
      <c r="E7653" s="18">
        <v>390.86</v>
      </c>
      <c r="F7653" s="18">
        <v>41721.08</v>
      </c>
      <c r="G7653" s="18">
        <v>130556</v>
      </c>
      <c r="H7653" s="18">
        <f t="shared" si="172"/>
        <v>41568.080000000002</v>
      </c>
      <c r="I7653" s="3"/>
    </row>
    <row r="7654" spans="1:9" s="4" customFormat="1" ht="20.25" customHeight="1" x14ac:dyDescent="0.55000000000000004">
      <c r="A7654" s="18">
        <v>24.731380600000001</v>
      </c>
      <c r="B7654" s="18">
        <v>34.780579199999998</v>
      </c>
      <c r="C7654" s="18">
        <v>680085.37</v>
      </c>
      <c r="D7654" s="18">
        <v>2736375.38</v>
      </c>
      <c r="E7654" s="18">
        <v>390.81</v>
      </c>
      <c r="F7654" s="18">
        <v>41720.42</v>
      </c>
      <c r="G7654" s="18">
        <v>130558</v>
      </c>
      <c r="H7654" s="18">
        <f t="shared" si="172"/>
        <v>41567.42</v>
      </c>
      <c r="I7654" s="3"/>
    </row>
    <row r="7655" spans="1:9" s="4" customFormat="1" ht="20.25" customHeight="1" x14ac:dyDescent="0.55000000000000004">
      <c r="A7655" s="18">
        <v>24.731397600000001</v>
      </c>
      <c r="B7655" s="18">
        <v>34.780597700000001</v>
      </c>
      <c r="C7655" s="18">
        <v>680087.23</v>
      </c>
      <c r="D7655" s="18">
        <v>2736377.29</v>
      </c>
      <c r="E7655" s="18">
        <v>390.74</v>
      </c>
      <c r="F7655" s="18">
        <v>41720.160000000003</v>
      </c>
      <c r="G7655" s="18">
        <v>130600</v>
      </c>
      <c r="H7655" s="18">
        <f t="shared" si="172"/>
        <v>41567.160000000003</v>
      </c>
      <c r="I7655" s="3"/>
    </row>
    <row r="7656" spans="1:9" s="4" customFormat="1" ht="20.25" customHeight="1" x14ac:dyDescent="0.55000000000000004">
      <c r="A7656" s="18">
        <v>24.731411099999999</v>
      </c>
      <c r="B7656" s="18">
        <v>34.7806164</v>
      </c>
      <c r="C7656" s="18">
        <v>680089.1</v>
      </c>
      <c r="D7656" s="18">
        <v>2736378.81</v>
      </c>
      <c r="E7656" s="18">
        <v>390.6</v>
      </c>
      <c r="F7656" s="18">
        <v>41723.660000000003</v>
      </c>
      <c r="G7656" s="18">
        <v>130602</v>
      </c>
      <c r="H7656" s="18">
        <f t="shared" si="172"/>
        <v>41570.660000000003</v>
      </c>
      <c r="I7656" s="3"/>
    </row>
    <row r="7657" spans="1:9" s="4" customFormat="1" ht="20.25" customHeight="1" x14ac:dyDescent="0.55000000000000004">
      <c r="A7657" s="18">
        <v>24.731427700000001</v>
      </c>
      <c r="B7657" s="18">
        <v>34.780636000000001</v>
      </c>
      <c r="C7657" s="18">
        <v>680091.05</v>
      </c>
      <c r="D7657" s="18">
        <v>2736380.67</v>
      </c>
      <c r="E7657" s="18">
        <v>390.47</v>
      </c>
      <c r="F7657" s="18">
        <v>41727.75</v>
      </c>
      <c r="G7657" s="18">
        <v>130604</v>
      </c>
      <c r="H7657" s="18">
        <f t="shared" si="172"/>
        <v>41574.75</v>
      </c>
      <c r="I7657" s="3"/>
    </row>
    <row r="7658" spans="1:9" s="4" customFormat="1" ht="20.25" customHeight="1" x14ac:dyDescent="0.55000000000000004">
      <c r="A7658" s="18">
        <v>24.731441799999999</v>
      </c>
      <c r="B7658" s="18">
        <v>34.780656700000002</v>
      </c>
      <c r="C7658" s="18">
        <v>680093.13</v>
      </c>
      <c r="D7658" s="18">
        <v>2736382.27</v>
      </c>
      <c r="E7658" s="18">
        <v>390.47</v>
      </c>
      <c r="F7658" s="18">
        <v>41728.239999999998</v>
      </c>
      <c r="G7658" s="18">
        <v>130606</v>
      </c>
      <c r="H7658" s="18">
        <f t="shared" si="172"/>
        <v>41575.24</v>
      </c>
      <c r="I7658" s="3"/>
    </row>
    <row r="7659" spans="1:9" s="4" customFormat="1" ht="20.25" customHeight="1" x14ac:dyDescent="0.55000000000000004">
      <c r="A7659" s="18">
        <v>24.7314556</v>
      </c>
      <c r="B7659" s="18">
        <v>34.780677300000001</v>
      </c>
      <c r="C7659" s="18">
        <v>680095.2</v>
      </c>
      <c r="D7659" s="18">
        <v>2736383.82</v>
      </c>
      <c r="E7659" s="18">
        <v>390.44</v>
      </c>
      <c r="F7659" s="18">
        <v>41727.67</v>
      </c>
      <c r="G7659" s="18">
        <v>130608</v>
      </c>
      <c r="H7659" s="18">
        <f t="shared" si="172"/>
        <v>41574.67</v>
      </c>
      <c r="I7659" s="3"/>
    </row>
    <row r="7660" spans="1:9" s="4" customFormat="1" ht="20.25" customHeight="1" x14ac:dyDescent="0.55000000000000004">
      <c r="A7660" s="18">
        <v>24.7314717</v>
      </c>
      <c r="B7660" s="18">
        <v>34.780698600000001</v>
      </c>
      <c r="C7660" s="18">
        <v>680097.32</v>
      </c>
      <c r="D7660" s="18">
        <v>2736385.63</v>
      </c>
      <c r="E7660" s="18">
        <v>390.38</v>
      </c>
      <c r="F7660" s="18">
        <v>41728.69</v>
      </c>
      <c r="G7660" s="18">
        <v>130610</v>
      </c>
      <c r="H7660" s="18">
        <f t="shared" si="172"/>
        <v>41575.69</v>
      </c>
      <c r="I7660" s="3"/>
    </row>
    <row r="7661" spans="1:9" s="4" customFormat="1" ht="20.25" customHeight="1" x14ac:dyDescent="0.55000000000000004">
      <c r="A7661" s="18">
        <v>24.731487900000001</v>
      </c>
      <c r="B7661" s="18">
        <v>34.7807186</v>
      </c>
      <c r="C7661" s="18">
        <v>680099.33</v>
      </c>
      <c r="D7661" s="18">
        <v>2736387.45</v>
      </c>
      <c r="E7661" s="18">
        <v>390.3</v>
      </c>
      <c r="F7661" s="18">
        <v>41720.92</v>
      </c>
      <c r="G7661" s="18">
        <v>130612</v>
      </c>
      <c r="H7661" s="18">
        <f t="shared" si="172"/>
        <v>41567.919999999998</v>
      </c>
      <c r="I7661" s="3"/>
    </row>
    <row r="7662" spans="1:9" s="4" customFormat="1" ht="20.25" customHeight="1" x14ac:dyDescent="0.55000000000000004">
      <c r="A7662" s="18">
        <v>24.731506400000001</v>
      </c>
      <c r="B7662" s="18">
        <v>34.780738100000001</v>
      </c>
      <c r="C7662" s="18">
        <v>680101.27</v>
      </c>
      <c r="D7662" s="18">
        <v>2736389.52</v>
      </c>
      <c r="E7662" s="18">
        <v>390.21</v>
      </c>
      <c r="F7662" s="18">
        <v>41717.519999999997</v>
      </c>
      <c r="G7662" s="18">
        <v>130614</v>
      </c>
      <c r="H7662" s="18">
        <f t="shared" si="172"/>
        <v>41564.519999999997</v>
      </c>
      <c r="I7662" s="3"/>
    </row>
    <row r="7663" spans="1:9" s="4" customFormat="1" ht="20.25" customHeight="1" x14ac:dyDescent="0.55000000000000004">
      <c r="A7663" s="18">
        <v>24.7315261</v>
      </c>
      <c r="B7663" s="18">
        <v>34.780752399999997</v>
      </c>
      <c r="C7663" s="18">
        <v>680102.68</v>
      </c>
      <c r="D7663" s="18">
        <v>2736391.73</v>
      </c>
      <c r="E7663" s="18">
        <v>390.13</v>
      </c>
      <c r="F7663" s="18">
        <v>41721.17</v>
      </c>
      <c r="G7663" s="18">
        <v>130616</v>
      </c>
      <c r="H7663" s="18">
        <f t="shared" si="172"/>
        <v>41568.17</v>
      </c>
      <c r="I7663" s="3"/>
    </row>
    <row r="7664" spans="1:9" s="4" customFormat="1" ht="20.25" customHeight="1" x14ac:dyDescent="0.55000000000000004">
      <c r="A7664" s="18">
        <v>24.731546300000002</v>
      </c>
      <c r="B7664" s="18">
        <v>34.780766399999997</v>
      </c>
      <c r="C7664" s="18">
        <v>680104.08</v>
      </c>
      <c r="D7664" s="18">
        <v>2736393.99</v>
      </c>
      <c r="E7664" s="18">
        <v>389.91</v>
      </c>
      <c r="F7664" s="18">
        <v>41714.65</v>
      </c>
      <c r="G7664" s="18">
        <v>130618</v>
      </c>
      <c r="H7664" s="18">
        <f t="shared" si="172"/>
        <v>41561.65</v>
      </c>
      <c r="I7664" s="3"/>
    </row>
    <row r="7665" spans="1:9" s="4" customFormat="1" ht="20.25" customHeight="1" x14ac:dyDescent="0.55000000000000004">
      <c r="A7665" s="18">
        <v>24.731568599999999</v>
      </c>
      <c r="B7665" s="18">
        <v>34.780780700000001</v>
      </c>
      <c r="C7665" s="18">
        <v>680105.49</v>
      </c>
      <c r="D7665" s="18">
        <v>2736396.47</v>
      </c>
      <c r="E7665" s="18">
        <v>389.69</v>
      </c>
      <c r="F7665" s="18">
        <v>41713.370000000003</v>
      </c>
      <c r="G7665" s="18">
        <v>130620</v>
      </c>
      <c r="H7665" s="18">
        <f t="shared" si="172"/>
        <v>41560.370000000003</v>
      </c>
      <c r="I7665" s="3"/>
    </row>
    <row r="7666" spans="1:9" s="4" customFormat="1" ht="20.25" customHeight="1" x14ac:dyDescent="0.55000000000000004">
      <c r="A7666" s="18">
        <v>24.731586199999999</v>
      </c>
      <c r="B7666" s="18">
        <v>34.780799100000003</v>
      </c>
      <c r="C7666" s="18">
        <v>680107.32</v>
      </c>
      <c r="D7666" s="18">
        <v>2736398.45</v>
      </c>
      <c r="E7666" s="18">
        <v>389.65</v>
      </c>
      <c r="F7666" s="18">
        <v>41716.239999999998</v>
      </c>
      <c r="G7666" s="18">
        <v>130622</v>
      </c>
      <c r="H7666" s="18">
        <f t="shared" si="172"/>
        <v>41563.24</v>
      </c>
      <c r="I7666" s="3"/>
    </row>
    <row r="7667" spans="1:9" s="4" customFormat="1" ht="20.25" customHeight="1" x14ac:dyDescent="0.55000000000000004">
      <c r="A7667" s="18">
        <v>24.7316067</v>
      </c>
      <c r="B7667" s="18">
        <v>34.780811900000003</v>
      </c>
      <c r="C7667" s="18">
        <v>680108.59</v>
      </c>
      <c r="D7667" s="18">
        <v>2736400.73</v>
      </c>
      <c r="E7667" s="18">
        <v>389.46</v>
      </c>
      <c r="F7667" s="18">
        <v>41709.269999999997</v>
      </c>
      <c r="G7667" s="18">
        <v>130624</v>
      </c>
      <c r="H7667" s="18">
        <f t="shared" si="172"/>
        <v>41556.269999999997</v>
      </c>
      <c r="I7667" s="3"/>
    </row>
    <row r="7668" spans="1:9" s="4" customFormat="1" ht="20.25" customHeight="1" x14ac:dyDescent="0.55000000000000004">
      <c r="A7668" s="18">
        <v>24.731626800000001</v>
      </c>
      <c r="B7668" s="18">
        <v>34.780824099999997</v>
      </c>
      <c r="C7668" s="18">
        <v>680109.8</v>
      </c>
      <c r="D7668" s="18">
        <v>2736402.98</v>
      </c>
      <c r="E7668" s="18">
        <v>389.45</v>
      </c>
      <c r="F7668" s="18">
        <v>41711.379999999997</v>
      </c>
      <c r="G7668" s="18">
        <v>130626</v>
      </c>
      <c r="H7668" s="18">
        <f t="shared" si="172"/>
        <v>41558.379999999997</v>
      </c>
      <c r="I7668" s="3"/>
    </row>
    <row r="7669" spans="1:9" s="4" customFormat="1" ht="20.25" customHeight="1" x14ac:dyDescent="0.55000000000000004">
      <c r="A7669" s="18">
        <v>24.7316492</v>
      </c>
      <c r="B7669" s="18">
        <v>34.780833000000001</v>
      </c>
      <c r="C7669" s="18">
        <v>680110.66</v>
      </c>
      <c r="D7669" s="18">
        <v>2736405.46</v>
      </c>
      <c r="E7669" s="18">
        <v>389.32</v>
      </c>
      <c r="F7669" s="18">
        <v>41717.54</v>
      </c>
      <c r="G7669" s="18">
        <v>130628</v>
      </c>
      <c r="H7669" s="18">
        <f t="shared" si="172"/>
        <v>41564.54</v>
      </c>
      <c r="I7669" s="3"/>
    </row>
    <row r="7670" spans="1:9" s="4" customFormat="1" ht="20.25" customHeight="1" x14ac:dyDescent="0.55000000000000004">
      <c r="A7670" s="18">
        <v>24.7316696</v>
      </c>
      <c r="B7670" s="18">
        <v>34.780841100000004</v>
      </c>
      <c r="C7670" s="18">
        <v>680111.45</v>
      </c>
      <c r="D7670" s="18">
        <v>2736407.74</v>
      </c>
      <c r="E7670" s="18">
        <v>389.23</v>
      </c>
      <c r="F7670" s="18">
        <v>41720.559999999998</v>
      </c>
      <c r="G7670" s="18">
        <v>130630</v>
      </c>
      <c r="H7670" s="18">
        <f t="shared" si="172"/>
        <v>41567.56</v>
      </c>
      <c r="I7670" s="3"/>
    </row>
    <row r="7671" spans="1:9" s="4" customFormat="1" ht="20.25" customHeight="1" x14ac:dyDescent="0.55000000000000004">
      <c r="A7671" s="18">
        <v>24.731693799999999</v>
      </c>
      <c r="B7671" s="18">
        <v>34.780850899999997</v>
      </c>
      <c r="C7671" s="18">
        <v>680112.41</v>
      </c>
      <c r="D7671" s="18">
        <v>2736410.43</v>
      </c>
      <c r="E7671" s="18">
        <v>389.34</v>
      </c>
      <c r="F7671" s="18">
        <v>41721.17</v>
      </c>
      <c r="G7671" s="18">
        <v>130632</v>
      </c>
      <c r="H7671" s="18">
        <f t="shared" si="172"/>
        <v>41568.17</v>
      </c>
      <c r="I7671" s="3"/>
    </row>
    <row r="7672" spans="1:9" s="4" customFormat="1" ht="20.25" customHeight="1" x14ac:dyDescent="0.55000000000000004">
      <c r="A7672" s="18">
        <v>24.731717400000001</v>
      </c>
      <c r="B7672" s="18">
        <v>34.780857599999997</v>
      </c>
      <c r="C7672" s="18">
        <v>680113.05</v>
      </c>
      <c r="D7672" s="18">
        <v>2736413.06</v>
      </c>
      <c r="E7672" s="18">
        <v>389.41</v>
      </c>
      <c r="F7672" s="18">
        <v>41713.379999999997</v>
      </c>
      <c r="G7672" s="18">
        <v>130634</v>
      </c>
      <c r="H7672" s="18">
        <f t="shared" si="172"/>
        <v>41560.379999999997</v>
      </c>
      <c r="I7672" s="3"/>
    </row>
    <row r="7673" spans="1:9" s="4" customFormat="1" ht="20.25" customHeight="1" x14ac:dyDescent="0.55000000000000004">
      <c r="A7673" s="18">
        <v>24.731741</v>
      </c>
      <c r="B7673" s="18">
        <v>34.780859999999997</v>
      </c>
      <c r="C7673" s="18">
        <v>680113.26</v>
      </c>
      <c r="D7673" s="18">
        <v>2736415.67</v>
      </c>
      <c r="E7673" s="18">
        <v>389.37</v>
      </c>
      <c r="F7673" s="18">
        <v>41712.6</v>
      </c>
      <c r="G7673" s="18">
        <v>130636</v>
      </c>
      <c r="H7673" s="18">
        <f t="shared" si="172"/>
        <v>41559.599999999999</v>
      </c>
      <c r="I7673" s="3"/>
    </row>
    <row r="7674" spans="1:9" s="4" customFormat="1" ht="20.25" customHeight="1" x14ac:dyDescent="0.55000000000000004">
      <c r="A7674" s="18">
        <v>24.7317663</v>
      </c>
      <c r="B7674" s="18">
        <v>34.780855799999998</v>
      </c>
      <c r="C7674" s="18">
        <v>680112.8</v>
      </c>
      <c r="D7674" s="18">
        <v>2736418.47</v>
      </c>
      <c r="E7674" s="18">
        <v>389.18</v>
      </c>
      <c r="F7674" s="18">
        <v>41715.19</v>
      </c>
      <c r="G7674" s="18">
        <v>130638</v>
      </c>
      <c r="H7674" s="18">
        <f t="shared" si="172"/>
        <v>41562.19</v>
      </c>
      <c r="I7674" s="3"/>
    </row>
    <row r="7675" spans="1:9" s="4" customFormat="1" ht="20.25" customHeight="1" x14ac:dyDescent="0.55000000000000004">
      <c r="A7675" s="18">
        <v>24.731790700000001</v>
      </c>
      <c r="B7675" s="18">
        <v>34.7808511</v>
      </c>
      <c r="C7675" s="18">
        <v>680112.29</v>
      </c>
      <c r="D7675" s="18">
        <v>2736421.16</v>
      </c>
      <c r="E7675" s="18">
        <v>389</v>
      </c>
      <c r="F7675" s="18">
        <v>41719.61</v>
      </c>
      <c r="G7675" s="18">
        <v>130640</v>
      </c>
      <c r="H7675" s="18">
        <f t="shared" si="172"/>
        <v>41566.61</v>
      </c>
      <c r="I7675" s="3"/>
    </row>
    <row r="7676" spans="1:9" s="4" customFormat="1" ht="20.25" customHeight="1" x14ac:dyDescent="0.55000000000000004">
      <c r="A7676" s="18">
        <v>24.731815900000001</v>
      </c>
      <c r="B7676" s="18">
        <v>34.780845800000002</v>
      </c>
      <c r="C7676" s="18">
        <v>680111.72</v>
      </c>
      <c r="D7676" s="18">
        <v>2736423.94</v>
      </c>
      <c r="E7676" s="18">
        <v>388.81</v>
      </c>
      <c r="F7676" s="18">
        <v>41721.620000000003</v>
      </c>
      <c r="G7676" s="18">
        <v>130642</v>
      </c>
      <c r="H7676" s="18">
        <f t="shared" si="172"/>
        <v>41568.620000000003</v>
      </c>
      <c r="I7676" s="3"/>
    </row>
    <row r="7677" spans="1:9" s="4" customFormat="1" ht="20.25" customHeight="1" x14ac:dyDescent="0.55000000000000004">
      <c r="A7677" s="18">
        <v>24.731839900000001</v>
      </c>
      <c r="B7677" s="18">
        <v>34.780837300000002</v>
      </c>
      <c r="C7677" s="18">
        <v>680110.83</v>
      </c>
      <c r="D7677" s="18">
        <v>2736426.6</v>
      </c>
      <c r="E7677" s="18">
        <v>388.74</v>
      </c>
      <c r="F7677" s="18">
        <v>41723.5</v>
      </c>
      <c r="G7677" s="18">
        <v>130644</v>
      </c>
      <c r="H7677" s="18">
        <f t="shared" si="172"/>
        <v>41570.5</v>
      </c>
      <c r="I7677" s="3"/>
    </row>
    <row r="7678" spans="1:9" s="4" customFormat="1" ht="20.25" customHeight="1" x14ac:dyDescent="0.55000000000000004">
      <c r="A7678" s="18">
        <v>24.731863199999999</v>
      </c>
      <c r="B7678" s="18">
        <v>34.780827899999998</v>
      </c>
      <c r="C7678" s="18">
        <v>680109.84</v>
      </c>
      <c r="D7678" s="18">
        <v>2736429.16</v>
      </c>
      <c r="E7678" s="18">
        <v>388.64</v>
      </c>
      <c r="F7678" s="18">
        <v>41717.61</v>
      </c>
      <c r="G7678" s="18">
        <v>130646</v>
      </c>
      <c r="H7678" s="18">
        <f t="shared" si="172"/>
        <v>41564.61</v>
      </c>
      <c r="I7678" s="3"/>
    </row>
    <row r="7679" spans="1:9" s="4" customFormat="1" ht="20.25" customHeight="1" x14ac:dyDescent="0.55000000000000004">
      <c r="A7679" s="18">
        <v>24.731885399999999</v>
      </c>
      <c r="B7679" s="18">
        <v>34.780814599999999</v>
      </c>
      <c r="C7679" s="18">
        <v>680108.46</v>
      </c>
      <c r="D7679" s="18">
        <v>2736431.6</v>
      </c>
      <c r="E7679" s="18">
        <v>388.46</v>
      </c>
      <c r="F7679" s="18">
        <v>41724.019999999997</v>
      </c>
      <c r="G7679" s="18">
        <v>130648</v>
      </c>
      <c r="H7679" s="18">
        <f t="shared" si="172"/>
        <v>41571.019999999997</v>
      </c>
      <c r="I7679" s="3"/>
    </row>
    <row r="7680" spans="1:9" s="4" customFormat="1" ht="20.25" customHeight="1" x14ac:dyDescent="0.55000000000000004">
      <c r="A7680" s="18">
        <v>24.731907700000001</v>
      </c>
      <c r="B7680" s="18">
        <v>34.780801099999998</v>
      </c>
      <c r="C7680" s="18">
        <v>680107.06</v>
      </c>
      <c r="D7680" s="18">
        <v>2736434.05</v>
      </c>
      <c r="E7680" s="18">
        <v>388.35</v>
      </c>
      <c r="F7680" s="18">
        <v>41720.879999999997</v>
      </c>
      <c r="G7680" s="18">
        <v>130650</v>
      </c>
      <c r="H7680" s="18">
        <f t="shared" si="172"/>
        <v>41567.879999999997</v>
      </c>
      <c r="I7680" s="3"/>
    </row>
    <row r="7681" spans="1:9" s="4" customFormat="1" ht="20.25" customHeight="1" x14ac:dyDescent="0.55000000000000004">
      <c r="A7681" s="18">
        <v>24.731928499999999</v>
      </c>
      <c r="B7681" s="18">
        <v>34.780787400000001</v>
      </c>
      <c r="C7681" s="18">
        <v>680105.65</v>
      </c>
      <c r="D7681" s="18">
        <v>2736436.34</v>
      </c>
      <c r="E7681" s="18">
        <v>388.35</v>
      </c>
      <c r="F7681" s="18">
        <v>41723.040000000001</v>
      </c>
      <c r="G7681" s="18">
        <v>130652</v>
      </c>
      <c r="H7681" s="18">
        <f t="shared" si="172"/>
        <v>41570.04</v>
      </c>
      <c r="I7681" s="3"/>
    </row>
    <row r="7682" spans="1:9" s="4" customFormat="1" ht="20.25" customHeight="1" x14ac:dyDescent="0.55000000000000004">
      <c r="A7682" s="18">
        <v>24.731949100000001</v>
      </c>
      <c r="B7682" s="18">
        <v>34.780774600000001</v>
      </c>
      <c r="C7682" s="18">
        <v>680104.33</v>
      </c>
      <c r="D7682" s="18">
        <v>2736438.61</v>
      </c>
      <c r="E7682" s="18">
        <v>388.3</v>
      </c>
      <c r="F7682" s="18">
        <v>41722.980000000003</v>
      </c>
      <c r="G7682" s="18">
        <v>130654</v>
      </c>
      <c r="H7682" s="18">
        <f t="shared" si="172"/>
        <v>41569.980000000003</v>
      </c>
      <c r="I7682" s="3"/>
    </row>
    <row r="7683" spans="1:9" s="4" customFormat="1" ht="20.25" customHeight="1" x14ac:dyDescent="0.55000000000000004">
      <c r="A7683" s="18">
        <v>24.7319709</v>
      </c>
      <c r="B7683" s="18">
        <v>34.780761699999999</v>
      </c>
      <c r="C7683" s="18">
        <v>680102.99</v>
      </c>
      <c r="D7683" s="18">
        <v>2736441.01</v>
      </c>
      <c r="E7683" s="18">
        <v>388.25</v>
      </c>
      <c r="F7683" s="18">
        <v>41723.949999999997</v>
      </c>
      <c r="G7683" s="18">
        <v>130656</v>
      </c>
      <c r="H7683" s="18">
        <f t="shared" si="172"/>
        <v>41570.949999999997</v>
      </c>
      <c r="I7683" s="3"/>
    </row>
    <row r="7684" spans="1:9" s="4" customFormat="1" ht="20.25" customHeight="1" x14ac:dyDescent="0.55000000000000004">
      <c r="A7684" s="18">
        <v>24.731993299999999</v>
      </c>
      <c r="B7684" s="18">
        <v>34.780751899999998</v>
      </c>
      <c r="C7684" s="18">
        <v>680101.96</v>
      </c>
      <c r="D7684" s="18">
        <v>2736443.47</v>
      </c>
      <c r="E7684" s="18">
        <v>388.1</v>
      </c>
      <c r="F7684" s="18">
        <v>41720.620000000003</v>
      </c>
      <c r="G7684" s="18">
        <v>130658</v>
      </c>
      <c r="H7684" s="18">
        <f t="shared" si="172"/>
        <v>41567.620000000003</v>
      </c>
      <c r="I7684" s="3"/>
    </row>
    <row r="7685" spans="1:9" s="4" customFormat="1" ht="20.25" customHeight="1" x14ac:dyDescent="0.55000000000000004">
      <c r="A7685" s="18">
        <v>24.732015700000002</v>
      </c>
      <c r="B7685" s="18">
        <v>34.780743000000001</v>
      </c>
      <c r="C7685" s="18">
        <v>680101.04</v>
      </c>
      <c r="D7685" s="18">
        <v>2736445.95</v>
      </c>
      <c r="E7685" s="18">
        <v>388.05</v>
      </c>
      <c r="F7685" s="18">
        <v>41727.42</v>
      </c>
      <c r="G7685" s="18">
        <v>130700</v>
      </c>
      <c r="H7685" s="18">
        <f t="shared" si="172"/>
        <v>41574.42</v>
      </c>
      <c r="I7685" s="3"/>
    </row>
    <row r="7686" spans="1:9" s="4" customFormat="1" ht="20.25" customHeight="1" x14ac:dyDescent="0.55000000000000004">
      <c r="A7686" s="18">
        <v>24.7320396</v>
      </c>
      <c r="B7686" s="18">
        <v>34.780733300000001</v>
      </c>
      <c r="C7686" s="18">
        <v>680100.02</v>
      </c>
      <c r="D7686" s="18">
        <v>2736448.58</v>
      </c>
      <c r="E7686" s="18">
        <v>387.97</v>
      </c>
      <c r="F7686" s="18">
        <v>41722.68</v>
      </c>
      <c r="G7686" s="18">
        <v>130702</v>
      </c>
      <c r="H7686" s="18">
        <f t="shared" si="172"/>
        <v>41569.68</v>
      </c>
      <c r="I7686" s="3"/>
    </row>
    <row r="7687" spans="1:9" s="4" customFormat="1" ht="20.25" customHeight="1" x14ac:dyDescent="0.55000000000000004">
      <c r="A7687" s="18">
        <v>24.732060400000002</v>
      </c>
      <c r="B7687" s="18">
        <v>34.780719900000001</v>
      </c>
      <c r="C7687" s="18">
        <v>680098.64</v>
      </c>
      <c r="D7687" s="18">
        <v>2736450.87</v>
      </c>
      <c r="E7687" s="18">
        <v>387.8</v>
      </c>
      <c r="F7687" s="18">
        <v>41718.44</v>
      </c>
      <c r="G7687" s="18">
        <v>130704</v>
      </c>
      <c r="H7687" s="18">
        <f t="shared" si="172"/>
        <v>41565.440000000002</v>
      </c>
      <c r="I7687" s="3"/>
    </row>
    <row r="7688" spans="1:9" s="4" customFormat="1" ht="20.25" customHeight="1" x14ac:dyDescent="0.55000000000000004">
      <c r="A7688" s="18">
        <v>24.732082900000002</v>
      </c>
      <c r="B7688" s="18">
        <v>34.7807089</v>
      </c>
      <c r="C7688" s="18">
        <v>680097.48</v>
      </c>
      <c r="D7688" s="18">
        <v>2736453.34</v>
      </c>
      <c r="E7688" s="18">
        <v>387.6</v>
      </c>
      <c r="F7688" s="18">
        <v>41719.5</v>
      </c>
      <c r="G7688" s="18">
        <v>130706</v>
      </c>
      <c r="H7688" s="18">
        <f t="shared" si="172"/>
        <v>41566.5</v>
      </c>
      <c r="I7688" s="3"/>
    </row>
    <row r="7689" spans="1:9" s="4" customFormat="1" ht="20.25" customHeight="1" x14ac:dyDescent="0.55000000000000004">
      <c r="A7689" s="18">
        <v>24.732106300000002</v>
      </c>
      <c r="B7689" s="18">
        <v>34.780698000000001</v>
      </c>
      <c r="C7689" s="18">
        <v>680096.35</v>
      </c>
      <c r="D7689" s="18">
        <v>2736455.92</v>
      </c>
      <c r="E7689" s="18">
        <v>387.48</v>
      </c>
      <c r="F7689" s="18">
        <v>41720.69</v>
      </c>
      <c r="G7689" s="18">
        <v>130708</v>
      </c>
      <c r="H7689" s="18">
        <f t="shared" si="172"/>
        <v>41567.69</v>
      </c>
      <c r="I7689" s="3"/>
    </row>
    <row r="7690" spans="1:9" s="4" customFormat="1" ht="20.25" customHeight="1" x14ac:dyDescent="0.55000000000000004">
      <c r="A7690" s="18">
        <v>24.732130000000002</v>
      </c>
      <c r="B7690" s="18">
        <v>34.780697799999999</v>
      </c>
      <c r="C7690" s="18">
        <v>680096.29</v>
      </c>
      <c r="D7690" s="18">
        <v>2736458.55</v>
      </c>
      <c r="E7690" s="18">
        <v>387.34</v>
      </c>
      <c r="F7690" s="18">
        <v>41717.06</v>
      </c>
      <c r="G7690" s="18">
        <v>130710</v>
      </c>
      <c r="H7690" s="18">
        <f t="shared" si="172"/>
        <v>41564.06</v>
      </c>
      <c r="I7690" s="3"/>
    </row>
    <row r="7691" spans="1:9" s="4" customFormat="1" ht="20.25" customHeight="1" x14ac:dyDescent="0.55000000000000004">
      <c r="A7691" s="18">
        <v>24.7321533</v>
      </c>
      <c r="B7691" s="18">
        <v>34.780696900000002</v>
      </c>
      <c r="C7691" s="18">
        <v>680096.17</v>
      </c>
      <c r="D7691" s="18">
        <v>2736461.12</v>
      </c>
      <c r="E7691" s="18">
        <v>387.12</v>
      </c>
      <c r="F7691" s="18">
        <v>41715.47</v>
      </c>
      <c r="G7691" s="18">
        <v>130712</v>
      </c>
      <c r="H7691" s="18">
        <f t="shared" si="172"/>
        <v>41562.47</v>
      </c>
      <c r="I7691" s="3"/>
    </row>
    <row r="7692" spans="1:9" s="4" customFormat="1" ht="20.25" customHeight="1" x14ac:dyDescent="0.55000000000000004">
      <c r="A7692" s="18">
        <v>24.732176200000001</v>
      </c>
      <c r="B7692" s="18">
        <v>34.780688900000001</v>
      </c>
      <c r="C7692" s="18">
        <v>680095.33</v>
      </c>
      <c r="D7692" s="18">
        <v>2736463.64</v>
      </c>
      <c r="E7692" s="18">
        <v>387.04</v>
      </c>
      <c r="F7692" s="18">
        <v>41720.269999999997</v>
      </c>
      <c r="G7692" s="18">
        <v>130714</v>
      </c>
      <c r="H7692" s="18">
        <f t="shared" si="172"/>
        <v>41567.269999999997</v>
      </c>
      <c r="I7692" s="3"/>
    </row>
    <row r="7693" spans="1:9" s="4" customFormat="1" ht="20.25" customHeight="1" x14ac:dyDescent="0.55000000000000004">
      <c r="A7693" s="18">
        <v>24.732196500000001</v>
      </c>
      <c r="B7693" s="18">
        <v>34.780678799999997</v>
      </c>
      <c r="C7693" s="18">
        <v>680094.28</v>
      </c>
      <c r="D7693" s="18">
        <v>2736465.89</v>
      </c>
      <c r="E7693" s="18">
        <v>387.11</v>
      </c>
      <c r="F7693" s="18">
        <v>41728.69</v>
      </c>
      <c r="G7693" s="18">
        <v>130716</v>
      </c>
      <c r="H7693" s="18">
        <f t="shared" si="172"/>
        <v>41575.69</v>
      </c>
      <c r="I7693" s="3"/>
    </row>
    <row r="7694" spans="1:9" s="4" customFormat="1" ht="20.25" customHeight="1" x14ac:dyDescent="0.55000000000000004">
      <c r="A7694" s="18">
        <v>24.7322174</v>
      </c>
      <c r="B7694" s="18">
        <v>34.780669899999999</v>
      </c>
      <c r="C7694" s="18">
        <v>680093.35</v>
      </c>
      <c r="D7694" s="18">
        <v>2736468.19</v>
      </c>
      <c r="E7694" s="18">
        <v>387.09</v>
      </c>
      <c r="F7694" s="18">
        <v>41734.04</v>
      </c>
      <c r="G7694" s="18">
        <v>130718</v>
      </c>
      <c r="H7694" s="18">
        <f t="shared" si="172"/>
        <v>41581.040000000001</v>
      </c>
      <c r="I7694" s="3"/>
    </row>
    <row r="7695" spans="1:9" s="4" customFormat="1" ht="20.25" customHeight="1" x14ac:dyDescent="0.55000000000000004">
      <c r="A7695" s="18">
        <v>24.732239700000001</v>
      </c>
      <c r="B7695" s="18">
        <v>34.780659900000003</v>
      </c>
      <c r="C7695" s="18">
        <v>680092.3</v>
      </c>
      <c r="D7695" s="18">
        <v>2736470.64</v>
      </c>
      <c r="E7695" s="18">
        <v>386.99</v>
      </c>
      <c r="F7695" s="18">
        <v>41726.959999999999</v>
      </c>
      <c r="G7695" s="18">
        <v>130720</v>
      </c>
      <c r="H7695" s="18">
        <f t="shared" si="172"/>
        <v>41573.96</v>
      </c>
      <c r="I7695" s="3"/>
    </row>
    <row r="7696" spans="1:9" s="4" customFormat="1" ht="20.25" customHeight="1" x14ac:dyDescent="0.55000000000000004">
      <c r="A7696" s="18">
        <v>24.732260400000001</v>
      </c>
      <c r="B7696" s="18">
        <v>34.780647600000002</v>
      </c>
      <c r="C7696" s="18">
        <v>680091.03</v>
      </c>
      <c r="D7696" s="18">
        <v>2736472.92</v>
      </c>
      <c r="E7696" s="18">
        <v>387.06</v>
      </c>
      <c r="F7696" s="18">
        <v>41730.199999999997</v>
      </c>
      <c r="G7696" s="18">
        <v>130722</v>
      </c>
      <c r="H7696" s="18">
        <f t="shared" si="172"/>
        <v>41577.199999999997</v>
      </c>
      <c r="I7696" s="3"/>
    </row>
    <row r="7697" spans="1:9" s="4" customFormat="1" ht="20.25" customHeight="1" x14ac:dyDescent="0.55000000000000004">
      <c r="A7697" s="18">
        <v>24.732279200000001</v>
      </c>
      <c r="B7697" s="18">
        <v>34.780635500000002</v>
      </c>
      <c r="C7697" s="18">
        <v>680089.78</v>
      </c>
      <c r="D7697" s="18">
        <v>2736474.98</v>
      </c>
      <c r="E7697" s="18">
        <v>387.04</v>
      </c>
      <c r="F7697" s="18">
        <v>41729.279999999999</v>
      </c>
      <c r="G7697" s="18">
        <v>130724</v>
      </c>
      <c r="H7697" s="18">
        <f t="shared" si="172"/>
        <v>41576.28</v>
      </c>
      <c r="I7697" s="3"/>
    </row>
    <row r="7698" spans="1:9" s="4" customFormat="1" ht="20.25" customHeight="1" x14ac:dyDescent="0.55000000000000004">
      <c r="A7698" s="18">
        <v>24.732299000000001</v>
      </c>
      <c r="B7698" s="18">
        <v>34.780621500000002</v>
      </c>
      <c r="C7698" s="18">
        <v>680088.34</v>
      </c>
      <c r="D7698" s="18">
        <v>2736477.16</v>
      </c>
      <c r="E7698" s="18">
        <v>386.93</v>
      </c>
      <c r="F7698" s="18">
        <v>41729.199999999997</v>
      </c>
      <c r="G7698" s="18">
        <v>130726</v>
      </c>
      <c r="H7698" s="18">
        <f t="shared" ref="H7698:H7761" si="173">SUM(F7698-153)</f>
        <v>41576.199999999997</v>
      </c>
      <c r="I7698" s="3"/>
    </row>
    <row r="7699" spans="1:9" s="4" customFormat="1" ht="20.25" customHeight="1" x14ac:dyDescent="0.55000000000000004">
      <c r="A7699" s="18">
        <v>24.732319100000002</v>
      </c>
      <c r="B7699" s="18">
        <v>34.7806164</v>
      </c>
      <c r="C7699" s="18">
        <v>680087.79</v>
      </c>
      <c r="D7699" s="18">
        <v>2736479.38</v>
      </c>
      <c r="E7699" s="18">
        <v>386.98</v>
      </c>
      <c r="F7699" s="18">
        <v>41727.919999999998</v>
      </c>
      <c r="G7699" s="18">
        <v>130728</v>
      </c>
      <c r="H7699" s="18">
        <f t="shared" si="173"/>
        <v>41574.92</v>
      </c>
      <c r="I7699" s="3"/>
    </row>
    <row r="7700" spans="1:9" s="4" customFormat="1" ht="20.25" customHeight="1" x14ac:dyDescent="0.55000000000000004">
      <c r="A7700" s="18">
        <v>24.732334399999999</v>
      </c>
      <c r="B7700" s="18">
        <v>34.780617599999999</v>
      </c>
      <c r="C7700" s="18">
        <v>680087.88</v>
      </c>
      <c r="D7700" s="18">
        <v>2736481.08</v>
      </c>
      <c r="E7700" s="18">
        <v>387</v>
      </c>
      <c r="F7700" s="18">
        <v>41725.760000000002</v>
      </c>
      <c r="G7700" s="18">
        <v>130730</v>
      </c>
      <c r="H7700" s="18">
        <f t="shared" si="173"/>
        <v>41572.76</v>
      </c>
      <c r="I7700" s="3"/>
    </row>
    <row r="7701" spans="1:9" s="4" customFormat="1" ht="20.25" customHeight="1" x14ac:dyDescent="0.55000000000000004">
      <c r="A7701" s="18">
        <v>24.732355299999998</v>
      </c>
      <c r="B7701" s="18">
        <v>34.780615699999998</v>
      </c>
      <c r="C7701" s="18">
        <v>680087.66</v>
      </c>
      <c r="D7701" s="18">
        <v>2736483.38</v>
      </c>
      <c r="E7701" s="18">
        <v>386.9</v>
      </c>
      <c r="F7701" s="18">
        <v>41725.85</v>
      </c>
      <c r="G7701" s="18">
        <v>130732</v>
      </c>
      <c r="H7701" s="18">
        <f t="shared" si="173"/>
        <v>41572.85</v>
      </c>
      <c r="I7701" s="3"/>
    </row>
    <row r="7702" spans="1:9" s="4" customFormat="1" ht="20.25" customHeight="1" x14ac:dyDescent="0.55000000000000004">
      <c r="A7702" s="18">
        <v>24.732377899999999</v>
      </c>
      <c r="B7702" s="18">
        <v>34.780612599999998</v>
      </c>
      <c r="C7702" s="18">
        <v>680087.32</v>
      </c>
      <c r="D7702" s="18">
        <v>2736485.89</v>
      </c>
      <c r="E7702" s="18">
        <v>386.87</v>
      </c>
      <c r="F7702" s="18">
        <v>41723.06</v>
      </c>
      <c r="G7702" s="18">
        <v>130734</v>
      </c>
      <c r="H7702" s="18">
        <f t="shared" si="173"/>
        <v>41570.06</v>
      </c>
      <c r="I7702" s="3"/>
    </row>
    <row r="7703" spans="1:9" s="4" customFormat="1" ht="20.25" customHeight="1" x14ac:dyDescent="0.55000000000000004">
      <c r="A7703" s="18">
        <v>24.732401400000001</v>
      </c>
      <c r="B7703" s="18">
        <v>34.780613500000001</v>
      </c>
      <c r="C7703" s="18">
        <v>680087.37</v>
      </c>
      <c r="D7703" s="18">
        <v>2736488.49</v>
      </c>
      <c r="E7703" s="18">
        <v>386.78</v>
      </c>
      <c r="F7703" s="18">
        <v>41733.269999999997</v>
      </c>
      <c r="G7703" s="18">
        <v>130736</v>
      </c>
      <c r="H7703" s="18">
        <f t="shared" si="173"/>
        <v>41580.269999999997</v>
      </c>
      <c r="I7703" s="3"/>
    </row>
    <row r="7704" spans="1:9" s="4" customFormat="1" ht="20.25" customHeight="1" x14ac:dyDescent="0.55000000000000004">
      <c r="A7704" s="18">
        <v>24.732423199999999</v>
      </c>
      <c r="B7704" s="18">
        <v>34.780615300000001</v>
      </c>
      <c r="C7704" s="18">
        <v>680087.53</v>
      </c>
      <c r="D7704" s="18">
        <v>2736490.91</v>
      </c>
      <c r="E7704" s="18">
        <v>386.69</v>
      </c>
      <c r="F7704" s="18">
        <v>41719.97</v>
      </c>
      <c r="G7704" s="18">
        <v>130738</v>
      </c>
      <c r="H7704" s="18">
        <f t="shared" si="173"/>
        <v>41566.97</v>
      </c>
      <c r="I7704" s="3"/>
    </row>
    <row r="7705" spans="1:9" s="4" customFormat="1" ht="20.25" customHeight="1" x14ac:dyDescent="0.55000000000000004">
      <c r="A7705" s="18">
        <v>24.732445899999998</v>
      </c>
      <c r="B7705" s="18">
        <v>34.780615599999997</v>
      </c>
      <c r="C7705" s="18">
        <v>680087.52</v>
      </c>
      <c r="D7705" s="18">
        <v>2736493.42</v>
      </c>
      <c r="E7705" s="18">
        <v>386.6</v>
      </c>
      <c r="F7705" s="18">
        <v>41726.14</v>
      </c>
      <c r="G7705" s="18">
        <v>130740</v>
      </c>
      <c r="H7705" s="18">
        <f t="shared" si="173"/>
        <v>41573.14</v>
      </c>
      <c r="I7705" s="3"/>
    </row>
    <row r="7706" spans="1:9" s="4" customFormat="1" ht="20.25" customHeight="1" x14ac:dyDescent="0.55000000000000004">
      <c r="A7706" s="18">
        <v>24.732469999999999</v>
      </c>
      <c r="B7706" s="18">
        <v>34.7806128</v>
      </c>
      <c r="C7706" s="18">
        <v>680087.21</v>
      </c>
      <c r="D7706" s="18">
        <v>2736496.09</v>
      </c>
      <c r="E7706" s="18">
        <v>386.56</v>
      </c>
      <c r="F7706" s="18">
        <v>41733.35</v>
      </c>
      <c r="G7706" s="18">
        <v>130742</v>
      </c>
      <c r="H7706" s="18">
        <f t="shared" si="173"/>
        <v>41580.35</v>
      </c>
      <c r="I7706" s="3"/>
    </row>
    <row r="7707" spans="1:9" s="4" customFormat="1" ht="20.25" customHeight="1" x14ac:dyDescent="0.55000000000000004">
      <c r="A7707" s="18">
        <v>24.732494299999999</v>
      </c>
      <c r="B7707" s="18">
        <v>34.780616799999997</v>
      </c>
      <c r="C7707" s="18">
        <v>680087.58</v>
      </c>
      <c r="D7707" s="18">
        <v>2736498.79</v>
      </c>
      <c r="E7707" s="18">
        <v>386.41</v>
      </c>
      <c r="F7707" s="18">
        <v>41736.97</v>
      </c>
      <c r="G7707" s="18">
        <v>130744</v>
      </c>
      <c r="H7707" s="18">
        <f t="shared" si="173"/>
        <v>41583.97</v>
      </c>
      <c r="I7707" s="3"/>
    </row>
    <row r="7708" spans="1:9" s="4" customFormat="1" ht="20.25" customHeight="1" x14ac:dyDescent="0.55000000000000004">
      <c r="A7708" s="18">
        <v>24.732518200000001</v>
      </c>
      <c r="B7708" s="18">
        <v>34.7806219</v>
      </c>
      <c r="C7708" s="18">
        <v>680088.06</v>
      </c>
      <c r="D7708" s="18">
        <v>2736501.43</v>
      </c>
      <c r="E7708" s="18">
        <v>386.39</v>
      </c>
      <c r="F7708" s="18">
        <v>41716.49</v>
      </c>
      <c r="G7708" s="18">
        <v>130746</v>
      </c>
      <c r="H7708" s="18">
        <f t="shared" si="173"/>
        <v>41563.49</v>
      </c>
      <c r="I7708" s="3"/>
    </row>
    <row r="7709" spans="1:9" s="4" customFormat="1" ht="20.25" customHeight="1" x14ac:dyDescent="0.55000000000000004">
      <c r="A7709" s="18">
        <v>24.732540400000001</v>
      </c>
      <c r="B7709" s="18">
        <v>34.780623400000003</v>
      </c>
      <c r="C7709" s="18">
        <v>680088.17</v>
      </c>
      <c r="D7709" s="18">
        <v>2736503.9</v>
      </c>
      <c r="E7709" s="18">
        <v>386.33</v>
      </c>
      <c r="F7709" s="18">
        <v>41726.339999999997</v>
      </c>
      <c r="G7709" s="18">
        <v>130748</v>
      </c>
      <c r="H7709" s="18">
        <f t="shared" si="173"/>
        <v>41573.339999999997</v>
      </c>
      <c r="I7709" s="3"/>
    </row>
    <row r="7710" spans="1:9" s="4" customFormat="1" ht="20.25" customHeight="1" x14ac:dyDescent="0.55000000000000004">
      <c r="A7710" s="18">
        <v>24.732564199999999</v>
      </c>
      <c r="B7710" s="18">
        <v>34.780626099999999</v>
      </c>
      <c r="C7710" s="18">
        <v>680088.42</v>
      </c>
      <c r="D7710" s="18">
        <v>2736506.54</v>
      </c>
      <c r="E7710" s="18">
        <v>386.21</v>
      </c>
      <c r="F7710" s="18">
        <v>41731.56</v>
      </c>
      <c r="G7710" s="18">
        <v>130750</v>
      </c>
      <c r="H7710" s="18">
        <f t="shared" si="173"/>
        <v>41578.559999999998</v>
      </c>
      <c r="I7710" s="3"/>
    </row>
    <row r="7711" spans="1:9" s="4" customFormat="1" ht="20.25" customHeight="1" x14ac:dyDescent="0.55000000000000004">
      <c r="A7711" s="18">
        <v>24.732589099999998</v>
      </c>
      <c r="B7711" s="18">
        <v>34.7806298</v>
      </c>
      <c r="C7711" s="18">
        <v>680088.76</v>
      </c>
      <c r="D7711" s="18">
        <v>2736509.31</v>
      </c>
      <c r="E7711" s="18">
        <v>385.98</v>
      </c>
      <c r="F7711" s="18">
        <v>41729.11</v>
      </c>
      <c r="G7711" s="18">
        <v>130752</v>
      </c>
      <c r="H7711" s="18">
        <f t="shared" si="173"/>
        <v>41576.11</v>
      </c>
      <c r="I7711" s="3"/>
    </row>
    <row r="7712" spans="1:9" s="4" customFormat="1" ht="20.25" customHeight="1" x14ac:dyDescent="0.55000000000000004">
      <c r="A7712" s="18">
        <v>24.7326154</v>
      </c>
      <c r="B7712" s="18">
        <v>34.780630199999997</v>
      </c>
      <c r="C7712" s="18">
        <v>680088.76</v>
      </c>
      <c r="D7712" s="18">
        <v>2736512.22</v>
      </c>
      <c r="E7712" s="18">
        <v>385.85</v>
      </c>
      <c r="F7712" s="18">
        <v>41734.89</v>
      </c>
      <c r="G7712" s="18">
        <v>130754</v>
      </c>
      <c r="H7712" s="18">
        <f t="shared" si="173"/>
        <v>41581.89</v>
      </c>
      <c r="I7712" s="3"/>
    </row>
    <row r="7713" spans="1:9" s="4" customFormat="1" ht="20.25" customHeight="1" x14ac:dyDescent="0.55000000000000004">
      <c r="A7713" s="18">
        <v>24.7326373</v>
      </c>
      <c r="B7713" s="18">
        <v>34.780632799999999</v>
      </c>
      <c r="C7713" s="18">
        <v>680088.99</v>
      </c>
      <c r="D7713" s="18">
        <v>2736514.64</v>
      </c>
      <c r="E7713" s="18">
        <v>385.89</v>
      </c>
      <c r="F7713" s="18">
        <v>41731.5</v>
      </c>
      <c r="G7713" s="18">
        <v>130756</v>
      </c>
      <c r="H7713" s="18">
        <f t="shared" si="173"/>
        <v>41578.5</v>
      </c>
      <c r="I7713" s="3"/>
    </row>
    <row r="7714" spans="1:9" s="4" customFormat="1" ht="20.25" customHeight="1" x14ac:dyDescent="0.55000000000000004">
      <c r="A7714" s="18">
        <v>24.732661400000001</v>
      </c>
      <c r="B7714" s="18">
        <v>34.7806377</v>
      </c>
      <c r="C7714" s="18">
        <v>680089.45</v>
      </c>
      <c r="D7714" s="18">
        <v>2736517.32</v>
      </c>
      <c r="E7714" s="18">
        <v>385.78</v>
      </c>
      <c r="F7714" s="18">
        <v>41731.49</v>
      </c>
      <c r="G7714" s="18">
        <v>130758</v>
      </c>
      <c r="H7714" s="18">
        <f t="shared" si="173"/>
        <v>41578.49</v>
      </c>
      <c r="I7714" s="3"/>
    </row>
    <row r="7715" spans="1:9" s="4" customFormat="1" ht="20.25" customHeight="1" x14ac:dyDescent="0.55000000000000004">
      <c r="A7715" s="18">
        <v>24.732685100000001</v>
      </c>
      <c r="B7715" s="18">
        <v>34.780643099999999</v>
      </c>
      <c r="C7715" s="18">
        <v>680089.96</v>
      </c>
      <c r="D7715" s="18">
        <v>2736519.95</v>
      </c>
      <c r="E7715" s="18">
        <v>385.63</v>
      </c>
      <c r="F7715" s="18">
        <v>41733.07</v>
      </c>
      <c r="G7715" s="18">
        <v>130800</v>
      </c>
      <c r="H7715" s="18">
        <f t="shared" si="173"/>
        <v>41580.07</v>
      </c>
      <c r="I7715" s="3"/>
    </row>
    <row r="7716" spans="1:9" s="4" customFormat="1" ht="20.25" customHeight="1" x14ac:dyDescent="0.55000000000000004">
      <c r="A7716" s="18">
        <v>24.7327081</v>
      </c>
      <c r="B7716" s="18">
        <v>34.780649599999997</v>
      </c>
      <c r="C7716" s="18">
        <v>680090.58</v>
      </c>
      <c r="D7716" s="18">
        <v>2736522.51</v>
      </c>
      <c r="E7716" s="18">
        <v>385.6</v>
      </c>
      <c r="F7716" s="18">
        <v>41732.199999999997</v>
      </c>
      <c r="G7716" s="18">
        <v>130802</v>
      </c>
      <c r="H7716" s="18">
        <f t="shared" si="173"/>
        <v>41579.199999999997</v>
      </c>
      <c r="I7716" s="3"/>
    </row>
    <row r="7717" spans="1:9" s="4" customFormat="1" ht="20.25" customHeight="1" x14ac:dyDescent="0.55000000000000004">
      <c r="A7717" s="18">
        <v>24.732727300000001</v>
      </c>
      <c r="B7717" s="18">
        <v>34.780663599999997</v>
      </c>
      <c r="C7717" s="18">
        <v>680091.98</v>
      </c>
      <c r="D7717" s="18">
        <v>2736524.65</v>
      </c>
      <c r="E7717" s="18">
        <v>385.51</v>
      </c>
      <c r="F7717" s="18">
        <v>41726.42</v>
      </c>
      <c r="G7717" s="18">
        <v>130804</v>
      </c>
      <c r="H7717" s="18">
        <f t="shared" si="173"/>
        <v>41573.42</v>
      </c>
      <c r="I7717" s="3"/>
    </row>
    <row r="7718" spans="1:9" s="4" customFormat="1" ht="20.25" customHeight="1" x14ac:dyDescent="0.55000000000000004">
      <c r="A7718" s="18">
        <v>24.732743200000002</v>
      </c>
      <c r="B7718" s="18">
        <v>34.780685400000003</v>
      </c>
      <c r="C7718" s="18">
        <v>680094.16</v>
      </c>
      <c r="D7718" s="18">
        <v>2736526.45</v>
      </c>
      <c r="E7718" s="18">
        <v>385.47</v>
      </c>
      <c r="F7718" s="18">
        <v>41725.65</v>
      </c>
      <c r="G7718" s="18">
        <v>130806</v>
      </c>
      <c r="H7718" s="18">
        <f t="shared" si="173"/>
        <v>41572.65</v>
      </c>
      <c r="I7718" s="3"/>
    </row>
    <row r="7719" spans="1:9" s="4" customFormat="1" ht="20.25" customHeight="1" x14ac:dyDescent="0.55000000000000004">
      <c r="A7719" s="18">
        <v>24.732752600000001</v>
      </c>
      <c r="B7719" s="18">
        <v>34.780706000000002</v>
      </c>
      <c r="C7719" s="18">
        <v>680096.23</v>
      </c>
      <c r="D7719" s="18">
        <v>2736527.51</v>
      </c>
      <c r="E7719" s="18">
        <v>385.62</v>
      </c>
      <c r="F7719" s="18">
        <v>41720.550000000003</v>
      </c>
      <c r="G7719" s="18">
        <v>130808</v>
      </c>
      <c r="H7719" s="18">
        <f t="shared" si="173"/>
        <v>41567.550000000003</v>
      </c>
      <c r="I7719" s="3"/>
    </row>
    <row r="7720" spans="1:9" s="4" customFormat="1" ht="20.25" customHeight="1" x14ac:dyDescent="0.55000000000000004">
      <c r="A7720" s="18">
        <v>24.732760200000001</v>
      </c>
      <c r="B7720" s="18">
        <v>34.780729100000002</v>
      </c>
      <c r="C7720" s="18">
        <v>680098.55</v>
      </c>
      <c r="D7720" s="18">
        <v>2736528.39</v>
      </c>
      <c r="E7720" s="18">
        <v>385.59</v>
      </c>
      <c r="F7720" s="18">
        <v>41727.94</v>
      </c>
      <c r="G7720" s="18">
        <v>130810</v>
      </c>
      <c r="H7720" s="18">
        <f t="shared" si="173"/>
        <v>41574.94</v>
      </c>
      <c r="I7720" s="3"/>
    </row>
    <row r="7721" spans="1:9" s="4" customFormat="1" ht="20.25" customHeight="1" x14ac:dyDescent="0.55000000000000004">
      <c r="A7721" s="18">
        <v>24.7327677</v>
      </c>
      <c r="B7721" s="18">
        <v>34.780752900000003</v>
      </c>
      <c r="C7721" s="18">
        <v>680100.95</v>
      </c>
      <c r="D7721" s="18">
        <v>2736529.25</v>
      </c>
      <c r="E7721" s="18">
        <v>385.43</v>
      </c>
      <c r="F7721" s="18">
        <v>41729.160000000003</v>
      </c>
      <c r="G7721" s="18">
        <v>130812</v>
      </c>
      <c r="H7721" s="18">
        <f t="shared" si="173"/>
        <v>41576.160000000003</v>
      </c>
      <c r="I7721" s="3"/>
    </row>
    <row r="7722" spans="1:9" s="4" customFormat="1" ht="20.25" customHeight="1" x14ac:dyDescent="0.55000000000000004">
      <c r="A7722" s="18">
        <v>24.732775400000001</v>
      </c>
      <c r="B7722" s="18">
        <v>34.780776400000001</v>
      </c>
      <c r="C7722" s="18">
        <v>680103.32</v>
      </c>
      <c r="D7722" s="18">
        <v>2736530.13</v>
      </c>
      <c r="E7722" s="18">
        <v>385.35</v>
      </c>
      <c r="F7722" s="18">
        <v>41733.839999999997</v>
      </c>
      <c r="G7722" s="18">
        <v>130814</v>
      </c>
      <c r="H7722" s="18">
        <f t="shared" si="173"/>
        <v>41580.839999999997</v>
      </c>
      <c r="I7722" s="3"/>
    </row>
    <row r="7723" spans="1:9" s="4" customFormat="1" ht="20.25" customHeight="1" x14ac:dyDescent="0.55000000000000004">
      <c r="A7723" s="18">
        <v>24.732778799999998</v>
      </c>
      <c r="B7723" s="18">
        <v>34.780801699999998</v>
      </c>
      <c r="C7723" s="18">
        <v>680105.87</v>
      </c>
      <c r="D7723" s="18">
        <v>2736530.54</v>
      </c>
      <c r="E7723" s="18">
        <v>385.23</v>
      </c>
      <c r="F7723" s="18">
        <v>41732.57</v>
      </c>
      <c r="G7723" s="18">
        <v>130816</v>
      </c>
      <c r="H7723" s="18">
        <f t="shared" si="173"/>
        <v>41579.57</v>
      </c>
      <c r="I7723" s="3"/>
    </row>
    <row r="7724" spans="1:9" s="4" customFormat="1" ht="20.25" customHeight="1" x14ac:dyDescent="0.55000000000000004">
      <c r="A7724" s="18">
        <v>24.732782100000001</v>
      </c>
      <c r="B7724" s="18">
        <v>34.780829599999997</v>
      </c>
      <c r="C7724" s="18">
        <v>680108.69</v>
      </c>
      <c r="D7724" s="18">
        <v>2736530.95</v>
      </c>
      <c r="E7724" s="18">
        <v>385.08</v>
      </c>
      <c r="F7724" s="18">
        <v>41732.300000000003</v>
      </c>
      <c r="G7724" s="18">
        <v>130818</v>
      </c>
      <c r="H7724" s="18">
        <f t="shared" si="173"/>
        <v>41579.300000000003</v>
      </c>
      <c r="I7724" s="3"/>
    </row>
    <row r="7725" spans="1:9" s="4" customFormat="1" ht="20.25" customHeight="1" x14ac:dyDescent="0.55000000000000004">
      <c r="A7725" s="18">
        <v>24.732785100000001</v>
      </c>
      <c r="B7725" s="18">
        <v>34.780856800000002</v>
      </c>
      <c r="C7725" s="18">
        <v>680111.44</v>
      </c>
      <c r="D7725" s="18">
        <v>2736531.31</v>
      </c>
      <c r="E7725" s="18">
        <v>385.09</v>
      </c>
      <c r="F7725" s="18">
        <v>41736.99</v>
      </c>
      <c r="G7725" s="18">
        <v>130820</v>
      </c>
      <c r="H7725" s="18">
        <f t="shared" si="173"/>
        <v>41583.99</v>
      </c>
      <c r="I7725" s="3"/>
    </row>
    <row r="7726" spans="1:9" s="4" customFormat="1" ht="20.25" customHeight="1" x14ac:dyDescent="0.55000000000000004">
      <c r="A7726" s="18">
        <v>24.7327868</v>
      </c>
      <c r="B7726" s="18">
        <v>34.780883500000002</v>
      </c>
      <c r="C7726" s="18">
        <v>680114.13</v>
      </c>
      <c r="D7726" s="18">
        <v>2736531.54</v>
      </c>
      <c r="E7726" s="18">
        <v>385.08</v>
      </c>
      <c r="F7726" s="18">
        <v>41730.730000000003</v>
      </c>
      <c r="G7726" s="18">
        <v>130822</v>
      </c>
      <c r="H7726" s="18">
        <f t="shared" si="173"/>
        <v>41577.730000000003</v>
      </c>
      <c r="I7726" s="3"/>
    </row>
    <row r="7727" spans="1:9" s="4" customFormat="1" ht="20.25" customHeight="1" x14ac:dyDescent="0.55000000000000004">
      <c r="A7727" s="18">
        <v>24.732787999999999</v>
      </c>
      <c r="B7727" s="18">
        <v>34.7809089</v>
      </c>
      <c r="C7727" s="18">
        <v>680116.7</v>
      </c>
      <c r="D7727" s="18">
        <v>2736531.7</v>
      </c>
      <c r="E7727" s="18">
        <v>385.02</v>
      </c>
      <c r="F7727" s="18">
        <v>41729.54</v>
      </c>
      <c r="G7727" s="18">
        <v>130824</v>
      </c>
      <c r="H7727" s="18">
        <f t="shared" si="173"/>
        <v>41576.54</v>
      </c>
      <c r="I7727" s="3"/>
    </row>
    <row r="7728" spans="1:9" s="4" customFormat="1" ht="20.25" customHeight="1" x14ac:dyDescent="0.55000000000000004">
      <c r="A7728" s="18">
        <v>24.732790300000001</v>
      </c>
      <c r="B7728" s="18">
        <v>34.780937399999999</v>
      </c>
      <c r="C7728" s="18">
        <v>680119.58</v>
      </c>
      <c r="D7728" s="18">
        <v>2736531.99</v>
      </c>
      <c r="E7728" s="18">
        <v>384.86</v>
      </c>
      <c r="F7728" s="18">
        <v>41760.39</v>
      </c>
      <c r="G7728" s="18">
        <v>130826</v>
      </c>
      <c r="H7728" s="18">
        <f t="shared" si="173"/>
        <v>41607.39</v>
      </c>
      <c r="I7728" s="3"/>
    </row>
    <row r="7729" spans="1:9" s="4" customFormat="1" ht="20.25" customHeight="1" x14ac:dyDescent="0.55000000000000004">
      <c r="A7729" s="18">
        <v>24.732792700000001</v>
      </c>
      <c r="B7729" s="18">
        <v>34.780964400000002</v>
      </c>
      <c r="C7729" s="18">
        <v>680122.31</v>
      </c>
      <c r="D7729" s="18">
        <v>2736532.29</v>
      </c>
      <c r="E7729" s="18">
        <v>384.93</v>
      </c>
      <c r="F7729" s="18">
        <v>41751.32</v>
      </c>
      <c r="G7729" s="18">
        <v>130828</v>
      </c>
      <c r="H7729" s="18">
        <f t="shared" si="173"/>
        <v>41598.32</v>
      </c>
      <c r="I7729" s="3"/>
    </row>
    <row r="7730" spans="1:9" s="4" customFormat="1" ht="20.25" customHeight="1" x14ac:dyDescent="0.55000000000000004">
      <c r="A7730" s="18">
        <v>24.732792400000001</v>
      </c>
      <c r="B7730" s="18">
        <v>34.780991899999997</v>
      </c>
      <c r="C7730" s="18">
        <v>680125.09</v>
      </c>
      <c r="D7730" s="18">
        <v>2736532.3</v>
      </c>
      <c r="E7730" s="18">
        <v>384.88</v>
      </c>
      <c r="F7730" s="18">
        <v>41736.35</v>
      </c>
      <c r="G7730" s="18">
        <v>130830</v>
      </c>
      <c r="H7730" s="18">
        <f t="shared" si="173"/>
        <v>41583.35</v>
      </c>
      <c r="I7730" s="3"/>
    </row>
    <row r="7731" spans="1:9" s="4" customFormat="1" ht="20.25" customHeight="1" x14ac:dyDescent="0.55000000000000004">
      <c r="A7731" s="18">
        <v>24.7327917</v>
      </c>
      <c r="B7731" s="18">
        <v>34.781018299999999</v>
      </c>
      <c r="C7731" s="18">
        <v>680127.76</v>
      </c>
      <c r="D7731" s="18">
        <v>2736532.25</v>
      </c>
      <c r="E7731" s="18">
        <v>384.73</v>
      </c>
      <c r="F7731" s="18">
        <v>41727.64</v>
      </c>
      <c r="G7731" s="18">
        <v>130832</v>
      </c>
      <c r="H7731" s="18">
        <f t="shared" si="173"/>
        <v>41574.639999999999</v>
      </c>
      <c r="I7731" s="3"/>
    </row>
    <row r="7732" spans="1:9" s="4" customFormat="1" ht="20.25" customHeight="1" x14ac:dyDescent="0.55000000000000004">
      <c r="A7732" s="18">
        <v>24.732789799999999</v>
      </c>
      <c r="B7732" s="18">
        <v>34.7810457</v>
      </c>
      <c r="C7732" s="18">
        <v>680130.53</v>
      </c>
      <c r="D7732" s="18">
        <v>2736532.08</v>
      </c>
      <c r="E7732" s="18">
        <v>384.59</v>
      </c>
      <c r="F7732" s="18">
        <v>41732.58</v>
      </c>
      <c r="G7732" s="18">
        <v>130834</v>
      </c>
      <c r="H7732" s="18">
        <f t="shared" si="173"/>
        <v>41579.58</v>
      </c>
      <c r="I7732" s="3"/>
    </row>
    <row r="7733" spans="1:9" s="4" customFormat="1" ht="20.25" customHeight="1" x14ac:dyDescent="0.55000000000000004">
      <c r="A7733" s="18">
        <v>24.732787299999998</v>
      </c>
      <c r="B7733" s="18">
        <v>34.781073499999998</v>
      </c>
      <c r="C7733" s="18">
        <v>680133.35</v>
      </c>
      <c r="D7733" s="18">
        <v>2736531.84</v>
      </c>
      <c r="E7733" s="18">
        <v>384.52</v>
      </c>
      <c r="F7733" s="18">
        <v>41744.06</v>
      </c>
      <c r="G7733" s="18">
        <v>130836</v>
      </c>
      <c r="H7733" s="18">
        <f t="shared" si="173"/>
        <v>41591.06</v>
      </c>
      <c r="I7733" s="3"/>
    </row>
    <row r="7734" spans="1:9" s="4" customFormat="1" ht="20.25" customHeight="1" x14ac:dyDescent="0.55000000000000004">
      <c r="A7734" s="18">
        <v>24.732785700000001</v>
      </c>
      <c r="B7734" s="18">
        <v>34.781099900000001</v>
      </c>
      <c r="C7734" s="18">
        <v>680136.03</v>
      </c>
      <c r="D7734" s="18">
        <v>2736531.7</v>
      </c>
      <c r="E7734" s="18">
        <v>384.5</v>
      </c>
      <c r="F7734" s="18">
        <v>41743.879999999997</v>
      </c>
      <c r="G7734" s="18">
        <v>130838</v>
      </c>
      <c r="H7734" s="18">
        <f t="shared" si="173"/>
        <v>41590.879999999997</v>
      </c>
      <c r="I7734" s="3"/>
    </row>
    <row r="7735" spans="1:9" s="4" customFormat="1" ht="20.25" customHeight="1" x14ac:dyDescent="0.55000000000000004">
      <c r="A7735" s="18">
        <v>24.732782400000001</v>
      </c>
      <c r="B7735" s="18">
        <v>34.781125500000002</v>
      </c>
      <c r="C7735" s="18">
        <v>680138.62</v>
      </c>
      <c r="D7735" s="18">
        <v>2736531.36</v>
      </c>
      <c r="E7735" s="18">
        <v>384.39</v>
      </c>
      <c r="F7735" s="18">
        <v>41735.64</v>
      </c>
      <c r="G7735" s="18">
        <v>130840</v>
      </c>
      <c r="H7735" s="18">
        <f t="shared" si="173"/>
        <v>41582.639999999999</v>
      </c>
      <c r="I7735" s="3"/>
    </row>
    <row r="7736" spans="1:9" s="4" customFormat="1" ht="20.25" customHeight="1" x14ac:dyDescent="0.55000000000000004">
      <c r="A7736" s="18">
        <v>24.732786099999998</v>
      </c>
      <c r="B7736" s="18">
        <v>34.781152599999999</v>
      </c>
      <c r="C7736" s="18">
        <v>680141.35</v>
      </c>
      <c r="D7736" s="18">
        <v>2736531.81</v>
      </c>
      <c r="E7736" s="18">
        <v>384.27</v>
      </c>
      <c r="F7736" s="18">
        <v>41734.480000000003</v>
      </c>
      <c r="G7736" s="18">
        <v>130842</v>
      </c>
      <c r="H7736" s="18">
        <f t="shared" si="173"/>
        <v>41581.480000000003</v>
      </c>
      <c r="I7736" s="3"/>
    </row>
    <row r="7737" spans="1:9" s="4" customFormat="1" ht="20.25" customHeight="1" x14ac:dyDescent="0.55000000000000004">
      <c r="A7737" s="18">
        <v>24.732790300000001</v>
      </c>
      <c r="B7737" s="18">
        <v>34.781176799999997</v>
      </c>
      <c r="C7737" s="18">
        <v>680143.8</v>
      </c>
      <c r="D7737" s="18">
        <v>2736532.31</v>
      </c>
      <c r="E7737" s="18">
        <v>384.25</v>
      </c>
      <c r="F7737" s="18">
        <v>41734.660000000003</v>
      </c>
      <c r="G7737" s="18">
        <v>130844</v>
      </c>
      <c r="H7737" s="18">
        <f t="shared" si="173"/>
        <v>41581.660000000003</v>
      </c>
      <c r="I7737" s="3"/>
    </row>
    <row r="7738" spans="1:9" s="4" customFormat="1" ht="20.25" customHeight="1" x14ac:dyDescent="0.55000000000000004">
      <c r="A7738" s="18">
        <v>24.7327929</v>
      </c>
      <c r="B7738" s="18">
        <v>34.781201600000003</v>
      </c>
      <c r="C7738" s="18">
        <v>680146.3</v>
      </c>
      <c r="D7738" s="18">
        <v>2736532.63</v>
      </c>
      <c r="E7738" s="18">
        <v>384.21</v>
      </c>
      <c r="F7738" s="18">
        <v>41728.199999999997</v>
      </c>
      <c r="G7738" s="18">
        <v>130846</v>
      </c>
      <c r="H7738" s="18">
        <f t="shared" si="173"/>
        <v>41575.199999999997</v>
      </c>
      <c r="I7738" s="3"/>
    </row>
    <row r="7739" spans="1:9" s="4" customFormat="1" ht="20.25" customHeight="1" x14ac:dyDescent="0.55000000000000004">
      <c r="A7739" s="18">
        <v>24.732797399999999</v>
      </c>
      <c r="B7739" s="18">
        <v>34.781226500000002</v>
      </c>
      <c r="C7739" s="18">
        <v>680148.81</v>
      </c>
      <c r="D7739" s="18">
        <v>2736533.15</v>
      </c>
      <c r="E7739" s="18">
        <v>384.09</v>
      </c>
      <c r="F7739" s="18">
        <v>41734.660000000003</v>
      </c>
      <c r="G7739" s="18">
        <v>130848</v>
      </c>
      <c r="H7739" s="18">
        <f t="shared" si="173"/>
        <v>41581.660000000003</v>
      </c>
      <c r="I7739" s="3"/>
    </row>
    <row r="7740" spans="1:9" s="4" customFormat="1" ht="20.25" customHeight="1" x14ac:dyDescent="0.55000000000000004">
      <c r="A7740" s="18">
        <v>24.732801299999998</v>
      </c>
      <c r="B7740" s="18">
        <v>34.781250800000002</v>
      </c>
      <c r="C7740" s="18">
        <v>680151.27</v>
      </c>
      <c r="D7740" s="18">
        <v>2736533.62</v>
      </c>
      <c r="E7740" s="18">
        <v>384.05</v>
      </c>
      <c r="F7740" s="18">
        <v>41733.4</v>
      </c>
      <c r="G7740" s="18">
        <v>130850</v>
      </c>
      <c r="H7740" s="18">
        <f t="shared" si="173"/>
        <v>41580.400000000001</v>
      </c>
      <c r="I7740" s="3"/>
    </row>
    <row r="7741" spans="1:9" s="4" customFormat="1" ht="20.25" customHeight="1" x14ac:dyDescent="0.55000000000000004">
      <c r="A7741" s="18">
        <v>24.732802700000001</v>
      </c>
      <c r="B7741" s="18">
        <v>34.781276699999999</v>
      </c>
      <c r="C7741" s="18">
        <v>680153.89</v>
      </c>
      <c r="D7741" s="18">
        <v>2736533.81</v>
      </c>
      <c r="E7741" s="18">
        <v>383.94</v>
      </c>
      <c r="F7741" s="18">
        <v>41729.25</v>
      </c>
      <c r="G7741" s="18">
        <v>130852</v>
      </c>
      <c r="H7741" s="18">
        <f t="shared" si="173"/>
        <v>41576.25</v>
      </c>
      <c r="I7741" s="3"/>
    </row>
    <row r="7742" spans="1:9" s="4" customFormat="1" ht="20.25" customHeight="1" x14ac:dyDescent="0.55000000000000004">
      <c r="A7742" s="18">
        <v>24.732801899999998</v>
      </c>
      <c r="B7742" s="18">
        <v>34.781301999999997</v>
      </c>
      <c r="C7742" s="18">
        <v>680156.45</v>
      </c>
      <c r="D7742" s="18">
        <v>2736533.76</v>
      </c>
      <c r="E7742" s="18">
        <v>383.83</v>
      </c>
      <c r="F7742" s="18">
        <v>41732.51</v>
      </c>
      <c r="G7742" s="18">
        <v>130854</v>
      </c>
      <c r="H7742" s="18">
        <f t="shared" si="173"/>
        <v>41579.51</v>
      </c>
      <c r="I7742" s="3"/>
    </row>
    <row r="7743" spans="1:9" s="4" customFormat="1" ht="20.25" customHeight="1" x14ac:dyDescent="0.55000000000000004">
      <c r="A7743" s="18">
        <v>24.732800900000001</v>
      </c>
      <c r="B7743" s="18">
        <v>34.781326499999999</v>
      </c>
      <c r="C7743" s="18">
        <v>680158.92</v>
      </c>
      <c r="D7743" s="18">
        <v>2736533.68</v>
      </c>
      <c r="E7743" s="18">
        <v>383.82</v>
      </c>
      <c r="F7743" s="18">
        <v>41739.25</v>
      </c>
      <c r="G7743" s="18">
        <v>130856</v>
      </c>
      <c r="H7743" s="18">
        <f t="shared" si="173"/>
        <v>41586.25</v>
      </c>
      <c r="I7743" s="3"/>
    </row>
    <row r="7744" spans="1:9" s="4" customFormat="1" ht="20.25" customHeight="1" x14ac:dyDescent="0.55000000000000004">
      <c r="A7744" s="18">
        <v>24.732800600000001</v>
      </c>
      <c r="B7744" s="18">
        <v>34.781351100000002</v>
      </c>
      <c r="C7744" s="18">
        <v>680161.42</v>
      </c>
      <c r="D7744" s="18">
        <v>2736533.67</v>
      </c>
      <c r="E7744" s="18">
        <v>383.7</v>
      </c>
      <c r="F7744" s="18">
        <v>41739.21</v>
      </c>
      <c r="G7744" s="18">
        <v>130858</v>
      </c>
      <c r="H7744" s="18">
        <f t="shared" si="173"/>
        <v>41586.21</v>
      </c>
      <c r="I7744" s="3"/>
    </row>
    <row r="7745" spans="1:9" s="4" customFormat="1" ht="20.25" customHeight="1" x14ac:dyDescent="0.55000000000000004">
      <c r="A7745" s="18">
        <v>24.732801899999998</v>
      </c>
      <c r="B7745" s="18">
        <v>34.781376299999998</v>
      </c>
      <c r="C7745" s="18">
        <v>680163.96</v>
      </c>
      <c r="D7745" s="18">
        <v>2736533.85</v>
      </c>
      <c r="E7745" s="18">
        <v>383.68</v>
      </c>
      <c r="F7745" s="18">
        <v>41746.980000000003</v>
      </c>
      <c r="G7745" s="18">
        <v>130900</v>
      </c>
      <c r="H7745" s="18">
        <f t="shared" si="173"/>
        <v>41593.980000000003</v>
      </c>
      <c r="I7745" s="3"/>
    </row>
    <row r="7746" spans="1:9" s="4" customFormat="1" ht="20.25" customHeight="1" x14ac:dyDescent="0.55000000000000004">
      <c r="A7746" s="18">
        <v>24.732807000000001</v>
      </c>
      <c r="B7746" s="18">
        <v>34.781402700000001</v>
      </c>
      <c r="C7746" s="18">
        <v>680166.63</v>
      </c>
      <c r="D7746" s="18">
        <v>2736534.45</v>
      </c>
      <c r="E7746" s="18">
        <v>383.63</v>
      </c>
      <c r="F7746" s="18">
        <v>41738.82</v>
      </c>
      <c r="G7746" s="18">
        <v>130902</v>
      </c>
      <c r="H7746" s="18">
        <f t="shared" si="173"/>
        <v>41585.82</v>
      </c>
      <c r="I7746" s="3"/>
    </row>
    <row r="7747" spans="1:9" s="4" customFormat="1" ht="20.25" customHeight="1" x14ac:dyDescent="0.55000000000000004">
      <c r="A7747" s="18">
        <v>24.7328118</v>
      </c>
      <c r="B7747" s="18">
        <v>34.7814288</v>
      </c>
      <c r="C7747" s="18">
        <v>680169.26</v>
      </c>
      <c r="D7747" s="18">
        <v>2736535.02</v>
      </c>
      <c r="E7747" s="18">
        <v>383.53</v>
      </c>
      <c r="F7747" s="18">
        <v>41737.919999999998</v>
      </c>
      <c r="G7747" s="18">
        <v>130904</v>
      </c>
      <c r="H7747" s="18">
        <f t="shared" si="173"/>
        <v>41584.92</v>
      </c>
      <c r="I7747" s="3"/>
    </row>
    <row r="7748" spans="1:9" s="4" customFormat="1" ht="20.25" customHeight="1" x14ac:dyDescent="0.55000000000000004">
      <c r="A7748" s="18">
        <v>24.7328145</v>
      </c>
      <c r="B7748" s="18">
        <v>34.7814555</v>
      </c>
      <c r="C7748" s="18">
        <v>680171.95</v>
      </c>
      <c r="D7748" s="18">
        <v>2736535.36</v>
      </c>
      <c r="E7748" s="18">
        <v>383.45</v>
      </c>
      <c r="F7748" s="18">
        <v>41740.269999999997</v>
      </c>
      <c r="G7748" s="18">
        <v>130906</v>
      </c>
      <c r="H7748" s="18">
        <f t="shared" si="173"/>
        <v>41587.269999999997</v>
      </c>
      <c r="I7748" s="3"/>
    </row>
    <row r="7749" spans="1:9" s="4" customFormat="1" ht="20.25" customHeight="1" x14ac:dyDescent="0.55000000000000004">
      <c r="A7749" s="18">
        <v>24.732814600000001</v>
      </c>
      <c r="B7749" s="18">
        <v>34.781482500000003</v>
      </c>
      <c r="C7749" s="18">
        <v>680174.69</v>
      </c>
      <c r="D7749" s="18">
        <v>2736535.41</v>
      </c>
      <c r="E7749" s="18">
        <v>383.44</v>
      </c>
      <c r="F7749" s="18">
        <v>41744.379999999997</v>
      </c>
      <c r="G7749" s="18">
        <v>130908</v>
      </c>
      <c r="H7749" s="18">
        <f t="shared" si="173"/>
        <v>41591.379999999997</v>
      </c>
      <c r="I7749" s="3"/>
    </row>
    <row r="7750" spans="1:9" s="4" customFormat="1" ht="20.25" customHeight="1" x14ac:dyDescent="0.55000000000000004">
      <c r="A7750" s="18">
        <v>24.732810199999999</v>
      </c>
      <c r="B7750" s="18">
        <v>34.7815102</v>
      </c>
      <c r="C7750" s="18">
        <v>680177.5</v>
      </c>
      <c r="D7750" s="18">
        <v>2736534.95</v>
      </c>
      <c r="E7750" s="18">
        <v>383.36</v>
      </c>
      <c r="F7750" s="18">
        <v>41741.83</v>
      </c>
      <c r="G7750" s="18">
        <v>130910</v>
      </c>
      <c r="H7750" s="18">
        <f t="shared" si="173"/>
        <v>41588.83</v>
      </c>
      <c r="I7750" s="3"/>
    </row>
    <row r="7751" spans="1:9" s="4" customFormat="1" ht="20.25" customHeight="1" x14ac:dyDescent="0.55000000000000004">
      <c r="A7751" s="18">
        <v>24.732806199999999</v>
      </c>
      <c r="B7751" s="18">
        <v>34.781536299999999</v>
      </c>
      <c r="C7751" s="18">
        <v>680180.14</v>
      </c>
      <c r="D7751" s="18">
        <v>2736534.54</v>
      </c>
      <c r="E7751" s="18">
        <v>383.3</v>
      </c>
      <c r="F7751" s="18">
        <v>41734.5</v>
      </c>
      <c r="G7751" s="18">
        <v>130912</v>
      </c>
      <c r="H7751" s="18">
        <f t="shared" si="173"/>
        <v>41581.5</v>
      </c>
      <c r="I7751" s="3"/>
    </row>
    <row r="7752" spans="1:9" s="4" customFormat="1" ht="20.25" customHeight="1" x14ac:dyDescent="0.55000000000000004">
      <c r="A7752" s="18">
        <v>24.732795200000002</v>
      </c>
      <c r="B7752" s="18">
        <v>34.781560399999996</v>
      </c>
      <c r="C7752" s="18">
        <v>680182.59</v>
      </c>
      <c r="D7752" s="18">
        <v>2736533.36</v>
      </c>
      <c r="E7752" s="18">
        <v>383.3</v>
      </c>
      <c r="F7752" s="18">
        <v>41737.85</v>
      </c>
      <c r="G7752" s="18">
        <v>130914</v>
      </c>
      <c r="H7752" s="18">
        <f t="shared" si="173"/>
        <v>41584.85</v>
      </c>
      <c r="I7752" s="3"/>
    </row>
    <row r="7753" spans="1:9" s="4" customFormat="1" ht="20.25" customHeight="1" x14ac:dyDescent="0.55000000000000004">
      <c r="A7753" s="18">
        <v>24.732787399999999</v>
      </c>
      <c r="B7753" s="18">
        <v>34.781585200000002</v>
      </c>
      <c r="C7753" s="18">
        <v>680185.12</v>
      </c>
      <c r="D7753" s="18">
        <v>2736532.52</v>
      </c>
      <c r="E7753" s="18">
        <v>383.29</v>
      </c>
      <c r="F7753" s="18">
        <v>41742.519999999997</v>
      </c>
      <c r="G7753" s="18">
        <v>130916</v>
      </c>
      <c r="H7753" s="18">
        <f t="shared" si="173"/>
        <v>41589.519999999997</v>
      </c>
      <c r="I7753" s="3"/>
    </row>
    <row r="7754" spans="1:9" s="4" customFormat="1" ht="20.25" customHeight="1" x14ac:dyDescent="0.55000000000000004">
      <c r="A7754" s="18">
        <v>24.732782</v>
      </c>
      <c r="B7754" s="18">
        <v>34.781610299999997</v>
      </c>
      <c r="C7754" s="18">
        <v>680187.67</v>
      </c>
      <c r="D7754" s="18">
        <v>2736531.96</v>
      </c>
      <c r="E7754" s="18">
        <v>383.22</v>
      </c>
      <c r="F7754" s="18">
        <v>41745.93</v>
      </c>
      <c r="G7754" s="18">
        <v>130918</v>
      </c>
      <c r="H7754" s="18">
        <f t="shared" si="173"/>
        <v>41592.93</v>
      </c>
      <c r="I7754" s="3"/>
    </row>
    <row r="7755" spans="1:9" s="4" customFormat="1" ht="20.25" customHeight="1" x14ac:dyDescent="0.55000000000000004">
      <c r="A7755" s="18">
        <v>24.732772000000001</v>
      </c>
      <c r="B7755" s="18">
        <v>34.781633599999999</v>
      </c>
      <c r="C7755" s="18">
        <v>680190.03</v>
      </c>
      <c r="D7755" s="18">
        <v>2736530.88</v>
      </c>
      <c r="E7755" s="18">
        <v>383.13</v>
      </c>
      <c r="F7755" s="18">
        <v>41739.050000000003</v>
      </c>
      <c r="G7755" s="18">
        <v>130920</v>
      </c>
      <c r="H7755" s="18">
        <f t="shared" si="173"/>
        <v>41586.050000000003</v>
      </c>
      <c r="I7755" s="3"/>
    </row>
    <row r="7756" spans="1:9" s="4" customFormat="1" ht="20.25" customHeight="1" x14ac:dyDescent="0.55000000000000004">
      <c r="A7756" s="18">
        <v>24.732766600000001</v>
      </c>
      <c r="B7756" s="18">
        <v>34.7816574</v>
      </c>
      <c r="C7756" s="18">
        <v>680192.45</v>
      </c>
      <c r="D7756" s="18">
        <v>2736530.32</v>
      </c>
      <c r="E7756" s="18">
        <v>383.08</v>
      </c>
      <c r="F7756" s="18">
        <v>41737.15</v>
      </c>
      <c r="G7756" s="18">
        <v>130922</v>
      </c>
      <c r="H7756" s="18">
        <f t="shared" si="173"/>
        <v>41584.15</v>
      </c>
      <c r="I7756" s="3"/>
    </row>
    <row r="7757" spans="1:9" s="4" customFormat="1" ht="20.25" customHeight="1" x14ac:dyDescent="0.55000000000000004">
      <c r="A7757" s="18">
        <v>24.732764400000001</v>
      </c>
      <c r="B7757" s="18">
        <v>34.781683299999997</v>
      </c>
      <c r="C7757" s="18">
        <v>680195.07</v>
      </c>
      <c r="D7757" s="18">
        <v>2736530.11</v>
      </c>
      <c r="E7757" s="18">
        <v>382.94</v>
      </c>
      <c r="F7757" s="18">
        <v>41737.589999999997</v>
      </c>
      <c r="G7757" s="18">
        <v>130924</v>
      </c>
      <c r="H7757" s="18">
        <f t="shared" si="173"/>
        <v>41584.589999999997</v>
      </c>
      <c r="I7757" s="3"/>
    </row>
    <row r="7758" spans="1:9" s="4" customFormat="1" ht="20.25" customHeight="1" x14ac:dyDescent="0.55000000000000004">
      <c r="A7758" s="18">
        <v>24.7327589</v>
      </c>
      <c r="B7758" s="18">
        <v>34.781707400000002</v>
      </c>
      <c r="C7758" s="18">
        <v>680197.52</v>
      </c>
      <c r="D7758" s="18">
        <v>2736529.53</v>
      </c>
      <c r="E7758" s="18">
        <v>382.92</v>
      </c>
      <c r="F7758" s="18">
        <v>41736.22</v>
      </c>
      <c r="G7758" s="18">
        <v>130926</v>
      </c>
      <c r="H7758" s="18">
        <f t="shared" si="173"/>
        <v>41583.22</v>
      </c>
      <c r="I7758" s="3"/>
    </row>
    <row r="7759" spans="1:9" s="4" customFormat="1" ht="20.25" customHeight="1" x14ac:dyDescent="0.55000000000000004">
      <c r="A7759" s="18">
        <v>24.732753599999999</v>
      </c>
      <c r="B7759" s="18">
        <v>34.781732699999999</v>
      </c>
      <c r="C7759" s="18">
        <v>680200.09</v>
      </c>
      <c r="D7759" s="18">
        <v>2736528.98</v>
      </c>
      <c r="E7759" s="18">
        <v>382.84</v>
      </c>
      <c r="F7759" s="18">
        <v>41746.33</v>
      </c>
      <c r="G7759" s="18">
        <v>130928</v>
      </c>
      <c r="H7759" s="18">
        <f t="shared" si="173"/>
        <v>41593.33</v>
      </c>
      <c r="I7759" s="3"/>
    </row>
    <row r="7760" spans="1:9" s="4" customFormat="1" ht="20.25" customHeight="1" x14ac:dyDescent="0.55000000000000004">
      <c r="A7760" s="18">
        <v>24.732752099999999</v>
      </c>
      <c r="B7760" s="18">
        <v>34.781759700000002</v>
      </c>
      <c r="C7760" s="18">
        <v>680202.82</v>
      </c>
      <c r="D7760" s="18">
        <v>2736528.84</v>
      </c>
      <c r="E7760" s="18">
        <v>382.92</v>
      </c>
      <c r="F7760" s="18">
        <v>41744.050000000003</v>
      </c>
      <c r="G7760" s="18">
        <v>130930</v>
      </c>
      <c r="H7760" s="18">
        <f t="shared" si="173"/>
        <v>41591.050000000003</v>
      </c>
      <c r="I7760" s="3"/>
    </row>
    <row r="7761" spans="1:9" s="4" customFormat="1" ht="20.25" customHeight="1" x14ac:dyDescent="0.55000000000000004">
      <c r="A7761" s="18">
        <v>24.732752399999999</v>
      </c>
      <c r="B7761" s="18">
        <v>34.781785999999997</v>
      </c>
      <c r="C7761" s="18">
        <v>680205.48</v>
      </c>
      <c r="D7761" s="18">
        <v>2736528.91</v>
      </c>
      <c r="E7761" s="18">
        <v>382.93</v>
      </c>
      <c r="F7761" s="18">
        <v>41737.22</v>
      </c>
      <c r="G7761" s="18">
        <v>130932</v>
      </c>
      <c r="H7761" s="18">
        <f t="shared" si="173"/>
        <v>41584.22</v>
      </c>
      <c r="I7761" s="3"/>
    </row>
    <row r="7762" spans="1:9" s="4" customFormat="1" ht="20.25" customHeight="1" x14ac:dyDescent="0.55000000000000004">
      <c r="A7762" s="18">
        <v>24.732755300000001</v>
      </c>
      <c r="B7762" s="18">
        <v>34.781813100000001</v>
      </c>
      <c r="C7762" s="18">
        <v>680208.22</v>
      </c>
      <c r="D7762" s="18">
        <v>2736529.26</v>
      </c>
      <c r="E7762" s="18">
        <v>382.87</v>
      </c>
      <c r="F7762" s="18">
        <v>41736.29</v>
      </c>
      <c r="G7762" s="18">
        <v>130934</v>
      </c>
      <c r="H7762" s="18">
        <f t="shared" ref="H7762:H7825" si="174">SUM(F7762-153)</f>
        <v>41583.29</v>
      </c>
      <c r="I7762" s="3"/>
    </row>
    <row r="7763" spans="1:9" s="4" customFormat="1" ht="20.25" customHeight="1" x14ac:dyDescent="0.55000000000000004">
      <c r="A7763" s="18">
        <v>24.732757599999999</v>
      </c>
      <c r="B7763" s="18">
        <v>34.781839900000001</v>
      </c>
      <c r="C7763" s="18">
        <v>680210.92</v>
      </c>
      <c r="D7763" s="18">
        <v>2736529.56</v>
      </c>
      <c r="E7763" s="18">
        <v>382.86</v>
      </c>
      <c r="F7763" s="18">
        <v>41739.24</v>
      </c>
      <c r="G7763" s="18">
        <v>130936</v>
      </c>
      <c r="H7763" s="18">
        <f t="shared" si="174"/>
        <v>41586.239999999998</v>
      </c>
      <c r="I7763" s="3"/>
    </row>
    <row r="7764" spans="1:9" s="4" customFormat="1" ht="20.25" customHeight="1" x14ac:dyDescent="0.55000000000000004">
      <c r="A7764" s="18">
        <v>24.7327625</v>
      </c>
      <c r="B7764" s="18">
        <v>34.781865600000003</v>
      </c>
      <c r="C7764" s="18">
        <v>680213.52</v>
      </c>
      <c r="D7764" s="18">
        <v>2736530.13</v>
      </c>
      <c r="E7764" s="18">
        <v>382.86</v>
      </c>
      <c r="F7764" s="18">
        <v>41737.64</v>
      </c>
      <c r="G7764" s="18">
        <v>130938</v>
      </c>
      <c r="H7764" s="18">
        <f t="shared" si="174"/>
        <v>41584.639999999999</v>
      </c>
      <c r="I7764" s="3"/>
    </row>
    <row r="7765" spans="1:9" s="4" customFormat="1" ht="20.25" customHeight="1" x14ac:dyDescent="0.55000000000000004">
      <c r="A7765" s="18">
        <v>24.732771799999998</v>
      </c>
      <c r="B7765" s="18">
        <v>34.781891399999999</v>
      </c>
      <c r="C7765" s="18">
        <v>680216.12</v>
      </c>
      <c r="D7765" s="18">
        <v>2736531.19</v>
      </c>
      <c r="E7765" s="18">
        <v>382.73</v>
      </c>
      <c r="F7765" s="18">
        <v>41739.81</v>
      </c>
      <c r="G7765" s="18">
        <v>130940</v>
      </c>
      <c r="H7765" s="18">
        <f t="shared" si="174"/>
        <v>41586.81</v>
      </c>
      <c r="I7765" s="3"/>
    </row>
    <row r="7766" spans="1:9" s="4" customFormat="1" ht="20.25" customHeight="1" x14ac:dyDescent="0.55000000000000004">
      <c r="A7766" s="18">
        <v>24.732781200000002</v>
      </c>
      <c r="B7766" s="18">
        <v>34.781918900000001</v>
      </c>
      <c r="C7766" s="18">
        <v>680218.89</v>
      </c>
      <c r="D7766" s="18">
        <v>2736532.27</v>
      </c>
      <c r="E7766" s="18">
        <v>382.68</v>
      </c>
      <c r="F7766" s="18">
        <v>41730.49</v>
      </c>
      <c r="G7766" s="18">
        <v>130942</v>
      </c>
      <c r="H7766" s="18">
        <f t="shared" si="174"/>
        <v>41577.49</v>
      </c>
      <c r="I7766" s="3"/>
    </row>
    <row r="7767" spans="1:9" s="4" customFormat="1" ht="20.25" customHeight="1" x14ac:dyDescent="0.55000000000000004">
      <c r="A7767" s="18">
        <v>24.7327911</v>
      </c>
      <c r="B7767" s="18">
        <v>34.781945</v>
      </c>
      <c r="C7767" s="18">
        <v>680221.51</v>
      </c>
      <c r="D7767" s="18">
        <v>2736533.41</v>
      </c>
      <c r="E7767" s="18">
        <v>382.67</v>
      </c>
      <c r="F7767" s="18">
        <v>41730.35</v>
      </c>
      <c r="G7767" s="18">
        <v>130944</v>
      </c>
      <c r="H7767" s="18">
        <f t="shared" si="174"/>
        <v>41577.35</v>
      </c>
      <c r="I7767" s="3"/>
    </row>
    <row r="7768" spans="1:9" s="4" customFormat="1" ht="20.25" customHeight="1" x14ac:dyDescent="0.55000000000000004">
      <c r="A7768" s="18">
        <v>24.7328036</v>
      </c>
      <c r="B7768" s="18">
        <v>34.7819711</v>
      </c>
      <c r="C7768" s="18">
        <v>680224.13</v>
      </c>
      <c r="D7768" s="18">
        <v>2736534.83</v>
      </c>
      <c r="E7768" s="18">
        <v>382.68</v>
      </c>
      <c r="F7768" s="18">
        <v>41732.04</v>
      </c>
      <c r="G7768" s="18">
        <v>130946</v>
      </c>
      <c r="H7768" s="18">
        <f t="shared" si="174"/>
        <v>41579.040000000001</v>
      </c>
      <c r="I7768" s="3"/>
    </row>
    <row r="7769" spans="1:9" s="4" customFormat="1" ht="20.25" customHeight="1" x14ac:dyDescent="0.55000000000000004">
      <c r="A7769" s="18">
        <v>24.732814300000001</v>
      </c>
      <c r="B7769" s="18">
        <v>34.781992799999998</v>
      </c>
      <c r="C7769" s="18">
        <v>680226.31</v>
      </c>
      <c r="D7769" s="18">
        <v>2736536.04</v>
      </c>
      <c r="E7769" s="18">
        <v>382.66</v>
      </c>
      <c r="F7769" s="18">
        <v>41731.279999999999</v>
      </c>
      <c r="G7769" s="18">
        <v>130948</v>
      </c>
      <c r="H7769" s="18">
        <f t="shared" si="174"/>
        <v>41578.28</v>
      </c>
      <c r="I7769" s="3"/>
    </row>
    <row r="7770" spans="1:9" s="4" customFormat="1" ht="20.25" customHeight="1" x14ac:dyDescent="0.55000000000000004">
      <c r="A7770" s="18">
        <v>24.732824000000001</v>
      </c>
      <c r="B7770" s="18">
        <v>34.782015999999999</v>
      </c>
      <c r="C7770" s="18">
        <v>680228.64</v>
      </c>
      <c r="D7770" s="18">
        <v>2736537.15</v>
      </c>
      <c r="E7770" s="18">
        <v>382.58</v>
      </c>
      <c r="F7770" s="18">
        <v>41736.74</v>
      </c>
      <c r="G7770" s="18">
        <v>130950</v>
      </c>
      <c r="H7770" s="18">
        <f t="shared" si="174"/>
        <v>41583.74</v>
      </c>
      <c r="I7770" s="3"/>
    </row>
    <row r="7771" spans="1:9" s="4" customFormat="1" ht="20.25" customHeight="1" x14ac:dyDescent="0.55000000000000004">
      <c r="A7771" s="18">
        <v>24.732838300000001</v>
      </c>
      <c r="B7771" s="18">
        <v>34.782037500000001</v>
      </c>
      <c r="C7771" s="18">
        <v>680230.8</v>
      </c>
      <c r="D7771" s="18">
        <v>2736538.76</v>
      </c>
      <c r="E7771" s="18">
        <v>382.59</v>
      </c>
      <c r="F7771" s="18">
        <v>41740.49</v>
      </c>
      <c r="G7771" s="18">
        <v>130952</v>
      </c>
      <c r="H7771" s="18">
        <f t="shared" si="174"/>
        <v>41587.49</v>
      </c>
      <c r="I7771" s="3"/>
    </row>
    <row r="7772" spans="1:9" s="4" customFormat="1" ht="20.25" customHeight="1" x14ac:dyDescent="0.55000000000000004">
      <c r="A7772" s="18">
        <v>24.7328513</v>
      </c>
      <c r="B7772" s="18">
        <v>34.782058300000003</v>
      </c>
      <c r="C7772" s="18">
        <v>680232.88</v>
      </c>
      <c r="D7772" s="18">
        <v>2736540.22</v>
      </c>
      <c r="E7772" s="18">
        <v>382.5</v>
      </c>
      <c r="F7772" s="18">
        <v>41747.22</v>
      </c>
      <c r="G7772" s="18">
        <v>130954</v>
      </c>
      <c r="H7772" s="18">
        <f t="shared" si="174"/>
        <v>41594.22</v>
      </c>
      <c r="I7772" s="3"/>
    </row>
    <row r="7773" spans="1:9" s="4" customFormat="1" ht="20.25" customHeight="1" x14ac:dyDescent="0.55000000000000004">
      <c r="A7773" s="18">
        <v>24.732863999999999</v>
      </c>
      <c r="B7773" s="18">
        <v>34.7820781</v>
      </c>
      <c r="C7773" s="18">
        <v>680234.87</v>
      </c>
      <c r="D7773" s="18">
        <v>2736541.65</v>
      </c>
      <c r="E7773" s="18">
        <v>382.37</v>
      </c>
      <c r="F7773" s="18">
        <v>41739.69</v>
      </c>
      <c r="G7773" s="18">
        <v>130956</v>
      </c>
      <c r="H7773" s="18">
        <f t="shared" si="174"/>
        <v>41586.69</v>
      </c>
      <c r="I7773" s="3"/>
    </row>
    <row r="7774" spans="1:9" s="4" customFormat="1" ht="20.25" customHeight="1" x14ac:dyDescent="0.55000000000000004">
      <c r="A7774" s="18">
        <v>24.7328759</v>
      </c>
      <c r="B7774" s="18">
        <v>34.782096799999998</v>
      </c>
      <c r="C7774" s="18">
        <v>680236.74</v>
      </c>
      <c r="D7774" s="18">
        <v>2736543</v>
      </c>
      <c r="E7774" s="18">
        <v>382.42</v>
      </c>
      <c r="F7774" s="18">
        <v>41738.58</v>
      </c>
      <c r="G7774" s="18">
        <v>130958</v>
      </c>
      <c r="H7774" s="18">
        <f t="shared" si="174"/>
        <v>41585.58</v>
      </c>
      <c r="I7774" s="3"/>
    </row>
    <row r="7775" spans="1:9" s="4" customFormat="1" ht="20.25" customHeight="1" x14ac:dyDescent="0.55000000000000004">
      <c r="A7775" s="18">
        <v>24.732883399999999</v>
      </c>
      <c r="B7775" s="18">
        <v>34.782119600000001</v>
      </c>
      <c r="C7775" s="18">
        <v>680239.04</v>
      </c>
      <c r="D7775" s="18">
        <v>2736543.86</v>
      </c>
      <c r="E7775" s="18">
        <v>382.35</v>
      </c>
      <c r="F7775" s="18">
        <v>41738.31</v>
      </c>
      <c r="G7775" s="18">
        <v>131000</v>
      </c>
      <c r="H7775" s="18">
        <f t="shared" si="174"/>
        <v>41585.31</v>
      </c>
      <c r="I7775" s="3"/>
    </row>
    <row r="7776" spans="1:9" s="4" customFormat="1" ht="20.25" customHeight="1" x14ac:dyDescent="0.55000000000000004">
      <c r="A7776" s="18">
        <v>24.732888599999999</v>
      </c>
      <c r="B7776" s="18">
        <v>34.782141899999999</v>
      </c>
      <c r="C7776" s="18">
        <v>680241.28</v>
      </c>
      <c r="D7776" s="18">
        <v>2736544.46</v>
      </c>
      <c r="E7776" s="18">
        <v>382.27</v>
      </c>
      <c r="F7776" s="18">
        <v>41740.61</v>
      </c>
      <c r="G7776" s="18">
        <v>131002</v>
      </c>
      <c r="H7776" s="18">
        <f t="shared" si="174"/>
        <v>41587.61</v>
      </c>
      <c r="I7776" s="3"/>
    </row>
    <row r="7777" spans="1:9" s="4" customFormat="1" ht="20.25" customHeight="1" x14ac:dyDescent="0.55000000000000004">
      <c r="A7777" s="18">
        <v>24.7328945</v>
      </c>
      <c r="B7777" s="18">
        <v>34.782162300000003</v>
      </c>
      <c r="C7777" s="18">
        <v>680243.34</v>
      </c>
      <c r="D7777" s="18">
        <v>2736545.14</v>
      </c>
      <c r="E7777" s="18">
        <v>382.23</v>
      </c>
      <c r="F7777" s="18">
        <v>41738.67</v>
      </c>
      <c r="G7777" s="18">
        <v>131004</v>
      </c>
      <c r="H7777" s="18">
        <f t="shared" si="174"/>
        <v>41585.67</v>
      </c>
      <c r="I7777" s="3"/>
    </row>
    <row r="7778" spans="1:9" s="4" customFormat="1" ht="20.25" customHeight="1" x14ac:dyDescent="0.55000000000000004">
      <c r="A7778" s="18">
        <v>24.7328981</v>
      </c>
      <c r="B7778" s="18">
        <v>34.782184200000003</v>
      </c>
      <c r="C7778" s="18">
        <v>680245.55</v>
      </c>
      <c r="D7778" s="18">
        <v>2736545.57</v>
      </c>
      <c r="E7778" s="18">
        <v>382.12</v>
      </c>
      <c r="F7778" s="18">
        <v>41742.589999999997</v>
      </c>
      <c r="G7778" s="18">
        <v>131006</v>
      </c>
      <c r="H7778" s="18">
        <f t="shared" si="174"/>
        <v>41589.589999999997</v>
      </c>
      <c r="I7778" s="3"/>
    </row>
    <row r="7779" spans="1:9" s="4" customFormat="1" ht="20.25" customHeight="1" x14ac:dyDescent="0.55000000000000004">
      <c r="A7779" s="18">
        <v>24.732898500000001</v>
      </c>
      <c r="B7779" s="18">
        <v>34.782206600000002</v>
      </c>
      <c r="C7779" s="18">
        <v>680247.81</v>
      </c>
      <c r="D7779" s="18">
        <v>2736545.65</v>
      </c>
      <c r="E7779" s="18">
        <v>382.01</v>
      </c>
      <c r="F7779" s="18">
        <v>41741.800000000003</v>
      </c>
      <c r="G7779" s="18">
        <v>131008</v>
      </c>
      <c r="H7779" s="18">
        <f t="shared" si="174"/>
        <v>41588.800000000003</v>
      </c>
      <c r="I7779" s="3"/>
    </row>
    <row r="7780" spans="1:9" s="4" customFormat="1" ht="20.25" customHeight="1" x14ac:dyDescent="0.55000000000000004">
      <c r="A7780" s="18">
        <v>24.7329042</v>
      </c>
      <c r="B7780" s="18">
        <v>34.782229399999999</v>
      </c>
      <c r="C7780" s="18">
        <v>680250.11</v>
      </c>
      <c r="D7780" s="18">
        <v>2736546.31</v>
      </c>
      <c r="E7780" s="18">
        <v>381.85</v>
      </c>
      <c r="F7780" s="18">
        <v>41736.18</v>
      </c>
      <c r="G7780" s="18">
        <v>131010</v>
      </c>
      <c r="H7780" s="18">
        <f t="shared" si="174"/>
        <v>41583.18</v>
      </c>
      <c r="I7780" s="3"/>
    </row>
    <row r="7781" spans="1:9" s="4" customFormat="1" ht="20.25" customHeight="1" x14ac:dyDescent="0.55000000000000004">
      <c r="A7781" s="18">
        <v>24.732910100000002</v>
      </c>
      <c r="B7781" s="18">
        <v>34.782251700000003</v>
      </c>
      <c r="C7781" s="18">
        <v>680252.36</v>
      </c>
      <c r="D7781" s="18">
        <v>2736546.99</v>
      </c>
      <c r="E7781" s="18">
        <v>381.85</v>
      </c>
      <c r="F7781" s="18">
        <v>41737.599999999999</v>
      </c>
      <c r="G7781" s="18">
        <v>131012</v>
      </c>
      <c r="H7781" s="18">
        <f t="shared" si="174"/>
        <v>41584.6</v>
      </c>
      <c r="I7781" s="3"/>
    </row>
    <row r="7782" spans="1:9" s="4" customFormat="1" ht="20.25" customHeight="1" x14ac:dyDescent="0.55000000000000004">
      <c r="A7782" s="18">
        <v>24.7329203</v>
      </c>
      <c r="B7782" s="18">
        <v>34.782272800000001</v>
      </c>
      <c r="C7782" s="18">
        <v>680254.48</v>
      </c>
      <c r="D7782" s="18">
        <v>2736548.15</v>
      </c>
      <c r="E7782" s="18">
        <v>381.76</v>
      </c>
      <c r="F7782" s="18">
        <v>41739.35</v>
      </c>
      <c r="G7782" s="18">
        <v>131014</v>
      </c>
      <c r="H7782" s="18">
        <f t="shared" si="174"/>
        <v>41586.35</v>
      </c>
      <c r="I7782" s="3"/>
    </row>
    <row r="7783" spans="1:9" s="4" customFormat="1" ht="20.25" customHeight="1" x14ac:dyDescent="0.55000000000000004">
      <c r="A7783" s="18">
        <v>24.732925600000002</v>
      </c>
      <c r="B7783" s="18">
        <v>34.782295599999998</v>
      </c>
      <c r="C7783" s="18">
        <v>680256.78</v>
      </c>
      <c r="D7783" s="18">
        <v>2736548.77</v>
      </c>
      <c r="E7783" s="18">
        <v>381.64</v>
      </c>
      <c r="F7783" s="18">
        <v>41737.050000000003</v>
      </c>
      <c r="G7783" s="18">
        <v>131016</v>
      </c>
      <c r="H7783" s="18">
        <f t="shared" si="174"/>
        <v>41584.050000000003</v>
      </c>
      <c r="I7783" s="3"/>
    </row>
    <row r="7784" spans="1:9" s="4" customFormat="1" ht="20.25" customHeight="1" x14ac:dyDescent="0.55000000000000004">
      <c r="A7784" s="18">
        <v>24.732937</v>
      </c>
      <c r="B7784" s="18">
        <v>34.782316199999997</v>
      </c>
      <c r="C7784" s="18">
        <v>680258.85</v>
      </c>
      <c r="D7784" s="18">
        <v>2736550.05</v>
      </c>
      <c r="E7784" s="18">
        <v>381.42</v>
      </c>
      <c r="F7784" s="18">
        <v>41741.019999999997</v>
      </c>
      <c r="G7784" s="18">
        <v>131018</v>
      </c>
      <c r="H7784" s="18">
        <f t="shared" si="174"/>
        <v>41588.019999999997</v>
      </c>
      <c r="I7784" s="3"/>
    </row>
    <row r="7785" spans="1:9" s="4" customFormat="1" ht="20.25" customHeight="1" x14ac:dyDescent="0.55000000000000004">
      <c r="A7785" s="18">
        <v>24.7329507</v>
      </c>
      <c r="B7785" s="18">
        <v>34.782332400000001</v>
      </c>
      <c r="C7785" s="18">
        <v>680260.46</v>
      </c>
      <c r="D7785" s="18">
        <v>2736551.59</v>
      </c>
      <c r="E7785" s="18">
        <v>381.45</v>
      </c>
      <c r="F7785" s="18">
        <v>41739.370000000003</v>
      </c>
      <c r="G7785" s="18">
        <v>131020</v>
      </c>
      <c r="H7785" s="18">
        <f t="shared" si="174"/>
        <v>41586.370000000003</v>
      </c>
      <c r="I7785" s="3"/>
    </row>
    <row r="7786" spans="1:9" s="4" customFormat="1" ht="20.25" customHeight="1" x14ac:dyDescent="0.55000000000000004">
      <c r="A7786" s="18">
        <v>24.732966999999999</v>
      </c>
      <c r="B7786" s="18">
        <v>34.782347299999998</v>
      </c>
      <c r="C7786" s="18">
        <v>680261.95</v>
      </c>
      <c r="D7786" s="18">
        <v>2736553.42</v>
      </c>
      <c r="E7786" s="18">
        <v>381.5</v>
      </c>
      <c r="F7786" s="18">
        <v>41740.730000000003</v>
      </c>
      <c r="G7786" s="18">
        <v>131022</v>
      </c>
      <c r="H7786" s="18">
        <f t="shared" si="174"/>
        <v>41587.730000000003</v>
      </c>
      <c r="I7786" s="3"/>
    </row>
    <row r="7787" spans="1:9" s="4" customFormat="1" ht="20.25" customHeight="1" x14ac:dyDescent="0.55000000000000004">
      <c r="A7787" s="18">
        <v>24.7329823</v>
      </c>
      <c r="B7787" s="18">
        <v>34.782369000000003</v>
      </c>
      <c r="C7787" s="18">
        <v>680264.12</v>
      </c>
      <c r="D7787" s="18">
        <v>2736555.15</v>
      </c>
      <c r="E7787" s="18">
        <v>381.56</v>
      </c>
      <c r="F7787" s="18">
        <v>41740.480000000003</v>
      </c>
      <c r="G7787" s="18">
        <v>131024</v>
      </c>
      <c r="H7787" s="18">
        <f t="shared" si="174"/>
        <v>41587.480000000003</v>
      </c>
      <c r="I7787" s="3"/>
    </row>
    <row r="7788" spans="1:9" s="4" customFormat="1" ht="20.25" customHeight="1" x14ac:dyDescent="0.55000000000000004">
      <c r="A7788" s="18">
        <v>24.7329975</v>
      </c>
      <c r="B7788" s="18">
        <v>34.7823876</v>
      </c>
      <c r="C7788" s="18">
        <v>680265.98</v>
      </c>
      <c r="D7788" s="18">
        <v>2736556.85</v>
      </c>
      <c r="E7788" s="18">
        <v>381.61</v>
      </c>
      <c r="F7788" s="18">
        <v>41740.160000000003</v>
      </c>
      <c r="G7788" s="18">
        <v>131026</v>
      </c>
      <c r="H7788" s="18">
        <f t="shared" si="174"/>
        <v>41587.160000000003</v>
      </c>
      <c r="I7788" s="3"/>
    </row>
    <row r="7789" spans="1:9" s="4" customFormat="1" ht="20.25" customHeight="1" x14ac:dyDescent="0.55000000000000004">
      <c r="A7789" s="18">
        <v>24.733018399999999</v>
      </c>
      <c r="B7789" s="18">
        <v>34.7824004</v>
      </c>
      <c r="C7789" s="18">
        <v>680267.25</v>
      </c>
      <c r="D7789" s="18">
        <v>2736559.18</v>
      </c>
      <c r="E7789" s="18">
        <v>381.63</v>
      </c>
      <c r="F7789" s="18">
        <v>41745.33</v>
      </c>
      <c r="G7789" s="18">
        <v>131028</v>
      </c>
      <c r="H7789" s="18">
        <f t="shared" si="174"/>
        <v>41592.33</v>
      </c>
      <c r="I7789" s="3"/>
    </row>
    <row r="7790" spans="1:9" s="4" customFormat="1" ht="20.25" customHeight="1" x14ac:dyDescent="0.55000000000000004">
      <c r="A7790" s="18">
        <v>24.733035900000001</v>
      </c>
      <c r="B7790" s="18">
        <v>34.7824162</v>
      </c>
      <c r="C7790" s="18">
        <v>680268.82</v>
      </c>
      <c r="D7790" s="18">
        <v>2736561.15</v>
      </c>
      <c r="E7790" s="18">
        <v>381.48</v>
      </c>
      <c r="F7790" s="18">
        <v>41742.660000000003</v>
      </c>
      <c r="G7790" s="18">
        <v>131030</v>
      </c>
      <c r="H7790" s="18">
        <f t="shared" si="174"/>
        <v>41589.660000000003</v>
      </c>
      <c r="I7790" s="3"/>
    </row>
    <row r="7791" spans="1:9" s="4" customFormat="1" ht="20.25" customHeight="1" x14ac:dyDescent="0.55000000000000004">
      <c r="A7791" s="18">
        <v>24.7330513</v>
      </c>
      <c r="B7791" s="18">
        <v>34.782436599999997</v>
      </c>
      <c r="C7791" s="18">
        <v>680270.86</v>
      </c>
      <c r="D7791" s="18">
        <v>2736562.87</v>
      </c>
      <c r="E7791" s="18">
        <v>381.56</v>
      </c>
      <c r="F7791" s="18">
        <v>41735.4</v>
      </c>
      <c r="G7791" s="18">
        <v>131032</v>
      </c>
      <c r="H7791" s="18">
        <f t="shared" si="174"/>
        <v>41582.400000000001</v>
      </c>
      <c r="I7791" s="3"/>
    </row>
    <row r="7792" spans="1:9" s="4" customFormat="1" ht="20.25" customHeight="1" x14ac:dyDescent="0.55000000000000004">
      <c r="A7792" s="18">
        <v>24.733061899999999</v>
      </c>
      <c r="B7792" s="18">
        <v>34.782458300000002</v>
      </c>
      <c r="C7792" s="18">
        <v>680273.04</v>
      </c>
      <c r="D7792" s="18">
        <v>2736564.07</v>
      </c>
      <c r="E7792" s="18">
        <v>381.45</v>
      </c>
      <c r="F7792" s="18">
        <v>41734.519999999997</v>
      </c>
      <c r="G7792" s="18">
        <v>131034</v>
      </c>
      <c r="H7792" s="18">
        <f t="shared" si="174"/>
        <v>41581.519999999997</v>
      </c>
      <c r="I7792" s="3"/>
    </row>
    <row r="7793" spans="1:9" s="4" customFormat="1" ht="20.25" customHeight="1" x14ac:dyDescent="0.55000000000000004">
      <c r="A7793" s="18">
        <v>24.733073399999999</v>
      </c>
      <c r="B7793" s="18">
        <v>34.7824806</v>
      </c>
      <c r="C7793" s="18">
        <v>680275.28</v>
      </c>
      <c r="D7793" s="18">
        <v>2736565.38</v>
      </c>
      <c r="E7793" s="18">
        <v>381.49</v>
      </c>
      <c r="F7793" s="18">
        <v>41742.21</v>
      </c>
      <c r="G7793" s="18">
        <v>131036</v>
      </c>
      <c r="H7793" s="18">
        <f t="shared" si="174"/>
        <v>41589.21</v>
      </c>
      <c r="I7793" s="3"/>
    </row>
    <row r="7794" spans="1:9" s="4" customFormat="1" ht="20.25" customHeight="1" x14ac:dyDescent="0.55000000000000004">
      <c r="A7794" s="18">
        <v>24.7330875</v>
      </c>
      <c r="B7794" s="18">
        <v>34.782499799999997</v>
      </c>
      <c r="C7794" s="18">
        <v>680277.21</v>
      </c>
      <c r="D7794" s="18">
        <v>2736566.96</v>
      </c>
      <c r="E7794" s="18">
        <v>381.48</v>
      </c>
      <c r="F7794" s="18">
        <v>41737.35</v>
      </c>
      <c r="G7794" s="18">
        <v>131038</v>
      </c>
      <c r="H7794" s="18">
        <f t="shared" si="174"/>
        <v>41584.35</v>
      </c>
      <c r="I7794" s="3"/>
    </row>
    <row r="7795" spans="1:9" s="4" customFormat="1" ht="20.25" customHeight="1" x14ac:dyDescent="0.55000000000000004">
      <c r="A7795" s="18">
        <v>24.733104300000001</v>
      </c>
      <c r="B7795" s="18">
        <v>34.7825159</v>
      </c>
      <c r="C7795" s="18">
        <v>680278.81</v>
      </c>
      <c r="D7795" s="18">
        <v>2736568.85</v>
      </c>
      <c r="E7795" s="18">
        <v>381.41</v>
      </c>
      <c r="F7795" s="18">
        <v>41736.400000000001</v>
      </c>
      <c r="G7795" s="18">
        <v>131040</v>
      </c>
      <c r="H7795" s="18">
        <f t="shared" si="174"/>
        <v>41583.4</v>
      </c>
      <c r="I7795" s="3"/>
    </row>
    <row r="7796" spans="1:9" s="4" customFormat="1" ht="20.25" customHeight="1" x14ac:dyDescent="0.55000000000000004">
      <c r="A7796" s="18">
        <v>24.7331194</v>
      </c>
      <c r="B7796" s="18">
        <v>34.782535500000002</v>
      </c>
      <c r="C7796" s="18">
        <v>680280.76</v>
      </c>
      <c r="D7796" s="18">
        <v>2736570.55</v>
      </c>
      <c r="E7796" s="18">
        <v>381.39</v>
      </c>
      <c r="F7796" s="18">
        <v>41733.300000000003</v>
      </c>
      <c r="G7796" s="18">
        <v>131042</v>
      </c>
      <c r="H7796" s="18">
        <f t="shared" si="174"/>
        <v>41580.300000000003</v>
      </c>
      <c r="I7796" s="3"/>
    </row>
    <row r="7797" spans="1:9" s="4" customFormat="1" ht="20.25" customHeight="1" x14ac:dyDescent="0.55000000000000004">
      <c r="A7797" s="18">
        <v>24.733135600000001</v>
      </c>
      <c r="B7797" s="18">
        <v>34.782556700000001</v>
      </c>
      <c r="C7797" s="18">
        <v>680282.89</v>
      </c>
      <c r="D7797" s="18">
        <v>2736572.37</v>
      </c>
      <c r="E7797" s="18">
        <v>381.41</v>
      </c>
      <c r="F7797" s="18">
        <v>41739.839999999997</v>
      </c>
      <c r="G7797" s="18">
        <v>131044</v>
      </c>
      <c r="H7797" s="18">
        <f t="shared" si="174"/>
        <v>41586.839999999997</v>
      </c>
      <c r="I7797" s="3"/>
    </row>
    <row r="7798" spans="1:9" s="4" customFormat="1" ht="20.25" customHeight="1" x14ac:dyDescent="0.55000000000000004">
      <c r="A7798" s="18">
        <v>24.733150899999998</v>
      </c>
      <c r="B7798" s="18">
        <v>34.782579300000002</v>
      </c>
      <c r="C7798" s="18">
        <v>680285.15</v>
      </c>
      <c r="D7798" s="18">
        <v>2736574.09</v>
      </c>
      <c r="E7798" s="18">
        <v>381.32</v>
      </c>
      <c r="F7798" s="18">
        <v>41733.78</v>
      </c>
      <c r="G7798" s="18">
        <v>131046</v>
      </c>
      <c r="H7798" s="18">
        <f t="shared" si="174"/>
        <v>41580.78</v>
      </c>
      <c r="I7798" s="3"/>
    </row>
    <row r="7799" spans="1:9" s="4" customFormat="1" ht="20.25" customHeight="1" x14ac:dyDescent="0.55000000000000004">
      <c r="A7799" s="18">
        <v>24.733161800000001</v>
      </c>
      <c r="B7799" s="18">
        <v>34.782602500000003</v>
      </c>
      <c r="C7799" s="18">
        <v>680287.49</v>
      </c>
      <c r="D7799" s="18">
        <v>2736575.33</v>
      </c>
      <c r="E7799" s="18">
        <v>381.33</v>
      </c>
      <c r="F7799" s="18">
        <v>41731.279999999999</v>
      </c>
      <c r="G7799" s="18">
        <v>131048</v>
      </c>
      <c r="H7799" s="18">
        <f t="shared" si="174"/>
        <v>41578.28</v>
      </c>
      <c r="I7799" s="3"/>
    </row>
    <row r="7800" spans="1:9" s="4" customFormat="1" ht="20.25" customHeight="1" x14ac:dyDescent="0.55000000000000004">
      <c r="A7800" s="18">
        <v>24.733174000000002</v>
      </c>
      <c r="B7800" s="18">
        <v>34.782626800000003</v>
      </c>
      <c r="C7800" s="18">
        <v>680289.92</v>
      </c>
      <c r="D7800" s="18">
        <v>2736576.71</v>
      </c>
      <c r="E7800" s="18">
        <v>381.27</v>
      </c>
      <c r="F7800" s="18">
        <v>41730.339999999997</v>
      </c>
      <c r="G7800" s="18">
        <v>131050</v>
      </c>
      <c r="H7800" s="18">
        <f t="shared" si="174"/>
        <v>41577.339999999997</v>
      </c>
      <c r="I7800" s="3"/>
    </row>
    <row r="7801" spans="1:9" s="4" customFormat="1" ht="20.25" customHeight="1" x14ac:dyDescent="0.55000000000000004">
      <c r="A7801" s="18">
        <v>24.733184000000001</v>
      </c>
      <c r="B7801" s="18">
        <v>34.782650400000001</v>
      </c>
      <c r="C7801" s="18">
        <v>680292.29</v>
      </c>
      <c r="D7801" s="18">
        <v>2736577.85</v>
      </c>
      <c r="E7801" s="18">
        <v>381.15</v>
      </c>
      <c r="F7801" s="18">
        <v>41731.42</v>
      </c>
      <c r="G7801" s="18">
        <v>131052</v>
      </c>
      <c r="H7801" s="18">
        <f t="shared" si="174"/>
        <v>41578.42</v>
      </c>
      <c r="I7801" s="3"/>
    </row>
    <row r="7802" spans="1:9" s="4" customFormat="1" ht="20.25" customHeight="1" x14ac:dyDescent="0.55000000000000004">
      <c r="A7802" s="18">
        <v>24.733188999999999</v>
      </c>
      <c r="B7802" s="18">
        <v>34.782676299999999</v>
      </c>
      <c r="C7802" s="18">
        <v>680294.91</v>
      </c>
      <c r="D7802" s="18">
        <v>2736578.44</v>
      </c>
      <c r="E7802" s="18">
        <v>381.05</v>
      </c>
      <c r="F7802" s="18">
        <v>41731.75</v>
      </c>
      <c r="G7802" s="18">
        <v>131054</v>
      </c>
      <c r="H7802" s="18">
        <f t="shared" si="174"/>
        <v>41578.75</v>
      </c>
      <c r="I7802" s="3"/>
    </row>
    <row r="7803" spans="1:9" s="4" customFormat="1" ht="20.25" customHeight="1" x14ac:dyDescent="0.55000000000000004">
      <c r="A7803" s="18">
        <v>24.7332006</v>
      </c>
      <c r="B7803" s="18">
        <v>34.782697200000001</v>
      </c>
      <c r="C7803" s="18">
        <v>680297.01</v>
      </c>
      <c r="D7803" s="18">
        <v>2736579.76</v>
      </c>
      <c r="E7803" s="18">
        <v>381.05</v>
      </c>
      <c r="F7803" s="18">
        <v>41732</v>
      </c>
      <c r="G7803" s="18">
        <v>131056</v>
      </c>
      <c r="H7803" s="18">
        <f t="shared" si="174"/>
        <v>41579</v>
      </c>
      <c r="I7803" s="3"/>
    </row>
    <row r="7804" spans="1:9" s="4" customFormat="1" ht="20.25" customHeight="1" x14ac:dyDescent="0.55000000000000004">
      <c r="A7804" s="18">
        <v>24.733214199999999</v>
      </c>
      <c r="B7804" s="18">
        <v>34.782715799999998</v>
      </c>
      <c r="C7804" s="18">
        <v>680298.87</v>
      </c>
      <c r="D7804" s="18">
        <v>2736581.29</v>
      </c>
      <c r="E7804" s="18">
        <v>381.04</v>
      </c>
      <c r="F7804" s="18">
        <v>41736.910000000003</v>
      </c>
      <c r="G7804" s="18">
        <v>131058</v>
      </c>
      <c r="H7804" s="18">
        <f t="shared" si="174"/>
        <v>41583.910000000003</v>
      </c>
      <c r="I7804" s="3"/>
    </row>
    <row r="7805" spans="1:9" s="4" customFormat="1" ht="20.25" customHeight="1" x14ac:dyDescent="0.55000000000000004">
      <c r="A7805" s="18">
        <v>24.733226999999999</v>
      </c>
      <c r="B7805" s="18">
        <v>34.782734400000002</v>
      </c>
      <c r="C7805" s="18">
        <v>680300.74</v>
      </c>
      <c r="D7805" s="18">
        <v>2736582.72</v>
      </c>
      <c r="E7805" s="18">
        <v>380.97</v>
      </c>
      <c r="F7805" s="18">
        <v>41745.19</v>
      </c>
      <c r="G7805" s="18">
        <v>131100</v>
      </c>
      <c r="H7805" s="18">
        <f t="shared" si="174"/>
        <v>41592.19</v>
      </c>
      <c r="I7805" s="3"/>
    </row>
    <row r="7806" spans="1:9" s="4" customFormat="1" ht="20.25" customHeight="1" x14ac:dyDescent="0.55000000000000004">
      <c r="A7806" s="18">
        <v>24.7332429</v>
      </c>
      <c r="B7806" s="18">
        <v>34.782749199999998</v>
      </c>
      <c r="C7806" s="18">
        <v>680302.21</v>
      </c>
      <c r="D7806" s="18">
        <v>2736584.51</v>
      </c>
      <c r="E7806" s="18">
        <v>380.98</v>
      </c>
      <c r="F7806" s="18">
        <v>41744.1</v>
      </c>
      <c r="G7806" s="18">
        <v>131102</v>
      </c>
      <c r="H7806" s="18">
        <f t="shared" si="174"/>
        <v>41591.1</v>
      </c>
      <c r="I7806" s="3"/>
    </row>
    <row r="7807" spans="1:9" s="4" customFormat="1" ht="20.25" customHeight="1" x14ac:dyDescent="0.55000000000000004">
      <c r="A7807" s="18">
        <v>24.733259499999999</v>
      </c>
      <c r="B7807" s="18">
        <v>34.7827634</v>
      </c>
      <c r="C7807" s="18">
        <v>680303.62</v>
      </c>
      <c r="D7807" s="18">
        <v>2736586.36</v>
      </c>
      <c r="E7807" s="18">
        <v>380.86</v>
      </c>
      <c r="F7807" s="18">
        <v>41733.4</v>
      </c>
      <c r="G7807" s="18">
        <v>131104</v>
      </c>
      <c r="H7807" s="18">
        <f t="shared" si="174"/>
        <v>41580.400000000001</v>
      </c>
      <c r="I7807" s="3"/>
    </row>
    <row r="7808" spans="1:9" s="4" customFormat="1" ht="20.25" customHeight="1" x14ac:dyDescent="0.55000000000000004">
      <c r="A7808" s="18">
        <v>24.733275599999999</v>
      </c>
      <c r="B7808" s="18">
        <v>34.782781200000002</v>
      </c>
      <c r="C7808" s="18">
        <v>680305.4</v>
      </c>
      <c r="D7808" s="18">
        <v>2736588.17</v>
      </c>
      <c r="E7808" s="18">
        <v>380.88</v>
      </c>
      <c r="F7808" s="18">
        <v>41723.1</v>
      </c>
      <c r="G7808" s="18">
        <v>131106</v>
      </c>
      <c r="H7808" s="18">
        <f t="shared" si="174"/>
        <v>41570.1</v>
      </c>
      <c r="I7808" s="3"/>
    </row>
    <row r="7809" spans="1:9" s="4" customFormat="1" ht="20.25" customHeight="1" x14ac:dyDescent="0.55000000000000004">
      <c r="A7809" s="18">
        <v>24.7332927</v>
      </c>
      <c r="B7809" s="18">
        <v>34.782800199999997</v>
      </c>
      <c r="C7809" s="18">
        <v>680307.29</v>
      </c>
      <c r="D7809" s="18">
        <v>2736590.09</v>
      </c>
      <c r="E7809" s="18">
        <v>380.73</v>
      </c>
      <c r="F7809" s="18">
        <v>41730.410000000003</v>
      </c>
      <c r="G7809" s="18">
        <v>131108</v>
      </c>
      <c r="H7809" s="18">
        <f t="shared" si="174"/>
        <v>41577.410000000003</v>
      </c>
      <c r="I7809" s="3"/>
    </row>
    <row r="7810" spans="1:9" s="4" customFormat="1" ht="20.25" customHeight="1" x14ac:dyDescent="0.55000000000000004">
      <c r="A7810" s="18">
        <v>24.733311799999999</v>
      </c>
      <c r="B7810" s="18">
        <v>34.782817999999999</v>
      </c>
      <c r="C7810" s="18">
        <v>680309.06</v>
      </c>
      <c r="D7810" s="18">
        <v>2736592.23</v>
      </c>
      <c r="E7810" s="18">
        <v>380.64</v>
      </c>
      <c r="F7810" s="18">
        <v>41731.730000000003</v>
      </c>
      <c r="G7810" s="18">
        <v>131110</v>
      </c>
      <c r="H7810" s="18">
        <f t="shared" si="174"/>
        <v>41578.730000000003</v>
      </c>
      <c r="I7810" s="3"/>
    </row>
    <row r="7811" spans="1:9" s="4" customFormat="1" ht="20.25" customHeight="1" x14ac:dyDescent="0.55000000000000004">
      <c r="A7811" s="18">
        <v>24.733331100000001</v>
      </c>
      <c r="B7811" s="18">
        <v>34.782835499999997</v>
      </c>
      <c r="C7811" s="18">
        <v>680310.82</v>
      </c>
      <c r="D7811" s="18">
        <v>2736594.39</v>
      </c>
      <c r="E7811" s="18">
        <v>380.62</v>
      </c>
      <c r="F7811" s="18">
        <v>41728.68</v>
      </c>
      <c r="G7811" s="18">
        <v>131112</v>
      </c>
      <c r="H7811" s="18">
        <f t="shared" si="174"/>
        <v>41575.68</v>
      </c>
      <c r="I7811" s="3"/>
    </row>
    <row r="7812" spans="1:9" s="4" customFormat="1" ht="20.25" customHeight="1" x14ac:dyDescent="0.55000000000000004">
      <c r="A7812" s="18">
        <v>24.733349799999999</v>
      </c>
      <c r="B7812" s="18">
        <v>34.782853600000003</v>
      </c>
      <c r="C7812" s="18">
        <v>680312.61</v>
      </c>
      <c r="D7812" s="18">
        <v>2736596.49</v>
      </c>
      <c r="E7812" s="18">
        <v>380.6</v>
      </c>
      <c r="F7812" s="18">
        <v>41734.21</v>
      </c>
      <c r="G7812" s="18">
        <v>131114</v>
      </c>
      <c r="H7812" s="18">
        <f t="shared" si="174"/>
        <v>41581.21</v>
      </c>
      <c r="I7812" s="3"/>
    </row>
    <row r="7813" spans="1:9" s="4" customFormat="1" ht="20.25" customHeight="1" x14ac:dyDescent="0.55000000000000004">
      <c r="A7813" s="18">
        <v>24.733369</v>
      </c>
      <c r="B7813" s="18">
        <v>34.7828698</v>
      </c>
      <c r="C7813" s="18">
        <v>680314.23</v>
      </c>
      <c r="D7813" s="18">
        <v>2736598.64</v>
      </c>
      <c r="E7813" s="18">
        <v>380.5</v>
      </c>
      <c r="F7813" s="18">
        <v>41734.21</v>
      </c>
      <c r="G7813" s="18">
        <v>131116</v>
      </c>
      <c r="H7813" s="18">
        <f t="shared" si="174"/>
        <v>41581.21</v>
      </c>
      <c r="I7813" s="3"/>
    </row>
    <row r="7814" spans="1:9" s="4" customFormat="1" ht="20.25" customHeight="1" x14ac:dyDescent="0.55000000000000004">
      <c r="A7814" s="18">
        <v>24.733387100000002</v>
      </c>
      <c r="B7814" s="18">
        <v>34.7828868</v>
      </c>
      <c r="C7814" s="18">
        <v>680315.92</v>
      </c>
      <c r="D7814" s="18">
        <v>2736600.66</v>
      </c>
      <c r="E7814" s="18">
        <v>380.46</v>
      </c>
      <c r="F7814" s="18">
        <v>41731.1</v>
      </c>
      <c r="G7814" s="18">
        <v>131118</v>
      </c>
      <c r="H7814" s="18">
        <f t="shared" si="174"/>
        <v>41578.1</v>
      </c>
      <c r="I7814" s="3"/>
    </row>
    <row r="7815" spans="1:9" s="4" customFormat="1" ht="20.25" customHeight="1" x14ac:dyDescent="0.55000000000000004">
      <c r="A7815" s="18">
        <v>24.7334055</v>
      </c>
      <c r="B7815" s="18">
        <v>34.782905200000002</v>
      </c>
      <c r="C7815" s="18">
        <v>680317.75</v>
      </c>
      <c r="D7815" s="18">
        <v>2736602.72</v>
      </c>
      <c r="E7815" s="18">
        <v>380.39</v>
      </c>
      <c r="F7815" s="18">
        <v>41730.03</v>
      </c>
      <c r="G7815" s="18">
        <v>131120</v>
      </c>
      <c r="H7815" s="18">
        <f t="shared" si="174"/>
        <v>41577.03</v>
      </c>
      <c r="I7815" s="3"/>
    </row>
    <row r="7816" spans="1:9" s="4" customFormat="1" ht="20.25" customHeight="1" x14ac:dyDescent="0.55000000000000004">
      <c r="A7816" s="18">
        <v>24.7334134</v>
      </c>
      <c r="B7816" s="18">
        <v>34.782916999999998</v>
      </c>
      <c r="C7816" s="18">
        <v>680318.93</v>
      </c>
      <c r="D7816" s="18">
        <v>2736603.62</v>
      </c>
      <c r="E7816" s="18">
        <v>380.34</v>
      </c>
      <c r="F7816" s="18">
        <v>41730.839999999997</v>
      </c>
      <c r="G7816" s="18">
        <v>131122</v>
      </c>
      <c r="H7816" s="18">
        <f t="shared" si="174"/>
        <v>41577.839999999997</v>
      </c>
      <c r="I7816" s="3"/>
    </row>
    <row r="7817" spans="1:9" s="4" customFormat="1" ht="20.25" customHeight="1" x14ac:dyDescent="0.55000000000000004">
      <c r="A7817" s="18">
        <v>24.733414199999999</v>
      </c>
      <c r="B7817" s="18">
        <v>34.782919700000001</v>
      </c>
      <c r="C7817" s="18">
        <v>680319.21</v>
      </c>
      <c r="D7817" s="18">
        <v>2736603.71</v>
      </c>
      <c r="E7817" s="18">
        <v>380.31</v>
      </c>
      <c r="F7817" s="18">
        <v>41731.26</v>
      </c>
      <c r="G7817" s="18">
        <v>131124</v>
      </c>
      <c r="H7817" s="18">
        <f t="shared" si="174"/>
        <v>41578.26</v>
      </c>
      <c r="I7817" s="3"/>
    </row>
    <row r="7818" spans="1:9" s="4" customFormat="1" ht="20.25" customHeight="1" x14ac:dyDescent="0.55000000000000004">
      <c r="A7818" s="18">
        <v>24.733431199999998</v>
      </c>
      <c r="B7818" s="18">
        <v>34.782932799999998</v>
      </c>
      <c r="C7818" s="18">
        <v>680320.5</v>
      </c>
      <c r="D7818" s="18">
        <v>2736605.61</v>
      </c>
      <c r="E7818" s="18">
        <v>380.26</v>
      </c>
      <c r="F7818" s="18">
        <v>41729.56</v>
      </c>
      <c r="G7818" s="18">
        <v>131126</v>
      </c>
      <c r="H7818" s="18">
        <f t="shared" si="174"/>
        <v>41576.559999999998</v>
      </c>
      <c r="I7818" s="3"/>
    </row>
    <row r="7819" spans="1:9" s="4" customFormat="1" ht="20.25" customHeight="1" x14ac:dyDescent="0.55000000000000004">
      <c r="A7819" s="18">
        <v>24.733452400000001</v>
      </c>
      <c r="B7819" s="18">
        <v>34.782943500000002</v>
      </c>
      <c r="C7819" s="18">
        <v>680321.56</v>
      </c>
      <c r="D7819" s="18">
        <v>2736607.97</v>
      </c>
      <c r="E7819" s="18">
        <v>380.08</v>
      </c>
      <c r="F7819" s="18">
        <v>41732.400000000001</v>
      </c>
      <c r="G7819" s="18">
        <v>131128</v>
      </c>
      <c r="H7819" s="18">
        <f t="shared" si="174"/>
        <v>41579.4</v>
      </c>
      <c r="I7819" s="3"/>
    </row>
    <row r="7820" spans="1:9" s="4" customFormat="1" ht="20.25" customHeight="1" x14ac:dyDescent="0.55000000000000004">
      <c r="A7820" s="18">
        <v>24.733471999999999</v>
      </c>
      <c r="B7820" s="18">
        <v>34.7829579</v>
      </c>
      <c r="C7820" s="18">
        <v>680322.99</v>
      </c>
      <c r="D7820" s="18">
        <v>2736610.16</v>
      </c>
      <c r="E7820" s="18">
        <v>380.06</v>
      </c>
      <c r="F7820" s="18">
        <v>41732.480000000003</v>
      </c>
      <c r="G7820" s="18">
        <v>131130</v>
      </c>
      <c r="H7820" s="18">
        <f t="shared" si="174"/>
        <v>41579.480000000003</v>
      </c>
      <c r="I7820" s="3"/>
    </row>
    <row r="7821" spans="1:9" s="4" customFormat="1" ht="20.25" customHeight="1" x14ac:dyDescent="0.55000000000000004">
      <c r="A7821" s="18">
        <v>24.733489599999999</v>
      </c>
      <c r="B7821" s="18">
        <v>34.782977000000002</v>
      </c>
      <c r="C7821" s="18">
        <v>680324.89</v>
      </c>
      <c r="D7821" s="18">
        <v>2736612.13</v>
      </c>
      <c r="E7821" s="18">
        <v>379.87</v>
      </c>
      <c r="F7821" s="18">
        <v>41731.35</v>
      </c>
      <c r="G7821" s="18">
        <v>131132</v>
      </c>
      <c r="H7821" s="18">
        <f t="shared" si="174"/>
        <v>41578.35</v>
      </c>
      <c r="I7821" s="3"/>
    </row>
    <row r="7822" spans="1:9" s="4" customFormat="1" ht="20.25" customHeight="1" x14ac:dyDescent="0.55000000000000004">
      <c r="A7822" s="18">
        <v>24.733507700000001</v>
      </c>
      <c r="B7822" s="18">
        <v>34.782996799999999</v>
      </c>
      <c r="C7822" s="18">
        <v>680326.87</v>
      </c>
      <c r="D7822" s="18">
        <v>2736614.17</v>
      </c>
      <c r="E7822" s="18">
        <v>379.88</v>
      </c>
      <c r="F7822" s="18">
        <v>41732.07</v>
      </c>
      <c r="G7822" s="18">
        <v>131134</v>
      </c>
      <c r="H7822" s="18">
        <f t="shared" si="174"/>
        <v>41579.07</v>
      </c>
      <c r="I7822" s="3"/>
    </row>
    <row r="7823" spans="1:9" s="4" customFormat="1" ht="20.25" customHeight="1" x14ac:dyDescent="0.55000000000000004">
      <c r="A7823" s="18">
        <v>24.7335253</v>
      </c>
      <c r="B7823" s="18">
        <v>34.783016099999998</v>
      </c>
      <c r="C7823" s="18">
        <v>680328.8</v>
      </c>
      <c r="D7823" s="18">
        <v>2736616.13</v>
      </c>
      <c r="E7823" s="18">
        <v>379.76</v>
      </c>
      <c r="F7823" s="18">
        <v>41730.57</v>
      </c>
      <c r="G7823" s="18">
        <v>131136</v>
      </c>
      <c r="H7823" s="18">
        <f t="shared" si="174"/>
        <v>41577.57</v>
      </c>
      <c r="I7823" s="3"/>
    </row>
    <row r="7824" spans="1:9" s="4" customFormat="1" ht="20.25" customHeight="1" x14ac:dyDescent="0.55000000000000004">
      <c r="A7824" s="18">
        <v>24.733543699999998</v>
      </c>
      <c r="B7824" s="18">
        <v>34.783036699999997</v>
      </c>
      <c r="C7824" s="18">
        <v>680330.85</v>
      </c>
      <c r="D7824" s="18">
        <v>2736618.21</v>
      </c>
      <c r="E7824" s="18">
        <v>379.72</v>
      </c>
      <c r="F7824" s="18">
        <v>41730.33</v>
      </c>
      <c r="G7824" s="18">
        <v>131138</v>
      </c>
      <c r="H7824" s="18">
        <f t="shared" si="174"/>
        <v>41577.33</v>
      </c>
      <c r="I7824" s="3"/>
    </row>
    <row r="7825" spans="1:9" s="4" customFormat="1" ht="20.25" customHeight="1" x14ac:dyDescent="0.55000000000000004">
      <c r="A7825" s="18">
        <v>24.7335627</v>
      </c>
      <c r="B7825" s="18">
        <v>34.7830558</v>
      </c>
      <c r="C7825" s="18">
        <v>680332.76</v>
      </c>
      <c r="D7825" s="18">
        <v>2736620.33</v>
      </c>
      <c r="E7825" s="18">
        <v>379.67</v>
      </c>
      <c r="F7825" s="18">
        <v>41731.18</v>
      </c>
      <c r="G7825" s="18">
        <v>131140</v>
      </c>
      <c r="H7825" s="18">
        <f t="shared" si="174"/>
        <v>41578.18</v>
      </c>
      <c r="I7825" s="3"/>
    </row>
    <row r="7826" spans="1:9" s="4" customFormat="1" ht="20.25" customHeight="1" x14ac:dyDescent="0.55000000000000004">
      <c r="A7826" s="18">
        <v>24.733583200000002</v>
      </c>
      <c r="B7826" s="18">
        <v>34.783069599999997</v>
      </c>
      <c r="C7826" s="18">
        <v>680334.13</v>
      </c>
      <c r="D7826" s="18">
        <v>2736622.62</v>
      </c>
      <c r="E7826" s="18">
        <v>379.61</v>
      </c>
      <c r="F7826" s="18">
        <v>41735.760000000002</v>
      </c>
      <c r="G7826" s="18">
        <v>131142</v>
      </c>
      <c r="H7826" s="18">
        <f t="shared" ref="H7826:H7889" si="175">SUM(F7826-153)</f>
        <v>41582.76</v>
      </c>
      <c r="I7826" s="3"/>
    </row>
    <row r="7827" spans="1:9" s="4" customFormat="1" ht="20.25" customHeight="1" x14ac:dyDescent="0.55000000000000004">
      <c r="A7827" s="18">
        <v>24.7336068</v>
      </c>
      <c r="B7827" s="18">
        <v>34.783079499999999</v>
      </c>
      <c r="C7827" s="18">
        <v>680335.09</v>
      </c>
      <c r="D7827" s="18">
        <v>2736625.25</v>
      </c>
      <c r="E7827" s="18">
        <v>379.52</v>
      </c>
      <c r="F7827" s="18">
        <v>41729.69</v>
      </c>
      <c r="G7827" s="18">
        <v>131144</v>
      </c>
      <c r="H7827" s="18">
        <f t="shared" si="175"/>
        <v>41576.69</v>
      </c>
      <c r="I7827" s="3"/>
    </row>
    <row r="7828" spans="1:9" s="4" customFormat="1" ht="20.25" customHeight="1" x14ac:dyDescent="0.55000000000000004">
      <c r="A7828" s="18">
        <v>24.733628599999999</v>
      </c>
      <c r="B7828" s="18">
        <v>34.783093000000001</v>
      </c>
      <c r="C7828" s="18">
        <v>680336.43</v>
      </c>
      <c r="D7828" s="18">
        <v>2736627.68</v>
      </c>
      <c r="E7828" s="18">
        <v>379.38</v>
      </c>
      <c r="F7828" s="18">
        <v>41732.370000000003</v>
      </c>
      <c r="G7828" s="18">
        <v>131146</v>
      </c>
      <c r="H7828" s="18">
        <f t="shared" si="175"/>
        <v>41579.370000000003</v>
      </c>
      <c r="I7828" s="3"/>
    </row>
    <row r="7829" spans="1:9" s="4" customFormat="1" ht="20.25" customHeight="1" x14ac:dyDescent="0.55000000000000004">
      <c r="A7829" s="18">
        <v>24.7336478</v>
      </c>
      <c r="B7829" s="18">
        <v>34.7831081</v>
      </c>
      <c r="C7829" s="18">
        <v>680337.93</v>
      </c>
      <c r="D7829" s="18">
        <v>2736629.83</v>
      </c>
      <c r="E7829" s="18">
        <v>379.32</v>
      </c>
      <c r="F7829" s="18">
        <v>41729.410000000003</v>
      </c>
      <c r="G7829" s="18">
        <v>131148</v>
      </c>
      <c r="H7829" s="18">
        <f t="shared" si="175"/>
        <v>41576.410000000003</v>
      </c>
      <c r="I7829" s="3"/>
    </row>
    <row r="7830" spans="1:9" s="4" customFormat="1" ht="20.25" customHeight="1" x14ac:dyDescent="0.55000000000000004">
      <c r="A7830" s="18">
        <v>24.7336676</v>
      </c>
      <c r="B7830" s="18">
        <v>34.783121999999999</v>
      </c>
      <c r="C7830" s="18">
        <v>680339.31</v>
      </c>
      <c r="D7830" s="18">
        <v>2736632.03</v>
      </c>
      <c r="E7830" s="18">
        <v>379.3</v>
      </c>
      <c r="F7830" s="18">
        <v>41732.46</v>
      </c>
      <c r="G7830" s="18">
        <v>131150</v>
      </c>
      <c r="H7830" s="18">
        <f t="shared" si="175"/>
        <v>41579.46</v>
      </c>
      <c r="I7830" s="3"/>
    </row>
    <row r="7831" spans="1:9" s="4" customFormat="1" ht="20.25" customHeight="1" x14ac:dyDescent="0.55000000000000004">
      <c r="A7831" s="18">
        <v>24.733686299999999</v>
      </c>
      <c r="B7831" s="18">
        <v>34.7831385</v>
      </c>
      <c r="C7831" s="18">
        <v>680340.95</v>
      </c>
      <c r="D7831" s="18">
        <v>2736634.14</v>
      </c>
      <c r="E7831" s="18">
        <v>379.19</v>
      </c>
      <c r="F7831" s="18">
        <v>41734.230000000003</v>
      </c>
      <c r="G7831" s="18">
        <v>131152</v>
      </c>
      <c r="H7831" s="18">
        <f t="shared" si="175"/>
        <v>41581.230000000003</v>
      </c>
      <c r="I7831" s="3"/>
    </row>
    <row r="7832" spans="1:9" s="4" customFormat="1" ht="20.25" customHeight="1" x14ac:dyDescent="0.55000000000000004">
      <c r="A7832" s="18">
        <v>24.733702399999999</v>
      </c>
      <c r="B7832" s="18">
        <v>34.783157799999998</v>
      </c>
      <c r="C7832" s="18">
        <v>680342.88</v>
      </c>
      <c r="D7832" s="18">
        <v>2736635.94</v>
      </c>
      <c r="E7832" s="18">
        <v>379.18</v>
      </c>
      <c r="F7832" s="18">
        <v>41735.07</v>
      </c>
      <c r="G7832" s="18">
        <v>131154</v>
      </c>
      <c r="H7832" s="18">
        <f t="shared" si="175"/>
        <v>41582.07</v>
      </c>
      <c r="I7832" s="3"/>
    </row>
    <row r="7833" spans="1:9" s="4" customFormat="1" ht="20.25" customHeight="1" x14ac:dyDescent="0.55000000000000004">
      <c r="A7833" s="18">
        <v>24.733720300000002</v>
      </c>
      <c r="B7833" s="18">
        <v>34.7831756</v>
      </c>
      <c r="C7833" s="18">
        <v>680344.65</v>
      </c>
      <c r="D7833" s="18">
        <v>2736637.94</v>
      </c>
      <c r="E7833" s="18">
        <v>379.17</v>
      </c>
      <c r="F7833" s="18">
        <v>41733.230000000003</v>
      </c>
      <c r="G7833" s="18">
        <v>131156</v>
      </c>
      <c r="H7833" s="18">
        <f t="shared" si="175"/>
        <v>41580.230000000003</v>
      </c>
      <c r="I7833" s="3"/>
    </row>
    <row r="7834" spans="1:9" s="4" customFormat="1" ht="20.25" customHeight="1" x14ac:dyDescent="0.55000000000000004">
      <c r="A7834" s="18">
        <v>24.733738899999999</v>
      </c>
      <c r="B7834" s="18">
        <v>34.783193500000003</v>
      </c>
      <c r="C7834" s="18">
        <v>680346.43</v>
      </c>
      <c r="D7834" s="18">
        <v>2736640.03</v>
      </c>
      <c r="E7834" s="18">
        <v>379.07</v>
      </c>
      <c r="F7834" s="18">
        <v>41733.15</v>
      </c>
      <c r="G7834" s="18">
        <v>131158</v>
      </c>
      <c r="H7834" s="18">
        <f t="shared" si="175"/>
        <v>41580.15</v>
      </c>
      <c r="I7834" s="3"/>
    </row>
    <row r="7835" spans="1:9" s="4" customFormat="1" ht="20.25" customHeight="1" x14ac:dyDescent="0.55000000000000004">
      <c r="A7835" s="18">
        <v>24.733757199999999</v>
      </c>
      <c r="B7835" s="18">
        <v>34.783211199999997</v>
      </c>
      <c r="C7835" s="18">
        <v>680348.2</v>
      </c>
      <c r="D7835" s="18">
        <v>2736642.08</v>
      </c>
      <c r="E7835" s="18">
        <v>379.03</v>
      </c>
      <c r="F7835" s="18">
        <v>41733.57</v>
      </c>
      <c r="G7835" s="18">
        <v>131200</v>
      </c>
      <c r="H7835" s="18">
        <f t="shared" si="175"/>
        <v>41580.57</v>
      </c>
      <c r="I7835" s="3"/>
    </row>
    <row r="7836" spans="1:9" s="4" customFormat="1" ht="20.25" customHeight="1" x14ac:dyDescent="0.55000000000000004">
      <c r="A7836" s="18">
        <v>24.733776599999999</v>
      </c>
      <c r="B7836" s="18">
        <v>34.783228800000003</v>
      </c>
      <c r="C7836" s="18">
        <v>680349.95</v>
      </c>
      <c r="D7836" s="18">
        <v>2736644.25</v>
      </c>
      <c r="E7836" s="18">
        <v>379.04</v>
      </c>
      <c r="F7836" s="18">
        <v>41735.64</v>
      </c>
      <c r="G7836" s="18">
        <v>131202</v>
      </c>
      <c r="H7836" s="18">
        <f t="shared" si="175"/>
        <v>41582.639999999999</v>
      </c>
      <c r="I7836" s="3"/>
    </row>
    <row r="7837" spans="1:9" s="4" customFormat="1" ht="20.25" customHeight="1" x14ac:dyDescent="0.55000000000000004">
      <c r="A7837" s="18">
        <v>24.7337919</v>
      </c>
      <c r="B7837" s="18">
        <v>34.783250000000002</v>
      </c>
      <c r="C7837" s="18">
        <v>680352.08</v>
      </c>
      <c r="D7837" s="18">
        <v>2736645.98</v>
      </c>
      <c r="E7837" s="18">
        <v>378.99</v>
      </c>
      <c r="F7837" s="18">
        <v>41732.39</v>
      </c>
      <c r="G7837" s="18">
        <v>131204</v>
      </c>
      <c r="H7837" s="18">
        <f t="shared" si="175"/>
        <v>41579.39</v>
      </c>
      <c r="I7837" s="3"/>
    </row>
    <row r="7838" spans="1:9" s="4" customFormat="1" ht="20.25" customHeight="1" x14ac:dyDescent="0.55000000000000004">
      <c r="A7838" s="18">
        <v>24.7338074</v>
      </c>
      <c r="B7838" s="18">
        <v>34.783271900000003</v>
      </c>
      <c r="C7838" s="18">
        <v>680354.27</v>
      </c>
      <c r="D7838" s="18">
        <v>2736647.72</v>
      </c>
      <c r="E7838" s="18">
        <v>378.91</v>
      </c>
      <c r="F7838" s="18">
        <v>41730.67</v>
      </c>
      <c r="G7838" s="18">
        <v>131206</v>
      </c>
      <c r="H7838" s="18">
        <f t="shared" si="175"/>
        <v>41577.67</v>
      </c>
      <c r="I7838" s="3"/>
    </row>
    <row r="7839" spans="1:9" s="4" customFormat="1" ht="20.25" customHeight="1" x14ac:dyDescent="0.55000000000000004">
      <c r="A7839" s="18">
        <v>24.733824299999998</v>
      </c>
      <c r="B7839" s="18">
        <v>34.783292199999998</v>
      </c>
      <c r="C7839" s="18">
        <v>680356.3</v>
      </c>
      <c r="D7839" s="18">
        <v>2736649.61</v>
      </c>
      <c r="E7839" s="18">
        <v>378.88</v>
      </c>
      <c r="F7839" s="18">
        <v>41728.449999999997</v>
      </c>
      <c r="G7839" s="18">
        <v>131208</v>
      </c>
      <c r="H7839" s="18">
        <f t="shared" si="175"/>
        <v>41575.449999999997</v>
      </c>
      <c r="I7839" s="3"/>
    </row>
    <row r="7840" spans="1:9" s="4" customFormat="1" ht="20.25" customHeight="1" x14ac:dyDescent="0.55000000000000004">
      <c r="A7840" s="18">
        <v>24.733842800000001</v>
      </c>
      <c r="B7840" s="18">
        <v>34.783309799999998</v>
      </c>
      <c r="C7840" s="18">
        <v>680358.06</v>
      </c>
      <c r="D7840" s="18">
        <v>2736651.69</v>
      </c>
      <c r="E7840" s="18">
        <v>378.88</v>
      </c>
      <c r="F7840" s="18">
        <v>41731.33</v>
      </c>
      <c r="G7840" s="18">
        <v>131210</v>
      </c>
      <c r="H7840" s="18">
        <f t="shared" si="175"/>
        <v>41578.33</v>
      </c>
      <c r="I7840" s="3"/>
    </row>
    <row r="7841" spans="1:9" s="4" customFormat="1" ht="20.25" customHeight="1" x14ac:dyDescent="0.55000000000000004">
      <c r="A7841" s="18">
        <v>24.7338609</v>
      </c>
      <c r="B7841" s="18">
        <v>34.783327100000001</v>
      </c>
      <c r="C7841" s="18">
        <v>680359.78</v>
      </c>
      <c r="D7841" s="18">
        <v>2736653.72</v>
      </c>
      <c r="E7841" s="18">
        <v>378.77</v>
      </c>
      <c r="F7841" s="18">
        <v>41724.93</v>
      </c>
      <c r="G7841" s="18">
        <v>131212</v>
      </c>
      <c r="H7841" s="18">
        <f t="shared" si="175"/>
        <v>41571.93</v>
      </c>
      <c r="I7841" s="3"/>
    </row>
    <row r="7842" spans="1:9" s="4" customFormat="1" ht="20.25" customHeight="1" x14ac:dyDescent="0.55000000000000004">
      <c r="A7842" s="18">
        <v>24.733879900000002</v>
      </c>
      <c r="B7842" s="18">
        <v>34.783338800000003</v>
      </c>
      <c r="C7842" s="18">
        <v>680360.93</v>
      </c>
      <c r="D7842" s="18">
        <v>2736655.84</v>
      </c>
      <c r="E7842" s="18">
        <v>378.68</v>
      </c>
      <c r="F7842" s="18">
        <v>41722.519999999997</v>
      </c>
      <c r="G7842" s="18">
        <v>131214</v>
      </c>
      <c r="H7842" s="18">
        <f t="shared" si="175"/>
        <v>41569.519999999997</v>
      </c>
      <c r="I7842" s="3"/>
    </row>
    <row r="7843" spans="1:9" s="4" customFormat="1" ht="20.25" customHeight="1" x14ac:dyDescent="0.55000000000000004">
      <c r="A7843" s="18">
        <v>24.733899399999999</v>
      </c>
      <c r="B7843" s="18">
        <v>34.783355999999998</v>
      </c>
      <c r="C7843" s="18">
        <v>680362.65</v>
      </c>
      <c r="D7843" s="18">
        <v>2736658.03</v>
      </c>
      <c r="E7843" s="18">
        <v>378.44</v>
      </c>
      <c r="F7843" s="18">
        <v>41733.33</v>
      </c>
      <c r="G7843" s="18">
        <v>131216</v>
      </c>
      <c r="H7843" s="18">
        <f t="shared" si="175"/>
        <v>41580.33</v>
      </c>
      <c r="I7843" s="3"/>
    </row>
    <row r="7844" spans="1:9" s="4" customFormat="1" ht="20.25" customHeight="1" x14ac:dyDescent="0.55000000000000004">
      <c r="A7844" s="18">
        <v>24.733915100000001</v>
      </c>
      <c r="B7844" s="18">
        <v>34.783375700000001</v>
      </c>
      <c r="C7844" s="18">
        <v>680364.61</v>
      </c>
      <c r="D7844" s="18">
        <v>2736659.78</v>
      </c>
      <c r="E7844" s="18">
        <v>378.44</v>
      </c>
      <c r="F7844" s="18">
        <v>41725.910000000003</v>
      </c>
      <c r="G7844" s="18">
        <v>131218</v>
      </c>
      <c r="H7844" s="18">
        <f t="shared" si="175"/>
        <v>41572.910000000003</v>
      </c>
      <c r="I7844" s="3"/>
    </row>
    <row r="7845" spans="1:9" s="4" customFormat="1" ht="20.25" customHeight="1" x14ac:dyDescent="0.55000000000000004">
      <c r="A7845" s="18">
        <v>24.733932800000002</v>
      </c>
      <c r="B7845" s="18">
        <v>34.783392300000003</v>
      </c>
      <c r="C7845" s="18">
        <v>680366.27</v>
      </c>
      <c r="D7845" s="18">
        <v>2736661.77</v>
      </c>
      <c r="E7845" s="18">
        <v>378.34</v>
      </c>
      <c r="F7845" s="18">
        <v>41725.96</v>
      </c>
      <c r="G7845" s="18">
        <v>131220</v>
      </c>
      <c r="H7845" s="18">
        <f t="shared" si="175"/>
        <v>41572.959999999999</v>
      </c>
      <c r="I7845" s="3"/>
    </row>
    <row r="7846" spans="1:9" s="4" customFormat="1" ht="20.25" customHeight="1" x14ac:dyDescent="0.55000000000000004">
      <c r="A7846" s="18">
        <v>24.733948600000002</v>
      </c>
      <c r="B7846" s="18">
        <v>34.7834127</v>
      </c>
      <c r="C7846" s="18">
        <v>680368.31</v>
      </c>
      <c r="D7846" s="18">
        <v>2736663.54</v>
      </c>
      <c r="E7846" s="18">
        <v>378.24</v>
      </c>
      <c r="F7846" s="18">
        <v>41734.080000000002</v>
      </c>
      <c r="G7846" s="18">
        <v>131222</v>
      </c>
      <c r="H7846" s="18">
        <f t="shared" si="175"/>
        <v>41581.08</v>
      </c>
      <c r="I7846" s="3"/>
    </row>
    <row r="7847" spans="1:9" s="4" customFormat="1" ht="20.25" customHeight="1" x14ac:dyDescent="0.55000000000000004">
      <c r="A7847" s="18">
        <v>24.7339524</v>
      </c>
      <c r="B7847" s="18">
        <v>34.783439700000002</v>
      </c>
      <c r="C7847" s="18">
        <v>680371.04</v>
      </c>
      <c r="D7847" s="18">
        <v>2736664</v>
      </c>
      <c r="E7847" s="18">
        <v>378.3</v>
      </c>
      <c r="F7847" s="18">
        <v>41727.620000000003</v>
      </c>
      <c r="G7847" s="18">
        <v>131224</v>
      </c>
      <c r="H7847" s="18">
        <f t="shared" si="175"/>
        <v>41574.620000000003</v>
      </c>
      <c r="I7847" s="3"/>
    </row>
    <row r="7848" spans="1:9" s="4" customFormat="1" ht="20.25" customHeight="1" x14ac:dyDescent="0.55000000000000004">
      <c r="A7848" s="18">
        <v>24.733958099999999</v>
      </c>
      <c r="B7848" s="18">
        <v>34.7834638</v>
      </c>
      <c r="C7848" s="18">
        <v>680373.47</v>
      </c>
      <c r="D7848" s="18">
        <v>2736664.66</v>
      </c>
      <c r="E7848" s="18">
        <v>378.38</v>
      </c>
      <c r="F7848" s="18">
        <v>41728.370000000003</v>
      </c>
      <c r="G7848" s="18">
        <v>131226</v>
      </c>
      <c r="H7848" s="18">
        <f t="shared" si="175"/>
        <v>41575.370000000003</v>
      </c>
      <c r="I7848" s="3"/>
    </row>
    <row r="7849" spans="1:9" s="4" customFormat="1" ht="20.25" customHeight="1" x14ac:dyDescent="0.55000000000000004">
      <c r="A7849" s="18">
        <v>24.733967799999999</v>
      </c>
      <c r="B7849" s="18">
        <v>34.783488599999998</v>
      </c>
      <c r="C7849" s="18">
        <v>680375.96</v>
      </c>
      <c r="D7849" s="18">
        <v>2736665.77</v>
      </c>
      <c r="E7849" s="18">
        <v>378.37</v>
      </c>
      <c r="F7849" s="18">
        <v>41727.4</v>
      </c>
      <c r="G7849" s="18">
        <v>131228</v>
      </c>
      <c r="H7849" s="18">
        <f t="shared" si="175"/>
        <v>41574.400000000001</v>
      </c>
      <c r="I7849" s="3"/>
    </row>
    <row r="7850" spans="1:9" s="4" customFormat="1" ht="20.25" customHeight="1" x14ac:dyDescent="0.55000000000000004">
      <c r="A7850" s="18">
        <v>24.733975099999999</v>
      </c>
      <c r="B7850" s="18">
        <v>34.7835137</v>
      </c>
      <c r="C7850" s="18">
        <v>680378.49</v>
      </c>
      <c r="D7850" s="18">
        <v>2736666.61</v>
      </c>
      <c r="E7850" s="18">
        <v>378.37</v>
      </c>
      <c r="F7850" s="18">
        <v>41725.660000000003</v>
      </c>
      <c r="G7850" s="18">
        <v>131230</v>
      </c>
      <c r="H7850" s="18">
        <f t="shared" si="175"/>
        <v>41572.660000000003</v>
      </c>
      <c r="I7850" s="3"/>
    </row>
    <row r="7851" spans="1:9" s="4" customFormat="1" ht="20.25" customHeight="1" x14ac:dyDescent="0.55000000000000004">
      <c r="A7851" s="18">
        <v>24.7339807</v>
      </c>
      <c r="B7851" s="18">
        <v>34.7835398</v>
      </c>
      <c r="C7851" s="18">
        <v>680381.12</v>
      </c>
      <c r="D7851" s="18">
        <v>2736667.27</v>
      </c>
      <c r="E7851" s="18">
        <v>378.37</v>
      </c>
      <c r="F7851" s="18">
        <v>41723.43</v>
      </c>
      <c r="G7851" s="18">
        <v>131232</v>
      </c>
      <c r="H7851" s="18">
        <f t="shared" si="175"/>
        <v>41570.43</v>
      </c>
      <c r="I7851" s="3"/>
    </row>
    <row r="7852" spans="1:9" s="4" customFormat="1" ht="20.25" customHeight="1" x14ac:dyDescent="0.55000000000000004">
      <c r="A7852" s="18">
        <v>24.7339871</v>
      </c>
      <c r="B7852" s="18">
        <v>34.783565600000003</v>
      </c>
      <c r="C7852" s="18">
        <v>680383.72</v>
      </c>
      <c r="D7852" s="18">
        <v>2736668.02</v>
      </c>
      <c r="E7852" s="18">
        <v>378.29</v>
      </c>
      <c r="F7852" s="18">
        <v>41730.36</v>
      </c>
      <c r="G7852" s="18">
        <v>131234</v>
      </c>
      <c r="H7852" s="18">
        <f t="shared" si="175"/>
        <v>41577.360000000001</v>
      </c>
      <c r="I7852" s="3"/>
    </row>
    <row r="7853" spans="1:9" s="4" customFormat="1" ht="20.25" customHeight="1" x14ac:dyDescent="0.55000000000000004">
      <c r="A7853" s="18">
        <v>24.734000200000001</v>
      </c>
      <c r="B7853" s="18">
        <v>34.783588100000003</v>
      </c>
      <c r="C7853" s="18">
        <v>680385.98</v>
      </c>
      <c r="D7853" s="18">
        <v>2736669.49</v>
      </c>
      <c r="E7853" s="18">
        <v>378.27</v>
      </c>
      <c r="F7853" s="18">
        <v>41731.21</v>
      </c>
      <c r="G7853" s="18">
        <v>131236</v>
      </c>
      <c r="H7853" s="18">
        <f t="shared" si="175"/>
        <v>41578.21</v>
      </c>
      <c r="I7853" s="3"/>
    </row>
    <row r="7854" spans="1:9" s="4" customFormat="1" ht="20.25" customHeight="1" x14ac:dyDescent="0.55000000000000004">
      <c r="A7854" s="18">
        <v>24.734009799999999</v>
      </c>
      <c r="B7854" s="18">
        <v>34.783613299999999</v>
      </c>
      <c r="C7854" s="18">
        <v>680388.51</v>
      </c>
      <c r="D7854" s="18">
        <v>2736670.59</v>
      </c>
      <c r="E7854" s="18">
        <v>378.24</v>
      </c>
      <c r="F7854" s="18">
        <v>41730.089999999997</v>
      </c>
      <c r="G7854" s="18">
        <v>131238</v>
      </c>
      <c r="H7854" s="18">
        <f t="shared" si="175"/>
        <v>41577.089999999997</v>
      </c>
      <c r="I7854" s="3"/>
    </row>
    <row r="7855" spans="1:9" s="4" customFormat="1" ht="20.25" customHeight="1" x14ac:dyDescent="0.55000000000000004">
      <c r="A7855" s="18">
        <v>24.734019400000001</v>
      </c>
      <c r="B7855" s="18">
        <v>34.783638099999997</v>
      </c>
      <c r="C7855" s="18">
        <v>680391.01</v>
      </c>
      <c r="D7855" s="18">
        <v>2736671.69</v>
      </c>
      <c r="E7855" s="18">
        <v>378.14</v>
      </c>
      <c r="F7855" s="18">
        <v>41730.5</v>
      </c>
      <c r="G7855" s="18">
        <v>131240</v>
      </c>
      <c r="H7855" s="18">
        <f t="shared" si="175"/>
        <v>41577.5</v>
      </c>
      <c r="I7855" s="3"/>
    </row>
    <row r="7856" spans="1:9" s="4" customFormat="1" ht="20.25" customHeight="1" x14ac:dyDescent="0.55000000000000004">
      <c r="A7856" s="18">
        <v>24.734034099999999</v>
      </c>
      <c r="B7856" s="18">
        <v>34.783660900000001</v>
      </c>
      <c r="C7856" s="18">
        <v>680393.29</v>
      </c>
      <c r="D7856" s="18">
        <v>2736673.34</v>
      </c>
      <c r="E7856" s="18">
        <v>378.04</v>
      </c>
      <c r="F7856" s="18">
        <v>41734.019999999997</v>
      </c>
      <c r="G7856" s="18">
        <v>131242</v>
      </c>
      <c r="H7856" s="18">
        <f t="shared" si="175"/>
        <v>41581.019999999997</v>
      </c>
      <c r="I7856" s="3"/>
    </row>
    <row r="7857" spans="1:9" s="4" customFormat="1" ht="20.25" customHeight="1" x14ac:dyDescent="0.55000000000000004">
      <c r="A7857" s="18">
        <v>24.734044300000001</v>
      </c>
      <c r="B7857" s="18">
        <v>34.7836815</v>
      </c>
      <c r="C7857" s="18">
        <v>680395.36</v>
      </c>
      <c r="D7857" s="18">
        <v>2736674.5</v>
      </c>
      <c r="E7857" s="18">
        <v>378</v>
      </c>
      <c r="F7857" s="18">
        <v>41723.760000000002</v>
      </c>
      <c r="G7857" s="18">
        <v>131244</v>
      </c>
      <c r="H7857" s="18">
        <f t="shared" si="175"/>
        <v>41570.76</v>
      </c>
      <c r="I7857" s="3"/>
    </row>
    <row r="7858" spans="1:9" s="4" customFormat="1" ht="20.25" customHeight="1" x14ac:dyDescent="0.55000000000000004">
      <c r="A7858" s="18">
        <v>24.734057799999999</v>
      </c>
      <c r="B7858" s="18">
        <v>34.783701700000002</v>
      </c>
      <c r="C7858" s="18">
        <v>680397.39</v>
      </c>
      <c r="D7858" s="18">
        <v>2736676.02</v>
      </c>
      <c r="E7858" s="18">
        <v>377.93</v>
      </c>
      <c r="F7858" s="18">
        <v>41730.82</v>
      </c>
      <c r="G7858" s="18">
        <v>131246</v>
      </c>
      <c r="H7858" s="18">
        <f t="shared" si="175"/>
        <v>41577.82</v>
      </c>
      <c r="I7858" s="3"/>
    </row>
    <row r="7859" spans="1:9" s="4" customFormat="1" ht="20.25" customHeight="1" x14ac:dyDescent="0.55000000000000004">
      <c r="A7859" s="18">
        <v>24.7340652</v>
      </c>
      <c r="B7859" s="18">
        <v>34.783724800000002</v>
      </c>
      <c r="C7859" s="18">
        <v>680399.71</v>
      </c>
      <c r="D7859" s="18">
        <v>2736676.87</v>
      </c>
      <c r="E7859" s="18">
        <v>377.89</v>
      </c>
      <c r="F7859" s="18">
        <v>41724.480000000003</v>
      </c>
      <c r="G7859" s="18">
        <v>131248</v>
      </c>
      <c r="H7859" s="18">
        <f t="shared" si="175"/>
        <v>41571.480000000003</v>
      </c>
      <c r="I7859" s="3"/>
    </row>
    <row r="7860" spans="1:9" s="4" customFormat="1" ht="20.25" customHeight="1" x14ac:dyDescent="0.55000000000000004">
      <c r="A7860" s="18">
        <v>24.7340746</v>
      </c>
      <c r="B7860" s="18">
        <v>34.783745000000003</v>
      </c>
      <c r="C7860" s="18">
        <v>680401.74</v>
      </c>
      <c r="D7860" s="18">
        <v>2736677.94</v>
      </c>
      <c r="E7860" s="18">
        <v>377.92</v>
      </c>
      <c r="F7860" s="18">
        <v>41726.44</v>
      </c>
      <c r="G7860" s="18">
        <v>131250</v>
      </c>
      <c r="H7860" s="18">
        <f t="shared" si="175"/>
        <v>41573.440000000002</v>
      </c>
      <c r="I7860" s="3"/>
    </row>
    <row r="7861" spans="1:9" s="4" customFormat="1" ht="20.25" customHeight="1" x14ac:dyDescent="0.55000000000000004">
      <c r="A7861" s="18">
        <v>24.734085700000001</v>
      </c>
      <c r="B7861" s="18">
        <v>34.783767099999999</v>
      </c>
      <c r="C7861" s="18">
        <v>680403.97</v>
      </c>
      <c r="D7861" s="18">
        <v>2736679.2</v>
      </c>
      <c r="E7861" s="18">
        <v>377.81</v>
      </c>
      <c r="F7861" s="18">
        <v>41729.61</v>
      </c>
      <c r="G7861" s="18">
        <v>131252</v>
      </c>
      <c r="H7861" s="18">
        <f t="shared" si="175"/>
        <v>41576.61</v>
      </c>
      <c r="I7861" s="3"/>
    </row>
    <row r="7862" spans="1:9" s="4" customFormat="1" ht="20.25" customHeight="1" x14ac:dyDescent="0.55000000000000004">
      <c r="A7862" s="18">
        <v>24.734096900000001</v>
      </c>
      <c r="B7862" s="18">
        <v>34.783790000000003</v>
      </c>
      <c r="C7862" s="18">
        <v>680406.26</v>
      </c>
      <c r="D7862" s="18">
        <v>2736680.46</v>
      </c>
      <c r="E7862" s="18">
        <v>377.75</v>
      </c>
      <c r="F7862" s="18">
        <v>41732.14</v>
      </c>
      <c r="G7862" s="18">
        <v>131254</v>
      </c>
      <c r="H7862" s="18">
        <f t="shared" si="175"/>
        <v>41579.14</v>
      </c>
      <c r="I7862" s="3"/>
    </row>
    <row r="7863" spans="1:9" s="4" customFormat="1" ht="20.25" customHeight="1" x14ac:dyDescent="0.55000000000000004">
      <c r="A7863" s="18">
        <v>24.7341069</v>
      </c>
      <c r="B7863" s="18">
        <v>34.7838134</v>
      </c>
      <c r="C7863" s="18">
        <v>680408.62</v>
      </c>
      <c r="D7863" s="18">
        <v>2736681.61</v>
      </c>
      <c r="E7863" s="18">
        <v>377.72</v>
      </c>
      <c r="F7863" s="18">
        <v>41730.19</v>
      </c>
      <c r="G7863" s="18">
        <v>131256</v>
      </c>
      <c r="H7863" s="18">
        <f t="shared" si="175"/>
        <v>41577.19</v>
      </c>
      <c r="I7863" s="3"/>
    </row>
    <row r="7864" spans="1:9" s="4" customFormat="1" ht="20.25" customHeight="1" x14ac:dyDescent="0.55000000000000004">
      <c r="A7864" s="18">
        <v>24.7341142</v>
      </c>
      <c r="B7864" s="18">
        <v>34.783839299999997</v>
      </c>
      <c r="C7864" s="18">
        <v>680411.23</v>
      </c>
      <c r="D7864" s="18">
        <v>2736682.45</v>
      </c>
      <c r="E7864" s="18">
        <v>377.67</v>
      </c>
      <c r="F7864" s="18">
        <v>41728.629999999997</v>
      </c>
      <c r="G7864" s="18">
        <v>131258</v>
      </c>
      <c r="H7864" s="18">
        <f t="shared" si="175"/>
        <v>41575.629999999997</v>
      </c>
      <c r="I7864" s="3"/>
    </row>
    <row r="7865" spans="1:9" s="4" customFormat="1" ht="20.25" customHeight="1" x14ac:dyDescent="0.55000000000000004">
      <c r="A7865" s="18">
        <v>24.7341251</v>
      </c>
      <c r="B7865" s="18">
        <v>34.783862300000003</v>
      </c>
      <c r="C7865" s="18">
        <v>680413.53</v>
      </c>
      <c r="D7865" s="18">
        <v>2736683.68</v>
      </c>
      <c r="E7865" s="18">
        <v>377.62</v>
      </c>
      <c r="F7865" s="18">
        <v>41726.26</v>
      </c>
      <c r="G7865" s="18">
        <v>131300</v>
      </c>
      <c r="H7865" s="18">
        <f t="shared" si="175"/>
        <v>41573.26</v>
      </c>
      <c r="I7865" s="3"/>
    </row>
    <row r="7866" spans="1:9" s="4" customFormat="1" ht="20.25" customHeight="1" x14ac:dyDescent="0.55000000000000004">
      <c r="A7866" s="18">
        <v>24.734134300000001</v>
      </c>
      <c r="B7866" s="18">
        <v>34.783885699999999</v>
      </c>
      <c r="C7866" s="18">
        <v>680415.89</v>
      </c>
      <c r="D7866" s="18">
        <v>2736684.74</v>
      </c>
      <c r="E7866" s="18">
        <v>377.55</v>
      </c>
      <c r="F7866" s="18">
        <v>41725.75</v>
      </c>
      <c r="G7866" s="18">
        <v>131302</v>
      </c>
      <c r="H7866" s="18">
        <f t="shared" si="175"/>
        <v>41572.75</v>
      </c>
      <c r="I7866" s="3"/>
    </row>
    <row r="7867" spans="1:9" s="4" customFormat="1" ht="20.25" customHeight="1" x14ac:dyDescent="0.55000000000000004">
      <c r="A7867" s="18">
        <v>24.734144400000002</v>
      </c>
      <c r="B7867" s="18">
        <v>34.783909999999999</v>
      </c>
      <c r="C7867" s="18">
        <v>680418.33</v>
      </c>
      <c r="D7867" s="18">
        <v>2736685.89</v>
      </c>
      <c r="E7867" s="18">
        <v>377.44</v>
      </c>
      <c r="F7867" s="18">
        <v>41725.86</v>
      </c>
      <c r="G7867" s="18">
        <v>131304</v>
      </c>
      <c r="H7867" s="18">
        <f t="shared" si="175"/>
        <v>41572.86</v>
      </c>
      <c r="I7867" s="3"/>
    </row>
    <row r="7868" spans="1:9" s="4" customFormat="1" ht="20.25" customHeight="1" x14ac:dyDescent="0.55000000000000004">
      <c r="A7868" s="18">
        <v>24.734151700000002</v>
      </c>
      <c r="B7868" s="18">
        <v>34.783935800000002</v>
      </c>
      <c r="C7868" s="18">
        <v>680420.94</v>
      </c>
      <c r="D7868" s="18">
        <v>2736686.73</v>
      </c>
      <c r="E7868" s="18">
        <v>377.42</v>
      </c>
      <c r="F7868" s="18">
        <v>41725.1</v>
      </c>
      <c r="G7868" s="18">
        <v>131306</v>
      </c>
      <c r="H7868" s="18">
        <f t="shared" si="175"/>
        <v>41572.1</v>
      </c>
      <c r="I7868" s="3"/>
    </row>
    <row r="7869" spans="1:9" s="4" customFormat="1" ht="20.25" customHeight="1" x14ac:dyDescent="0.55000000000000004">
      <c r="A7869" s="18">
        <v>24.7341573</v>
      </c>
      <c r="B7869" s="18">
        <v>34.783961900000001</v>
      </c>
      <c r="C7869" s="18">
        <v>680423.56</v>
      </c>
      <c r="D7869" s="18">
        <v>2736687.38</v>
      </c>
      <c r="E7869" s="18">
        <v>377.42</v>
      </c>
      <c r="F7869" s="18">
        <v>41726.65</v>
      </c>
      <c r="G7869" s="18">
        <v>131308</v>
      </c>
      <c r="H7869" s="18">
        <f t="shared" si="175"/>
        <v>41573.65</v>
      </c>
      <c r="I7869" s="3"/>
    </row>
    <row r="7870" spans="1:9" s="4" customFormat="1" ht="20.25" customHeight="1" x14ac:dyDescent="0.55000000000000004">
      <c r="A7870" s="18">
        <v>24.734157700000001</v>
      </c>
      <c r="B7870" s="18">
        <v>34.783986599999999</v>
      </c>
      <c r="C7870" s="18">
        <v>680426.06</v>
      </c>
      <c r="D7870" s="18">
        <v>2736687.46</v>
      </c>
      <c r="E7870" s="18">
        <v>377.35</v>
      </c>
      <c r="F7870" s="18">
        <v>41725.75</v>
      </c>
      <c r="G7870" s="18">
        <v>131310</v>
      </c>
      <c r="H7870" s="18">
        <f t="shared" si="175"/>
        <v>41572.75</v>
      </c>
      <c r="I7870" s="3"/>
    </row>
    <row r="7871" spans="1:9" s="4" customFormat="1" ht="20.25" customHeight="1" x14ac:dyDescent="0.55000000000000004">
      <c r="A7871" s="18">
        <v>24.734148699999999</v>
      </c>
      <c r="B7871" s="18">
        <v>34.784008900000003</v>
      </c>
      <c r="C7871" s="18">
        <v>680428.33</v>
      </c>
      <c r="D7871" s="18">
        <v>2736686.49</v>
      </c>
      <c r="E7871" s="18">
        <v>377.4</v>
      </c>
      <c r="F7871" s="18">
        <v>41722.74</v>
      </c>
      <c r="G7871" s="18">
        <v>131312</v>
      </c>
      <c r="H7871" s="18">
        <f t="shared" si="175"/>
        <v>41569.74</v>
      </c>
      <c r="I7871" s="3"/>
    </row>
    <row r="7872" spans="1:9" s="4" customFormat="1" ht="20.25" customHeight="1" x14ac:dyDescent="0.55000000000000004">
      <c r="A7872" s="18">
        <v>24.734141000000001</v>
      </c>
      <c r="B7872" s="18">
        <v>34.784031400000003</v>
      </c>
      <c r="C7872" s="18">
        <v>680430.62</v>
      </c>
      <c r="D7872" s="18">
        <v>2736685.67</v>
      </c>
      <c r="E7872" s="18">
        <v>377.34</v>
      </c>
      <c r="F7872" s="18">
        <v>41723.32</v>
      </c>
      <c r="G7872" s="18">
        <v>131314</v>
      </c>
      <c r="H7872" s="18">
        <f t="shared" si="175"/>
        <v>41570.32</v>
      </c>
      <c r="I7872" s="3"/>
    </row>
    <row r="7873" spans="1:9" s="4" customFormat="1" ht="20.25" customHeight="1" x14ac:dyDescent="0.55000000000000004">
      <c r="A7873" s="18">
        <v>24.734133700000001</v>
      </c>
      <c r="B7873" s="18">
        <v>34.784057699999998</v>
      </c>
      <c r="C7873" s="18">
        <v>680433.29</v>
      </c>
      <c r="D7873" s="18">
        <v>2736684.9</v>
      </c>
      <c r="E7873" s="18">
        <v>377.22</v>
      </c>
      <c r="F7873" s="18">
        <v>41725.47</v>
      </c>
      <c r="G7873" s="18">
        <v>131316</v>
      </c>
      <c r="H7873" s="18">
        <f t="shared" si="175"/>
        <v>41572.47</v>
      </c>
      <c r="I7873" s="3"/>
    </row>
    <row r="7874" spans="1:9" s="4" customFormat="1" ht="20.25" customHeight="1" x14ac:dyDescent="0.55000000000000004">
      <c r="A7874" s="18">
        <v>24.734125200000001</v>
      </c>
      <c r="B7874" s="18">
        <v>34.784082699999999</v>
      </c>
      <c r="C7874" s="18">
        <v>680435.83</v>
      </c>
      <c r="D7874" s="18">
        <v>2736683.99</v>
      </c>
      <c r="E7874" s="18">
        <v>377.2</v>
      </c>
      <c r="F7874" s="18">
        <v>41724</v>
      </c>
      <c r="G7874" s="18">
        <v>131318</v>
      </c>
      <c r="H7874" s="18">
        <f t="shared" si="175"/>
        <v>41571</v>
      </c>
      <c r="I7874" s="3"/>
    </row>
    <row r="7875" spans="1:9" s="4" customFormat="1" ht="20.25" customHeight="1" x14ac:dyDescent="0.55000000000000004">
      <c r="A7875" s="18">
        <v>24.734117999999999</v>
      </c>
      <c r="B7875" s="18">
        <v>34.784107800000001</v>
      </c>
      <c r="C7875" s="18">
        <v>680438.38</v>
      </c>
      <c r="D7875" s="18">
        <v>2736683.22</v>
      </c>
      <c r="E7875" s="18">
        <v>377.19</v>
      </c>
      <c r="F7875" s="18">
        <v>41724.629999999997</v>
      </c>
      <c r="G7875" s="18">
        <v>131320</v>
      </c>
      <c r="H7875" s="18">
        <f t="shared" si="175"/>
        <v>41571.629999999997</v>
      </c>
      <c r="I7875" s="3"/>
    </row>
    <row r="7876" spans="1:9" s="4" customFormat="1" ht="20.25" customHeight="1" x14ac:dyDescent="0.55000000000000004">
      <c r="A7876" s="18">
        <v>24.7341117</v>
      </c>
      <c r="B7876" s="18">
        <v>34.7841351</v>
      </c>
      <c r="C7876" s="18">
        <v>680441.15</v>
      </c>
      <c r="D7876" s="18">
        <v>2736682.56</v>
      </c>
      <c r="E7876" s="18">
        <v>377.13</v>
      </c>
      <c r="F7876" s="18">
        <v>41722.44</v>
      </c>
      <c r="G7876" s="18">
        <v>131322</v>
      </c>
      <c r="H7876" s="18">
        <f t="shared" si="175"/>
        <v>41569.440000000002</v>
      </c>
      <c r="I7876" s="3"/>
    </row>
    <row r="7877" spans="1:9" s="4" customFormat="1" ht="20.25" customHeight="1" x14ac:dyDescent="0.55000000000000004">
      <c r="A7877" s="18">
        <v>24.734102700000001</v>
      </c>
      <c r="B7877" s="18">
        <v>34.784158499999997</v>
      </c>
      <c r="C7877" s="18">
        <v>680443.53</v>
      </c>
      <c r="D7877" s="18">
        <v>2736681.59</v>
      </c>
      <c r="E7877" s="18">
        <v>377.14</v>
      </c>
      <c r="F7877" s="18">
        <v>41722.639999999999</v>
      </c>
      <c r="G7877" s="18">
        <v>131324</v>
      </c>
      <c r="H7877" s="18">
        <f t="shared" si="175"/>
        <v>41569.64</v>
      </c>
      <c r="I7877" s="3"/>
    </row>
    <row r="7878" spans="1:9" s="4" customFormat="1" ht="20.25" customHeight="1" x14ac:dyDescent="0.55000000000000004">
      <c r="A7878" s="18">
        <v>24.734095400000001</v>
      </c>
      <c r="B7878" s="18">
        <v>34.784185800000003</v>
      </c>
      <c r="C7878" s="18">
        <v>680446.3</v>
      </c>
      <c r="D7878" s="18">
        <v>2736680.82</v>
      </c>
      <c r="E7878" s="18">
        <v>377.17</v>
      </c>
      <c r="F7878" s="18">
        <v>41725.53</v>
      </c>
      <c r="G7878" s="18">
        <v>131326</v>
      </c>
      <c r="H7878" s="18">
        <f t="shared" si="175"/>
        <v>41572.53</v>
      </c>
      <c r="I7878" s="3"/>
    </row>
    <row r="7879" spans="1:9" s="4" customFormat="1" ht="20.25" customHeight="1" x14ac:dyDescent="0.55000000000000004">
      <c r="A7879" s="18">
        <v>24.734091500000002</v>
      </c>
      <c r="B7879" s="18">
        <v>34.784211200000001</v>
      </c>
      <c r="C7879" s="18">
        <v>680448.88</v>
      </c>
      <c r="D7879" s="18">
        <v>2736680.42</v>
      </c>
      <c r="E7879" s="18">
        <v>377.24</v>
      </c>
      <c r="F7879" s="18">
        <v>41721.629999999997</v>
      </c>
      <c r="G7879" s="18">
        <v>131328</v>
      </c>
      <c r="H7879" s="18">
        <f t="shared" si="175"/>
        <v>41568.629999999997</v>
      </c>
      <c r="I7879" s="3"/>
    </row>
    <row r="7880" spans="1:9" s="4" customFormat="1" ht="20.25" customHeight="1" x14ac:dyDescent="0.55000000000000004">
      <c r="A7880" s="18">
        <v>24.734089399999998</v>
      </c>
      <c r="B7880" s="18">
        <v>34.784237500000003</v>
      </c>
      <c r="C7880" s="18">
        <v>680451.54</v>
      </c>
      <c r="D7880" s="18">
        <v>2736680.23</v>
      </c>
      <c r="E7880" s="18">
        <v>377.3</v>
      </c>
      <c r="F7880" s="18">
        <v>41719.949999999997</v>
      </c>
      <c r="G7880" s="18">
        <v>131330</v>
      </c>
      <c r="H7880" s="18">
        <f t="shared" si="175"/>
        <v>41566.949999999997</v>
      </c>
      <c r="I7880" s="3"/>
    </row>
    <row r="7881" spans="1:9" s="4" customFormat="1" ht="20.25" customHeight="1" x14ac:dyDescent="0.55000000000000004">
      <c r="A7881" s="18">
        <v>24.734087200000001</v>
      </c>
      <c r="B7881" s="18">
        <v>34.784261600000001</v>
      </c>
      <c r="C7881" s="18">
        <v>680453.98</v>
      </c>
      <c r="D7881" s="18">
        <v>2736680.02</v>
      </c>
      <c r="E7881" s="18">
        <v>377.43</v>
      </c>
      <c r="F7881" s="18">
        <v>41719.53</v>
      </c>
      <c r="G7881" s="18">
        <v>131332</v>
      </c>
      <c r="H7881" s="18">
        <f t="shared" si="175"/>
        <v>41566.53</v>
      </c>
      <c r="I7881" s="3"/>
    </row>
    <row r="7882" spans="1:9" s="4" customFormat="1" ht="20.25" customHeight="1" x14ac:dyDescent="0.55000000000000004">
      <c r="A7882" s="18">
        <v>24.734083900000002</v>
      </c>
      <c r="B7882" s="18">
        <v>34.784286299999998</v>
      </c>
      <c r="C7882" s="18">
        <v>680456.49</v>
      </c>
      <c r="D7882" s="18">
        <v>2736679.68</v>
      </c>
      <c r="E7882" s="18">
        <v>377.46</v>
      </c>
      <c r="F7882" s="18">
        <v>41719.01</v>
      </c>
      <c r="G7882" s="18">
        <v>131334</v>
      </c>
      <c r="H7882" s="18">
        <f t="shared" si="175"/>
        <v>41566.01</v>
      </c>
      <c r="I7882" s="3"/>
    </row>
    <row r="7883" spans="1:9" s="4" customFormat="1" ht="20.25" customHeight="1" x14ac:dyDescent="0.55000000000000004">
      <c r="A7883" s="18">
        <v>24.734077500000001</v>
      </c>
      <c r="B7883" s="18">
        <v>34.784311199999998</v>
      </c>
      <c r="C7883" s="18">
        <v>680459.02</v>
      </c>
      <c r="D7883" s="18">
        <v>2736679</v>
      </c>
      <c r="E7883" s="18">
        <v>377.55</v>
      </c>
      <c r="F7883" s="18">
        <v>41720.410000000003</v>
      </c>
      <c r="G7883" s="18">
        <v>131336</v>
      </c>
      <c r="H7883" s="18">
        <f t="shared" si="175"/>
        <v>41567.410000000003</v>
      </c>
      <c r="I7883" s="3"/>
    </row>
    <row r="7884" spans="1:9" s="4" customFormat="1" ht="20.25" customHeight="1" x14ac:dyDescent="0.55000000000000004">
      <c r="A7884" s="18">
        <v>24.734065999999999</v>
      </c>
      <c r="B7884" s="18">
        <v>34.784335200000001</v>
      </c>
      <c r="C7884" s="18">
        <v>680461.45</v>
      </c>
      <c r="D7884" s="18">
        <v>2736677.76</v>
      </c>
      <c r="E7884" s="18">
        <v>377.59</v>
      </c>
      <c r="F7884" s="18">
        <v>41719.269999999997</v>
      </c>
      <c r="G7884" s="18">
        <v>131338</v>
      </c>
      <c r="H7884" s="18">
        <f t="shared" si="175"/>
        <v>41566.269999999997</v>
      </c>
      <c r="I7884" s="3"/>
    </row>
    <row r="7885" spans="1:9" s="4" customFormat="1" ht="20.25" customHeight="1" x14ac:dyDescent="0.55000000000000004">
      <c r="A7885" s="18">
        <v>24.7340588</v>
      </c>
      <c r="B7885" s="18">
        <v>34.784358400000002</v>
      </c>
      <c r="C7885" s="18">
        <v>680463.82</v>
      </c>
      <c r="D7885" s="18">
        <v>2736677</v>
      </c>
      <c r="E7885" s="18">
        <v>377.68</v>
      </c>
      <c r="F7885" s="18">
        <v>41717.919999999998</v>
      </c>
      <c r="G7885" s="18">
        <v>131340</v>
      </c>
      <c r="H7885" s="18">
        <f t="shared" si="175"/>
        <v>41564.92</v>
      </c>
      <c r="I7885" s="3"/>
    </row>
    <row r="7886" spans="1:9" s="4" customFormat="1" ht="20.25" customHeight="1" x14ac:dyDescent="0.55000000000000004">
      <c r="A7886" s="18">
        <v>24.7340555</v>
      </c>
      <c r="B7886" s="18">
        <v>34.7843862</v>
      </c>
      <c r="C7886" s="18">
        <v>680466.63</v>
      </c>
      <c r="D7886" s="18">
        <v>2736676.67</v>
      </c>
      <c r="E7886" s="18">
        <v>377.71</v>
      </c>
      <c r="F7886" s="18">
        <v>41722.78</v>
      </c>
      <c r="G7886" s="18">
        <v>131342</v>
      </c>
      <c r="H7886" s="18">
        <f t="shared" si="175"/>
        <v>41569.78</v>
      </c>
      <c r="I7886" s="3"/>
    </row>
    <row r="7887" spans="1:9" s="4" customFormat="1" ht="20.25" customHeight="1" x14ac:dyDescent="0.55000000000000004">
      <c r="A7887" s="18">
        <v>24.7340479</v>
      </c>
      <c r="B7887" s="18">
        <v>34.784409099999998</v>
      </c>
      <c r="C7887" s="18">
        <v>680468.96</v>
      </c>
      <c r="D7887" s="18">
        <v>2736675.85</v>
      </c>
      <c r="E7887" s="18">
        <v>377.85</v>
      </c>
      <c r="F7887" s="18">
        <v>41720.01</v>
      </c>
      <c r="G7887" s="18">
        <v>131344</v>
      </c>
      <c r="H7887" s="18">
        <f t="shared" si="175"/>
        <v>41567.01</v>
      </c>
      <c r="I7887" s="3"/>
    </row>
    <row r="7888" spans="1:9" s="4" customFormat="1" ht="20.25" customHeight="1" x14ac:dyDescent="0.55000000000000004">
      <c r="A7888" s="18">
        <v>24.734035500000001</v>
      </c>
      <c r="B7888" s="18">
        <v>34.784432000000002</v>
      </c>
      <c r="C7888" s="18">
        <v>680471.29</v>
      </c>
      <c r="D7888" s="18">
        <v>2736674.52</v>
      </c>
      <c r="E7888" s="18">
        <v>377.97</v>
      </c>
      <c r="F7888" s="18">
        <v>41711.980000000003</v>
      </c>
      <c r="G7888" s="18">
        <v>131346</v>
      </c>
      <c r="H7888" s="18">
        <f t="shared" si="175"/>
        <v>41558.980000000003</v>
      </c>
      <c r="I7888" s="3"/>
    </row>
    <row r="7889" spans="1:9" s="4" customFormat="1" ht="20.25" customHeight="1" x14ac:dyDescent="0.55000000000000004">
      <c r="A7889" s="18">
        <v>24.734027600000001</v>
      </c>
      <c r="B7889" s="18">
        <v>34.7844567</v>
      </c>
      <c r="C7889" s="18">
        <v>680473.8</v>
      </c>
      <c r="D7889" s="18">
        <v>2736673.67</v>
      </c>
      <c r="E7889" s="18">
        <v>377.96</v>
      </c>
      <c r="F7889" s="18">
        <v>41713.96</v>
      </c>
      <c r="G7889" s="18">
        <v>131348</v>
      </c>
      <c r="H7889" s="18">
        <f t="shared" si="175"/>
        <v>41560.959999999999</v>
      </c>
      <c r="I7889" s="3"/>
    </row>
    <row r="7890" spans="1:9" s="4" customFormat="1" ht="20.25" customHeight="1" x14ac:dyDescent="0.55000000000000004">
      <c r="A7890" s="18">
        <v>24.734021500000001</v>
      </c>
      <c r="B7890" s="18">
        <v>34.784480199999997</v>
      </c>
      <c r="C7890" s="18">
        <v>680476.19</v>
      </c>
      <c r="D7890" s="18">
        <v>2736673.03</v>
      </c>
      <c r="E7890" s="18">
        <v>378.06</v>
      </c>
      <c r="F7890" s="18">
        <v>41714.29</v>
      </c>
      <c r="G7890" s="18">
        <v>131350</v>
      </c>
      <c r="H7890" s="18">
        <f t="shared" ref="H7890:H7953" si="176">SUM(F7890-153)</f>
        <v>41561.29</v>
      </c>
      <c r="I7890" s="3"/>
    </row>
    <row r="7891" spans="1:9" s="4" customFormat="1" ht="20.25" customHeight="1" x14ac:dyDescent="0.55000000000000004">
      <c r="A7891" s="18">
        <v>24.7340166</v>
      </c>
      <c r="B7891" s="18">
        <v>34.784509499999999</v>
      </c>
      <c r="C7891" s="18">
        <v>680479.16</v>
      </c>
      <c r="D7891" s="18">
        <v>2736672.52</v>
      </c>
      <c r="E7891" s="18">
        <v>378.07</v>
      </c>
      <c r="F7891" s="18">
        <v>41715.699999999997</v>
      </c>
      <c r="G7891" s="18">
        <v>131352</v>
      </c>
      <c r="H7891" s="18">
        <f t="shared" si="176"/>
        <v>41562.699999999997</v>
      </c>
      <c r="I7891" s="3"/>
    </row>
    <row r="7892" spans="1:9" s="4" customFormat="1" ht="20.25" customHeight="1" x14ac:dyDescent="0.55000000000000004">
      <c r="A7892" s="18">
        <v>24.734022800000002</v>
      </c>
      <c r="B7892" s="18">
        <v>34.7845242</v>
      </c>
      <c r="C7892" s="18">
        <v>680480.64</v>
      </c>
      <c r="D7892" s="18">
        <v>2736673.23</v>
      </c>
      <c r="E7892" s="18">
        <v>378.63</v>
      </c>
      <c r="F7892" s="18">
        <v>41714.800000000003</v>
      </c>
      <c r="G7892" s="18">
        <v>131354</v>
      </c>
      <c r="H7892" s="18">
        <f t="shared" si="176"/>
        <v>41561.800000000003</v>
      </c>
      <c r="I7892" s="3"/>
    </row>
    <row r="7893" spans="1:9" s="4" customFormat="1" ht="20.25" customHeight="1" x14ac:dyDescent="0.55000000000000004">
      <c r="A7893" s="18">
        <v>24.734029499999998</v>
      </c>
      <c r="B7893" s="18">
        <v>34.784539299999999</v>
      </c>
      <c r="C7893" s="18">
        <v>680482.15</v>
      </c>
      <c r="D7893" s="18">
        <v>2736673.99</v>
      </c>
      <c r="E7893" s="18">
        <v>379</v>
      </c>
      <c r="F7893" s="18">
        <v>41713.78</v>
      </c>
      <c r="G7893" s="18">
        <v>131356</v>
      </c>
      <c r="H7893" s="18">
        <f t="shared" si="176"/>
        <v>41560.78</v>
      </c>
      <c r="I7893" s="3"/>
    </row>
    <row r="7894" spans="1:9" s="4" customFormat="1" ht="20.25" customHeight="1" x14ac:dyDescent="0.55000000000000004">
      <c r="A7894" s="18">
        <v>24.734036499999998</v>
      </c>
      <c r="B7894" s="18">
        <v>34.784556899999998</v>
      </c>
      <c r="C7894" s="18">
        <v>680483.92</v>
      </c>
      <c r="D7894" s="18">
        <v>2736674.78</v>
      </c>
      <c r="E7894" s="18">
        <v>379.37</v>
      </c>
      <c r="F7894" s="18">
        <v>41712.46</v>
      </c>
      <c r="G7894" s="18">
        <v>131358</v>
      </c>
      <c r="H7894" s="18">
        <f t="shared" si="176"/>
        <v>41559.46</v>
      </c>
      <c r="I7894" s="3"/>
    </row>
    <row r="7895" spans="1:9" s="4" customFormat="1" ht="20.25" customHeight="1" x14ac:dyDescent="0.55000000000000004">
      <c r="A7895" s="18">
        <v>24.734043100000001</v>
      </c>
      <c r="B7895" s="18">
        <v>34.784575699999998</v>
      </c>
      <c r="C7895" s="18">
        <v>680485.82</v>
      </c>
      <c r="D7895" s="18">
        <v>2736675.54</v>
      </c>
      <c r="E7895" s="18">
        <v>379.64</v>
      </c>
      <c r="F7895" s="18">
        <v>41710.85</v>
      </c>
      <c r="G7895" s="18">
        <v>131400</v>
      </c>
      <c r="H7895" s="18">
        <f t="shared" si="176"/>
        <v>41557.85</v>
      </c>
      <c r="I7895" s="3"/>
    </row>
    <row r="7896" spans="1:9" s="4" customFormat="1" ht="20.25" customHeight="1" x14ac:dyDescent="0.55000000000000004">
      <c r="A7896" s="18">
        <v>24.734044000000001</v>
      </c>
      <c r="B7896" s="18">
        <v>34.784593600000001</v>
      </c>
      <c r="C7896" s="18">
        <v>680487.62</v>
      </c>
      <c r="D7896" s="18">
        <v>2736675.67</v>
      </c>
      <c r="E7896" s="18">
        <v>379.82</v>
      </c>
      <c r="F7896" s="18">
        <v>41708.07</v>
      </c>
      <c r="G7896" s="18">
        <v>131402</v>
      </c>
      <c r="H7896" s="18">
        <f t="shared" si="176"/>
        <v>41555.07</v>
      </c>
      <c r="I7896" s="3"/>
    </row>
    <row r="7897" spans="1:9" s="4" customFormat="1" ht="20.25" customHeight="1" x14ac:dyDescent="0.55000000000000004">
      <c r="A7897" s="18">
        <v>24.734040400000001</v>
      </c>
      <c r="B7897" s="18">
        <v>34.784612799999998</v>
      </c>
      <c r="C7897" s="18">
        <v>680489.58</v>
      </c>
      <c r="D7897" s="18">
        <v>2736675.29</v>
      </c>
      <c r="E7897" s="18">
        <v>380.04</v>
      </c>
      <c r="F7897" s="18">
        <v>41714.68</v>
      </c>
      <c r="G7897" s="18">
        <v>131404</v>
      </c>
      <c r="H7897" s="18">
        <f t="shared" si="176"/>
        <v>41561.68</v>
      </c>
      <c r="I7897" s="3"/>
    </row>
    <row r="7898" spans="1:9" s="4" customFormat="1" ht="20.25" customHeight="1" x14ac:dyDescent="0.55000000000000004">
      <c r="A7898" s="18">
        <v>24.734038900000002</v>
      </c>
      <c r="B7898" s="18">
        <v>34.784633800000002</v>
      </c>
      <c r="C7898" s="18">
        <v>680491.7</v>
      </c>
      <c r="D7898" s="18">
        <v>2736675.16</v>
      </c>
      <c r="E7898" s="18">
        <v>380.14</v>
      </c>
      <c r="F7898" s="18">
        <v>41714.47</v>
      </c>
      <c r="G7898" s="18">
        <v>131406</v>
      </c>
      <c r="H7898" s="18">
        <f t="shared" si="176"/>
        <v>41561.47</v>
      </c>
      <c r="I7898" s="3"/>
    </row>
    <row r="7899" spans="1:9" s="4" customFormat="1" ht="20.25" customHeight="1" x14ac:dyDescent="0.55000000000000004">
      <c r="A7899" s="18">
        <v>24.734038600000002</v>
      </c>
      <c r="B7899" s="18">
        <v>34.784653400000003</v>
      </c>
      <c r="C7899" s="18">
        <v>680493.69</v>
      </c>
      <c r="D7899" s="18">
        <v>2736675.15</v>
      </c>
      <c r="E7899" s="18">
        <v>380.24</v>
      </c>
      <c r="F7899" s="18">
        <v>41712.269999999997</v>
      </c>
      <c r="G7899" s="18">
        <v>131408</v>
      </c>
      <c r="H7899" s="18">
        <f t="shared" si="176"/>
        <v>41559.269999999997</v>
      </c>
      <c r="I7899" s="3"/>
    </row>
    <row r="7900" spans="1:9" s="4" customFormat="1" ht="20.25" customHeight="1" x14ac:dyDescent="0.55000000000000004">
      <c r="A7900" s="18">
        <v>24.734041300000001</v>
      </c>
      <c r="B7900" s="18">
        <v>34.784674199999998</v>
      </c>
      <c r="C7900" s="18">
        <v>680495.79</v>
      </c>
      <c r="D7900" s="18">
        <v>2736675.47</v>
      </c>
      <c r="E7900" s="18">
        <v>380.13</v>
      </c>
      <c r="F7900" s="18">
        <v>41714.26</v>
      </c>
      <c r="G7900" s="18">
        <v>131410</v>
      </c>
      <c r="H7900" s="18">
        <f t="shared" si="176"/>
        <v>41561.26</v>
      </c>
      <c r="I7900" s="3"/>
    </row>
    <row r="7901" spans="1:9" s="4" customFormat="1" ht="20.25" customHeight="1" x14ac:dyDescent="0.55000000000000004">
      <c r="A7901" s="18">
        <v>24.734040700000001</v>
      </c>
      <c r="B7901" s="18">
        <v>34.784697899999998</v>
      </c>
      <c r="C7901" s="18">
        <v>680498.18</v>
      </c>
      <c r="D7901" s="18">
        <v>2736675.44</v>
      </c>
      <c r="E7901" s="18">
        <v>380.02</v>
      </c>
      <c r="F7901" s="18">
        <v>41712.5</v>
      </c>
      <c r="G7901" s="18">
        <v>131412</v>
      </c>
      <c r="H7901" s="18">
        <f t="shared" si="176"/>
        <v>41559.5</v>
      </c>
      <c r="I7901" s="3"/>
    </row>
    <row r="7902" spans="1:9" s="4" customFormat="1" ht="20.25" customHeight="1" x14ac:dyDescent="0.55000000000000004">
      <c r="A7902" s="18">
        <v>24.734040700000001</v>
      </c>
      <c r="B7902" s="18">
        <v>34.784722299999999</v>
      </c>
      <c r="C7902" s="18">
        <v>680500.65</v>
      </c>
      <c r="D7902" s="18">
        <v>2736675.47</v>
      </c>
      <c r="E7902" s="18">
        <v>379.77</v>
      </c>
      <c r="F7902" s="18">
        <v>41714.19</v>
      </c>
      <c r="G7902" s="18">
        <v>131414</v>
      </c>
      <c r="H7902" s="18">
        <f t="shared" si="176"/>
        <v>41561.19</v>
      </c>
      <c r="I7902" s="3"/>
    </row>
    <row r="7903" spans="1:9" s="4" customFormat="1" ht="20.25" customHeight="1" x14ac:dyDescent="0.55000000000000004">
      <c r="A7903" s="18">
        <v>24.7340439</v>
      </c>
      <c r="B7903" s="18">
        <v>34.784746599999998</v>
      </c>
      <c r="C7903" s="18">
        <v>680503.1</v>
      </c>
      <c r="D7903" s="18">
        <v>2736675.85</v>
      </c>
      <c r="E7903" s="18">
        <v>379.61</v>
      </c>
      <c r="F7903" s="18">
        <v>41714.559999999998</v>
      </c>
      <c r="G7903" s="18">
        <v>131416</v>
      </c>
      <c r="H7903" s="18">
        <f t="shared" si="176"/>
        <v>41561.56</v>
      </c>
      <c r="I7903" s="3"/>
    </row>
    <row r="7904" spans="1:9" s="4" customFormat="1" ht="20.25" customHeight="1" x14ac:dyDescent="0.55000000000000004">
      <c r="A7904" s="18">
        <v>24.734045200000001</v>
      </c>
      <c r="B7904" s="18">
        <v>34.784768499999998</v>
      </c>
      <c r="C7904" s="18">
        <v>680505.32</v>
      </c>
      <c r="D7904" s="18">
        <v>2736676.04</v>
      </c>
      <c r="E7904" s="18">
        <v>379.16</v>
      </c>
      <c r="F7904" s="18">
        <v>41714.910000000003</v>
      </c>
      <c r="G7904" s="18">
        <v>131418</v>
      </c>
      <c r="H7904" s="18">
        <f t="shared" si="176"/>
        <v>41561.910000000003</v>
      </c>
      <c r="I7904" s="3"/>
    </row>
    <row r="7905" spans="1:9" s="4" customFormat="1" ht="20.25" customHeight="1" x14ac:dyDescent="0.55000000000000004">
      <c r="A7905" s="18">
        <v>24.734049200000001</v>
      </c>
      <c r="B7905" s="18">
        <v>34.784791900000002</v>
      </c>
      <c r="C7905" s="18">
        <v>680507.68</v>
      </c>
      <c r="D7905" s="18">
        <v>2736676.51</v>
      </c>
      <c r="E7905" s="18">
        <v>378.67</v>
      </c>
      <c r="F7905" s="18">
        <v>41711.06</v>
      </c>
      <c r="G7905" s="18">
        <v>131420</v>
      </c>
      <c r="H7905" s="18">
        <f t="shared" si="176"/>
        <v>41558.06</v>
      </c>
      <c r="I7905" s="3"/>
    </row>
    <row r="7906" spans="1:9" s="4" customFormat="1" ht="20.25" customHeight="1" x14ac:dyDescent="0.55000000000000004">
      <c r="A7906" s="18">
        <v>24.734059500000001</v>
      </c>
      <c r="B7906" s="18">
        <v>34.784813</v>
      </c>
      <c r="C7906" s="18">
        <v>680509.8</v>
      </c>
      <c r="D7906" s="18">
        <v>2736677.67</v>
      </c>
      <c r="E7906" s="18">
        <v>378.43</v>
      </c>
      <c r="F7906" s="18">
        <v>41712.019999999997</v>
      </c>
      <c r="G7906" s="18">
        <v>131422</v>
      </c>
      <c r="H7906" s="18">
        <f t="shared" si="176"/>
        <v>41559.019999999997</v>
      </c>
      <c r="I7906" s="3"/>
    </row>
    <row r="7907" spans="1:9" s="4" customFormat="1" ht="20.25" customHeight="1" x14ac:dyDescent="0.55000000000000004">
      <c r="A7907" s="18">
        <v>24.734072099999999</v>
      </c>
      <c r="B7907" s="18">
        <v>34.784835100000002</v>
      </c>
      <c r="C7907" s="18">
        <v>680512.02</v>
      </c>
      <c r="D7907" s="18">
        <v>2736679.09</v>
      </c>
      <c r="E7907" s="18">
        <v>378.33</v>
      </c>
      <c r="F7907" s="18">
        <v>41712.519999999997</v>
      </c>
      <c r="G7907" s="18">
        <v>131424</v>
      </c>
      <c r="H7907" s="18">
        <f t="shared" si="176"/>
        <v>41559.519999999997</v>
      </c>
      <c r="I7907" s="3"/>
    </row>
    <row r="7908" spans="1:9" s="4" customFormat="1" ht="20.25" customHeight="1" x14ac:dyDescent="0.55000000000000004">
      <c r="A7908" s="18">
        <v>24.7340822</v>
      </c>
      <c r="B7908" s="18">
        <v>34.784854299999999</v>
      </c>
      <c r="C7908" s="18">
        <v>680513.94</v>
      </c>
      <c r="D7908" s="18">
        <v>2736680.24</v>
      </c>
      <c r="E7908" s="18">
        <v>378.37</v>
      </c>
      <c r="F7908" s="18">
        <v>41713.519999999997</v>
      </c>
      <c r="G7908" s="18">
        <v>131426</v>
      </c>
      <c r="H7908" s="18">
        <f t="shared" si="176"/>
        <v>41560.519999999997</v>
      </c>
      <c r="I7908" s="3"/>
    </row>
    <row r="7909" spans="1:9" s="4" customFormat="1" ht="20.25" customHeight="1" x14ac:dyDescent="0.55000000000000004">
      <c r="A7909" s="18">
        <v>24.734095</v>
      </c>
      <c r="B7909" s="18">
        <v>34.784874500000001</v>
      </c>
      <c r="C7909" s="18">
        <v>680515.97</v>
      </c>
      <c r="D7909" s="18">
        <v>2736681.69</v>
      </c>
      <c r="E7909" s="18">
        <v>378.1</v>
      </c>
      <c r="F7909" s="18">
        <v>41716.910000000003</v>
      </c>
      <c r="G7909" s="18">
        <v>131428</v>
      </c>
      <c r="H7909" s="18">
        <f t="shared" si="176"/>
        <v>41563.910000000003</v>
      </c>
      <c r="I7909" s="3"/>
    </row>
    <row r="7910" spans="1:9" s="4" customFormat="1" ht="20.25" customHeight="1" x14ac:dyDescent="0.55000000000000004">
      <c r="A7910" s="18">
        <v>24.7341035</v>
      </c>
      <c r="B7910" s="18">
        <v>34.784899099999997</v>
      </c>
      <c r="C7910" s="18">
        <v>680518.45</v>
      </c>
      <c r="D7910" s="18">
        <v>2736682.66</v>
      </c>
      <c r="E7910" s="18">
        <v>377.78</v>
      </c>
      <c r="F7910" s="18">
        <v>41713.5</v>
      </c>
      <c r="G7910" s="18">
        <v>131430</v>
      </c>
      <c r="H7910" s="18">
        <f t="shared" si="176"/>
        <v>41560.5</v>
      </c>
      <c r="I7910" s="3"/>
    </row>
    <row r="7911" spans="1:9" s="4" customFormat="1" ht="20.25" customHeight="1" x14ac:dyDescent="0.55000000000000004">
      <c r="A7911" s="18">
        <v>24.734111599999999</v>
      </c>
      <c r="B7911" s="18">
        <v>34.784918300000001</v>
      </c>
      <c r="C7911" s="18">
        <v>680520.38</v>
      </c>
      <c r="D7911" s="18">
        <v>2736683.58</v>
      </c>
      <c r="E7911" s="18">
        <v>377.82</v>
      </c>
      <c r="F7911" s="18">
        <v>41716.06</v>
      </c>
      <c r="G7911" s="18">
        <v>131432</v>
      </c>
      <c r="H7911" s="18">
        <f t="shared" si="176"/>
        <v>41563.06</v>
      </c>
      <c r="I7911" s="3"/>
    </row>
    <row r="7912" spans="1:9" s="4" customFormat="1" ht="20.25" customHeight="1" x14ac:dyDescent="0.55000000000000004">
      <c r="A7912" s="18">
        <v>24.734115800000001</v>
      </c>
      <c r="B7912" s="18">
        <v>34.784934100000001</v>
      </c>
      <c r="C7912" s="18">
        <v>680521.97</v>
      </c>
      <c r="D7912" s="18">
        <v>2736684.07</v>
      </c>
      <c r="E7912" s="18">
        <v>377.74</v>
      </c>
      <c r="F7912" s="18">
        <v>41714.550000000003</v>
      </c>
      <c r="G7912" s="18">
        <v>131434</v>
      </c>
      <c r="H7912" s="18">
        <f t="shared" si="176"/>
        <v>41561.550000000003</v>
      </c>
      <c r="I7912" s="3"/>
    </row>
    <row r="7913" spans="1:9" s="4" customFormat="1" ht="20.25" customHeight="1" x14ac:dyDescent="0.55000000000000004">
      <c r="A7913" s="18">
        <v>24.734123799999999</v>
      </c>
      <c r="B7913" s="18">
        <v>34.784949699999999</v>
      </c>
      <c r="C7913" s="18">
        <v>680523.54</v>
      </c>
      <c r="D7913" s="18">
        <v>2736684.98</v>
      </c>
      <c r="E7913" s="18">
        <v>377.8</v>
      </c>
      <c r="F7913" s="18">
        <v>41715.07</v>
      </c>
      <c r="G7913" s="18">
        <v>131436</v>
      </c>
      <c r="H7913" s="18">
        <f t="shared" si="176"/>
        <v>41562.07</v>
      </c>
      <c r="I7913" s="3"/>
    </row>
    <row r="7914" spans="1:9" s="4" customFormat="1" ht="20.25" customHeight="1" x14ac:dyDescent="0.55000000000000004">
      <c r="A7914" s="18">
        <v>24.734138000000002</v>
      </c>
      <c r="B7914" s="18">
        <v>34.784964100000003</v>
      </c>
      <c r="C7914" s="18">
        <v>680524.97</v>
      </c>
      <c r="D7914" s="18">
        <v>2736686.57</v>
      </c>
      <c r="E7914" s="18">
        <v>377.61</v>
      </c>
      <c r="F7914" s="18">
        <v>41714.54</v>
      </c>
      <c r="G7914" s="18">
        <v>131438</v>
      </c>
      <c r="H7914" s="18">
        <f t="shared" si="176"/>
        <v>41561.54</v>
      </c>
      <c r="I7914" s="3"/>
    </row>
    <row r="7915" spans="1:9" s="4" customFormat="1" ht="20.25" customHeight="1" x14ac:dyDescent="0.55000000000000004">
      <c r="A7915" s="18">
        <v>24.7341549</v>
      </c>
      <c r="B7915" s="18">
        <v>34.7849772</v>
      </c>
      <c r="C7915" s="18">
        <v>680526.27</v>
      </c>
      <c r="D7915" s="18">
        <v>2736688.46</v>
      </c>
      <c r="E7915" s="18">
        <v>377.37</v>
      </c>
      <c r="F7915" s="18">
        <v>41715.199999999997</v>
      </c>
      <c r="G7915" s="18">
        <v>131440</v>
      </c>
      <c r="H7915" s="18">
        <f t="shared" si="176"/>
        <v>41562.199999999997</v>
      </c>
      <c r="I7915" s="3"/>
    </row>
    <row r="7916" spans="1:9" s="4" customFormat="1" ht="20.25" customHeight="1" x14ac:dyDescent="0.55000000000000004">
      <c r="A7916" s="18">
        <v>24.734170899999999</v>
      </c>
      <c r="B7916" s="18">
        <v>34.784992600000002</v>
      </c>
      <c r="C7916" s="18">
        <v>680527.81</v>
      </c>
      <c r="D7916" s="18">
        <v>2736690.25</v>
      </c>
      <c r="E7916" s="18">
        <v>377.24</v>
      </c>
      <c r="F7916" s="18">
        <v>41715.660000000003</v>
      </c>
      <c r="G7916" s="18">
        <v>131442</v>
      </c>
      <c r="H7916" s="18">
        <f t="shared" si="176"/>
        <v>41562.660000000003</v>
      </c>
      <c r="I7916" s="3"/>
    </row>
    <row r="7917" spans="1:9" s="4" customFormat="1" ht="20.25" customHeight="1" x14ac:dyDescent="0.55000000000000004">
      <c r="A7917" s="18">
        <v>24.734183900000001</v>
      </c>
      <c r="B7917" s="18">
        <v>34.785008500000004</v>
      </c>
      <c r="C7917" s="18">
        <v>680529.39</v>
      </c>
      <c r="D7917" s="18">
        <v>2736691.71</v>
      </c>
      <c r="E7917" s="18">
        <v>377.03</v>
      </c>
      <c r="F7917" s="18">
        <v>41713.89</v>
      </c>
      <c r="G7917" s="18">
        <v>131444</v>
      </c>
      <c r="H7917" s="18">
        <f t="shared" si="176"/>
        <v>41560.89</v>
      </c>
      <c r="I7917" s="3"/>
    </row>
    <row r="7918" spans="1:9" s="4" customFormat="1" ht="20.25" customHeight="1" x14ac:dyDescent="0.55000000000000004">
      <c r="A7918" s="18">
        <v>24.734197999999999</v>
      </c>
      <c r="B7918" s="18">
        <v>34.785026100000003</v>
      </c>
      <c r="C7918" s="18">
        <v>680531.16</v>
      </c>
      <c r="D7918" s="18">
        <v>2736693.3</v>
      </c>
      <c r="E7918" s="18">
        <v>377</v>
      </c>
      <c r="F7918" s="18">
        <v>41714.730000000003</v>
      </c>
      <c r="G7918" s="18">
        <v>131446</v>
      </c>
      <c r="H7918" s="18">
        <f t="shared" si="176"/>
        <v>41561.730000000003</v>
      </c>
      <c r="I7918" s="3"/>
    </row>
    <row r="7919" spans="1:9" s="4" customFormat="1" ht="20.25" customHeight="1" x14ac:dyDescent="0.55000000000000004">
      <c r="A7919" s="18">
        <v>24.734210699999998</v>
      </c>
      <c r="B7919" s="18">
        <v>34.785043299999998</v>
      </c>
      <c r="C7919" s="18">
        <v>680532.88</v>
      </c>
      <c r="D7919" s="18">
        <v>2736694.73</v>
      </c>
      <c r="E7919" s="18">
        <v>376.83</v>
      </c>
      <c r="F7919" s="18">
        <v>41714.31</v>
      </c>
      <c r="G7919" s="18">
        <v>131448</v>
      </c>
      <c r="H7919" s="18">
        <f t="shared" si="176"/>
        <v>41561.31</v>
      </c>
      <c r="I7919" s="3"/>
    </row>
    <row r="7920" spans="1:9" s="4" customFormat="1" ht="20.25" customHeight="1" x14ac:dyDescent="0.55000000000000004">
      <c r="A7920" s="18">
        <v>24.734224399999999</v>
      </c>
      <c r="B7920" s="18">
        <v>34.7850587</v>
      </c>
      <c r="C7920" s="18">
        <v>680534.41</v>
      </c>
      <c r="D7920" s="18">
        <v>2736696.26</v>
      </c>
      <c r="E7920" s="18">
        <v>376.85</v>
      </c>
      <c r="F7920" s="18">
        <v>41713.129999999997</v>
      </c>
      <c r="G7920" s="18">
        <v>131450</v>
      </c>
      <c r="H7920" s="18">
        <f t="shared" si="176"/>
        <v>41560.129999999997</v>
      </c>
      <c r="I7920" s="3"/>
    </row>
    <row r="7921" spans="1:9" s="4" customFormat="1" ht="20.25" customHeight="1" x14ac:dyDescent="0.55000000000000004">
      <c r="A7921" s="18">
        <v>24.7342358</v>
      </c>
      <c r="B7921" s="18">
        <v>34.785071100000003</v>
      </c>
      <c r="C7921" s="18">
        <v>680535.66</v>
      </c>
      <c r="D7921" s="18">
        <v>2736697.54</v>
      </c>
      <c r="E7921" s="18">
        <v>376.84</v>
      </c>
      <c r="F7921" s="18">
        <v>41714.559999999998</v>
      </c>
      <c r="G7921" s="18">
        <v>131452</v>
      </c>
      <c r="H7921" s="18">
        <f t="shared" si="176"/>
        <v>41561.56</v>
      </c>
      <c r="I7921" s="3"/>
    </row>
    <row r="7922" spans="1:9" s="4" customFormat="1" ht="20.25" customHeight="1" x14ac:dyDescent="0.55000000000000004">
      <c r="A7922" s="18">
        <v>24.734246200000001</v>
      </c>
      <c r="B7922" s="18">
        <v>34.785089300000003</v>
      </c>
      <c r="C7922" s="18">
        <v>680537.48</v>
      </c>
      <c r="D7922" s="18">
        <v>2736698.72</v>
      </c>
      <c r="E7922" s="18">
        <v>376.64</v>
      </c>
      <c r="F7922" s="18">
        <v>41714.879999999997</v>
      </c>
      <c r="G7922" s="18">
        <v>131454</v>
      </c>
      <c r="H7922" s="18">
        <f t="shared" si="176"/>
        <v>41561.879999999997</v>
      </c>
      <c r="I7922" s="3"/>
    </row>
    <row r="7923" spans="1:9" s="4" customFormat="1" ht="20.25" customHeight="1" x14ac:dyDescent="0.55000000000000004">
      <c r="A7923" s="18">
        <v>24.7342516</v>
      </c>
      <c r="B7923" s="18">
        <v>34.785097999999998</v>
      </c>
      <c r="C7923" s="18">
        <v>680538.35</v>
      </c>
      <c r="D7923" s="18">
        <v>2736699.33</v>
      </c>
      <c r="E7923" s="18">
        <v>376.66</v>
      </c>
      <c r="F7923" s="18">
        <v>41714.86</v>
      </c>
      <c r="G7923" s="18">
        <v>131456</v>
      </c>
      <c r="H7923" s="18">
        <f t="shared" si="176"/>
        <v>41561.86</v>
      </c>
      <c r="I7923" s="3"/>
    </row>
    <row r="7924" spans="1:9" s="4" customFormat="1" ht="20.25" customHeight="1" x14ac:dyDescent="0.55000000000000004">
      <c r="A7924" s="18">
        <v>24.7342549</v>
      </c>
      <c r="B7924" s="18">
        <v>34.785098300000001</v>
      </c>
      <c r="C7924" s="18">
        <v>680538.37</v>
      </c>
      <c r="D7924" s="18">
        <v>2736699.7</v>
      </c>
      <c r="E7924" s="18">
        <v>376.64</v>
      </c>
      <c r="F7924" s="18">
        <v>41720.42</v>
      </c>
      <c r="G7924" s="18">
        <v>131458</v>
      </c>
      <c r="H7924" s="18">
        <f t="shared" si="176"/>
        <v>41567.42</v>
      </c>
      <c r="I7924" s="3"/>
    </row>
    <row r="7925" spans="1:9" s="4" customFormat="1" ht="20.25" customHeight="1" x14ac:dyDescent="0.55000000000000004">
      <c r="A7925" s="18">
        <v>24.734254700000001</v>
      </c>
      <c r="B7925" s="18">
        <v>34.785098300000001</v>
      </c>
      <c r="C7925" s="18">
        <v>680538.38</v>
      </c>
      <c r="D7925" s="18">
        <v>2736699.67</v>
      </c>
      <c r="E7925" s="18">
        <v>376.65</v>
      </c>
      <c r="F7925" s="18">
        <v>41716.53</v>
      </c>
      <c r="G7925" s="18">
        <v>131500</v>
      </c>
      <c r="H7925" s="18">
        <f t="shared" si="176"/>
        <v>41563.53</v>
      </c>
      <c r="I7925" s="3"/>
    </row>
    <row r="7926" spans="1:9" s="4" customFormat="1" ht="20.25" customHeight="1" x14ac:dyDescent="0.55000000000000004">
      <c r="A7926" s="18">
        <v>24.734254799999999</v>
      </c>
      <c r="B7926" s="18">
        <v>34.785098699999999</v>
      </c>
      <c r="C7926" s="18">
        <v>680538.42</v>
      </c>
      <c r="D7926" s="18">
        <v>2736699.68</v>
      </c>
      <c r="E7926" s="18">
        <v>376.64</v>
      </c>
      <c r="F7926" s="18">
        <v>41715.72</v>
      </c>
      <c r="G7926" s="18">
        <v>131502</v>
      </c>
      <c r="H7926" s="18">
        <f t="shared" si="176"/>
        <v>41562.720000000001</v>
      </c>
      <c r="I7926" s="3"/>
    </row>
    <row r="7927" spans="1:9" s="4" customFormat="1" ht="20.25" customHeight="1" x14ac:dyDescent="0.55000000000000004">
      <c r="A7927" s="18">
        <v>24.7342625</v>
      </c>
      <c r="B7927" s="18">
        <v>34.785111100000002</v>
      </c>
      <c r="C7927" s="18">
        <v>680539.67</v>
      </c>
      <c r="D7927" s="18">
        <v>2736700.55</v>
      </c>
      <c r="E7927" s="18">
        <v>376.65</v>
      </c>
      <c r="F7927" s="18">
        <v>41718.730000000003</v>
      </c>
      <c r="G7927" s="18">
        <v>131504</v>
      </c>
      <c r="H7927" s="18">
        <f t="shared" si="176"/>
        <v>41565.730000000003</v>
      </c>
      <c r="I7927" s="3"/>
    </row>
    <row r="7928" spans="1:9" s="4" customFormat="1" ht="20.25" customHeight="1" x14ac:dyDescent="0.55000000000000004">
      <c r="A7928" s="18">
        <v>24.734264400000001</v>
      </c>
      <c r="B7928" s="18">
        <v>34.785116299999999</v>
      </c>
      <c r="C7928" s="18">
        <v>680540.19</v>
      </c>
      <c r="D7928" s="18">
        <v>2736700.77</v>
      </c>
      <c r="E7928" s="18">
        <v>376.81</v>
      </c>
      <c r="F7928" s="18">
        <v>41718.720000000001</v>
      </c>
      <c r="G7928" s="18">
        <v>131506</v>
      </c>
      <c r="H7928" s="18">
        <f t="shared" si="176"/>
        <v>41565.72</v>
      </c>
      <c r="I7928" s="3"/>
    </row>
    <row r="7929" spans="1:9" s="4" customFormat="1" ht="20.25" customHeight="1" x14ac:dyDescent="0.55000000000000004">
      <c r="A7929" s="18">
        <v>24.734265300000001</v>
      </c>
      <c r="B7929" s="18">
        <v>34.785119399999999</v>
      </c>
      <c r="C7929" s="18">
        <v>680540.49</v>
      </c>
      <c r="D7929" s="18">
        <v>2736700.87</v>
      </c>
      <c r="E7929" s="18">
        <v>376.76</v>
      </c>
      <c r="F7929" s="18">
        <v>41719.42</v>
      </c>
      <c r="G7929" s="18">
        <v>131508</v>
      </c>
      <c r="H7929" s="18">
        <f t="shared" si="176"/>
        <v>41566.42</v>
      </c>
      <c r="I7929" s="3"/>
    </row>
    <row r="7930" spans="1:9" s="4" customFormat="1" ht="20.25" customHeight="1" x14ac:dyDescent="0.55000000000000004">
      <c r="A7930" s="18">
        <v>24.734267200000001</v>
      </c>
      <c r="B7930" s="18">
        <v>34.785120499999998</v>
      </c>
      <c r="C7930" s="18">
        <v>680540.6</v>
      </c>
      <c r="D7930" s="18">
        <v>2736701.08</v>
      </c>
      <c r="E7930" s="18">
        <v>376.71</v>
      </c>
      <c r="F7930" s="18">
        <v>41716.74</v>
      </c>
      <c r="G7930" s="18">
        <v>131510</v>
      </c>
      <c r="H7930" s="18">
        <f t="shared" si="176"/>
        <v>41563.74</v>
      </c>
      <c r="I7930" s="3"/>
    </row>
    <row r="7931" spans="1:9" s="4" customFormat="1" ht="20.25" customHeight="1" x14ac:dyDescent="0.55000000000000004">
      <c r="A7931" s="18">
        <v>24.7342707</v>
      </c>
      <c r="B7931" s="18">
        <v>34.785124699999997</v>
      </c>
      <c r="C7931" s="18">
        <v>680541.03</v>
      </c>
      <c r="D7931" s="18">
        <v>2736701.48</v>
      </c>
      <c r="E7931" s="18">
        <v>376.66</v>
      </c>
      <c r="F7931" s="18">
        <v>41716</v>
      </c>
      <c r="G7931" s="18">
        <v>131512</v>
      </c>
      <c r="H7931" s="18">
        <f t="shared" si="176"/>
        <v>41563</v>
      </c>
      <c r="I7931" s="3"/>
    </row>
    <row r="7932" spans="1:9" s="4" customFormat="1" ht="20.25" customHeight="1" x14ac:dyDescent="0.55000000000000004">
      <c r="A7932" s="18">
        <v>24.734276000000001</v>
      </c>
      <c r="B7932" s="18">
        <v>34.7851298</v>
      </c>
      <c r="C7932" s="18">
        <v>680541.53</v>
      </c>
      <c r="D7932" s="18">
        <v>2736702.08</v>
      </c>
      <c r="E7932" s="18">
        <v>376.63</v>
      </c>
      <c r="F7932" s="18">
        <v>41716.769999999997</v>
      </c>
      <c r="G7932" s="18">
        <v>131514</v>
      </c>
      <c r="H7932" s="18">
        <f t="shared" si="176"/>
        <v>41563.769999999997</v>
      </c>
      <c r="I7932" s="3"/>
    </row>
    <row r="7933" spans="1:9" s="4" customFormat="1" ht="20.25" customHeight="1" x14ac:dyDescent="0.55000000000000004">
      <c r="A7933" s="18">
        <v>24.734279600000001</v>
      </c>
      <c r="B7933" s="18">
        <v>34.785130799999997</v>
      </c>
      <c r="C7933" s="18">
        <v>680541.63</v>
      </c>
      <c r="D7933" s="18">
        <v>2736702.48</v>
      </c>
      <c r="E7933" s="18">
        <v>376.59</v>
      </c>
      <c r="F7933" s="18">
        <v>41722.28</v>
      </c>
      <c r="G7933" s="18">
        <v>131516</v>
      </c>
      <c r="H7933" s="18">
        <f t="shared" si="176"/>
        <v>41569.279999999999</v>
      </c>
      <c r="I7933" s="3"/>
    </row>
    <row r="7934" spans="1:9" s="4" customFormat="1" ht="20.25" customHeight="1" x14ac:dyDescent="0.55000000000000004">
      <c r="A7934" s="18">
        <v>24.734279300000001</v>
      </c>
      <c r="B7934" s="18">
        <v>34.785132099999998</v>
      </c>
      <c r="C7934" s="18">
        <v>680541.76</v>
      </c>
      <c r="D7934" s="18">
        <v>2736702.44</v>
      </c>
      <c r="E7934" s="18">
        <v>376.57</v>
      </c>
      <c r="F7934" s="18">
        <v>41720.800000000003</v>
      </c>
      <c r="G7934" s="18">
        <v>131518</v>
      </c>
      <c r="H7934" s="18">
        <f t="shared" si="176"/>
        <v>41567.800000000003</v>
      </c>
      <c r="I7934" s="3"/>
    </row>
    <row r="7935" spans="1:9" s="4" customFormat="1" ht="20.25" customHeight="1" x14ac:dyDescent="0.55000000000000004">
      <c r="A7935" s="18">
        <v>24.734278700000001</v>
      </c>
      <c r="B7935" s="18">
        <v>34.7851316</v>
      </c>
      <c r="C7935" s="18">
        <v>680541.71</v>
      </c>
      <c r="D7935" s="18">
        <v>2736702.38</v>
      </c>
      <c r="E7935" s="18">
        <v>376.58</v>
      </c>
      <c r="F7935" s="18">
        <v>41720.71</v>
      </c>
      <c r="G7935" s="18">
        <v>131520</v>
      </c>
      <c r="H7935" s="18">
        <f t="shared" si="176"/>
        <v>41567.71</v>
      </c>
      <c r="I7935" s="3"/>
    </row>
    <row r="7936" spans="1:9" s="4" customFormat="1" ht="20.25" customHeight="1" x14ac:dyDescent="0.55000000000000004">
      <c r="A7936" s="18">
        <v>24.734279000000001</v>
      </c>
      <c r="B7936" s="18">
        <v>34.785131800000002</v>
      </c>
      <c r="C7936" s="18">
        <v>680541.73</v>
      </c>
      <c r="D7936" s="18">
        <v>2736702.41</v>
      </c>
      <c r="E7936" s="18">
        <v>376.57</v>
      </c>
      <c r="F7936" s="18">
        <v>41720.17</v>
      </c>
      <c r="G7936" s="18">
        <v>131522</v>
      </c>
      <c r="H7936" s="18">
        <f t="shared" si="176"/>
        <v>41567.17</v>
      </c>
      <c r="I7936" s="3"/>
    </row>
    <row r="7937" spans="1:9" s="4" customFormat="1" ht="20.25" customHeight="1" x14ac:dyDescent="0.55000000000000004">
      <c r="A7937" s="18">
        <v>24.734278499999999</v>
      </c>
      <c r="B7937" s="18">
        <v>34.785131499999999</v>
      </c>
      <c r="C7937" s="18">
        <v>680541.7</v>
      </c>
      <c r="D7937" s="18">
        <v>2736702.35</v>
      </c>
      <c r="E7937" s="18">
        <v>376.55</v>
      </c>
      <c r="F7937" s="18">
        <v>41719.980000000003</v>
      </c>
      <c r="G7937" s="18">
        <v>131524</v>
      </c>
      <c r="H7937" s="18">
        <f t="shared" si="176"/>
        <v>41566.980000000003</v>
      </c>
      <c r="I7937" s="3"/>
    </row>
    <row r="7938" spans="1:9" s="4" customFormat="1" ht="20.25" customHeight="1" x14ac:dyDescent="0.55000000000000004">
      <c r="A7938" s="18">
        <v>24.734278199999999</v>
      </c>
      <c r="B7938" s="18">
        <v>34.785131499999999</v>
      </c>
      <c r="C7938" s="18">
        <v>680541.7</v>
      </c>
      <c r="D7938" s="18">
        <v>2736702.32</v>
      </c>
      <c r="E7938" s="18">
        <v>376.54</v>
      </c>
      <c r="F7938" s="18">
        <v>41721.9</v>
      </c>
      <c r="G7938" s="18">
        <v>131526</v>
      </c>
      <c r="H7938" s="18">
        <f t="shared" si="176"/>
        <v>41568.9</v>
      </c>
      <c r="I7938" s="3"/>
    </row>
    <row r="7939" spans="1:9" s="4" customFormat="1" ht="20.25" customHeight="1" x14ac:dyDescent="0.55000000000000004">
      <c r="A7939" s="18">
        <v>24.734277899999999</v>
      </c>
      <c r="B7939" s="18">
        <v>34.785131399999997</v>
      </c>
      <c r="C7939" s="18">
        <v>680541.7</v>
      </c>
      <c r="D7939" s="18">
        <v>2736702.29</v>
      </c>
      <c r="E7939" s="18">
        <v>376.54</v>
      </c>
      <c r="F7939" s="18">
        <v>41720.71</v>
      </c>
      <c r="G7939" s="18">
        <v>131528</v>
      </c>
      <c r="H7939" s="18">
        <f t="shared" si="176"/>
        <v>41567.71</v>
      </c>
      <c r="I7939" s="3"/>
    </row>
    <row r="7940" spans="1:9" s="4" customFormat="1" ht="20.25" customHeight="1" x14ac:dyDescent="0.55000000000000004">
      <c r="A7940" s="18">
        <v>24.734277899999999</v>
      </c>
      <c r="B7940" s="18">
        <v>34.785130899999999</v>
      </c>
      <c r="C7940" s="18">
        <v>680541.65</v>
      </c>
      <c r="D7940" s="18">
        <v>2736702.29</v>
      </c>
      <c r="E7940" s="18">
        <v>376.53</v>
      </c>
      <c r="F7940" s="18">
        <v>41720.31</v>
      </c>
      <c r="G7940" s="18">
        <v>131530</v>
      </c>
      <c r="H7940" s="18">
        <f t="shared" si="176"/>
        <v>41567.31</v>
      </c>
      <c r="I7940" s="3"/>
    </row>
    <row r="7941" spans="1:9" s="4" customFormat="1" ht="20.25" customHeight="1" x14ac:dyDescent="0.55000000000000004">
      <c r="A7941" s="18">
        <v>24.734278</v>
      </c>
      <c r="B7941" s="18">
        <v>34.785131</v>
      </c>
      <c r="C7941" s="18">
        <v>680541.65</v>
      </c>
      <c r="D7941" s="18">
        <v>2736702.29</v>
      </c>
      <c r="E7941" s="18">
        <v>376.54</v>
      </c>
      <c r="F7941" s="18">
        <v>41722.31</v>
      </c>
      <c r="G7941" s="18">
        <v>131532</v>
      </c>
      <c r="H7941" s="18">
        <f t="shared" si="176"/>
        <v>41569.31</v>
      </c>
      <c r="I7941" s="3"/>
    </row>
    <row r="7942" spans="1:9" s="4" customFormat="1" ht="20.25" customHeight="1" x14ac:dyDescent="0.55000000000000004">
      <c r="A7942" s="18">
        <v>24.7342786</v>
      </c>
      <c r="B7942" s="18">
        <v>34.785130000000002</v>
      </c>
      <c r="C7942" s="18">
        <v>680541.55</v>
      </c>
      <c r="D7942" s="18">
        <v>2736702.36</v>
      </c>
      <c r="E7942" s="18">
        <v>376.53</v>
      </c>
      <c r="F7942" s="18">
        <v>41719.57</v>
      </c>
      <c r="G7942" s="18">
        <v>131534</v>
      </c>
      <c r="H7942" s="18">
        <f t="shared" si="176"/>
        <v>41566.57</v>
      </c>
      <c r="I7942" s="3"/>
    </row>
    <row r="7943" spans="1:9" s="4" customFormat="1" ht="20.25" customHeight="1" x14ac:dyDescent="0.55000000000000004">
      <c r="A7943" s="18">
        <v>24.7342829</v>
      </c>
      <c r="B7943" s="18">
        <v>34.785136299999998</v>
      </c>
      <c r="C7943" s="18">
        <v>680542.18</v>
      </c>
      <c r="D7943" s="18">
        <v>2736702.85</v>
      </c>
      <c r="E7943" s="18">
        <v>376.52</v>
      </c>
      <c r="F7943" s="18">
        <v>41720.050000000003</v>
      </c>
      <c r="G7943" s="18">
        <v>131536</v>
      </c>
      <c r="H7943" s="18">
        <f t="shared" si="176"/>
        <v>41567.050000000003</v>
      </c>
      <c r="I7943" s="3"/>
    </row>
    <row r="7944" spans="1:9" s="4" customFormat="1" ht="20.25" customHeight="1" x14ac:dyDescent="0.55000000000000004">
      <c r="A7944" s="18">
        <v>24.734285499999999</v>
      </c>
      <c r="B7944" s="18">
        <v>34.785149699999998</v>
      </c>
      <c r="C7944" s="18">
        <v>680543.54</v>
      </c>
      <c r="D7944" s="18">
        <v>2736703.15</v>
      </c>
      <c r="E7944" s="18">
        <v>376.48</v>
      </c>
      <c r="F7944" s="18">
        <v>41719.11</v>
      </c>
      <c r="G7944" s="18">
        <v>131538</v>
      </c>
      <c r="H7944" s="18">
        <f t="shared" si="176"/>
        <v>41566.11</v>
      </c>
      <c r="I7944" s="3"/>
    </row>
    <row r="7945" spans="1:9" s="4" customFormat="1" ht="20.25" customHeight="1" x14ac:dyDescent="0.55000000000000004">
      <c r="A7945" s="18">
        <v>24.734292199999999</v>
      </c>
      <c r="B7945" s="18">
        <v>34.785166500000003</v>
      </c>
      <c r="C7945" s="18">
        <v>680545.22</v>
      </c>
      <c r="D7945" s="18">
        <v>2736703.92</v>
      </c>
      <c r="E7945" s="18">
        <v>376.59</v>
      </c>
      <c r="F7945" s="18">
        <v>41716.800000000003</v>
      </c>
      <c r="G7945" s="18">
        <v>131540</v>
      </c>
      <c r="H7945" s="18">
        <f t="shared" si="176"/>
        <v>41563.800000000003</v>
      </c>
      <c r="I7945" s="3"/>
    </row>
    <row r="7946" spans="1:9" s="4" customFormat="1" ht="20.25" customHeight="1" x14ac:dyDescent="0.55000000000000004">
      <c r="A7946" s="18">
        <v>24.734297399999999</v>
      </c>
      <c r="B7946" s="18">
        <v>34.785181999999999</v>
      </c>
      <c r="C7946" s="18">
        <v>680546.78</v>
      </c>
      <c r="D7946" s="18">
        <v>2736704.51</v>
      </c>
      <c r="E7946" s="18">
        <v>376.54</v>
      </c>
      <c r="F7946" s="18">
        <v>41715.75</v>
      </c>
      <c r="G7946" s="18">
        <v>131542</v>
      </c>
      <c r="H7946" s="18">
        <f t="shared" si="176"/>
        <v>41562.75</v>
      </c>
      <c r="I7946" s="3"/>
    </row>
    <row r="7947" spans="1:9" s="4" customFormat="1" ht="20.25" customHeight="1" x14ac:dyDescent="0.55000000000000004">
      <c r="A7947" s="18">
        <v>24.734303199999999</v>
      </c>
      <c r="B7947" s="18">
        <v>34.7851967</v>
      </c>
      <c r="C7947" s="18">
        <v>680548.26</v>
      </c>
      <c r="D7947" s="18">
        <v>2736705.17</v>
      </c>
      <c r="E7947" s="18">
        <v>376.47</v>
      </c>
      <c r="F7947" s="18">
        <v>41715.1</v>
      </c>
      <c r="G7947" s="18">
        <v>131544</v>
      </c>
      <c r="H7947" s="18">
        <f t="shared" si="176"/>
        <v>41562.1</v>
      </c>
      <c r="I7947" s="3"/>
    </row>
    <row r="7948" spans="1:9" s="4" customFormat="1" ht="20.25" customHeight="1" x14ac:dyDescent="0.55000000000000004">
      <c r="A7948" s="18">
        <v>24.7343078</v>
      </c>
      <c r="B7948" s="18">
        <v>34.785212299999998</v>
      </c>
      <c r="C7948" s="18">
        <v>680549.84</v>
      </c>
      <c r="D7948" s="18">
        <v>2736705.7</v>
      </c>
      <c r="E7948" s="18">
        <v>376.64</v>
      </c>
      <c r="F7948" s="18">
        <v>41716.42</v>
      </c>
      <c r="G7948" s="18">
        <v>131546</v>
      </c>
      <c r="H7948" s="18">
        <f t="shared" si="176"/>
        <v>41563.42</v>
      </c>
      <c r="I7948" s="3"/>
    </row>
    <row r="7949" spans="1:9" s="4" customFormat="1" ht="20.25" customHeight="1" x14ac:dyDescent="0.55000000000000004">
      <c r="A7949" s="18">
        <v>24.734310799999999</v>
      </c>
      <c r="B7949" s="18">
        <v>34.785237299999999</v>
      </c>
      <c r="C7949" s="18">
        <v>680552.36</v>
      </c>
      <c r="D7949" s="18">
        <v>2736706.06</v>
      </c>
      <c r="E7949" s="18">
        <v>376.53</v>
      </c>
      <c r="F7949" s="18">
        <v>41715.870000000003</v>
      </c>
      <c r="G7949" s="18">
        <v>131548</v>
      </c>
      <c r="H7949" s="18">
        <f t="shared" si="176"/>
        <v>41562.870000000003</v>
      </c>
      <c r="I7949" s="3"/>
    </row>
    <row r="7950" spans="1:9" s="4" customFormat="1" ht="20.25" customHeight="1" x14ac:dyDescent="0.55000000000000004">
      <c r="A7950" s="18">
        <v>24.734309100000001</v>
      </c>
      <c r="B7950" s="18">
        <v>34.785260600000001</v>
      </c>
      <c r="C7950" s="18">
        <v>680554.72</v>
      </c>
      <c r="D7950" s="18">
        <v>2736705.91</v>
      </c>
      <c r="E7950" s="18">
        <v>376.67</v>
      </c>
      <c r="F7950" s="18">
        <v>41714.81</v>
      </c>
      <c r="G7950" s="18">
        <v>131550</v>
      </c>
      <c r="H7950" s="18">
        <f t="shared" si="176"/>
        <v>41561.81</v>
      </c>
      <c r="I7950" s="3"/>
    </row>
    <row r="7951" spans="1:9" s="4" customFormat="1" ht="20.25" customHeight="1" x14ac:dyDescent="0.55000000000000004">
      <c r="A7951" s="18">
        <v>24.734306499999999</v>
      </c>
      <c r="B7951" s="18">
        <v>34.785284699999998</v>
      </c>
      <c r="C7951" s="18">
        <v>680557.16</v>
      </c>
      <c r="D7951" s="18">
        <v>2736705.65</v>
      </c>
      <c r="E7951" s="18">
        <v>376.9</v>
      </c>
      <c r="F7951" s="18">
        <v>41716.160000000003</v>
      </c>
      <c r="G7951" s="18">
        <v>131552</v>
      </c>
      <c r="H7951" s="18">
        <f t="shared" si="176"/>
        <v>41563.160000000003</v>
      </c>
      <c r="I7951" s="3"/>
    </row>
    <row r="7952" spans="1:9" s="4" customFormat="1" ht="20.25" customHeight="1" x14ac:dyDescent="0.55000000000000004">
      <c r="A7952" s="18">
        <v>24.734300600000001</v>
      </c>
      <c r="B7952" s="18">
        <v>34.785306499999997</v>
      </c>
      <c r="C7952" s="18">
        <v>680559.37</v>
      </c>
      <c r="D7952" s="18">
        <v>2736705.03</v>
      </c>
      <c r="E7952" s="18">
        <v>376.98</v>
      </c>
      <c r="F7952" s="18">
        <v>41717.22</v>
      </c>
      <c r="G7952" s="18">
        <v>131554</v>
      </c>
      <c r="H7952" s="18">
        <f t="shared" si="176"/>
        <v>41564.22</v>
      </c>
      <c r="I7952" s="3"/>
    </row>
    <row r="7953" spans="1:9" s="4" customFormat="1" ht="20.25" customHeight="1" x14ac:dyDescent="0.55000000000000004">
      <c r="A7953" s="18">
        <v>24.734292499999999</v>
      </c>
      <c r="B7953" s="18">
        <v>34.785329300000001</v>
      </c>
      <c r="C7953" s="18">
        <v>680561.69</v>
      </c>
      <c r="D7953" s="18">
        <v>2736704.16</v>
      </c>
      <c r="E7953" s="18">
        <v>377.14</v>
      </c>
      <c r="F7953" s="18">
        <v>41716.449999999997</v>
      </c>
      <c r="G7953" s="18">
        <v>131556</v>
      </c>
      <c r="H7953" s="18">
        <f t="shared" si="176"/>
        <v>41563.449999999997</v>
      </c>
      <c r="I7953" s="3"/>
    </row>
    <row r="7954" spans="1:9" s="4" customFormat="1" ht="20.25" customHeight="1" x14ac:dyDescent="0.55000000000000004">
      <c r="A7954" s="18">
        <v>24.7342844</v>
      </c>
      <c r="B7954" s="18">
        <v>34.785353299999997</v>
      </c>
      <c r="C7954" s="18">
        <v>680564.13</v>
      </c>
      <c r="D7954" s="18">
        <v>2736703.3</v>
      </c>
      <c r="E7954" s="18">
        <v>377.25</v>
      </c>
      <c r="F7954" s="18">
        <v>41716.92</v>
      </c>
      <c r="G7954" s="18">
        <v>131558</v>
      </c>
      <c r="H7954" s="18">
        <f t="shared" ref="H7954" si="177">SUM(F7954-153)</f>
        <v>41563.919999999998</v>
      </c>
      <c r="I7954" s="3"/>
    </row>
    <row r="7955" spans="1:9" s="4" customFormat="1" ht="20.25" customHeight="1" x14ac:dyDescent="0.55000000000000004">
      <c r="A7955" s="18">
        <v>24.734275499999999</v>
      </c>
      <c r="B7955" s="18">
        <v>34.785375999999999</v>
      </c>
      <c r="C7955" s="18">
        <v>680566.44</v>
      </c>
      <c r="D7955" s="18">
        <v>2736702.35</v>
      </c>
      <c r="E7955" s="18">
        <v>377.23</v>
      </c>
      <c r="F7955" s="18">
        <v>41715.089999999997</v>
      </c>
      <c r="G7955" s="18">
        <v>131600</v>
      </c>
      <c r="H7955" s="18">
        <f>SUM(F7955-170)</f>
        <v>41545.089999999997</v>
      </c>
      <c r="I7955" s="3"/>
    </row>
    <row r="7956" spans="1:9" s="4" customFormat="1" ht="20.25" customHeight="1" x14ac:dyDescent="0.55000000000000004">
      <c r="A7956" s="18">
        <v>24.734267599999999</v>
      </c>
      <c r="B7956" s="18">
        <v>34.785400000000003</v>
      </c>
      <c r="C7956" s="18">
        <v>680568.88</v>
      </c>
      <c r="D7956" s="18">
        <v>2736701.5</v>
      </c>
      <c r="E7956" s="18">
        <v>377.28</v>
      </c>
      <c r="F7956" s="18">
        <v>41713.72</v>
      </c>
      <c r="G7956" s="18">
        <v>131602</v>
      </c>
      <c r="H7956" s="18">
        <f t="shared" ref="H7956:H8019" si="178">SUM(F7956-170)</f>
        <v>41543.72</v>
      </c>
      <c r="I7956" s="3"/>
    </row>
    <row r="7957" spans="1:9" s="4" customFormat="1" ht="20.25" customHeight="1" x14ac:dyDescent="0.55000000000000004">
      <c r="A7957" s="18">
        <v>24.7342604</v>
      </c>
      <c r="B7957" s="18">
        <v>34.785425699999998</v>
      </c>
      <c r="C7957" s="18">
        <v>680571.49</v>
      </c>
      <c r="D7957" s="18">
        <v>2736700.74</v>
      </c>
      <c r="E7957" s="18">
        <v>376.97</v>
      </c>
      <c r="F7957" s="18">
        <v>41714.29</v>
      </c>
      <c r="G7957" s="18">
        <v>131604</v>
      </c>
      <c r="H7957" s="18">
        <f t="shared" si="178"/>
        <v>41544.29</v>
      </c>
      <c r="I7957" s="3"/>
    </row>
    <row r="7958" spans="1:9" s="4" customFormat="1" ht="20.25" customHeight="1" x14ac:dyDescent="0.55000000000000004">
      <c r="A7958" s="18">
        <v>24.734253500000001</v>
      </c>
      <c r="B7958" s="18">
        <v>34.785451500000001</v>
      </c>
      <c r="C7958" s="18">
        <v>680574.11</v>
      </c>
      <c r="D7958" s="18">
        <v>2736700</v>
      </c>
      <c r="E7958" s="18">
        <v>377.11</v>
      </c>
      <c r="F7958" s="18">
        <v>41711.67</v>
      </c>
      <c r="G7958" s="18">
        <v>131606</v>
      </c>
      <c r="H7958" s="18">
        <f t="shared" si="178"/>
        <v>41541.67</v>
      </c>
      <c r="I7958" s="3"/>
    </row>
    <row r="7959" spans="1:9" s="4" customFormat="1" ht="20.25" customHeight="1" x14ac:dyDescent="0.55000000000000004">
      <c r="A7959" s="18">
        <v>24.7342479</v>
      </c>
      <c r="B7959" s="18">
        <v>34.785476299999999</v>
      </c>
      <c r="C7959" s="18">
        <v>680576.62</v>
      </c>
      <c r="D7959" s="18">
        <v>2736699.42</v>
      </c>
      <c r="E7959" s="18">
        <v>377.21</v>
      </c>
      <c r="F7959" s="18">
        <v>41712.46</v>
      </c>
      <c r="G7959" s="18">
        <v>131608</v>
      </c>
      <c r="H7959" s="18">
        <f t="shared" si="178"/>
        <v>41542.46</v>
      </c>
      <c r="I7959" s="3"/>
    </row>
    <row r="7960" spans="1:9" s="4" customFormat="1" ht="20.25" customHeight="1" x14ac:dyDescent="0.55000000000000004">
      <c r="A7960" s="18">
        <v>24.734247</v>
      </c>
      <c r="B7960" s="18">
        <v>34.785501099999998</v>
      </c>
      <c r="C7960" s="18">
        <v>680579.13</v>
      </c>
      <c r="D7960" s="18">
        <v>2736699.35</v>
      </c>
      <c r="E7960" s="18">
        <v>377.36</v>
      </c>
      <c r="F7960" s="18">
        <v>41712.44</v>
      </c>
      <c r="G7960" s="18">
        <v>131610</v>
      </c>
      <c r="H7960" s="18">
        <f t="shared" si="178"/>
        <v>41542.44</v>
      </c>
      <c r="I7960" s="3"/>
    </row>
    <row r="7961" spans="1:9" s="4" customFormat="1" ht="20.25" customHeight="1" x14ac:dyDescent="0.55000000000000004">
      <c r="A7961" s="18">
        <v>24.7342464</v>
      </c>
      <c r="B7961" s="18">
        <v>34.785526300000001</v>
      </c>
      <c r="C7961" s="18">
        <v>680581.69</v>
      </c>
      <c r="D7961" s="18">
        <v>2736699.32</v>
      </c>
      <c r="E7961" s="18">
        <v>377.42</v>
      </c>
      <c r="F7961" s="18">
        <v>41712.25</v>
      </c>
      <c r="G7961" s="18">
        <v>131612</v>
      </c>
      <c r="H7961" s="18">
        <f t="shared" si="178"/>
        <v>41542.25</v>
      </c>
      <c r="I7961" s="3"/>
    </row>
    <row r="7962" spans="1:9" s="4" customFormat="1" ht="20.25" customHeight="1" x14ac:dyDescent="0.55000000000000004">
      <c r="A7962" s="18">
        <v>24.734243599999999</v>
      </c>
      <c r="B7962" s="18">
        <v>34.785551499999997</v>
      </c>
      <c r="C7962" s="18">
        <v>680584.24</v>
      </c>
      <c r="D7962" s="18">
        <v>2736699.04</v>
      </c>
      <c r="E7962" s="18">
        <v>377.51</v>
      </c>
      <c r="F7962" s="18">
        <v>41712.379999999997</v>
      </c>
      <c r="G7962" s="18">
        <v>131614</v>
      </c>
      <c r="H7962" s="18">
        <f t="shared" si="178"/>
        <v>41542.379999999997</v>
      </c>
      <c r="I7962" s="3"/>
    </row>
    <row r="7963" spans="1:9" s="4" customFormat="1" ht="20.25" customHeight="1" x14ac:dyDescent="0.55000000000000004">
      <c r="A7963" s="18">
        <v>24.734237100000001</v>
      </c>
      <c r="B7963" s="18">
        <v>34.785576900000002</v>
      </c>
      <c r="C7963" s="18">
        <v>680586.82</v>
      </c>
      <c r="D7963" s="18">
        <v>2736698.35</v>
      </c>
      <c r="E7963" s="18">
        <v>377.54</v>
      </c>
      <c r="F7963" s="18">
        <v>41711.81</v>
      </c>
      <c r="G7963" s="18">
        <v>131616</v>
      </c>
      <c r="H7963" s="18">
        <f t="shared" si="178"/>
        <v>41541.81</v>
      </c>
      <c r="I7963" s="3"/>
    </row>
    <row r="7964" spans="1:9" s="4" customFormat="1" ht="20.25" customHeight="1" x14ac:dyDescent="0.55000000000000004">
      <c r="A7964" s="18">
        <v>24.7342318</v>
      </c>
      <c r="B7964" s="18">
        <v>34.785602300000001</v>
      </c>
      <c r="C7964" s="18">
        <v>680589.39</v>
      </c>
      <c r="D7964" s="18">
        <v>2736697.79</v>
      </c>
      <c r="E7964" s="18">
        <v>377.57</v>
      </c>
      <c r="F7964" s="18">
        <v>41712.300000000003</v>
      </c>
      <c r="G7964" s="18">
        <v>131618</v>
      </c>
      <c r="H7964" s="18">
        <f t="shared" si="178"/>
        <v>41542.300000000003</v>
      </c>
      <c r="I7964" s="3"/>
    </row>
    <row r="7965" spans="1:9" s="4" customFormat="1" ht="20.25" customHeight="1" x14ac:dyDescent="0.55000000000000004">
      <c r="A7965" s="18">
        <v>24.7342245</v>
      </c>
      <c r="B7965" s="18">
        <v>34.785628799999998</v>
      </c>
      <c r="C7965" s="18">
        <v>680592.08</v>
      </c>
      <c r="D7965" s="18">
        <v>2736697.02</v>
      </c>
      <c r="E7965" s="18">
        <v>377.7</v>
      </c>
      <c r="F7965" s="18">
        <v>41714.050000000003</v>
      </c>
      <c r="G7965" s="18">
        <v>131620</v>
      </c>
      <c r="H7965" s="18">
        <f t="shared" si="178"/>
        <v>41544.050000000003</v>
      </c>
      <c r="I7965" s="3"/>
    </row>
    <row r="7966" spans="1:9" s="4" customFormat="1" ht="20.25" customHeight="1" x14ac:dyDescent="0.55000000000000004">
      <c r="A7966" s="18">
        <v>24.734216</v>
      </c>
      <c r="B7966" s="18">
        <v>34.785654700000002</v>
      </c>
      <c r="C7966" s="18">
        <v>680594.71</v>
      </c>
      <c r="D7966" s="18">
        <v>2736696.11</v>
      </c>
      <c r="E7966" s="18">
        <v>377.9</v>
      </c>
      <c r="F7966" s="18">
        <v>41713.379999999997</v>
      </c>
      <c r="G7966" s="18">
        <v>131622</v>
      </c>
      <c r="H7966" s="18">
        <f t="shared" si="178"/>
        <v>41543.379999999997</v>
      </c>
      <c r="I7966" s="3"/>
    </row>
    <row r="7967" spans="1:9" s="4" customFormat="1" ht="20.25" customHeight="1" x14ac:dyDescent="0.55000000000000004">
      <c r="A7967" s="18">
        <v>24.734206400000001</v>
      </c>
      <c r="B7967" s="18">
        <v>34.785678300000001</v>
      </c>
      <c r="C7967" s="18">
        <v>680597.12</v>
      </c>
      <c r="D7967" s="18">
        <v>2736695.08</v>
      </c>
      <c r="E7967" s="18">
        <v>378.04</v>
      </c>
      <c r="F7967" s="18">
        <v>41713.949999999997</v>
      </c>
      <c r="G7967" s="18">
        <v>131624</v>
      </c>
      <c r="H7967" s="18">
        <f t="shared" si="178"/>
        <v>41543.949999999997</v>
      </c>
      <c r="I7967" s="3"/>
    </row>
    <row r="7968" spans="1:9" s="4" customFormat="1" ht="20.25" customHeight="1" x14ac:dyDescent="0.55000000000000004">
      <c r="A7968" s="18">
        <v>24.7341962</v>
      </c>
      <c r="B7968" s="18">
        <v>34.785703300000002</v>
      </c>
      <c r="C7968" s="18">
        <v>680599.66</v>
      </c>
      <c r="D7968" s="18">
        <v>2736693.99</v>
      </c>
      <c r="E7968" s="18">
        <v>378.12</v>
      </c>
      <c r="F7968" s="18">
        <v>41716.47</v>
      </c>
      <c r="G7968" s="18">
        <v>131626</v>
      </c>
      <c r="H7968" s="18">
        <f t="shared" si="178"/>
        <v>41546.47</v>
      </c>
      <c r="I7968" s="3"/>
    </row>
    <row r="7969" spans="1:9" s="4" customFormat="1" ht="20.25" customHeight="1" x14ac:dyDescent="0.55000000000000004">
      <c r="A7969" s="18">
        <v>24.734184599999999</v>
      </c>
      <c r="B7969" s="18">
        <v>34.785725900000003</v>
      </c>
      <c r="C7969" s="18">
        <v>680601.96</v>
      </c>
      <c r="D7969" s="18">
        <v>2736692.73</v>
      </c>
      <c r="E7969" s="18">
        <v>378.29</v>
      </c>
      <c r="F7969" s="18">
        <v>41714.839999999997</v>
      </c>
      <c r="G7969" s="18">
        <v>131628</v>
      </c>
      <c r="H7969" s="18">
        <f t="shared" si="178"/>
        <v>41544.839999999997</v>
      </c>
      <c r="I7969" s="3"/>
    </row>
    <row r="7970" spans="1:9" s="4" customFormat="1" ht="20.25" customHeight="1" x14ac:dyDescent="0.55000000000000004">
      <c r="A7970" s="18">
        <v>24.734173200000001</v>
      </c>
      <c r="B7970" s="18">
        <v>34.785748900000002</v>
      </c>
      <c r="C7970" s="18">
        <v>680604.31</v>
      </c>
      <c r="D7970" s="18">
        <v>2736691.51</v>
      </c>
      <c r="E7970" s="18">
        <v>378.48</v>
      </c>
      <c r="F7970" s="18">
        <v>41712.449999999997</v>
      </c>
      <c r="G7970" s="18">
        <v>131630</v>
      </c>
      <c r="H7970" s="18">
        <f t="shared" si="178"/>
        <v>41542.449999999997</v>
      </c>
      <c r="I7970" s="3"/>
    </row>
    <row r="7971" spans="1:9" s="4" customFormat="1" ht="20.25" customHeight="1" x14ac:dyDescent="0.55000000000000004">
      <c r="A7971" s="18">
        <v>24.734164199999999</v>
      </c>
      <c r="B7971" s="18">
        <v>34.785772999999999</v>
      </c>
      <c r="C7971" s="18">
        <v>680606.76</v>
      </c>
      <c r="D7971" s="18">
        <v>2736690.54</v>
      </c>
      <c r="E7971" s="18">
        <v>378.57</v>
      </c>
      <c r="F7971" s="18">
        <v>41713.19</v>
      </c>
      <c r="G7971" s="18">
        <v>131632</v>
      </c>
      <c r="H7971" s="18">
        <f t="shared" si="178"/>
        <v>41543.19</v>
      </c>
      <c r="I7971" s="3"/>
    </row>
    <row r="7972" spans="1:9" s="4" customFormat="1" ht="20.25" customHeight="1" x14ac:dyDescent="0.55000000000000004">
      <c r="A7972" s="18">
        <v>24.734152999999999</v>
      </c>
      <c r="B7972" s="18">
        <v>34.785797100000003</v>
      </c>
      <c r="C7972" s="18">
        <v>680609.21</v>
      </c>
      <c r="D7972" s="18">
        <v>2736689.33</v>
      </c>
      <c r="E7972" s="18">
        <v>378.7</v>
      </c>
      <c r="F7972" s="18">
        <v>41713.72</v>
      </c>
      <c r="G7972" s="18">
        <v>131634</v>
      </c>
      <c r="H7972" s="18">
        <f t="shared" si="178"/>
        <v>41543.72</v>
      </c>
      <c r="I7972" s="3"/>
    </row>
    <row r="7973" spans="1:9" s="4" customFormat="1" ht="20.25" customHeight="1" x14ac:dyDescent="0.55000000000000004">
      <c r="A7973" s="18">
        <v>24.734142500000001</v>
      </c>
      <c r="B7973" s="18">
        <v>34.785820399999999</v>
      </c>
      <c r="C7973" s="18">
        <v>680611.59</v>
      </c>
      <c r="D7973" s="18">
        <v>2736688.2</v>
      </c>
      <c r="E7973" s="18">
        <v>378.9</v>
      </c>
      <c r="F7973" s="18">
        <v>41713.160000000003</v>
      </c>
      <c r="G7973" s="18">
        <v>131636</v>
      </c>
      <c r="H7973" s="18">
        <f t="shared" si="178"/>
        <v>41543.160000000003</v>
      </c>
      <c r="I7973" s="3"/>
    </row>
    <row r="7974" spans="1:9" s="4" customFormat="1" ht="20.25" customHeight="1" x14ac:dyDescent="0.55000000000000004">
      <c r="A7974" s="18">
        <v>24.734131300000001</v>
      </c>
      <c r="B7974" s="18">
        <v>34.785843999999997</v>
      </c>
      <c r="C7974" s="18">
        <v>680613.99</v>
      </c>
      <c r="D7974" s="18">
        <v>2736686.99</v>
      </c>
      <c r="E7974" s="18">
        <v>379.06</v>
      </c>
      <c r="F7974" s="18">
        <v>41713.089999999997</v>
      </c>
      <c r="G7974" s="18">
        <v>131638</v>
      </c>
      <c r="H7974" s="18">
        <f t="shared" si="178"/>
        <v>41543.089999999997</v>
      </c>
      <c r="I7974" s="3"/>
    </row>
    <row r="7975" spans="1:9" s="4" customFormat="1" ht="20.25" customHeight="1" x14ac:dyDescent="0.55000000000000004">
      <c r="A7975" s="18">
        <v>24.7341224</v>
      </c>
      <c r="B7975" s="18">
        <v>34.785869099999999</v>
      </c>
      <c r="C7975" s="18">
        <v>680616.54</v>
      </c>
      <c r="D7975" s="18">
        <v>2736686.03</v>
      </c>
      <c r="E7975" s="18">
        <v>379.25</v>
      </c>
      <c r="F7975" s="18">
        <v>41712.230000000003</v>
      </c>
      <c r="G7975" s="18">
        <v>131640</v>
      </c>
      <c r="H7975" s="18">
        <f t="shared" si="178"/>
        <v>41542.230000000003</v>
      </c>
      <c r="I7975" s="3"/>
    </row>
    <row r="7976" spans="1:9" s="4" customFormat="1" ht="20.25" customHeight="1" x14ac:dyDescent="0.55000000000000004">
      <c r="A7976" s="18">
        <v>24.734114600000002</v>
      </c>
      <c r="B7976" s="18">
        <v>34.785893000000002</v>
      </c>
      <c r="C7976" s="18">
        <v>680618.97</v>
      </c>
      <c r="D7976" s="18">
        <v>2736685.2</v>
      </c>
      <c r="E7976" s="18">
        <v>379.44</v>
      </c>
      <c r="F7976" s="18">
        <v>41712.550000000003</v>
      </c>
      <c r="G7976" s="18">
        <v>131642</v>
      </c>
      <c r="H7976" s="18">
        <f t="shared" si="178"/>
        <v>41542.550000000003</v>
      </c>
      <c r="I7976" s="3"/>
    </row>
    <row r="7977" spans="1:9" s="4" customFormat="1" ht="20.25" customHeight="1" x14ac:dyDescent="0.55000000000000004">
      <c r="A7977" s="18">
        <v>24.734105400000001</v>
      </c>
      <c r="B7977" s="18">
        <v>34.785915199999998</v>
      </c>
      <c r="C7977" s="18">
        <v>680621.23</v>
      </c>
      <c r="D7977" s="18">
        <v>2736684.21</v>
      </c>
      <c r="E7977" s="18">
        <v>379.6</v>
      </c>
      <c r="F7977" s="18">
        <v>41711.61</v>
      </c>
      <c r="G7977" s="18">
        <v>131644</v>
      </c>
      <c r="H7977" s="18">
        <f t="shared" si="178"/>
        <v>41541.61</v>
      </c>
      <c r="I7977" s="3"/>
    </row>
    <row r="7978" spans="1:9" s="4" customFormat="1" ht="20.25" customHeight="1" x14ac:dyDescent="0.55000000000000004">
      <c r="A7978" s="18">
        <v>24.734093999999999</v>
      </c>
      <c r="B7978" s="18">
        <v>34.785935600000002</v>
      </c>
      <c r="C7978" s="18">
        <v>680623.31</v>
      </c>
      <c r="D7978" s="18">
        <v>2736682.97</v>
      </c>
      <c r="E7978" s="18">
        <v>379.77</v>
      </c>
      <c r="F7978" s="18">
        <v>41713.32</v>
      </c>
      <c r="G7978" s="18">
        <v>131646</v>
      </c>
      <c r="H7978" s="18">
        <f t="shared" si="178"/>
        <v>41543.32</v>
      </c>
      <c r="I7978" s="3"/>
    </row>
    <row r="7979" spans="1:9" s="4" customFormat="1" ht="20.25" customHeight="1" x14ac:dyDescent="0.55000000000000004">
      <c r="A7979" s="18">
        <v>24.734075700000002</v>
      </c>
      <c r="B7979" s="18">
        <v>34.785951900000001</v>
      </c>
      <c r="C7979" s="18">
        <v>680624.98</v>
      </c>
      <c r="D7979" s="18">
        <v>2736680.97</v>
      </c>
      <c r="E7979" s="18">
        <v>379.66</v>
      </c>
      <c r="F7979" s="18">
        <v>41712.28</v>
      </c>
      <c r="G7979" s="18">
        <v>131648</v>
      </c>
      <c r="H7979" s="18">
        <f t="shared" si="178"/>
        <v>41542.28</v>
      </c>
      <c r="I7979" s="3"/>
    </row>
    <row r="7980" spans="1:9" s="4" customFormat="1" ht="20.25" customHeight="1" x14ac:dyDescent="0.55000000000000004">
      <c r="A7980" s="18">
        <v>24.734056200000001</v>
      </c>
      <c r="B7980" s="18">
        <v>34.785968799999999</v>
      </c>
      <c r="C7980" s="18">
        <v>680626.73</v>
      </c>
      <c r="D7980" s="18">
        <v>2736678.83</v>
      </c>
      <c r="E7980" s="18">
        <v>379.62</v>
      </c>
      <c r="F7980" s="18">
        <v>41710.480000000003</v>
      </c>
      <c r="G7980" s="18">
        <v>131650</v>
      </c>
      <c r="H7980" s="18">
        <f t="shared" si="178"/>
        <v>41540.480000000003</v>
      </c>
      <c r="I7980" s="3"/>
    </row>
    <row r="7981" spans="1:9" s="4" customFormat="1" ht="20.25" customHeight="1" x14ac:dyDescent="0.55000000000000004">
      <c r="A7981" s="18">
        <v>24.734042800000001</v>
      </c>
      <c r="B7981" s="18">
        <v>34.785991600000003</v>
      </c>
      <c r="C7981" s="18">
        <v>680629.05</v>
      </c>
      <c r="D7981" s="18">
        <v>2736677.38</v>
      </c>
      <c r="E7981" s="18">
        <v>379.8</v>
      </c>
      <c r="F7981" s="18">
        <v>41711.33</v>
      </c>
      <c r="G7981" s="18">
        <v>131652</v>
      </c>
      <c r="H7981" s="18">
        <f t="shared" si="178"/>
        <v>41541.33</v>
      </c>
      <c r="I7981" s="3"/>
    </row>
    <row r="7982" spans="1:9" s="4" customFormat="1" ht="20.25" customHeight="1" x14ac:dyDescent="0.55000000000000004">
      <c r="A7982" s="18">
        <v>24.734035899999999</v>
      </c>
      <c r="B7982" s="18">
        <v>34.786014799999997</v>
      </c>
      <c r="C7982" s="18">
        <v>680631.41</v>
      </c>
      <c r="D7982" s="18">
        <v>2736676.64</v>
      </c>
      <c r="E7982" s="18">
        <v>380.2</v>
      </c>
      <c r="F7982" s="18">
        <v>41710.370000000003</v>
      </c>
      <c r="G7982" s="18">
        <v>131654</v>
      </c>
      <c r="H7982" s="18">
        <f t="shared" si="178"/>
        <v>41540.370000000003</v>
      </c>
      <c r="I7982" s="3"/>
    </row>
    <row r="7983" spans="1:9" s="4" customFormat="1" ht="20.25" customHeight="1" x14ac:dyDescent="0.55000000000000004">
      <c r="A7983" s="18">
        <v>24.7340336</v>
      </c>
      <c r="B7983" s="18">
        <v>34.786034899999997</v>
      </c>
      <c r="C7983" s="18">
        <v>680633.44</v>
      </c>
      <c r="D7983" s="18">
        <v>2736676.42</v>
      </c>
      <c r="E7983" s="18">
        <v>380.35</v>
      </c>
      <c r="F7983" s="18">
        <v>41707.519999999997</v>
      </c>
      <c r="G7983" s="18">
        <v>131656</v>
      </c>
      <c r="H7983" s="18">
        <f t="shared" si="178"/>
        <v>41537.519999999997</v>
      </c>
      <c r="I7983" s="3"/>
    </row>
    <row r="7984" spans="1:9" s="4" customFormat="1" ht="20.25" customHeight="1" x14ac:dyDescent="0.55000000000000004">
      <c r="A7984" s="18">
        <v>24.7340315</v>
      </c>
      <c r="B7984" s="18">
        <v>34.786058799999999</v>
      </c>
      <c r="C7984" s="18">
        <v>680635.87</v>
      </c>
      <c r="D7984" s="18">
        <v>2736676.22</v>
      </c>
      <c r="E7984" s="18">
        <v>380.58</v>
      </c>
      <c r="F7984" s="18">
        <v>41709.949999999997</v>
      </c>
      <c r="G7984" s="18">
        <v>131658</v>
      </c>
      <c r="H7984" s="18">
        <f t="shared" si="178"/>
        <v>41539.949999999997</v>
      </c>
      <c r="I7984" s="3"/>
    </row>
    <row r="7985" spans="1:9" s="4" customFormat="1" ht="20.25" customHeight="1" x14ac:dyDescent="0.55000000000000004">
      <c r="A7985" s="18">
        <v>24.734028899999998</v>
      </c>
      <c r="B7985" s="18">
        <v>34.786080200000001</v>
      </c>
      <c r="C7985" s="18">
        <v>680638.03</v>
      </c>
      <c r="D7985" s="18">
        <v>2736675.96</v>
      </c>
      <c r="E7985" s="18">
        <v>380.86</v>
      </c>
      <c r="F7985" s="18">
        <v>41708.29</v>
      </c>
      <c r="G7985" s="18">
        <v>131700</v>
      </c>
      <c r="H7985" s="18">
        <f t="shared" si="178"/>
        <v>41538.29</v>
      </c>
      <c r="I7985" s="3"/>
    </row>
    <row r="7986" spans="1:9" s="4" customFormat="1" ht="20.25" customHeight="1" x14ac:dyDescent="0.55000000000000004">
      <c r="A7986" s="18">
        <v>24.734026199999999</v>
      </c>
      <c r="B7986" s="18">
        <v>34.786102800000002</v>
      </c>
      <c r="C7986" s="18">
        <v>680640.32</v>
      </c>
      <c r="D7986" s="18">
        <v>2736675.68</v>
      </c>
      <c r="E7986" s="18">
        <v>381.02</v>
      </c>
      <c r="F7986" s="18">
        <v>41711.64</v>
      </c>
      <c r="G7986" s="18">
        <v>131702</v>
      </c>
      <c r="H7986" s="18">
        <f t="shared" si="178"/>
        <v>41541.64</v>
      </c>
      <c r="I7986" s="3"/>
    </row>
    <row r="7987" spans="1:9" s="4" customFormat="1" ht="20.25" customHeight="1" x14ac:dyDescent="0.55000000000000004">
      <c r="A7987" s="18">
        <v>24.734026400000001</v>
      </c>
      <c r="B7987" s="18">
        <v>34.786124700000002</v>
      </c>
      <c r="C7987" s="18">
        <v>680642.54</v>
      </c>
      <c r="D7987" s="18">
        <v>2736675.74</v>
      </c>
      <c r="E7987" s="18">
        <v>381.28</v>
      </c>
      <c r="F7987" s="18">
        <v>41710.75</v>
      </c>
      <c r="G7987" s="18">
        <v>131704</v>
      </c>
      <c r="H7987" s="18">
        <f t="shared" si="178"/>
        <v>41540.75</v>
      </c>
      <c r="I7987" s="3"/>
    </row>
    <row r="7988" spans="1:9" s="4" customFormat="1" ht="20.25" customHeight="1" x14ac:dyDescent="0.55000000000000004">
      <c r="A7988" s="18">
        <v>24.734023700000002</v>
      </c>
      <c r="B7988" s="18">
        <v>34.786146100000003</v>
      </c>
      <c r="C7988" s="18">
        <v>680644.71</v>
      </c>
      <c r="D7988" s="18">
        <v>2736675.47</v>
      </c>
      <c r="E7988" s="18">
        <v>381.4</v>
      </c>
      <c r="F7988" s="18">
        <v>41706.93</v>
      </c>
      <c r="G7988" s="18">
        <v>131706</v>
      </c>
      <c r="H7988" s="18">
        <f t="shared" si="178"/>
        <v>41536.93</v>
      </c>
      <c r="I7988" s="3"/>
    </row>
    <row r="7989" spans="1:9" s="4" customFormat="1" ht="20.25" customHeight="1" x14ac:dyDescent="0.55000000000000004">
      <c r="A7989" s="18">
        <v>24.734023700000002</v>
      </c>
      <c r="B7989" s="18">
        <v>34.786170800000001</v>
      </c>
      <c r="C7989" s="18">
        <v>680647.21</v>
      </c>
      <c r="D7989" s="18">
        <v>2736675.5</v>
      </c>
      <c r="E7989" s="18">
        <v>381.54</v>
      </c>
      <c r="F7989" s="18">
        <v>41709.18</v>
      </c>
      <c r="G7989" s="18">
        <v>131708</v>
      </c>
      <c r="H7989" s="18">
        <f t="shared" si="178"/>
        <v>41539.18</v>
      </c>
      <c r="I7989" s="3"/>
    </row>
    <row r="7990" spans="1:9" s="4" customFormat="1" ht="20.25" customHeight="1" x14ac:dyDescent="0.55000000000000004">
      <c r="A7990" s="18">
        <v>24.734025800000001</v>
      </c>
      <c r="B7990" s="18">
        <v>34.786194000000002</v>
      </c>
      <c r="C7990" s="18">
        <v>680649.54</v>
      </c>
      <c r="D7990" s="18">
        <v>2736675.76</v>
      </c>
      <c r="E7990" s="18">
        <v>381.84</v>
      </c>
      <c r="F7990" s="18">
        <v>41710.019999999997</v>
      </c>
      <c r="G7990" s="18">
        <v>131710</v>
      </c>
      <c r="H7990" s="18">
        <f t="shared" si="178"/>
        <v>41540.019999999997</v>
      </c>
      <c r="I7990" s="3"/>
    </row>
    <row r="7991" spans="1:9" s="4" customFormat="1" ht="20.25" customHeight="1" x14ac:dyDescent="0.55000000000000004">
      <c r="A7991" s="18">
        <v>24.734026499999999</v>
      </c>
      <c r="B7991" s="18">
        <v>34.786217499999999</v>
      </c>
      <c r="C7991" s="18">
        <v>680651.92</v>
      </c>
      <c r="D7991" s="18">
        <v>2736675.87</v>
      </c>
      <c r="E7991" s="18">
        <v>382.16</v>
      </c>
      <c r="F7991" s="18">
        <v>41708.639999999999</v>
      </c>
      <c r="G7991" s="18">
        <v>131712</v>
      </c>
      <c r="H7991" s="18">
        <f t="shared" si="178"/>
        <v>41538.639999999999</v>
      </c>
      <c r="I7991" s="3"/>
    </row>
    <row r="7992" spans="1:9" s="4" customFormat="1" ht="20.25" customHeight="1" x14ac:dyDescent="0.55000000000000004">
      <c r="A7992" s="18">
        <v>24.7340263</v>
      </c>
      <c r="B7992" s="18">
        <v>34.786239700000003</v>
      </c>
      <c r="C7992" s="18">
        <v>680654.17</v>
      </c>
      <c r="D7992" s="18">
        <v>2736675.88</v>
      </c>
      <c r="E7992" s="18">
        <v>382.4</v>
      </c>
      <c r="F7992" s="18">
        <v>41709.599999999999</v>
      </c>
      <c r="G7992" s="18">
        <v>131714</v>
      </c>
      <c r="H7992" s="18">
        <f t="shared" si="178"/>
        <v>41539.599999999999</v>
      </c>
      <c r="I7992" s="3"/>
    </row>
    <row r="7993" spans="1:9" s="4" customFormat="1" ht="20.25" customHeight="1" x14ac:dyDescent="0.55000000000000004">
      <c r="A7993" s="18">
        <v>24.734025800000001</v>
      </c>
      <c r="B7993" s="18">
        <v>34.786263599999998</v>
      </c>
      <c r="C7993" s="18">
        <v>680656.59</v>
      </c>
      <c r="D7993" s="18">
        <v>2736675.86</v>
      </c>
      <c r="E7993" s="18">
        <v>382.69</v>
      </c>
      <c r="F7993" s="18">
        <v>41709.980000000003</v>
      </c>
      <c r="G7993" s="18">
        <v>131716</v>
      </c>
      <c r="H7993" s="18">
        <f t="shared" si="178"/>
        <v>41539.980000000003</v>
      </c>
      <c r="I7993" s="3"/>
    </row>
    <row r="7994" spans="1:9" s="4" customFormat="1" ht="20.25" customHeight="1" x14ac:dyDescent="0.55000000000000004">
      <c r="A7994" s="18">
        <v>24.734022100000001</v>
      </c>
      <c r="B7994" s="18">
        <v>34.786287000000002</v>
      </c>
      <c r="C7994" s="18">
        <v>680658.96</v>
      </c>
      <c r="D7994" s="18">
        <v>2736675.48</v>
      </c>
      <c r="E7994" s="18">
        <v>382.9</v>
      </c>
      <c r="F7994" s="18">
        <v>41710.49</v>
      </c>
      <c r="G7994" s="18">
        <v>131718</v>
      </c>
      <c r="H7994" s="18">
        <f t="shared" si="178"/>
        <v>41540.49</v>
      </c>
      <c r="I7994" s="3"/>
    </row>
    <row r="7995" spans="1:9" s="4" customFormat="1" ht="20.25" customHeight="1" x14ac:dyDescent="0.55000000000000004">
      <c r="A7995" s="18">
        <v>24.734015400000001</v>
      </c>
      <c r="B7995" s="18">
        <v>34.786310399999998</v>
      </c>
      <c r="C7995" s="18">
        <v>680661.34</v>
      </c>
      <c r="D7995" s="18">
        <v>2736674.76</v>
      </c>
      <c r="E7995" s="18">
        <v>382.95</v>
      </c>
      <c r="F7995" s="18">
        <v>41707.96</v>
      </c>
      <c r="G7995" s="18">
        <v>131720</v>
      </c>
      <c r="H7995" s="18">
        <f t="shared" si="178"/>
        <v>41537.96</v>
      </c>
      <c r="I7995" s="3"/>
    </row>
    <row r="7996" spans="1:9" s="4" customFormat="1" ht="20.25" customHeight="1" x14ac:dyDescent="0.55000000000000004">
      <c r="A7996" s="18">
        <v>24.734011899999999</v>
      </c>
      <c r="B7996" s="18">
        <v>34.786334699999998</v>
      </c>
      <c r="C7996" s="18">
        <v>680663.8</v>
      </c>
      <c r="D7996" s="18">
        <v>2736674.4</v>
      </c>
      <c r="E7996" s="18">
        <v>383.24</v>
      </c>
      <c r="F7996" s="18">
        <v>41705.699999999997</v>
      </c>
      <c r="G7996" s="18">
        <v>131722</v>
      </c>
      <c r="H7996" s="18">
        <f t="shared" si="178"/>
        <v>41535.699999999997</v>
      </c>
      <c r="I7996" s="3"/>
    </row>
    <row r="7997" spans="1:9" s="4" customFormat="1" ht="20.25" customHeight="1" x14ac:dyDescent="0.55000000000000004">
      <c r="A7997" s="18">
        <v>24.734007900000002</v>
      </c>
      <c r="B7997" s="18">
        <v>34.786358</v>
      </c>
      <c r="C7997" s="18">
        <v>680666.17</v>
      </c>
      <c r="D7997" s="18">
        <v>2736673.99</v>
      </c>
      <c r="E7997" s="18">
        <v>383.57</v>
      </c>
      <c r="F7997" s="18">
        <v>41707.870000000003</v>
      </c>
      <c r="G7997" s="18">
        <v>131724</v>
      </c>
      <c r="H7997" s="18">
        <f t="shared" si="178"/>
        <v>41537.870000000003</v>
      </c>
      <c r="I7997" s="3"/>
    </row>
    <row r="7998" spans="1:9" s="4" customFormat="1" ht="20.25" customHeight="1" x14ac:dyDescent="0.55000000000000004">
      <c r="A7998" s="18">
        <v>24.7340026</v>
      </c>
      <c r="B7998" s="18">
        <v>34.786380800000003</v>
      </c>
      <c r="C7998" s="18">
        <v>680668.48</v>
      </c>
      <c r="D7998" s="18">
        <v>2736673.44</v>
      </c>
      <c r="E7998" s="18">
        <v>383.77</v>
      </c>
      <c r="F7998" s="18">
        <v>41708.53</v>
      </c>
      <c r="G7998" s="18">
        <v>131726</v>
      </c>
      <c r="H7998" s="18">
        <f t="shared" si="178"/>
        <v>41538.53</v>
      </c>
      <c r="I7998" s="3"/>
    </row>
    <row r="7999" spans="1:9" s="4" customFormat="1" ht="20.25" customHeight="1" x14ac:dyDescent="0.55000000000000004">
      <c r="A7999" s="18">
        <v>24.733996699999999</v>
      </c>
      <c r="B7999" s="18">
        <v>34.786403700000001</v>
      </c>
      <c r="C7999" s="18">
        <v>680670.8</v>
      </c>
      <c r="D7999" s="18">
        <v>2736672.82</v>
      </c>
      <c r="E7999" s="18">
        <v>384.05</v>
      </c>
      <c r="F7999" s="18">
        <v>41708.589999999997</v>
      </c>
      <c r="G7999" s="18">
        <v>131728</v>
      </c>
      <c r="H7999" s="18">
        <f t="shared" si="178"/>
        <v>41538.589999999997</v>
      </c>
      <c r="I7999" s="3"/>
    </row>
    <row r="8000" spans="1:9" s="4" customFormat="1" ht="20.25" customHeight="1" x14ac:dyDescent="0.55000000000000004">
      <c r="A8000" s="18">
        <v>24.733995100000001</v>
      </c>
      <c r="B8000" s="18">
        <v>34.786427500000002</v>
      </c>
      <c r="C8000" s="18">
        <v>680673.22</v>
      </c>
      <c r="D8000" s="18">
        <v>2736672.68</v>
      </c>
      <c r="E8000" s="18">
        <v>384.32</v>
      </c>
      <c r="F8000" s="18">
        <v>41706.97</v>
      </c>
      <c r="G8000" s="18">
        <v>131730</v>
      </c>
      <c r="H8000" s="18">
        <f t="shared" si="178"/>
        <v>41536.97</v>
      </c>
      <c r="I8000" s="3"/>
    </row>
    <row r="8001" spans="1:9" s="4" customFormat="1" ht="20.25" customHeight="1" x14ac:dyDescent="0.55000000000000004">
      <c r="A8001" s="18">
        <v>24.733990899999998</v>
      </c>
      <c r="B8001" s="18">
        <v>34.786450000000002</v>
      </c>
      <c r="C8001" s="18">
        <v>680675.49</v>
      </c>
      <c r="D8001" s="18">
        <v>2736672.24</v>
      </c>
      <c r="E8001" s="18">
        <v>384.53</v>
      </c>
      <c r="F8001" s="18">
        <v>41706.160000000003</v>
      </c>
      <c r="G8001" s="18">
        <v>131732</v>
      </c>
      <c r="H8001" s="18">
        <f t="shared" si="178"/>
        <v>41536.160000000003</v>
      </c>
      <c r="I8001" s="3"/>
    </row>
    <row r="8002" spans="1:9" s="4" customFormat="1" ht="20.25" customHeight="1" x14ac:dyDescent="0.55000000000000004">
      <c r="A8002" s="18">
        <v>24.733989000000001</v>
      </c>
      <c r="B8002" s="18">
        <v>34.786472000000003</v>
      </c>
      <c r="C8002" s="18">
        <v>680677.72</v>
      </c>
      <c r="D8002" s="18">
        <v>2736672.05</v>
      </c>
      <c r="E8002" s="18">
        <v>384.86</v>
      </c>
      <c r="F8002" s="18">
        <v>41706.080000000002</v>
      </c>
      <c r="G8002" s="18">
        <v>131734</v>
      </c>
      <c r="H8002" s="18">
        <f t="shared" si="178"/>
        <v>41536.080000000002</v>
      </c>
      <c r="I8002" s="3"/>
    </row>
    <row r="8003" spans="1:9" s="4" customFormat="1" ht="20.25" customHeight="1" x14ac:dyDescent="0.55000000000000004">
      <c r="A8003" s="18">
        <v>24.733985300000001</v>
      </c>
      <c r="B8003" s="18">
        <v>34.786492600000003</v>
      </c>
      <c r="C8003" s="18">
        <v>680679.81</v>
      </c>
      <c r="D8003" s="18">
        <v>2736671.67</v>
      </c>
      <c r="E8003" s="18">
        <v>385.12</v>
      </c>
      <c r="F8003" s="18">
        <v>41705.94</v>
      </c>
      <c r="G8003" s="18">
        <v>131736</v>
      </c>
      <c r="H8003" s="18">
        <f t="shared" si="178"/>
        <v>41535.94</v>
      </c>
      <c r="I8003" s="3"/>
    </row>
    <row r="8004" spans="1:9" s="4" customFormat="1" ht="20.25" customHeight="1" x14ac:dyDescent="0.55000000000000004">
      <c r="A8004" s="18">
        <v>24.7339801</v>
      </c>
      <c r="B8004" s="18">
        <v>34.786515100000003</v>
      </c>
      <c r="C8004" s="18">
        <v>680682.09</v>
      </c>
      <c r="D8004" s="18">
        <v>2736671.13</v>
      </c>
      <c r="E8004" s="18">
        <v>385.32</v>
      </c>
      <c r="F8004" s="18">
        <v>41708.54</v>
      </c>
      <c r="G8004" s="18">
        <v>131738</v>
      </c>
      <c r="H8004" s="18">
        <f t="shared" si="178"/>
        <v>41538.54</v>
      </c>
      <c r="I8004" s="3"/>
    </row>
    <row r="8005" spans="1:9" s="4" customFormat="1" ht="20.25" customHeight="1" x14ac:dyDescent="0.55000000000000004">
      <c r="A8005" s="18">
        <v>24.7339758</v>
      </c>
      <c r="B8005" s="18">
        <v>34.786534000000003</v>
      </c>
      <c r="C8005" s="18">
        <v>680684.02</v>
      </c>
      <c r="D8005" s="18">
        <v>2736670.68</v>
      </c>
      <c r="E8005" s="18">
        <v>385.79</v>
      </c>
      <c r="F8005" s="18">
        <v>41708.31</v>
      </c>
      <c r="G8005" s="18">
        <v>131740</v>
      </c>
      <c r="H8005" s="18">
        <f t="shared" si="178"/>
        <v>41538.31</v>
      </c>
      <c r="I8005" s="3"/>
    </row>
    <row r="8006" spans="1:9" s="4" customFormat="1" ht="20.25" customHeight="1" x14ac:dyDescent="0.55000000000000004">
      <c r="A8006" s="18">
        <v>24.733977700000001</v>
      </c>
      <c r="B8006" s="18">
        <v>34.786552999999998</v>
      </c>
      <c r="C8006" s="18">
        <v>680685.94</v>
      </c>
      <c r="D8006" s="18">
        <v>2736670.91</v>
      </c>
      <c r="E8006" s="18">
        <v>386.02</v>
      </c>
      <c r="F8006" s="18">
        <v>41706.17</v>
      </c>
      <c r="G8006" s="18">
        <v>131742</v>
      </c>
      <c r="H8006" s="18">
        <f t="shared" si="178"/>
        <v>41536.17</v>
      </c>
      <c r="I8006" s="3"/>
    </row>
    <row r="8007" spans="1:9" s="4" customFormat="1" ht="20.25" customHeight="1" x14ac:dyDescent="0.55000000000000004">
      <c r="A8007" s="18">
        <v>24.733977599999999</v>
      </c>
      <c r="B8007" s="18">
        <v>34.786573500000003</v>
      </c>
      <c r="C8007" s="18">
        <v>680688</v>
      </c>
      <c r="D8007" s="18">
        <v>2736670.92</v>
      </c>
      <c r="E8007" s="18">
        <v>386.29</v>
      </c>
      <c r="F8007" s="18">
        <v>41709.480000000003</v>
      </c>
      <c r="G8007" s="18">
        <v>131744</v>
      </c>
      <c r="H8007" s="18">
        <f t="shared" si="178"/>
        <v>41539.480000000003</v>
      </c>
      <c r="I8007" s="3"/>
    </row>
    <row r="8008" spans="1:9" s="4" customFormat="1" ht="20.25" customHeight="1" x14ac:dyDescent="0.55000000000000004">
      <c r="A8008" s="18">
        <v>24.733973299999999</v>
      </c>
      <c r="B8008" s="18">
        <v>34.7865927</v>
      </c>
      <c r="C8008" s="18">
        <v>680689.96</v>
      </c>
      <c r="D8008" s="18">
        <v>2736670.48</v>
      </c>
      <c r="E8008" s="18">
        <v>386.64</v>
      </c>
      <c r="F8008" s="18">
        <v>41708.26</v>
      </c>
      <c r="G8008" s="18">
        <v>131746</v>
      </c>
      <c r="H8008" s="18">
        <f t="shared" si="178"/>
        <v>41538.26</v>
      </c>
      <c r="I8008" s="3"/>
    </row>
    <row r="8009" spans="1:9" s="4" customFormat="1" ht="20.25" customHeight="1" x14ac:dyDescent="0.55000000000000004">
      <c r="A8009" s="18">
        <v>24.733972000000001</v>
      </c>
      <c r="B8009" s="18">
        <v>34.786610600000003</v>
      </c>
      <c r="C8009" s="18">
        <v>680691.76</v>
      </c>
      <c r="D8009" s="18">
        <v>2736670.36</v>
      </c>
      <c r="E8009" s="18">
        <v>386.91</v>
      </c>
      <c r="F8009" s="18">
        <v>41704.82</v>
      </c>
      <c r="G8009" s="18">
        <v>131748</v>
      </c>
      <c r="H8009" s="18">
        <f t="shared" si="178"/>
        <v>41534.82</v>
      </c>
      <c r="I8009" s="3"/>
    </row>
    <row r="8010" spans="1:9" s="4" customFormat="1" ht="20.25" customHeight="1" x14ac:dyDescent="0.55000000000000004">
      <c r="A8010" s="18">
        <v>24.7339673</v>
      </c>
      <c r="B8010" s="18">
        <v>34.786609900000002</v>
      </c>
      <c r="C8010" s="18">
        <v>680691.71</v>
      </c>
      <c r="D8010" s="18">
        <v>2736669.83</v>
      </c>
      <c r="E8010" s="18">
        <v>386.91</v>
      </c>
      <c r="F8010" s="18">
        <v>41706.85</v>
      </c>
      <c r="G8010" s="18">
        <v>131750</v>
      </c>
      <c r="H8010" s="18">
        <f t="shared" si="178"/>
        <v>41536.85</v>
      </c>
      <c r="I8010" s="3"/>
    </row>
    <row r="8011" spans="1:9" s="4" customFormat="1" ht="20.25" customHeight="1" x14ac:dyDescent="0.55000000000000004">
      <c r="A8011" s="18">
        <v>24.733970200000002</v>
      </c>
      <c r="B8011" s="18">
        <v>34.786609300000002</v>
      </c>
      <c r="C8011" s="18">
        <v>680691.64</v>
      </c>
      <c r="D8011" s="18">
        <v>2736670.15</v>
      </c>
      <c r="E8011" s="18">
        <v>386.92</v>
      </c>
      <c r="F8011" s="18">
        <v>41707.769999999997</v>
      </c>
      <c r="G8011" s="18">
        <v>131752</v>
      </c>
      <c r="H8011" s="18">
        <f t="shared" si="178"/>
        <v>41537.769999999997</v>
      </c>
      <c r="I8011" s="3"/>
    </row>
    <row r="8012" spans="1:9" s="4" customFormat="1" ht="20.25" customHeight="1" x14ac:dyDescent="0.55000000000000004">
      <c r="A8012" s="18">
        <v>24.733969800000001</v>
      </c>
      <c r="B8012" s="18">
        <v>34.786608700000002</v>
      </c>
      <c r="C8012" s="18">
        <v>680691.58</v>
      </c>
      <c r="D8012" s="18">
        <v>2736670.1</v>
      </c>
      <c r="E8012" s="18">
        <v>386.91</v>
      </c>
      <c r="F8012" s="18">
        <v>41706.800000000003</v>
      </c>
      <c r="G8012" s="18">
        <v>131754</v>
      </c>
      <c r="H8012" s="18">
        <f t="shared" si="178"/>
        <v>41536.800000000003</v>
      </c>
      <c r="I8012" s="3"/>
    </row>
    <row r="8013" spans="1:9" s="4" customFormat="1" ht="20.25" customHeight="1" x14ac:dyDescent="0.55000000000000004">
      <c r="A8013" s="18">
        <v>24.733969200000001</v>
      </c>
      <c r="B8013" s="18">
        <v>34.7866085</v>
      </c>
      <c r="C8013" s="18">
        <v>680691.56</v>
      </c>
      <c r="D8013" s="18">
        <v>2736670.05</v>
      </c>
      <c r="E8013" s="18">
        <v>386.9</v>
      </c>
      <c r="F8013" s="18">
        <v>41706.589999999997</v>
      </c>
      <c r="G8013" s="18">
        <v>131756</v>
      </c>
      <c r="H8013" s="18">
        <f t="shared" si="178"/>
        <v>41536.589999999997</v>
      </c>
      <c r="I8013" s="3"/>
    </row>
    <row r="8014" spans="1:9" s="4" customFormat="1" ht="20.25" customHeight="1" x14ac:dyDescent="0.55000000000000004">
      <c r="A8014" s="18">
        <v>24.7339707</v>
      </c>
      <c r="B8014" s="18">
        <v>34.786611399999998</v>
      </c>
      <c r="C8014" s="18">
        <v>680691.85</v>
      </c>
      <c r="D8014" s="18">
        <v>2736670.21</v>
      </c>
      <c r="E8014" s="18">
        <v>386.88</v>
      </c>
      <c r="F8014" s="18">
        <v>41709.03</v>
      </c>
      <c r="G8014" s="18">
        <v>131758</v>
      </c>
      <c r="H8014" s="18">
        <f t="shared" si="178"/>
        <v>41539.03</v>
      </c>
      <c r="I8014" s="3"/>
    </row>
    <row r="8015" spans="1:9" s="4" customFormat="1" ht="20.25" customHeight="1" x14ac:dyDescent="0.55000000000000004">
      <c r="A8015" s="18">
        <v>24.733970299999999</v>
      </c>
      <c r="B8015" s="18">
        <v>34.786630700000003</v>
      </c>
      <c r="C8015" s="18">
        <v>680693.8</v>
      </c>
      <c r="D8015" s="18">
        <v>2736670.19</v>
      </c>
      <c r="E8015" s="18">
        <v>386.99</v>
      </c>
      <c r="F8015" s="18">
        <v>41706.400000000001</v>
      </c>
      <c r="G8015" s="18">
        <v>131800</v>
      </c>
      <c r="H8015" s="18">
        <f t="shared" si="178"/>
        <v>41536.400000000001</v>
      </c>
      <c r="I8015" s="3"/>
    </row>
    <row r="8016" spans="1:9" s="4" customFormat="1" ht="20.25" customHeight="1" x14ac:dyDescent="0.55000000000000004">
      <c r="A8016" s="18">
        <v>24.733967700000001</v>
      </c>
      <c r="B8016" s="18">
        <v>34.786648100000001</v>
      </c>
      <c r="C8016" s="18">
        <v>680695.57</v>
      </c>
      <c r="D8016" s="18">
        <v>2736669.93</v>
      </c>
      <c r="E8016" s="18">
        <v>387.36</v>
      </c>
      <c r="F8016" s="18">
        <v>41706.54</v>
      </c>
      <c r="G8016" s="18">
        <v>131802</v>
      </c>
      <c r="H8016" s="18">
        <f t="shared" si="178"/>
        <v>41536.54</v>
      </c>
      <c r="I8016" s="3"/>
    </row>
    <row r="8017" spans="1:9" s="4" customFormat="1" ht="20.25" customHeight="1" x14ac:dyDescent="0.55000000000000004">
      <c r="A8017" s="18">
        <v>24.733964499999999</v>
      </c>
      <c r="B8017" s="18">
        <v>34.786665800000002</v>
      </c>
      <c r="C8017" s="18">
        <v>680697.37</v>
      </c>
      <c r="D8017" s="18">
        <v>2736669.59</v>
      </c>
      <c r="E8017" s="18">
        <v>387.56</v>
      </c>
      <c r="F8017" s="18">
        <v>41706.410000000003</v>
      </c>
      <c r="G8017" s="18">
        <v>131804</v>
      </c>
      <c r="H8017" s="18">
        <f t="shared" si="178"/>
        <v>41536.410000000003</v>
      </c>
      <c r="I8017" s="3"/>
    </row>
    <row r="8018" spans="1:9" s="4" customFormat="1" ht="20.25" customHeight="1" x14ac:dyDescent="0.55000000000000004">
      <c r="A8018" s="18">
        <v>24.7339558</v>
      </c>
      <c r="B8018" s="18">
        <v>34.786682399999997</v>
      </c>
      <c r="C8018" s="18">
        <v>680699.05</v>
      </c>
      <c r="D8018" s="18">
        <v>2736668.66</v>
      </c>
      <c r="E8018" s="18">
        <v>387.72</v>
      </c>
      <c r="F8018" s="18">
        <v>41703.54</v>
      </c>
      <c r="G8018" s="18">
        <v>131806</v>
      </c>
      <c r="H8018" s="18">
        <f t="shared" si="178"/>
        <v>41533.54</v>
      </c>
      <c r="I8018" s="3"/>
    </row>
    <row r="8019" spans="1:9" s="4" customFormat="1" ht="20.25" customHeight="1" x14ac:dyDescent="0.55000000000000004">
      <c r="A8019" s="18">
        <v>24.733948399999999</v>
      </c>
      <c r="B8019" s="18">
        <v>34.786701899999997</v>
      </c>
      <c r="C8019" s="18">
        <v>680701.04</v>
      </c>
      <c r="D8019" s="18">
        <v>2736667.86</v>
      </c>
      <c r="E8019" s="18">
        <v>387.77</v>
      </c>
      <c r="F8019" s="18">
        <v>41704.35</v>
      </c>
      <c r="G8019" s="18">
        <v>131808</v>
      </c>
      <c r="H8019" s="18">
        <f t="shared" si="178"/>
        <v>41534.35</v>
      </c>
      <c r="I8019" s="3"/>
    </row>
    <row r="8020" spans="1:9" s="4" customFormat="1" ht="20.25" customHeight="1" x14ac:dyDescent="0.55000000000000004">
      <c r="A8020" s="18">
        <v>24.7339421</v>
      </c>
      <c r="B8020" s="18">
        <v>34.786722699999999</v>
      </c>
      <c r="C8020" s="18">
        <v>680703.15</v>
      </c>
      <c r="D8020" s="18">
        <v>2736667.19</v>
      </c>
      <c r="E8020" s="18">
        <v>387.48</v>
      </c>
      <c r="F8020" s="18">
        <v>41706.85</v>
      </c>
      <c r="G8020" s="18">
        <v>131810</v>
      </c>
      <c r="H8020" s="18">
        <f t="shared" ref="H8020:H8083" si="179">SUM(F8020-170)</f>
        <v>41536.85</v>
      </c>
      <c r="I8020" s="3"/>
    </row>
    <row r="8021" spans="1:9" s="4" customFormat="1" ht="20.25" customHeight="1" x14ac:dyDescent="0.55000000000000004">
      <c r="A8021" s="18">
        <v>24.733928599999999</v>
      </c>
      <c r="B8021" s="18">
        <v>34.786739099999998</v>
      </c>
      <c r="C8021" s="18">
        <v>680704.83</v>
      </c>
      <c r="D8021" s="18">
        <v>2736665.71</v>
      </c>
      <c r="E8021" s="18">
        <v>387.19</v>
      </c>
      <c r="F8021" s="18">
        <v>41707.599999999999</v>
      </c>
      <c r="G8021" s="18">
        <v>131812</v>
      </c>
      <c r="H8021" s="18">
        <f t="shared" si="179"/>
        <v>41537.599999999999</v>
      </c>
      <c r="I8021" s="3"/>
    </row>
    <row r="8022" spans="1:9" s="4" customFormat="1" ht="20.25" customHeight="1" x14ac:dyDescent="0.55000000000000004">
      <c r="A8022" s="18">
        <v>24.7339123</v>
      </c>
      <c r="B8022" s="18">
        <v>34.786749</v>
      </c>
      <c r="C8022" s="18">
        <v>680705.85</v>
      </c>
      <c r="D8022" s="18">
        <v>2736663.93</v>
      </c>
      <c r="E8022" s="18">
        <v>386.86</v>
      </c>
      <c r="F8022" s="18">
        <v>41702.39</v>
      </c>
      <c r="G8022" s="18">
        <v>131814</v>
      </c>
      <c r="H8022" s="18">
        <f t="shared" si="179"/>
        <v>41532.39</v>
      </c>
      <c r="I8022" s="3"/>
    </row>
    <row r="8023" spans="1:9" s="4" customFormat="1" ht="20.25" customHeight="1" x14ac:dyDescent="0.55000000000000004">
      <c r="A8023" s="18">
        <v>24.733902700000002</v>
      </c>
      <c r="B8023" s="18">
        <v>34.786765699999997</v>
      </c>
      <c r="C8023" s="18">
        <v>680707.56</v>
      </c>
      <c r="D8023" s="18">
        <v>2736662.88</v>
      </c>
      <c r="E8023" s="18">
        <v>386.49</v>
      </c>
      <c r="F8023" s="18">
        <v>41702.86</v>
      </c>
      <c r="G8023" s="18">
        <v>131816</v>
      </c>
      <c r="H8023" s="18">
        <f t="shared" si="179"/>
        <v>41532.86</v>
      </c>
      <c r="I8023" s="3"/>
    </row>
    <row r="8024" spans="1:9" s="4" customFormat="1" ht="20.25" customHeight="1" x14ac:dyDescent="0.55000000000000004">
      <c r="A8024" s="18">
        <v>24.733895100000002</v>
      </c>
      <c r="B8024" s="18">
        <v>34.786786599999999</v>
      </c>
      <c r="C8024" s="18">
        <v>680709.68</v>
      </c>
      <c r="D8024" s="18">
        <v>2736662.07</v>
      </c>
      <c r="E8024" s="18">
        <v>386.26</v>
      </c>
      <c r="F8024" s="18">
        <v>41703.440000000002</v>
      </c>
      <c r="G8024" s="18">
        <v>131818</v>
      </c>
      <c r="H8024" s="18">
        <f t="shared" si="179"/>
        <v>41533.440000000002</v>
      </c>
      <c r="I8024" s="3"/>
    </row>
    <row r="8025" spans="1:9" s="4" customFormat="1" ht="20.25" customHeight="1" x14ac:dyDescent="0.55000000000000004">
      <c r="A8025" s="18">
        <v>24.733882600000001</v>
      </c>
      <c r="B8025" s="18">
        <v>34.786799000000002</v>
      </c>
      <c r="C8025" s="18">
        <v>680710.96</v>
      </c>
      <c r="D8025" s="18">
        <v>2736660.7</v>
      </c>
      <c r="E8025" s="18">
        <v>385.93</v>
      </c>
      <c r="F8025" s="18">
        <v>41703.519999999997</v>
      </c>
      <c r="G8025" s="18">
        <v>131820</v>
      </c>
      <c r="H8025" s="18">
        <f t="shared" si="179"/>
        <v>41533.519999999997</v>
      </c>
      <c r="I8025" s="3"/>
    </row>
    <row r="8026" spans="1:9" s="4" customFormat="1" ht="20.25" customHeight="1" x14ac:dyDescent="0.55000000000000004">
      <c r="A8026" s="18">
        <v>24.733871300000001</v>
      </c>
      <c r="B8026" s="18">
        <v>34.786811499999999</v>
      </c>
      <c r="C8026" s="18">
        <v>680712.23</v>
      </c>
      <c r="D8026" s="18">
        <v>2736659.47</v>
      </c>
      <c r="E8026" s="18">
        <v>385.7</v>
      </c>
      <c r="F8026" s="18">
        <v>41703.61</v>
      </c>
      <c r="G8026" s="18">
        <v>131822</v>
      </c>
      <c r="H8026" s="18">
        <f t="shared" si="179"/>
        <v>41533.61</v>
      </c>
      <c r="I8026" s="3"/>
    </row>
    <row r="8027" spans="1:9" s="4" customFormat="1" ht="20.25" customHeight="1" x14ac:dyDescent="0.55000000000000004">
      <c r="A8027" s="18">
        <v>24.7338591</v>
      </c>
      <c r="B8027" s="18">
        <v>34.786823699999999</v>
      </c>
      <c r="C8027" s="18">
        <v>680713.49</v>
      </c>
      <c r="D8027" s="18">
        <v>2736658.13</v>
      </c>
      <c r="E8027" s="18">
        <v>385.61</v>
      </c>
      <c r="F8027" s="18">
        <v>41701.629999999997</v>
      </c>
      <c r="G8027" s="18">
        <v>131824</v>
      </c>
      <c r="H8027" s="18">
        <f t="shared" si="179"/>
        <v>41531.629999999997</v>
      </c>
      <c r="I8027" s="3"/>
    </row>
    <row r="8028" spans="1:9" s="4" customFormat="1" ht="20.25" customHeight="1" x14ac:dyDescent="0.55000000000000004">
      <c r="A8028" s="18">
        <v>24.7338491</v>
      </c>
      <c r="B8028" s="18">
        <v>34.786840599999998</v>
      </c>
      <c r="C8028" s="18">
        <v>680715.21</v>
      </c>
      <c r="D8028" s="18">
        <v>2736657.05</v>
      </c>
      <c r="E8028" s="18">
        <v>385.2</v>
      </c>
      <c r="F8028" s="18">
        <v>41706.28</v>
      </c>
      <c r="G8028" s="18">
        <v>131826</v>
      </c>
      <c r="H8028" s="18">
        <f t="shared" si="179"/>
        <v>41536.28</v>
      </c>
      <c r="I8028" s="3"/>
    </row>
    <row r="8029" spans="1:9" s="4" customFormat="1" ht="20.25" customHeight="1" x14ac:dyDescent="0.55000000000000004">
      <c r="A8029" s="18">
        <v>24.733834600000002</v>
      </c>
      <c r="B8029" s="18">
        <v>34.786858000000002</v>
      </c>
      <c r="C8029" s="18">
        <v>680717</v>
      </c>
      <c r="D8029" s="18">
        <v>2736655.46</v>
      </c>
      <c r="E8029" s="18">
        <v>384.91</v>
      </c>
      <c r="F8029" s="18">
        <v>41702.44</v>
      </c>
      <c r="G8029" s="18">
        <v>131828</v>
      </c>
      <c r="H8029" s="18">
        <f t="shared" si="179"/>
        <v>41532.44</v>
      </c>
      <c r="I8029" s="3"/>
    </row>
    <row r="8030" spans="1:9" s="4" customFormat="1" ht="20.25" customHeight="1" x14ac:dyDescent="0.55000000000000004">
      <c r="A8030" s="18">
        <v>24.733820300000001</v>
      </c>
      <c r="B8030" s="18">
        <v>34.786876700000001</v>
      </c>
      <c r="C8030" s="18">
        <v>680718.91</v>
      </c>
      <c r="D8030" s="18">
        <v>2736653.9</v>
      </c>
      <c r="E8030" s="18">
        <v>384.94</v>
      </c>
      <c r="F8030" s="18">
        <v>41700.53</v>
      </c>
      <c r="G8030" s="18">
        <v>131830</v>
      </c>
      <c r="H8030" s="18">
        <f t="shared" si="179"/>
        <v>41530.53</v>
      </c>
      <c r="I8030" s="3"/>
    </row>
    <row r="8031" spans="1:9" s="4" customFormat="1" ht="20.25" customHeight="1" x14ac:dyDescent="0.55000000000000004">
      <c r="A8031" s="18">
        <v>24.733811800000002</v>
      </c>
      <c r="B8031" s="18">
        <v>34.786895299999998</v>
      </c>
      <c r="C8031" s="18">
        <v>680720.8</v>
      </c>
      <c r="D8031" s="18">
        <v>2736652.99</v>
      </c>
      <c r="E8031" s="18">
        <v>384.66</v>
      </c>
      <c r="F8031" s="18">
        <v>41704.720000000001</v>
      </c>
      <c r="G8031" s="18">
        <v>131832</v>
      </c>
      <c r="H8031" s="18">
        <f t="shared" si="179"/>
        <v>41534.720000000001</v>
      </c>
      <c r="I8031" s="3"/>
    </row>
    <row r="8032" spans="1:9" s="4" customFormat="1" ht="20.25" customHeight="1" x14ac:dyDescent="0.55000000000000004">
      <c r="A8032" s="18">
        <v>24.7338001</v>
      </c>
      <c r="B8032" s="18">
        <v>34.786915700000002</v>
      </c>
      <c r="C8032" s="18">
        <v>680722.88</v>
      </c>
      <c r="D8032" s="18">
        <v>2736651.72</v>
      </c>
      <c r="E8032" s="18">
        <v>384.03</v>
      </c>
      <c r="F8032" s="18">
        <v>41704.550000000003</v>
      </c>
      <c r="G8032" s="18">
        <v>131834</v>
      </c>
      <c r="H8032" s="18">
        <f t="shared" si="179"/>
        <v>41534.550000000003</v>
      </c>
      <c r="I8032" s="3"/>
    </row>
    <row r="8033" spans="1:9" s="4" customFormat="1" ht="20.25" customHeight="1" x14ac:dyDescent="0.55000000000000004">
      <c r="A8033" s="18">
        <v>24.7337852</v>
      </c>
      <c r="B8033" s="18">
        <v>34.786929399999998</v>
      </c>
      <c r="C8033" s="18">
        <v>680724.28</v>
      </c>
      <c r="D8033" s="18">
        <v>2736650.09</v>
      </c>
      <c r="E8033" s="18">
        <v>384.2</v>
      </c>
      <c r="F8033" s="18">
        <v>41701.07</v>
      </c>
      <c r="G8033" s="18">
        <v>131836</v>
      </c>
      <c r="H8033" s="18">
        <f t="shared" si="179"/>
        <v>41531.07</v>
      </c>
      <c r="I8033" s="3"/>
    </row>
    <row r="8034" spans="1:9" s="4" customFormat="1" ht="20.25" customHeight="1" x14ac:dyDescent="0.55000000000000004">
      <c r="A8034" s="18">
        <v>24.733772500000001</v>
      </c>
      <c r="B8034" s="18">
        <v>34.786940999999999</v>
      </c>
      <c r="C8034" s="18">
        <v>680725.48</v>
      </c>
      <c r="D8034" s="18">
        <v>2736648.7</v>
      </c>
      <c r="E8034" s="18">
        <v>384.45</v>
      </c>
      <c r="F8034" s="18">
        <v>41699.230000000003</v>
      </c>
      <c r="G8034" s="18">
        <v>131838</v>
      </c>
      <c r="H8034" s="18">
        <f t="shared" si="179"/>
        <v>41529.230000000003</v>
      </c>
      <c r="I8034" s="3"/>
    </row>
    <row r="8035" spans="1:9" s="4" customFormat="1" ht="20.25" customHeight="1" x14ac:dyDescent="0.55000000000000004">
      <c r="A8035" s="18">
        <v>24.7337603</v>
      </c>
      <c r="B8035" s="18">
        <v>34.786951199999997</v>
      </c>
      <c r="C8035" s="18">
        <v>680726.53</v>
      </c>
      <c r="D8035" s="18">
        <v>2736647.36</v>
      </c>
      <c r="E8035" s="18">
        <v>384.47</v>
      </c>
      <c r="F8035" s="18">
        <v>41697.980000000003</v>
      </c>
      <c r="G8035" s="18">
        <v>131840</v>
      </c>
      <c r="H8035" s="18">
        <f t="shared" si="179"/>
        <v>41527.980000000003</v>
      </c>
      <c r="I8035" s="3"/>
    </row>
    <row r="8036" spans="1:9" s="4" customFormat="1" ht="20.25" customHeight="1" x14ac:dyDescent="0.55000000000000004">
      <c r="A8036" s="18">
        <v>24.7337442</v>
      </c>
      <c r="B8036" s="18">
        <v>34.786961099999999</v>
      </c>
      <c r="C8036" s="18">
        <v>680727.55</v>
      </c>
      <c r="D8036" s="18">
        <v>2736645.58</v>
      </c>
      <c r="E8036" s="18">
        <v>384.24</v>
      </c>
      <c r="F8036" s="18">
        <v>41699.699999999997</v>
      </c>
      <c r="G8036" s="18">
        <v>131842</v>
      </c>
      <c r="H8036" s="18">
        <f t="shared" si="179"/>
        <v>41529.699999999997</v>
      </c>
      <c r="I8036" s="3"/>
    </row>
    <row r="8037" spans="1:9" s="4" customFormat="1" ht="20.25" customHeight="1" x14ac:dyDescent="0.55000000000000004">
      <c r="A8037" s="18">
        <v>24.7337287</v>
      </c>
      <c r="B8037" s="18">
        <v>34.786969399999997</v>
      </c>
      <c r="C8037" s="18">
        <v>680728.42</v>
      </c>
      <c r="D8037" s="18">
        <v>2736643.88</v>
      </c>
      <c r="E8037" s="18">
        <v>384.02</v>
      </c>
      <c r="F8037" s="18">
        <v>41698.29</v>
      </c>
      <c r="G8037" s="18">
        <v>131844</v>
      </c>
      <c r="H8037" s="18">
        <f t="shared" si="179"/>
        <v>41528.29</v>
      </c>
      <c r="I8037" s="3"/>
    </row>
    <row r="8038" spans="1:9" s="4" customFormat="1" ht="20.25" customHeight="1" x14ac:dyDescent="0.55000000000000004">
      <c r="A8038" s="18">
        <v>24.733714200000001</v>
      </c>
      <c r="B8038" s="18">
        <v>34.7869831</v>
      </c>
      <c r="C8038" s="18">
        <v>680729.82</v>
      </c>
      <c r="D8038" s="18">
        <v>2736642.3</v>
      </c>
      <c r="E8038" s="18">
        <v>383.64</v>
      </c>
      <c r="F8038" s="18">
        <v>41698.22</v>
      </c>
      <c r="G8038" s="18">
        <v>131846</v>
      </c>
      <c r="H8038" s="18">
        <f t="shared" si="179"/>
        <v>41528.22</v>
      </c>
      <c r="I8038" s="3"/>
    </row>
    <row r="8039" spans="1:9" s="4" customFormat="1" ht="20.25" customHeight="1" x14ac:dyDescent="0.55000000000000004">
      <c r="A8039" s="18">
        <v>24.733697100000001</v>
      </c>
      <c r="B8039" s="18">
        <v>34.786997599999999</v>
      </c>
      <c r="C8039" s="18">
        <v>680731.32</v>
      </c>
      <c r="D8039" s="18">
        <v>2736640.42</v>
      </c>
      <c r="E8039" s="18">
        <v>383.48</v>
      </c>
      <c r="F8039" s="18">
        <v>41698.17</v>
      </c>
      <c r="G8039" s="18">
        <v>131848</v>
      </c>
      <c r="H8039" s="18">
        <f t="shared" si="179"/>
        <v>41528.17</v>
      </c>
      <c r="I8039" s="3"/>
    </row>
    <row r="8040" spans="1:9" s="4" customFormat="1" ht="20.25" customHeight="1" x14ac:dyDescent="0.55000000000000004">
      <c r="A8040" s="18">
        <v>24.733681799999999</v>
      </c>
      <c r="B8040" s="18">
        <v>34.787014399999997</v>
      </c>
      <c r="C8040" s="18">
        <v>680733.03</v>
      </c>
      <c r="D8040" s="18">
        <v>2736638.74</v>
      </c>
      <c r="E8040" s="18">
        <v>383.41</v>
      </c>
      <c r="F8040" s="18">
        <v>41699.300000000003</v>
      </c>
      <c r="G8040" s="18">
        <v>131850</v>
      </c>
      <c r="H8040" s="18">
        <f t="shared" si="179"/>
        <v>41529.300000000003</v>
      </c>
      <c r="I8040" s="3"/>
    </row>
    <row r="8041" spans="1:9" s="4" customFormat="1" ht="20.25" customHeight="1" x14ac:dyDescent="0.55000000000000004">
      <c r="A8041" s="18">
        <v>24.733668000000002</v>
      </c>
      <c r="B8041" s="18">
        <v>34.787030899999998</v>
      </c>
      <c r="C8041" s="18">
        <v>680734.73</v>
      </c>
      <c r="D8041" s="18">
        <v>2736637.24</v>
      </c>
      <c r="E8041" s="18">
        <v>383.08</v>
      </c>
      <c r="F8041" s="18">
        <v>41701.93</v>
      </c>
      <c r="G8041" s="18">
        <v>131852</v>
      </c>
      <c r="H8041" s="18">
        <f t="shared" si="179"/>
        <v>41531.93</v>
      </c>
      <c r="I8041" s="3"/>
    </row>
    <row r="8042" spans="1:9" s="4" customFormat="1" ht="20.25" customHeight="1" x14ac:dyDescent="0.55000000000000004">
      <c r="A8042" s="18">
        <v>24.733650399999998</v>
      </c>
      <c r="B8042" s="18">
        <v>34.787045999999997</v>
      </c>
      <c r="C8042" s="18">
        <v>680736.27</v>
      </c>
      <c r="D8042" s="18">
        <v>2736635.3</v>
      </c>
      <c r="E8042" s="18">
        <v>382.91</v>
      </c>
      <c r="F8042" s="18">
        <v>41702.269999999997</v>
      </c>
      <c r="G8042" s="18">
        <v>131854</v>
      </c>
      <c r="H8042" s="18">
        <f t="shared" si="179"/>
        <v>41532.269999999997</v>
      </c>
      <c r="I8042" s="3"/>
    </row>
    <row r="8043" spans="1:9" s="4" customFormat="1" ht="20.25" customHeight="1" x14ac:dyDescent="0.55000000000000004">
      <c r="A8043" s="18">
        <v>24.733633099999999</v>
      </c>
      <c r="B8043" s="18">
        <v>34.787058899999998</v>
      </c>
      <c r="C8043" s="18">
        <v>680737.61</v>
      </c>
      <c r="D8043" s="18">
        <v>2736633.41</v>
      </c>
      <c r="E8043" s="18">
        <v>382.86</v>
      </c>
      <c r="F8043" s="18">
        <v>41699.71</v>
      </c>
      <c r="G8043" s="18">
        <v>131856</v>
      </c>
      <c r="H8043" s="18">
        <f t="shared" si="179"/>
        <v>41529.71</v>
      </c>
      <c r="I8043" s="3"/>
    </row>
    <row r="8044" spans="1:9" s="4" customFormat="1" ht="20.25" customHeight="1" x14ac:dyDescent="0.55000000000000004">
      <c r="A8044" s="18">
        <v>24.7336147</v>
      </c>
      <c r="B8044" s="18">
        <v>34.787068599999998</v>
      </c>
      <c r="C8044" s="18">
        <v>680738.62</v>
      </c>
      <c r="D8044" s="18">
        <v>2736631.38</v>
      </c>
      <c r="E8044" s="18">
        <v>382.47</v>
      </c>
      <c r="F8044" s="18">
        <v>41699.269999999997</v>
      </c>
      <c r="G8044" s="18">
        <v>131858</v>
      </c>
      <c r="H8044" s="18">
        <f t="shared" si="179"/>
        <v>41529.269999999997</v>
      </c>
      <c r="I8044" s="3"/>
    </row>
    <row r="8045" spans="1:9" s="4" customFormat="1" ht="20.25" customHeight="1" x14ac:dyDescent="0.55000000000000004">
      <c r="A8045" s="18">
        <v>24.733597499999998</v>
      </c>
      <c r="B8045" s="18">
        <v>34.787078600000001</v>
      </c>
      <c r="C8045" s="18">
        <v>680739.65</v>
      </c>
      <c r="D8045" s="18">
        <v>2736629.5</v>
      </c>
      <c r="E8045" s="18">
        <v>382.09</v>
      </c>
      <c r="F8045" s="18">
        <v>41696.42</v>
      </c>
      <c r="G8045" s="18">
        <v>131900</v>
      </c>
      <c r="H8045" s="18">
        <f t="shared" si="179"/>
        <v>41526.42</v>
      </c>
      <c r="I8045" s="3"/>
    </row>
    <row r="8046" spans="1:9" s="4" customFormat="1" ht="20.25" customHeight="1" x14ac:dyDescent="0.55000000000000004">
      <c r="A8046" s="18">
        <v>24.733583800000002</v>
      </c>
      <c r="B8046" s="18">
        <v>34.787089899999998</v>
      </c>
      <c r="C8046" s="18">
        <v>680740.81</v>
      </c>
      <c r="D8046" s="18">
        <v>2736627.99</v>
      </c>
      <c r="E8046" s="18">
        <v>381.8</v>
      </c>
      <c r="F8046" s="18">
        <v>41693.879999999997</v>
      </c>
      <c r="G8046" s="18">
        <v>131902</v>
      </c>
      <c r="H8046" s="18">
        <f t="shared" si="179"/>
        <v>41523.879999999997</v>
      </c>
      <c r="I8046" s="3"/>
    </row>
    <row r="8047" spans="1:9" s="4" customFormat="1" ht="20.25" customHeight="1" x14ac:dyDescent="0.55000000000000004">
      <c r="A8047" s="18">
        <v>24.733569299999999</v>
      </c>
      <c r="B8047" s="18">
        <v>34.787104399999997</v>
      </c>
      <c r="C8047" s="18">
        <v>680742.3</v>
      </c>
      <c r="D8047" s="18">
        <v>2736626.4</v>
      </c>
      <c r="E8047" s="18">
        <v>381.34</v>
      </c>
      <c r="F8047" s="18">
        <v>41694.35</v>
      </c>
      <c r="G8047" s="18">
        <v>131904</v>
      </c>
      <c r="H8047" s="18">
        <f t="shared" si="179"/>
        <v>41524.35</v>
      </c>
      <c r="I8047" s="3"/>
    </row>
    <row r="8048" spans="1:9" s="4" customFormat="1" ht="20.25" customHeight="1" x14ac:dyDescent="0.55000000000000004">
      <c r="A8048" s="18">
        <v>24.733554600000001</v>
      </c>
      <c r="B8048" s="18">
        <v>34.787120700000003</v>
      </c>
      <c r="C8048" s="18">
        <v>680743.97</v>
      </c>
      <c r="D8048" s="18">
        <v>2736624.8</v>
      </c>
      <c r="E8048" s="18">
        <v>380.94</v>
      </c>
      <c r="F8048" s="18">
        <v>41697.26</v>
      </c>
      <c r="G8048" s="18">
        <v>131906</v>
      </c>
      <c r="H8048" s="18">
        <f t="shared" si="179"/>
        <v>41527.26</v>
      </c>
      <c r="I8048" s="3"/>
    </row>
    <row r="8049" spans="1:9" s="4" customFormat="1" ht="20.25" customHeight="1" x14ac:dyDescent="0.55000000000000004">
      <c r="A8049" s="18">
        <v>24.733539100000002</v>
      </c>
      <c r="B8049" s="18">
        <v>34.787134199999997</v>
      </c>
      <c r="C8049" s="18">
        <v>680745.36</v>
      </c>
      <c r="D8049" s="18">
        <v>2736623.1</v>
      </c>
      <c r="E8049" s="18">
        <v>380.7</v>
      </c>
      <c r="F8049" s="18">
        <v>41695.4</v>
      </c>
      <c r="G8049" s="18">
        <v>131908</v>
      </c>
      <c r="H8049" s="18">
        <f t="shared" si="179"/>
        <v>41525.4</v>
      </c>
      <c r="I8049" s="3"/>
    </row>
    <row r="8050" spans="1:9" s="4" customFormat="1" ht="20.25" customHeight="1" x14ac:dyDescent="0.55000000000000004">
      <c r="A8050" s="18">
        <v>24.733522399999998</v>
      </c>
      <c r="B8050" s="18">
        <v>34.787149900000003</v>
      </c>
      <c r="C8050" s="18">
        <v>680746.97</v>
      </c>
      <c r="D8050" s="18">
        <v>2736621.27</v>
      </c>
      <c r="E8050" s="18">
        <v>380.46</v>
      </c>
      <c r="F8050" s="18">
        <v>41693.449999999997</v>
      </c>
      <c r="G8050" s="18">
        <v>131910</v>
      </c>
      <c r="H8050" s="18">
        <f t="shared" si="179"/>
        <v>41523.449999999997</v>
      </c>
      <c r="I8050" s="3"/>
    </row>
    <row r="8051" spans="1:9" s="4" customFormat="1" ht="20.25" customHeight="1" x14ac:dyDescent="0.55000000000000004">
      <c r="A8051" s="18">
        <v>24.733506999999999</v>
      </c>
      <c r="B8051" s="18">
        <v>34.787165600000002</v>
      </c>
      <c r="C8051" s="18">
        <v>680748.59</v>
      </c>
      <c r="D8051" s="18">
        <v>2736619.59</v>
      </c>
      <c r="E8051" s="18">
        <v>380.5</v>
      </c>
      <c r="F8051" s="18">
        <v>41691.760000000002</v>
      </c>
      <c r="G8051" s="18">
        <v>131912</v>
      </c>
      <c r="H8051" s="18">
        <f t="shared" si="179"/>
        <v>41521.760000000002</v>
      </c>
      <c r="I8051" s="3"/>
    </row>
    <row r="8052" spans="1:9" s="4" customFormat="1" ht="20.25" customHeight="1" x14ac:dyDescent="0.55000000000000004">
      <c r="A8052" s="18">
        <v>24.7334912</v>
      </c>
      <c r="B8052" s="18">
        <v>34.787179299999998</v>
      </c>
      <c r="C8052" s="18">
        <v>680749.99</v>
      </c>
      <c r="D8052" s="18">
        <v>2736617.85</v>
      </c>
      <c r="E8052" s="18">
        <v>380.39</v>
      </c>
      <c r="F8052" s="18">
        <v>41692.11</v>
      </c>
      <c r="G8052" s="18">
        <v>131914</v>
      </c>
      <c r="H8052" s="18">
        <f t="shared" si="179"/>
        <v>41522.11</v>
      </c>
      <c r="I8052" s="3"/>
    </row>
    <row r="8053" spans="1:9" s="4" customFormat="1" ht="20.25" customHeight="1" x14ac:dyDescent="0.55000000000000004">
      <c r="A8053" s="18">
        <v>24.733475299999998</v>
      </c>
      <c r="B8053" s="18">
        <v>34.787194999999997</v>
      </c>
      <c r="C8053" s="18">
        <v>680751.61</v>
      </c>
      <c r="D8053" s="18">
        <v>2736616.11</v>
      </c>
      <c r="E8053" s="18">
        <v>380.11</v>
      </c>
      <c r="F8053" s="18">
        <v>41694.71</v>
      </c>
      <c r="G8053" s="18">
        <v>131916</v>
      </c>
      <c r="H8053" s="18">
        <f t="shared" si="179"/>
        <v>41524.71</v>
      </c>
      <c r="I8053" s="3"/>
    </row>
    <row r="8054" spans="1:9" s="4" customFormat="1" ht="20.25" customHeight="1" x14ac:dyDescent="0.55000000000000004">
      <c r="A8054" s="18">
        <v>24.733461200000001</v>
      </c>
      <c r="B8054" s="18">
        <v>34.787211399999997</v>
      </c>
      <c r="C8054" s="18">
        <v>680753.28</v>
      </c>
      <c r="D8054" s="18">
        <v>2736614.57</v>
      </c>
      <c r="E8054" s="18">
        <v>380.18</v>
      </c>
      <c r="F8054" s="18">
        <v>41696.42</v>
      </c>
      <c r="G8054" s="18">
        <v>131918</v>
      </c>
      <c r="H8054" s="18">
        <f t="shared" si="179"/>
        <v>41526.42</v>
      </c>
      <c r="I8054" s="3"/>
    </row>
    <row r="8055" spans="1:9" s="4" customFormat="1" ht="20.25" customHeight="1" x14ac:dyDescent="0.55000000000000004">
      <c r="A8055" s="18">
        <v>24.7334508</v>
      </c>
      <c r="B8055" s="18">
        <v>34.787229400000001</v>
      </c>
      <c r="C8055" s="18">
        <v>680755.12</v>
      </c>
      <c r="D8055" s="18">
        <v>2736613.45</v>
      </c>
      <c r="E8055" s="18">
        <v>380.11</v>
      </c>
      <c r="F8055" s="18">
        <v>41696.33</v>
      </c>
      <c r="G8055" s="18">
        <v>131920</v>
      </c>
      <c r="H8055" s="18">
        <f t="shared" si="179"/>
        <v>41526.33</v>
      </c>
      <c r="I8055" s="3"/>
    </row>
    <row r="8056" spans="1:9" s="4" customFormat="1" ht="20.25" customHeight="1" x14ac:dyDescent="0.55000000000000004">
      <c r="A8056" s="18">
        <v>24.7334344</v>
      </c>
      <c r="B8056" s="18">
        <v>34.787244200000004</v>
      </c>
      <c r="C8056" s="18">
        <v>680756.64</v>
      </c>
      <c r="D8056" s="18">
        <v>2736611.64</v>
      </c>
      <c r="E8056" s="18">
        <v>380.2</v>
      </c>
      <c r="F8056" s="18">
        <v>41690.46</v>
      </c>
      <c r="G8056" s="18">
        <v>131922</v>
      </c>
      <c r="H8056" s="18">
        <f t="shared" si="179"/>
        <v>41520.46</v>
      </c>
      <c r="I8056" s="3"/>
    </row>
    <row r="8057" spans="1:9" s="4" customFormat="1" ht="20.25" customHeight="1" x14ac:dyDescent="0.55000000000000004">
      <c r="A8057" s="18">
        <v>24.733418799999999</v>
      </c>
      <c r="B8057" s="18">
        <v>34.787259599999999</v>
      </c>
      <c r="C8057" s="18">
        <v>680758.22</v>
      </c>
      <c r="D8057" s="18">
        <v>2736609.94</v>
      </c>
      <c r="E8057" s="18">
        <v>380.3</v>
      </c>
      <c r="F8057" s="18">
        <v>41691.26</v>
      </c>
      <c r="G8057" s="18">
        <v>131924</v>
      </c>
      <c r="H8057" s="18">
        <f t="shared" si="179"/>
        <v>41521.26</v>
      </c>
      <c r="I8057" s="3"/>
    </row>
    <row r="8058" spans="1:9" s="4" customFormat="1" ht="20.25" customHeight="1" x14ac:dyDescent="0.55000000000000004">
      <c r="A8058" s="18">
        <v>24.733405999999999</v>
      </c>
      <c r="B8058" s="18">
        <v>34.787274400000001</v>
      </c>
      <c r="C8058" s="18">
        <v>680759.74</v>
      </c>
      <c r="D8058" s="18">
        <v>2736608.54</v>
      </c>
      <c r="E8058" s="18">
        <v>380</v>
      </c>
      <c r="F8058" s="18">
        <v>41690.629999999997</v>
      </c>
      <c r="G8058" s="18">
        <v>131926</v>
      </c>
      <c r="H8058" s="18">
        <f t="shared" si="179"/>
        <v>41520.629999999997</v>
      </c>
      <c r="I8058" s="3"/>
    </row>
    <row r="8059" spans="1:9" s="4" customFormat="1" ht="20.25" customHeight="1" x14ac:dyDescent="0.55000000000000004">
      <c r="A8059" s="18">
        <v>24.733389500000001</v>
      </c>
      <c r="B8059" s="18">
        <v>34.787284499999998</v>
      </c>
      <c r="C8059" s="18">
        <v>680760.78</v>
      </c>
      <c r="D8059" s="18">
        <v>2736606.72</v>
      </c>
      <c r="E8059" s="18">
        <v>380.03</v>
      </c>
      <c r="F8059" s="18">
        <v>41689.269999999997</v>
      </c>
      <c r="G8059" s="18">
        <v>131928</v>
      </c>
      <c r="H8059" s="18">
        <f t="shared" si="179"/>
        <v>41519.269999999997</v>
      </c>
      <c r="I8059" s="3"/>
    </row>
    <row r="8060" spans="1:9" s="4" customFormat="1" ht="20.25" customHeight="1" x14ac:dyDescent="0.55000000000000004">
      <c r="A8060" s="18">
        <v>24.733370900000001</v>
      </c>
      <c r="B8060" s="18">
        <v>34.787298300000003</v>
      </c>
      <c r="C8060" s="18">
        <v>680762.21</v>
      </c>
      <c r="D8060" s="18">
        <v>2736604.68</v>
      </c>
      <c r="E8060" s="18">
        <v>379.91</v>
      </c>
      <c r="F8060" s="18">
        <v>41692.080000000002</v>
      </c>
      <c r="G8060" s="18">
        <v>131930</v>
      </c>
      <c r="H8060" s="18">
        <f t="shared" si="179"/>
        <v>41522.080000000002</v>
      </c>
      <c r="I8060" s="3"/>
    </row>
    <row r="8061" spans="1:9" s="4" customFormat="1" ht="20.25" customHeight="1" x14ac:dyDescent="0.55000000000000004">
      <c r="A8061" s="18">
        <v>24.7333532</v>
      </c>
      <c r="B8061" s="18">
        <v>34.787313099999999</v>
      </c>
      <c r="C8061" s="18">
        <v>680763.73</v>
      </c>
      <c r="D8061" s="18">
        <v>2736602.74</v>
      </c>
      <c r="E8061" s="18">
        <v>379.84</v>
      </c>
      <c r="F8061" s="18">
        <v>41696.120000000003</v>
      </c>
      <c r="G8061" s="18">
        <v>131932</v>
      </c>
      <c r="H8061" s="18">
        <f t="shared" si="179"/>
        <v>41526.120000000003</v>
      </c>
      <c r="I8061" s="3"/>
    </row>
    <row r="8062" spans="1:9" s="4" customFormat="1" ht="20.25" customHeight="1" x14ac:dyDescent="0.55000000000000004">
      <c r="A8062" s="18">
        <v>24.733333999999999</v>
      </c>
      <c r="B8062" s="18">
        <v>34.787326899999996</v>
      </c>
      <c r="C8062" s="18">
        <v>680765.15</v>
      </c>
      <c r="D8062" s="18">
        <v>2736600.63</v>
      </c>
      <c r="E8062" s="18">
        <v>379.72</v>
      </c>
      <c r="F8062" s="18">
        <v>41701.440000000002</v>
      </c>
      <c r="G8062" s="18">
        <v>131934</v>
      </c>
      <c r="H8062" s="18">
        <f t="shared" si="179"/>
        <v>41531.440000000002</v>
      </c>
      <c r="I8062" s="3"/>
    </row>
    <row r="8063" spans="1:9" s="4" customFormat="1" ht="20.25" customHeight="1" x14ac:dyDescent="0.55000000000000004">
      <c r="A8063" s="18">
        <v>24.7333134</v>
      </c>
      <c r="B8063" s="18">
        <v>34.787343499999999</v>
      </c>
      <c r="C8063" s="18">
        <v>680766.86</v>
      </c>
      <c r="D8063" s="18">
        <v>2736598.38</v>
      </c>
      <c r="E8063" s="18">
        <v>379.64</v>
      </c>
      <c r="F8063" s="18">
        <v>41698.6</v>
      </c>
      <c r="G8063" s="18">
        <v>131936</v>
      </c>
      <c r="H8063" s="18">
        <f t="shared" si="179"/>
        <v>41528.6</v>
      </c>
      <c r="I8063" s="3"/>
    </row>
    <row r="8064" spans="1:9" s="4" customFormat="1" ht="20.25" customHeight="1" x14ac:dyDescent="0.55000000000000004">
      <c r="A8064" s="18">
        <v>24.733298600000001</v>
      </c>
      <c r="B8064" s="18">
        <v>34.787360999999997</v>
      </c>
      <c r="C8064" s="18">
        <v>680768.65</v>
      </c>
      <c r="D8064" s="18">
        <v>2736596.76</v>
      </c>
      <c r="E8064" s="18">
        <v>379.9</v>
      </c>
      <c r="F8064" s="18">
        <v>41699.050000000003</v>
      </c>
      <c r="G8064" s="18">
        <v>131938</v>
      </c>
      <c r="H8064" s="18">
        <f t="shared" si="179"/>
        <v>41529.050000000003</v>
      </c>
      <c r="I8064" s="3"/>
    </row>
    <row r="8065" spans="1:9" s="4" customFormat="1" ht="20.25" customHeight="1" x14ac:dyDescent="0.55000000000000004">
      <c r="A8065" s="18">
        <v>24.733282899999999</v>
      </c>
      <c r="B8065" s="18">
        <v>34.787374999999997</v>
      </c>
      <c r="C8065" s="18">
        <v>680770.09</v>
      </c>
      <c r="D8065" s="18">
        <v>2736595.04</v>
      </c>
      <c r="E8065" s="18">
        <v>380.06</v>
      </c>
      <c r="F8065" s="18">
        <v>41697</v>
      </c>
      <c r="G8065" s="18">
        <v>131940</v>
      </c>
      <c r="H8065" s="18">
        <f t="shared" si="179"/>
        <v>41527</v>
      </c>
      <c r="I8065" s="3"/>
    </row>
    <row r="8066" spans="1:9" s="4" customFormat="1" ht="20.25" customHeight="1" x14ac:dyDescent="0.55000000000000004">
      <c r="A8066" s="18">
        <v>24.733267300000001</v>
      </c>
      <c r="B8066" s="18">
        <v>34.787389699999999</v>
      </c>
      <c r="C8066" s="18">
        <v>680771.6</v>
      </c>
      <c r="D8066" s="18">
        <v>2736593.33</v>
      </c>
      <c r="E8066" s="18">
        <v>380.31</v>
      </c>
      <c r="F8066" s="18">
        <v>41692.32</v>
      </c>
      <c r="G8066" s="18">
        <v>131942</v>
      </c>
      <c r="H8066" s="18">
        <f t="shared" si="179"/>
        <v>41522.32</v>
      </c>
      <c r="I8066" s="3"/>
    </row>
    <row r="8067" spans="1:9" s="4" customFormat="1" ht="20.25" customHeight="1" x14ac:dyDescent="0.55000000000000004">
      <c r="A8067" s="18">
        <v>24.733250699999999</v>
      </c>
      <c r="B8067" s="18">
        <v>34.787402999999998</v>
      </c>
      <c r="C8067" s="18">
        <v>680772.97</v>
      </c>
      <c r="D8067" s="18">
        <v>2736591.52</v>
      </c>
      <c r="E8067" s="18">
        <v>380.42</v>
      </c>
      <c r="F8067" s="18">
        <v>41693.97</v>
      </c>
      <c r="G8067" s="18">
        <v>131944</v>
      </c>
      <c r="H8067" s="18">
        <f t="shared" si="179"/>
        <v>41523.97</v>
      </c>
      <c r="I8067" s="3"/>
    </row>
    <row r="8068" spans="1:9" s="4" customFormat="1" ht="20.25" customHeight="1" x14ac:dyDescent="0.55000000000000004">
      <c r="A8068" s="18">
        <v>24.7332325</v>
      </c>
      <c r="B8068" s="18">
        <v>34.787417400000002</v>
      </c>
      <c r="C8068" s="18">
        <v>680774.45</v>
      </c>
      <c r="D8068" s="18">
        <v>2736589.52</v>
      </c>
      <c r="E8068" s="18">
        <v>380.48</v>
      </c>
      <c r="F8068" s="18">
        <v>41693.370000000003</v>
      </c>
      <c r="G8068" s="18">
        <v>131946</v>
      </c>
      <c r="H8068" s="18">
        <f t="shared" si="179"/>
        <v>41523.370000000003</v>
      </c>
      <c r="I8068" s="3"/>
    </row>
    <row r="8069" spans="1:9" s="4" customFormat="1" ht="20.25" customHeight="1" x14ac:dyDescent="0.55000000000000004">
      <c r="A8069" s="18">
        <v>24.7332134</v>
      </c>
      <c r="B8069" s="18">
        <v>34.787429099999997</v>
      </c>
      <c r="C8069" s="18">
        <v>680775.67</v>
      </c>
      <c r="D8069" s="18">
        <v>2736587.42</v>
      </c>
      <c r="E8069" s="18">
        <v>380.32</v>
      </c>
      <c r="F8069" s="18">
        <v>41693.5</v>
      </c>
      <c r="G8069" s="18">
        <v>131948</v>
      </c>
      <c r="H8069" s="18">
        <f t="shared" si="179"/>
        <v>41523.5</v>
      </c>
      <c r="I8069" s="3"/>
    </row>
    <row r="8070" spans="1:9" s="4" customFormat="1" ht="20.25" customHeight="1" x14ac:dyDescent="0.55000000000000004">
      <c r="A8070" s="18">
        <v>24.7331948</v>
      </c>
      <c r="B8070" s="18">
        <v>34.787444999999998</v>
      </c>
      <c r="C8070" s="18">
        <v>680777.3</v>
      </c>
      <c r="D8070" s="18">
        <v>2736585.37</v>
      </c>
      <c r="E8070" s="18">
        <v>380.1</v>
      </c>
      <c r="F8070" s="18">
        <v>41695.78</v>
      </c>
      <c r="G8070" s="18">
        <v>131950</v>
      </c>
      <c r="H8070" s="18">
        <f t="shared" si="179"/>
        <v>41525.78</v>
      </c>
      <c r="I8070" s="3"/>
    </row>
    <row r="8071" spans="1:9" s="4" customFormat="1" ht="20.25" customHeight="1" x14ac:dyDescent="0.55000000000000004">
      <c r="A8071" s="18">
        <v>24.733173600000001</v>
      </c>
      <c r="B8071" s="18">
        <v>34.787453599999999</v>
      </c>
      <c r="C8071" s="18">
        <v>680778.2</v>
      </c>
      <c r="D8071" s="18">
        <v>2736583.04</v>
      </c>
      <c r="E8071" s="18">
        <v>379.96</v>
      </c>
      <c r="F8071" s="18">
        <v>41693.86</v>
      </c>
      <c r="G8071" s="18">
        <v>131952</v>
      </c>
      <c r="H8071" s="18">
        <f t="shared" si="179"/>
        <v>41523.86</v>
      </c>
      <c r="I8071" s="3"/>
    </row>
    <row r="8072" spans="1:9" s="4" customFormat="1" ht="20.25" customHeight="1" x14ac:dyDescent="0.55000000000000004">
      <c r="A8072" s="18">
        <v>24.733151199999998</v>
      </c>
      <c r="B8072" s="18">
        <v>34.787460699999997</v>
      </c>
      <c r="C8072" s="18">
        <v>680778.95</v>
      </c>
      <c r="D8072" s="18">
        <v>2736580.57</v>
      </c>
      <c r="E8072" s="18">
        <v>379.86</v>
      </c>
      <c r="F8072" s="18">
        <v>41691.19</v>
      </c>
      <c r="G8072" s="18">
        <v>131954</v>
      </c>
      <c r="H8072" s="18">
        <f t="shared" si="179"/>
        <v>41521.19</v>
      </c>
      <c r="I8072" s="3"/>
    </row>
    <row r="8073" spans="1:9" s="4" customFormat="1" ht="20.25" customHeight="1" x14ac:dyDescent="0.55000000000000004">
      <c r="A8073" s="18">
        <v>24.733130599999999</v>
      </c>
      <c r="B8073" s="18">
        <v>34.787469399999999</v>
      </c>
      <c r="C8073" s="18">
        <v>680779.86</v>
      </c>
      <c r="D8073" s="18">
        <v>2736578.3</v>
      </c>
      <c r="E8073" s="18">
        <v>379.64</v>
      </c>
      <c r="F8073" s="18">
        <v>41691.11</v>
      </c>
      <c r="G8073" s="18">
        <v>131956</v>
      </c>
      <c r="H8073" s="18">
        <f t="shared" si="179"/>
        <v>41521.11</v>
      </c>
      <c r="I8073" s="3"/>
    </row>
    <row r="8074" spans="1:9" s="4" customFormat="1" ht="20.25" customHeight="1" x14ac:dyDescent="0.55000000000000004">
      <c r="A8074" s="18">
        <v>24.733110700000001</v>
      </c>
      <c r="B8074" s="18">
        <v>34.787482199999999</v>
      </c>
      <c r="C8074" s="18">
        <v>680781.18</v>
      </c>
      <c r="D8074" s="18">
        <v>2736576.1</v>
      </c>
      <c r="E8074" s="18">
        <v>379.5</v>
      </c>
      <c r="F8074" s="18">
        <v>41691.57</v>
      </c>
      <c r="G8074" s="18">
        <v>131958</v>
      </c>
      <c r="H8074" s="18">
        <f t="shared" si="179"/>
        <v>41521.57</v>
      </c>
      <c r="I8074" s="3"/>
    </row>
    <row r="8075" spans="1:9" s="4" customFormat="1" ht="20.25" customHeight="1" x14ac:dyDescent="0.55000000000000004">
      <c r="A8075" s="18">
        <v>24.7330927</v>
      </c>
      <c r="B8075" s="18">
        <v>34.787497700000003</v>
      </c>
      <c r="C8075" s="18">
        <v>680782.77</v>
      </c>
      <c r="D8075" s="18">
        <v>2736574.14</v>
      </c>
      <c r="E8075" s="18">
        <v>379.43</v>
      </c>
      <c r="F8075" s="18">
        <v>41691.18</v>
      </c>
      <c r="G8075" s="18">
        <v>132000</v>
      </c>
      <c r="H8075" s="18">
        <f t="shared" si="179"/>
        <v>41521.18</v>
      </c>
      <c r="I8075" s="3"/>
    </row>
    <row r="8076" spans="1:9" s="4" customFormat="1" ht="20.25" customHeight="1" x14ac:dyDescent="0.55000000000000004">
      <c r="A8076" s="18">
        <v>24.7330778</v>
      </c>
      <c r="B8076" s="18">
        <v>34.787514100000003</v>
      </c>
      <c r="C8076" s="18">
        <v>680784.46</v>
      </c>
      <c r="D8076" s="18">
        <v>2736572.51</v>
      </c>
      <c r="E8076" s="18">
        <v>379.4</v>
      </c>
      <c r="F8076" s="18">
        <v>41691.15</v>
      </c>
      <c r="G8076" s="18">
        <v>132002</v>
      </c>
      <c r="H8076" s="18">
        <f t="shared" si="179"/>
        <v>41521.15</v>
      </c>
      <c r="I8076" s="3"/>
    </row>
    <row r="8077" spans="1:9" s="4" customFormat="1" ht="20.25" customHeight="1" x14ac:dyDescent="0.55000000000000004">
      <c r="A8077" s="18">
        <v>24.733066300000001</v>
      </c>
      <c r="B8077" s="18">
        <v>34.787534700000002</v>
      </c>
      <c r="C8077" s="18">
        <v>680786.56</v>
      </c>
      <c r="D8077" s="18">
        <v>2736571.26</v>
      </c>
      <c r="E8077" s="18">
        <v>379.18</v>
      </c>
      <c r="F8077" s="18">
        <v>41693.35</v>
      </c>
      <c r="G8077" s="18">
        <v>132004</v>
      </c>
      <c r="H8077" s="18">
        <f t="shared" si="179"/>
        <v>41523.35</v>
      </c>
      <c r="I8077" s="3"/>
    </row>
    <row r="8078" spans="1:9" s="4" customFormat="1" ht="20.25" customHeight="1" x14ac:dyDescent="0.55000000000000004">
      <c r="A8078" s="18">
        <v>24.733058700000001</v>
      </c>
      <c r="B8078" s="18">
        <v>34.7875558</v>
      </c>
      <c r="C8078" s="18">
        <v>680788.7</v>
      </c>
      <c r="D8078" s="18">
        <v>2736570.44</v>
      </c>
      <c r="E8078" s="18">
        <v>379.14</v>
      </c>
      <c r="F8078" s="18">
        <v>41692.879999999997</v>
      </c>
      <c r="G8078" s="18">
        <v>132006</v>
      </c>
      <c r="H8078" s="18">
        <f t="shared" si="179"/>
        <v>41522.879999999997</v>
      </c>
      <c r="I8078" s="3"/>
    </row>
    <row r="8079" spans="1:9" s="4" customFormat="1" ht="20.25" customHeight="1" x14ac:dyDescent="0.55000000000000004">
      <c r="A8079" s="18">
        <v>24.7330504</v>
      </c>
      <c r="B8079" s="18">
        <v>34.787573999999999</v>
      </c>
      <c r="C8079" s="18">
        <v>680790.55</v>
      </c>
      <c r="D8079" s="18">
        <v>2736569.55</v>
      </c>
      <c r="E8079" s="18">
        <v>379.12</v>
      </c>
      <c r="F8079" s="18">
        <v>41690.83</v>
      </c>
      <c r="G8079" s="18">
        <v>132008</v>
      </c>
      <c r="H8079" s="18">
        <f t="shared" si="179"/>
        <v>41520.83</v>
      </c>
      <c r="I8079" s="3"/>
    </row>
    <row r="8080" spans="1:9" s="4" customFormat="1" ht="20.25" customHeight="1" x14ac:dyDescent="0.55000000000000004">
      <c r="A8080" s="18">
        <v>24.733043299999999</v>
      </c>
      <c r="B8080" s="18">
        <v>34.787594800000001</v>
      </c>
      <c r="C8080" s="18">
        <v>680792.67</v>
      </c>
      <c r="D8080" s="18">
        <v>2736568.79</v>
      </c>
      <c r="E8080" s="18">
        <v>378.98</v>
      </c>
      <c r="F8080" s="18">
        <v>41692.85</v>
      </c>
      <c r="G8080" s="18">
        <v>132010</v>
      </c>
      <c r="H8080" s="18">
        <f t="shared" si="179"/>
        <v>41522.85</v>
      </c>
      <c r="I8080" s="3"/>
    </row>
    <row r="8081" spans="1:9" s="4" customFormat="1" ht="20.25" customHeight="1" x14ac:dyDescent="0.55000000000000004">
      <c r="A8081" s="18">
        <v>24.733038199999999</v>
      </c>
      <c r="B8081" s="18">
        <v>34.787616499999999</v>
      </c>
      <c r="C8081" s="18">
        <v>680794.88</v>
      </c>
      <c r="D8081" s="18">
        <v>2736568.25</v>
      </c>
      <c r="E8081" s="18">
        <v>378.77</v>
      </c>
      <c r="F8081" s="18">
        <v>41690.160000000003</v>
      </c>
      <c r="G8081" s="18">
        <v>132012</v>
      </c>
      <c r="H8081" s="18">
        <f t="shared" si="179"/>
        <v>41520.160000000003</v>
      </c>
      <c r="I8081" s="3"/>
    </row>
    <row r="8082" spans="1:9" s="4" customFormat="1" ht="20.25" customHeight="1" x14ac:dyDescent="0.55000000000000004">
      <c r="A8082" s="18">
        <v>24.733035000000001</v>
      </c>
      <c r="B8082" s="18">
        <v>34.787637400000001</v>
      </c>
      <c r="C8082" s="18">
        <v>680797</v>
      </c>
      <c r="D8082" s="18">
        <v>2736567.92</v>
      </c>
      <c r="E8082" s="18">
        <v>378.72</v>
      </c>
      <c r="F8082" s="18">
        <v>41688.410000000003</v>
      </c>
      <c r="G8082" s="18">
        <v>132014</v>
      </c>
      <c r="H8082" s="18">
        <f t="shared" si="179"/>
        <v>41518.410000000003</v>
      </c>
      <c r="I8082" s="3"/>
    </row>
    <row r="8083" spans="1:9" s="4" customFormat="1" ht="20.25" customHeight="1" x14ac:dyDescent="0.55000000000000004">
      <c r="A8083" s="18">
        <v>24.733036899999998</v>
      </c>
      <c r="B8083" s="18">
        <v>34.787661499999999</v>
      </c>
      <c r="C8083" s="18">
        <v>680799.42</v>
      </c>
      <c r="D8083" s="18">
        <v>2736568.17</v>
      </c>
      <c r="E8083" s="18">
        <v>378.51</v>
      </c>
      <c r="F8083" s="18">
        <v>41689.29</v>
      </c>
      <c r="G8083" s="18">
        <v>132016</v>
      </c>
      <c r="H8083" s="18">
        <f t="shared" si="179"/>
        <v>41519.29</v>
      </c>
      <c r="I8083" s="3"/>
    </row>
    <row r="8084" spans="1:9" s="4" customFormat="1" ht="20.25" customHeight="1" x14ac:dyDescent="0.55000000000000004">
      <c r="A8084" s="18">
        <v>24.733044599999999</v>
      </c>
      <c r="B8084" s="18">
        <v>34.7876823</v>
      </c>
      <c r="C8084" s="18">
        <v>680801.52</v>
      </c>
      <c r="D8084" s="18">
        <v>2736569.06</v>
      </c>
      <c r="E8084" s="18">
        <v>378.43</v>
      </c>
      <c r="F8084" s="18">
        <v>41691.620000000003</v>
      </c>
      <c r="G8084" s="18">
        <v>132018</v>
      </c>
      <c r="H8084" s="18">
        <f t="shared" ref="H8084:H8147" si="180">SUM(F8084-170)</f>
        <v>41521.620000000003</v>
      </c>
      <c r="I8084" s="3"/>
    </row>
    <row r="8085" spans="1:9" s="4" customFormat="1" ht="20.25" customHeight="1" x14ac:dyDescent="0.55000000000000004">
      <c r="A8085" s="18">
        <v>24.733045400000002</v>
      </c>
      <c r="B8085" s="18">
        <v>34.787706999999997</v>
      </c>
      <c r="C8085" s="18">
        <v>680804.01</v>
      </c>
      <c r="D8085" s="18">
        <v>2736569.17</v>
      </c>
      <c r="E8085" s="18">
        <v>378.27</v>
      </c>
      <c r="F8085" s="18">
        <v>41689.51</v>
      </c>
      <c r="G8085" s="18">
        <v>132020</v>
      </c>
      <c r="H8085" s="18">
        <f t="shared" si="180"/>
        <v>41519.51</v>
      </c>
      <c r="I8085" s="3"/>
    </row>
    <row r="8086" spans="1:9" s="4" customFormat="1" ht="20.25" customHeight="1" x14ac:dyDescent="0.55000000000000004">
      <c r="A8086" s="18">
        <v>24.733046000000002</v>
      </c>
      <c r="B8086" s="18">
        <v>34.787733799999998</v>
      </c>
      <c r="C8086" s="18">
        <v>680806.73</v>
      </c>
      <c r="D8086" s="18">
        <v>2736569.28</v>
      </c>
      <c r="E8086" s="18">
        <v>378.05</v>
      </c>
      <c r="F8086" s="18">
        <v>41691</v>
      </c>
      <c r="G8086" s="18">
        <v>132022</v>
      </c>
      <c r="H8086" s="18">
        <f t="shared" si="180"/>
        <v>41521</v>
      </c>
      <c r="I8086" s="3"/>
    </row>
    <row r="8087" spans="1:9" s="4" customFormat="1" ht="20.25" customHeight="1" x14ac:dyDescent="0.55000000000000004">
      <c r="A8087" s="18">
        <v>24.733044799999998</v>
      </c>
      <c r="B8087" s="18">
        <v>34.787759100000002</v>
      </c>
      <c r="C8087" s="18">
        <v>680809.29</v>
      </c>
      <c r="D8087" s="18">
        <v>2736569.18</v>
      </c>
      <c r="E8087" s="18">
        <v>377.91</v>
      </c>
      <c r="F8087" s="18">
        <v>41688.9</v>
      </c>
      <c r="G8087" s="18">
        <v>132024</v>
      </c>
      <c r="H8087" s="18">
        <f t="shared" si="180"/>
        <v>41518.9</v>
      </c>
      <c r="I8087" s="3"/>
    </row>
    <row r="8088" spans="1:9" s="4" customFormat="1" ht="20.25" customHeight="1" x14ac:dyDescent="0.55000000000000004">
      <c r="A8088" s="18">
        <v>24.733049099999999</v>
      </c>
      <c r="B8088" s="18">
        <v>34.787783699999999</v>
      </c>
      <c r="C8088" s="18">
        <v>680811.77</v>
      </c>
      <c r="D8088" s="18">
        <v>2736569.68</v>
      </c>
      <c r="E8088" s="18">
        <v>377.72</v>
      </c>
      <c r="F8088" s="18">
        <v>41690.79</v>
      </c>
      <c r="G8088" s="18">
        <v>132026</v>
      </c>
      <c r="H8088" s="18">
        <f t="shared" si="180"/>
        <v>41520.79</v>
      </c>
      <c r="I8088" s="3"/>
    </row>
    <row r="8089" spans="1:9" s="4" customFormat="1" ht="20.25" customHeight="1" x14ac:dyDescent="0.55000000000000004">
      <c r="A8089" s="18">
        <v>24.733053399999999</v>
      </c>
      <c r="B8089" s="18">
        <v>34.787808900000002</v>
      </c>
      <c r="C8089" s="18">
        <v>680814.32</v>
      </c>
      <c r="D8089" s="18">
        <v>2736570.19</v>
      </c>
      <c r="E8089" s="18">
        <v>377.48</v>
      </c>
      <c r="F8089" s="18">
        <v>41691.68</v>
      </c>
      <c r="G8089" s="18">
        <v>132028</v>
      </c>
      <c r="H8089" s="18">
        <f t="shared" si="180"/>
        <v>41521.68</v>
      </c>
      <c r="I8089" s="3"/>
    </row>
    <row r="8090" spans="1:9" s="4" customFormat="1" ht="20.25" customHeight="1" x14ac:dyDescent="0.55000000000000004">
      <c r="A8090" s="18">
        <v>24.7330541</v>
      </c>
      <c r="B8090" s="18">
        <v>34.787836499999997</v>
      </c>
      <c r="C8090" s="18">
        <v>680817.1</v>
      </c>
      <c r="D8090" s="18">
        <v>2736570.3</v>
      </c>
      <c r="E8090" s="18">
        <v>377.32</v>
      </c>
      <c r="F8090" s="18">
        <v>41691.129999999997</v>
      </c>
      <c r="G8090" s="18">
        <v>132030</v>
      </c>
      <c r="H8090" s="18">
        <f t="shared" si="180"/>
        <v>41521.129999999997</v>
      </c>
      <c r="I8090" s="3"/>
    </row>
    <row r="8091" spans="1:9" s="4" customFormat="1" ht="20.25" customHeight="1" x14ac:dyDescent="0.55000000000000004">
      <c r="A8091" s="18">
        <v>24.733055</v>
      </c>
      <c r="B8091" s="18">
        <v>34.787861200000002</v>
      </c>
      <c r="C8091" s="18">
        <v>680819.6</v>
      </c>
      <c r="D8091" s="18">
        <v>2736570.44</v>
      </c>
      <c r="E8091" s="18">
        <v>377.21</v>
      </c>
      <c r="F8091" s="18">
        <v>41689.78</v>
      </c>
      <c r="G8091" s="18">
        <v>132032</v>
      </c>
      <c r="H8091" s="18">
        <f t="shared" si="180"/>
        <v>41519.78</v>
      </c>
      <c r="I8091" s="3"/>
    </row>
    <row r="8092" spans="1:9" s="4" customFormat="1" ht="20.25" customHeight="1" x14ac:dyDescent="0.55000000000000004">
      <c r="A8092" s="18">
        <v>24.733057500000001</v>
      </c>
      <c r="B8092" s="18">
        <v>34.787886100000001</v>
      </c>
      <c r="C8092" s="18">
        <v>680822.11</v>
      </c>
      <c r="D8092" s="18">
        <v>2736570.75</v>
      </c>
      <c r="E8092" s="18">
        <v>376.98</v>
      </c>
      <c r="F8092" s="18">
        <v>41689.589999999997</v>
      </c>
      <c r="G8092" s="18">
        <v>132034</v>
      </c>
      <c r="H8092" s="18">
        <f t="shared" si="180"/>
        <v>41519.589999999997</v>
      </c>
      <c r="I8092" s="3"/>
    </row>
    <row r="8093" spans="1:9" s="4" customFormat="1" ht="20.25" customHeight="1" x14ac:dyDescent="0.55000000000000004">
      <c r="A8093" s="18">
        <v>24.733058100000001</v>
      </c>
      <c r="B8093" s="18">
        <v>34.787911299999998</v>
      </c>
      <c r="C8093" s="18">
        <v>680824.67</v>
      </c>
      <c r="D8093" s="18">
        <v>2736570.85</v>
      </c>
      <c r="E8093" s="18">
        <v>376.9</v>
      </c>
      <c r="F8093" s="18">
        <v>41689.730000000003</v>
      </c>
      <c r="G8093" s="18">
        <v>132036</v>
      </c>
      <c r="H8093" s="18">
        <f t="shared" si="180"/>
        <v>41519.730000000003</v>
      </c>
      <c r="I8093" s="3"/>
    </row>
    <row r="8094" spans="1:9" s="4" customFormat="1" ht="20.25" customHeight="1" x14ac:dyDescent="0.55000000000000004">
      <c r="A8094" s="18">
        <v>24.733060099999999</v>
      </c>
      <c r="B8094" s="18">
        <v>34.787935500000003</v>
      </c>
      <c r="C8094" s="18">
        <v>680827.12</v>
      </c>
      <c r="D8094" s="18">
        <v>2736571.1</v>
      </c>
      <c r="E8094" s="18">
        <v>376.69</v>
      </c>
      <c r="F8094" s="18">
        <v>41689.839999999997</v>
      </c>
      <c r="G8094" s="18">
        <v>132038</v>
      </c>
      <c r="H8094" s="18">
        <f t="shared" si="180"/>
        <v>41519.839999999997</v>
      </c>
      <c r="I8094" s="3"/>
    </row>
    <row r="8095" spans="1:9" s="4" customFormat="1" ht="20.25" customHeight="1" x14ac:dyDescent="0.55000000000000004">
      <c r="A8095" s="18">
        <v>24.733063099999999</v>
      </c>
      <c r="B8095" s="18">
        <v>34.787960200000001</v>
      </c>
      <c r="C8095" s="18">
        <v>680829.6</v>
      </c>
      <c r="D8095" s="18">
        <v>2736571.47</v>
      </c>
      <c r="E8095" s="18">
        <v>376.55</v>
      </c>
      <c r="F8095" s="18">
        <v>41688.01</v>
      </c>
      <c r="G8095" s="18">
        <v>132040</v>
      </c>
      <c r="H8095" s="18">
        <f t="shared" si="180"/>
        <v>41518.01</v>
      </c>
      <c r="I8095" s="3"/>
    </row>
    <row r="8096" spans="1:9" s="4" customFormat="1" ht="20.25" customHeight="1" x14ac:dyDescent="0.55000000000000004">
      <c r="A8096" s="18">
        <v>24.7330659</v>
      </c>
      <c r="B8096" s="18">
        <v>34.787983099999998</v>
      </c>
      <c r="C8096" s="18">
        <v>680831.92</v>
      </c>
      <c r="D8096" s="18">
        <v>2736571.8</v>
      </c>
      <c r="E8096" s="18">
        <v>376.62</v>
      </c>
      <c r="F8096" s="18">
        <v>41687.33</v>
      </c>
      <c r="G8096" s="18">
        <v>132042</v>
      </c>
      <c r="H8096" s="18">
        <f t="shared" si="180"/>
        <v>41517.33</v>
      </c>
      <c r="I8096" s="3"/>
    </row>
    <row r="8097" spans="1:9" s="4" customFormat="1" ht="20.25" customHeight="1" x14ac:dyDescent="0.55000000000000004">
      <c r="A8097" s="18">
        <v>24.7330693</v>
      </c>
      <c r="B8097" s="18">
        <v>34.788006699999997</v>
      </c>
      <c r="C8097" s="18">
        <v>680834.3</v>
      </c>
      <c r="D8097" s="18">
        <v>2736572.21</v>
      </c>
      <c r="E8097" s="18">
        <v>376.42</v>
      </c>
      <c r="F8097" s="18">
        <v>41688.21</v>
      </c>
      <c r="G8097" s="18">
        <v>132044</v>
      </c>
      <c r="H8097" s="18">
        <f t="shared" si="180"/>
        <v>41518.21</v>
      </c>
      <c r="I8097" s="3"/>
    </row>
    <row r="8098" spans="1:9" s="4" customFormat="1" ht="20.25" customHeight="1" x14ac:dyDescent="0.55000000000000004">
      <c r="A8098" s="18">
        <v>24.733073000000001</v>
      </c>
      <c r="B8098" s="18">
        <v>34.788032299999998</v>
      </c>
      <c r="C8098" s="18">
        <v>680836.88</v>
      </c>
      <c r="D8098" s="18">
        <v>2736572.66</v>
      </c>
      <c r="E8098" s="18">
        <v>376.35</v>
      </c>
      <c r="F8098" s="18">
        <v>41685.99</v>
      </c>
      <c r="G8098" s="18">
        <v>132046</v>
      </c>
      <c r="H8098" s="18">
        <f t="shared" si="180"/>
        <v>41515.99</v>
      </c>
      <c r="I8098" s="3"/>
    </row>
    <row r="8099" spans="1:9" s="4" customFormat="1" ht="20.25" customHeight="1" x14ac:dyDescent="0.55000000000000004">
      <c r="A8099" s="18">
        <v>24.733075599999999</v>
      </c>
      <c r="B8099" s="18">
        <v>34.788058399999997</v>
      </c>
      <c r="C8099" s="18">
        <v>680839.52</v>
      </c>
      <c r="D8099" s="18">
        <v>2736572.98</v>
      </c>
      <c r="E8099" s="18">
        <v>376.29</v>
      </c>
      <c r="F8099" s="18">
        <v>41668.81</v>
      </c>
      <c r="G8099" s="18">
        <v>132048</v>
      </c>
      <c r="H8099" s="18">
        <f t="shared" si="180"/>
        <v>41498.81</v>
      </c>
      <c r="I8099" s="3"/>
    </row>
    <row r="8100" spans="1:9" s="4" customFormat="1" ht="20.25" customHeight="1" x14ac:dyDescent="0.55000000000000004">
      <c r="A8100" s="18">
        <v>24.733074599999998</v>
      </c>
      <c r="B8100" s="18">
        <v>34.788084599999998</v>
      </c>
      <c r="C8100" s="18">
        <v>680842.18</v>
      </c>
      <c r="D8100" s="18">
        <v>2736572.91</v>
      </c>
      <c r="E8100" s="18">
        <v>376.22</v>
      </c>
      <c r="F8100" s="18">
        <v>41623.99</v>
      </c>
      <c r="G8100" s="18">
        <v>132050</v>
      </c>
      <c r="H8100" s="18">
        <f t="shared" si="180"/>
        <v>41453.99</v>
      </c>
      <c r="I8100" s="3"/>
    </row>
    <row r="8101" spans="1:9" s="4" customFormat="1" ht="20.25" customHeight="1" x14ac:dyDescent="0.55000000000000004">
      <c r="A8101" s="18">
        <v>24.733073900000001</v>
      </c>
      <c r="B8101" s="18">
        <v>34.788111200000003</v>
      </c>
      <c r="C8101" s="18">
        <v>680844.87</v>
      </c>
      <c r="D8101" s="18">
        <v>2736572.86</v>
      </c>
      <c r="E8101" s="18">
        <v>376.16</v>
      </c>
      <c r="F8101" s="18">
        <v>41694.720000000001</v>
      </c>
      <c r="G8101" s="18">
        <v>132052</v>
      </c>
      <c r="H8101" s="18">
        <f t="shared" si="180"/>
        <v>41524.720000000001</v>
      </c>
      <c r="I8101" s="3"/>
    </row>
    <row r="8102" spans="1:9" s="4" customFormat="1" ht="20.25" customHeight="1" x14ac:dyDescent="0.55000000000000004">
      <c r="A8102" s="18">
        <v>24.7330766</v>
      </c>
      <c r="B8102" s="18">
        <v>34.788137399999997</v>
      </c>
      <c r="C8102" s="18">
        <v>680847.51</v>
      </c>
      <c r="D8102" s="18">
        <v>2736573.2</v>
      </c>
      <c r="E8102" s="18">
        <v>376.24</v>
      </c>
      <c r="F8102" s="18">
        <v>41686.14</v>
      </c>
      <c r="G8102" s="18">
        <v>132054</v>
      </c>
      <c r="H8102" s="18">
        <f t="shared" si="180"/>
        <v>41516.14</v>
      </c>
      <c r="I8102" s="3"/>
    </row>
    <row r="8103" spans="1:9" s="4" customFormat="1" ht="20.25" customHeight="1" x14ac:dyDescent="0.55000000000000004">
      <c r="A8103" s="18">
        <v>24.733077699999999</v>
      </c>
      <c r="B8103" s="18">
        <v>34.788162700000001</v>
      </c>
      <c r="C8103" s="18">
        <v>680850.07</v>
      </c>
      <c r="D8103" s="18">
        <v>2736573.35</v>
      </c>
      <c r="E8103" s="18">
        <v>376.19</v>
      </c>
      <c r="F8103" s="18">
        <v>41675.26</v>
      </c>
      <c r="G8103" s="18">
        <v>132056</v>
      </c>
      <c r="H8103" s="18">
        <f t="shared" si="180"/>
        <v>41505.26</v>
      </c>
      <c r="I8103" s="3"/>
    </row>
    <row r="8104" spans="1:9" s="4" customFormat="1" ht="20.25" customHeight="1" x14ac:dyDescent="0.55000000000000004">
      <c r="A8104" s="18">
        <v>24.733077000000002</v>
      </c>
      <c r="B8104" s="18">
        <v>34.788187700000002</v>
      </c>
      <c r="C8104" s="18">
        <v>680852.59</v>
      </c>
      <c r="D8104" s="18">
        <v>2736573.31</v>
      </c>
      <c r="E8104" s="18">
        <v>376.11</v>
      </c>
      <c r="F8104" s="18">
        <v>41681.199999999997</v>
      </c>
      <c r="G8104" s="18">
        <v>132058</v>
      </c>
      <c r="H8104" s="18">
        <f t="shared" si="180"/>
        <v>41511.199999999997</v>
      </c>
      <c r="I8104" s="3"/>
    </row>
    <row r="8105" spans="1:9" s="4" customFormat="1" ht="20.25" customHeight="1" x14ac:dyDescent="0.55000000000000004">
      <c r="A8105" s="18">
        <v>24.733075899999999</v>
      </c>
      <c r="B8105" s="18">
        <v>34.788210800000002</v>
      </c>
      <c r="C8105" s="18">
        <v>680854.94</v>
      </c>
      <c r="D8105" s="18">
        <v>2736573.22</v>
      </c>
      <c r="E8105" s="18">
        <v>375.98</v>
      </c>
      <c r="F8105" s="18">
        <v>41695.15</v>
      </c>
      <c r="G8105" s="18">
        <v>132100</v>
      </c>
      <c r="H8105" s="18">
        <f t="shared" si="180"/>
        <v>41525.15</v>
      </c>
      <c r="I8105" s="3"/>
    </row>
    <row r="8106" spans="1:9" s="4" customFormat="1" ht="20.25" customHeight="1" x14ac:dyDescent="0.55000000000000004">
      <c r="A8106" s="18">
        <v>24.733069400000002</v>
      </c>
      <c r="B8106" s="18">
        <v>34.788233300000002</v>
      </c>
      <c r="C8106" s="18">
        <v>680857.22</v>
      </c>
      <c r="D8106" s="18">
        <v>2736572.53</v>
      </c>
      <c r="E8106" s="18">
        <v>375.81</v>
      </c>
      <c r="F8106" s="18">
        <v>41690.050000000003</v>
      </c>
      <c r="G8106" s="18">
        <v>132102</v>
      </c>
      <c r="H8106" s="18">
        <f t="shared" si="180"/>
        <v>41520.050000000003</v>
      </c>
      <c r="I8106" s="3"/>
    </row>
    <row r="8107" spans="1:9" s="4" customFormat="1" ht="20.25" customHeight="1" x14ac:dyDescent="0.55000000000000004">
      <c r="A8107" s="18">
        <v>24.733065499999999</v>
      </c>
      <c r="B8107" s="18">
        <v>34.788254799999997</v>
      </c>
      <c r="C8107" s="18">
        <v>680859.4</v>
      </c>
      <c r="D8107" s="18">
        <v>2736572.12</v>
      </c>
      <c r="E8107" s="18">
        <v>375.63</v>
      </c>
      <c r="F8107" s="18">
        <v>41686.29</v>
      </c>
      <c r="G8107" s="18">
        <v>132104</v>
      </c>
      <c r="H8107" s="18">
        <f t="shared" si="180"/>
        <v>41516.29</v>
      </c>
      <c r="I8107" s="3"/>
    </row>
    <row r="8108" spans="1:9" s="4" customFormat="1" ht="20.25" customHeight="1" x14ac:dyDescent="0.55000000000000004">
      <c r="A8108" s="18">
        <v>24.733068899999999</v>
      </c>
      <c r="B8108" s="18">
        <v>34.788279099999997</v>
      </c>
      <c r="C8108" s="18">
        <v>680861.86</v>
      </c>
      <c r="D8108" s="18">
        <v>2736572.53</v>
      </c>
      <c r="E8108" s="18">
        <v>375.39</v>
      </c>
      <c r="F8108" s="18">
        <v>41689.199999999997</v>
      </c>
      <c r="G8108" s="18">
        <v>132106</v>
      </c>
      <c r="H8108" s="18">
        <f t="shared" si="180"/>
        <v>41519.199999999997</v>
      </c>
      <c r="I8108" s="3"/>
    </row>
    <row r="8109" spans="1:9" s="4" customFormat="1" ht="20.25" customHeight="1" x14ac:dyDescent="0.55000000000000004">
      <c r="A8109" s="18">
        <v>24.733069</v>
      </c>
      <c r="B8109" s="18">
        <v>34.788298500000003</v>
      </c>
      <c r="C8109" s="18">
        <v>680863.82</v>
      </c>
      <c r="D8109" s="18">
        <v>2736572.57</v>
      </c>
      <c r="E8109" s="18">
        <v>375.1</v>
      </c>
      <c r="F8109" s="18">
        <v>41688.79</v>
      </c>
      <c r="G8109" s="18">
        <v>132108</v>
      </c>
      <c r="H8109" s="18">
        <f t="shared" si="180"/>
        <v>41518.79</v>
      </c>
      <c r="I8109" s="3"/>
    </row>
    <row r="8110" spans="1:9" s="4" customFormat="1" ht="20.25" customHeight="1" x14ac:dyDescent="0.55000000000000004">
      <c r="A8110" s="18">
        <v>24.733068299999999</v>
      </c>
      <c r="B8110" s="18">
        <v>34.788321400000001</v>
      </c>
      <c r="C8110" s="18">
        <v>680866.13</v>
      </c>
      <c r="D8110" s="18">
        <v>2736572.52</v>
      </c>
      <c r="E8110" s="18">
        <v>375.04</v>
      </c>
      <c r="F8110" s="18">
        <v>41687.019999999997</v>
      </c>
      <c r="G8110" s="18">
        <v>132110</v>
      </c>
      <c r="H8110" s="18">
        <f t="shared" si="180"/>
        <v>41517.019999999997</v>
      </c>
      <c r="I8110" s="3"/>
    </row>
    <row r="8111" spans="1:9" s="4" customFormat="1" ht="20.25" customHeight="1" x14ac:dyDescent="0.55000000000000004">
      <c r="A8111" s="18">
        <v>24.7330711</v>
      </c>
      <c r="B8111" s="18">
        <v>34.788341699999997</v>
      </c>
      <c r="C8111" s="18">
        <v>680868.19</v>
      </c>
      <c r="D8111" s="18">
        <v>2736572.86</v>
      </c>
      <c r="E8111" s="18">
        <v>374.78</v>
      </c>
      <c r="F8111" s="18">
        <v>41689.75</v>
      </c>
      <c r="G8111" s="18">
        <v>132112</v>
      </c>
      <c r="H8111" s="18">
        <f t="shared" si="180"/>
        <v>41519.75</v>
      </c>
      <c r="I8111" s="3"/>
    </row>
    <row r="8112" spans="1:9" s="4" customFormat="1" ht="20.25" customHeight="1" x14ac:dyDescent="0.55000000000000004">
      <c r="A8112" s="18">
        <v>24.7330647</v>
      </c>
      <c r="B8112" s="18">
        <v>34.788361500000001</v>
      </c>
      <c r="C8112" s="18">
        <v>680870.2</v>
      </c>
      <c r="D8112" s="18">
        <v>2736572.17</v>
      </c>
      <c r="E8112" s="18">
        <v>374.45</v>
      </c>
      <c r="F8112" s="18">
        <v>41685.46</v>
      </c>
      <c r="G8112" s="18">
        <v>132114</v>
      </c>
      <c r="H8112" s="18">
        <f t="shared" si="180"/>
        <v>41515.46</v>
      </c>
      <c r="I8112" s="3"/>
    </row>
    <row r="8113" spans="1:9" s="4" customFormat="1" ht="20.25" customHeight="1" x14ac:dyDescent="0.55000000000000004">
      <c r="A8113" s="18">
        <v>24.733057200000001</v>
      </c>
      <c r="B8113" s="18">
        <v>34.788386299999999</v>
      </c>
      <c r="C8113" s="18">
        <v>680872.72</v>
      </c>
      <c r="D8113" s="18">
        <v>2736571.38</v>
      </c>
      <c r="E8113" s="18">
        <v>374.42</v>
      </c>
      <c r="F8113" s="18">
        <v>41685.17</v>
      </c>
      <c r="G8113" s="18">
        <v>132116</v>
      </c>
      <c r="H8113" s="18">
        <f t="shared" si="180"/>
        <v>41515.17</v>
      </c>
      <c r="I8113" s="3"/>
    </row>
    <row r="8114" spans="1:9" s="4" customFormat="1" ht="20.25" customHeight="1" x14ac:dyDescent="0.55000000000000004">
      <c r="A8114" s="18">
        <v>24.733051400000001</v>
      </c>
      <c r="B8114" s="18">
        <v>34.788409399999999</v>
      </c>
      <c r="C8114" s="18">
        <v>680875.07</v>
      </c>
      <c r="D8114" s="18">
        <v>2736570.76</v>
      </c>
      <c r="E8114" s="18">
        <v>374.57</v>
      </c>
      <c r="F8114" s="18">
        <v>41684.49</v>
      </c>
      <c r="G8114" s="18">
        <v>132118</v>
      </c>
      <c r="H8114" s="18">
        <f t="shared" si="180"/>
        <v>41514.49</v>
      </c>
      <c r="I8114" s="3"/>
    </row>
    <row r="8115" spans="1:9" s="4" customFormat="1" ht="20.25" customHeight="1" x14ac:dyDescent="0.55000000000000004">
      <c r="A8115" s="18">
        <v>24.733049099999999</v>
      </c>
      <c r="B8115" s="18">
        <v>34.788430099999999</v>
      </c>
      <c r="C8115" s="18">
        <v>680877.16</v>
      </c>
      <c r="D8115" s="18">
        <v>2736570.54</v>
      </c>
      <c r="E8115" s="18">
        <v>374.68</v>
      </c>
      <c r="F8115" s="18">
        <v>41685.760000000002</v>
      </c>
      <c r="G8115" s="18">
        <v>132120</v>
      </c>
      <c r="H8115" s="18">
        <f t="shared" si="180"/>
        <v>41515.760000000002</v>
      </c>
      <c r="I8115" s="3"/>
    </row>
    <row r="8116" spans="1:9" s="4" customFormat="1" ht="20.25" customHeight="1" x14ac:dyDescent="0.55000000000000004">
      <c r="A8116" s="18">
        <v>24.7330459</v>
      </c>
      <c r="B8116" s="18">
        <v>34.7884539</v>
      </c>
      <c r="C8116" s="18">
        <v>680879.58</v>
      </c>
      <c r="D8116" s="18">
        <v>2736570.22</v>
      </c>
      <c r="E8116" s="18">
        <v>374.74</v>
      </c>
      <c r="F8116" s="18">
        <v>41694.18</v>
      </c>
      <c r="G8116" s="18">
        <v>132122</v>
      </c>
      <c r="H8116" s="18">
        <f t="shared" si="180"/>
        <v>41524.18</v>
      </c>
      <c r="I8116" s="3"/>
    </row>
    <row r="8117" spans="1:9" s="4" customFormat="1" ht="20.25" customHeight="1" x14ac:dyDescent="0.55000000000000004">
      <c r="A8117" s="18">
        <v>24.733044599999999</v>
      </c>
      <c r="B8117" s="18">
        <v>34.788474100000002</v>
      </c>
      <c r="C8117" s="18">
        <v>680881.62</v>
      </c>
      <c r="D8117" s="18">
        <v>2736570.1</v>
      </c>
      <c r="E8117" s="18">
        <v>374.76</v>
      </c>
      <c r="F8117" s="18">
        <v>41692.25</v>
      </c>
      <c r="G8117" s="18">
        <v>132124</v>
      </c>
      <c r="H8117" s="18">
        <f t="shared" si="180"/>
        <v>41522.25</v>
      </c>
      <c r="I8117" s="3"/>
    </row>
    <row r="8118" spans="1:9" s="4" customFormat="1" ht="20.25" customHeight="1" x14ac:dyDescent="0.55000000000000004">
      <c r="A8118" s="18">
        <v>24.7330474</v>
      </c>
      <c r="B8118" s="18">
        <v>34.788496100000003</v>
      </c>
      <c r="C8118" s="18">
        <v>680883.84</v>
      </c>
      <c r="D8118" s="18">
        <v>2736570.44</v>
      </c>
      <c r="E8118" s="18">
        <v>374.93</v>
      </c>
      <c r="F8118" s="18">
        <v>41688.129999999997</v>
      </c>
      <c r="G8118" s="18">
        <v>132126</v>
      </c>
      <c r="H8118" s="18">
        <f t="shared" si="180"/>
        <v>41518.129999999997</v>
      </c>
      <c r="I8118" s="3"/>
    </row>
    <row r="8119" spans="1:9" s="4" customFormat="1" ht="20.25" customHeight="1" x14ac:dyDescent="0.55000000000000004">
      <c r="A8119" s="18">
        <v>24.733049699999999</v>
      </c>
      <c r="B8119" s="18">
        <v>34.788519800000003</v>
      </c>
      <c r="C8119" s="18">
        <v>680886.23</v>
      </c>
      <c r="D8119" s="18">
        <v>2736570.73</v>
      </c>
      <c r="E8119" s="18">
        <v>374.91</v>
      </c>
      <c r="F8119" s="18">
        <v>41685.81</v>
      </c>
      <c r="G8119" s="18">
        <v>132128</v>
      </c>
      <c r="H8119" s="18">
        <f t="shared" si="180"/>
        <v>41515.81</v>
      </c>
      <c r="I8119" s="3"/>
    </row>
    <row r="8120" spans="1:9" s="4" customFormat="1" ht="20.25" customHeight="1" x14ac:dyDescent="0.55000000000000004">
      <c r="A8120" s="18">
        <v>24.733052699999998</v>
      </c>
      <c r="B8120" s="18">
        <v>34.788542399999997</v>
      </c>
      <c r="C8120" s="18">
        <v>680888.51</v>
      </c>
      <c r="D8120" s="18">
        <v>2736571.09</v>
      </c>
      <c r="E8120" s="18">
        <v>374.92</v>
      </c>
      <c r="F8120" s="18">
        <v>41685.58</v>
      </c>
      <c r="G8120" s="18">
        <v>132130</v>
      </c>
      <c r="H8120" s="18">
        <f t="shared" si="180"/>
        <v>41515.58</v>
      </c>
      <c r="I8120" s="3"/>
    </row>
    <row r="8121" spans="1:9" s="4" customFormat="1" ht="20.25" customHeight="1" x14ac:dyDescent="0.55000000000000004">
      <c r="A8121" s="18">
        <v>24.733056099999999</v>
      </c>
      <c r="B8121" s="18">
        <v>34.788564899999997</v>
      </c>
      <c r="C8121" s="18">
        <v>680890.79</v>
      </c>
      <c r="D8121" s="18">
        <v>2736571.49</v>
      </c>
      <c r="E8121" s="18">
        <v>374.91</v>
      </c>
      <c r="F8121" s="18">
        <v>41681.269999999997</v>
      </c>
      <c r="G8121" s="18">
        <v>132132</v>
      </c>
      <c r="H8121" s="18">
        <f t="shared" si="180"/>
        <v>41511.269999999997</v>
      </c>
      <c r="I8121" s="3"/>
    </row>
    <row r="8122" spans="1:9" s="4" customFormat="1" ht="20.25" customHeight="1" x14ac:dyDescent="0.55000000000000004">
      <c r="A8122" s="18">
        <v>24.733060099999999</v>
      </c>
      <c r="B8122" s="18">
        <v>34.788590300000003</v>
      </c>
      <c r="C8122" s="18">
        <v>680893.35</v>
      </c>
      <c r="D8122" s="18">
        <v>2736571.96</v>
      </c>
      <c r="E8122" s="18">
        <v>374.93</v>
      </c>
      <c r="F8122" s="18">
        <v>41683.06</v>
      </c>
      <c r="G8122" s="18">
        <v>132134</v>
      </c>
      <c r="H8122" s="18">
        <f t="shared" si="180"/>
        <v>41513.06</v>
      </c>
      <c r="I8122" s="3"/>
    </row>
    <row r="8123" spans="1:9" s="4" customFormat="1" ht="20.25" customHeight="1" x14ac:dyDescent="0.55000000000000004">
      <c r="A8123" s="18">
        <v>24.733063900000001</v>
      </c>
      <c r="B8123" s="18">
        <v>34.788613300000002</v>
      </c>
      <c r="C8123" s="18">
        <v>680895.67</v>
      </c>
      <c r="D8123" s="18">
        <v>2736572.42</v>
      </c>
      <c r="E8123" s="18">
        <v>374.96</v>
      </c>
      <c r="F8123" s="18">
        <v>41683.03</v>
      </c>
      <c r="G8123" s="18">
        <v>132136</v>
      </c>
      <c r="H8123" s="18">
        <f t="shared" si="180"/>
        <v>41513.03</v>
      </c>
      <c r="I8123" s="3"/>
    </row>
    <row r="8124" spans="1:9" s="4" customFormat="1" ht="20.25" customHeight="1" x14ac:dyDescent="0.55000000000000004">
      <c r="A8124" s="18">
        <v>24.733067500000001</v>
      </c>
      <c r="B8124" s="18">
        <v>34.788637899999998</v>
      </c>
      <c r="C8124" s="18">
        <v>680898.16</v>
      </c>
      <c r="D8124" s="18">
        <v>2736572.85</v>
      </c>
      <c r="E8124" s="18">
        <v>374.98</v>
      </c>
      <c r="F8124" s="18">
        <v>41683.019999999997</v>
      </c>
      <c r="G8124" s="18">
        <v>132138</v>
      </c>
      <c r="H8124" s="18">
        <f t="shared" si="180"/>
        <v>41513.019999999997</v>
      </c>
      <c r="I8124" s="3"/>
    </row>
    <row r="8125" spans="1:9" s="4" customFormat="1" ht="20.25" customHeight="1" x14ac:dyDescent="0.55000000000000004">
      <c r="A8125" s="18">
        <v>24.733071200000001</v>
      </c>
      <c r="B8125" s="18">
        <v>34.788660299999997</v>
      </c>
      <c r="C8125" s="18">
        <v>680900.42</v>
      </c>
      <c r="D8125" s="18">
        <v>2736573.29</v>
      </c>
      <c r="E8125" s="18">
        <v>375.09</v>
      </c>
      <c r="F8125" s="18">
        <v>41683.07</v>
      </c>
      <c r="G8125" s="18">
        <v>132140</v>
      </c>
      <c r="H8125" s="18">
        <f t="shared" si="180"/>
        <v>41513.07</v>
      </c>
      <c r="I8125" s="3"/>
    </row>
    <row r="8126" spans="1:9" s="4" customFormat="1" ht="20.25" customHeight="1" x14ac:dyDescent="0.55000000000000004">
      <c r="A8126" s="18">
        <v>24.733076499999999</v>
      </c>
      <c r="B8126" s="18">
        <v>34.788683399999996</v>
      </c>
      <c r="C8126" s="18">
        <v>680902.74</v>
      </c>
      <c r="D8126" s="18">
        <v>2736573.91</v>
      </c>
      <c r="E8126" s="18">
        <v>375.03</v>
      </c>
      <c r="F8126" s="18">
        <v>41684.339999999997</v>
      </c>
      <c r="G8126" s="18">
        <v>132142</v>
      </c>
      <c r="H8126" s="18">
        <f t="shared" si="180"/>
        <v>41514.339999999997</v>
      </c>
      <c r="I8126" s="3"/>
    </row>
    <row r="8127" spans="1:9" s="4" customFormat="1" ht="20.25" customHeight="1" x14ac:dyDescent="0.55000000000000004">
      <c r="A8127" s="18">
        <v>24.733077900000001</v>
      </c>
      <c r="B8127" s="18">
        <v>34.788707799999997</v>
      </c>
      <c r="C8127" s="18">
        <v>680905.21</v>
      </c>
      <c r="D8127" s="18">
        <v>2736574.1</v>
      </c>
      <c r="E8127" s="18">
        <v>375.05</v>
      </c>
      <c r="F8127" s="18">
        <v>41684.92</v>
      </c>
      <c r="G8127" s="18">
        <v>132144</v>
      </c>
      <c r="H8127" s="18">
        <f t="shared" si="180"/>
        <v>41514.92</v>
      </c>
      <c r="I8127" s="3"/>
    </row>
    <row r="8128" spans="1:9" s="4" customFormat="1" ht="20.25" customHeight="1" x14ac:dyDescent="0.55000000000000004">
      <c r="A8128" s="18">
        <v>24.7330741</v>
      </c>
      <c r="B8128" s="18">
        <v>34.788730899999997</v>
      </c>
      <c r="C8128" s="18">
        <v>680907.56</v>
      </c>
      <c r="D8128" s="18">
        <v>2736573.7</v>
      </c>
      <c r="E8128" s="18">
        <v>375.04</v>
      </c>
      <c r="F8128" s="18">
        <v>41684.92</v>
      </c>
      <c r="G8128" s="18">
        <v>132146</v>
      </c>
      <c r="H8128" s="18">
        <f t="shared" si="180"/>
        <v>41514.92</v>
      </c>
      <c r="I8128" s="3"/>
    </row>
    <row r="8129" spans="1:9" s="4" customFormat="1" ht="20.25" customHeight="1" x14ac:dyDescent="0.55000000000000004">
      <c r="A8129" s="18">
        <v>24.733069499999999</v>
      </c>
      <c r="B8129" s="18">
        <v>34.788755899999998</v>
      </c>
      <c r="C8129" s="18">
        <v>680910.09</v>
      </c>
      <c r="D8129" s="18">
        <v>2736573.22</v>
      </c>
      <c r="E8129" s="18">
        <v>375.06</v>
      </c>
      <c r="F8129" s="18">
        <v>41681.22</v>
      </c>
      <c r="G8129" s="18">
        <v>132148</v>
      </c>
      <c r="H8129" s="18">
        <f t="shared" si="180"/>
        <v>41511.22</v>
      </c>
      <c r="I8129" s="3"/>
    </row>
    <row r="8130" spans="1:9" s="4" customFormat="1" ht="20.25" customHeight="1" x14ac:dyDescent="0.55000000000000004">
      <c r="A8130" s="18">
        <v>24.7330638</v>
      </c>
      <c r="B8130" s="18">
        <v>34.788779699999999</v>
      </c>
      <c r="C8130" s="18">
        <v>680912.5</v>
      </c>
      <c r="D8130" s="18">
        <v>2736572.63</v>
      </c>
      <c r="E8130" s="18">
        <v>375.13</v>
      </c>
      <c r="F8130" s="18">
        <v>41679.599999999999</v>
      </c>
      <c r="G8130" s="18">
        <v>132150</v>
      </c>
      <c r="H8130" s="18">
        <f t="shared" si="180"/>
        <v>41509.599999999999</v>
      </c>
      <c r="I8130" s="3"/>
    </row>
    <row r="8131" spans="1:9" s="4" customFormat="1" ht="20.25" customHeight="1" x14ac:dyDescent="0.55000000000000004">
      <c r="A8131" s="18">
        <v>24.733060200000001</v>
      </c>
      <c r="B8131" s="18">
        <v>34.788801599999999</v>
      </c>
      <c r="C8131" s="18">
        <v>680914.72</v>
      </c>
      <c r="D8131" s="18">
        <v>2736572.26</v>
      </c>
      <c r="E8131" s="18">
        <v>375.18</v>
      </c>
      <c r="F8131" s="18">
        <v>41679.040000000001</v>
      </c>
      <c r="G8131" s="18">
        <v>132152</v>
      </c>
      <c r="H8131" s="18">
        <f t="shared" si="180"/>
        <v>41509.040000000001</v>
      </c>
      <c r="I8131" s="3"/>
    </row>
    <row r="8132" spans="1:9" s="4" customFormat="1" ht="20.25" customHeight="1" x14ac:dyDescent="0.55000000000000004">
      <c r="A8132" s="18">
        <v>24.733063099999999</v>
      </c>
      <c r="B8132" s="18">
        <v>34.788822799999998</v>
      </c>
      <c r="C8132" s="18">
        <v>680916.87</v>
      </c>
      <c r="D8132" s="18">
        <v>2736572.61</v>
      </c>
      <c r="E8132" s="18">
        <v>374.94</v>
      </c>
      <c r="F8132" s="18">
        <v>41678.480000000003</v>
      </c>
      <c r="G8132" s="18">
        <v>132154</v>
      </c>
      <c r="H8132" s="18">
        <f t="shared" si="180"/>
        <v>41508.480000000003</v>
      </c>
      <c r="I8132" s="3"/>
    </row>
    <row r="8133" spans="1:9" s="4" customFormat="1" ht="20.25" customHeight="1" x14ac:dyDescent="0.55000000000000004">
      <c r="A8133" s="18">
        <v>24.733066099999998</v>
      </c>
      <c r="B8133" s="18">
        <v>34.788846700000001</v>
      </c>
      <c r="C8133" s="18">
        <v>680919.27</v>
      </c>
      <c r="D8133" s="18">
        <v>2736572.98</v>
      </c>
      <c r="E8133" s="18">
        <v>374.99</v>
      </c>
      <c r="F8133" s="18">
        <v>41681.519999999997</v>
      </c>
      <c r="G8133" s="18">
        <v>132156</v>
      </c>
      <c r="H8133" s="18">
        <f t="shared" si="180"/>
        <v>41511.519999999997</v>
      </c>
      <c r="I8133" s="3"/>
    </row>
    <row r="8134" spans="1:9" s="4" customFormat="1" ht="20.25" customHeight="1" x14ac:dyDescent="0.55000000000000004">
      <c r="A8134" s="18">
        <v>24.733067800000001</v>
      </c>
      <c r="B8134" s="18">
        <v>34.788868299999997</v>
      </c>
      <c r="C8134" s="18">
        <v>680921.46</v>
      </c>
      <c r="D8134" s="18">
        <v>2736573.19</v>
      </c>
      <c r="E8134" s="18">
        <v>375.12</v>
      </c>
      <c r="F8134" s="18">
        <v>41682.230000000003</v>
      </c>
      <c r="G8134" s="18">
        <v>132158</v>
      </c>
      <c r="H8134" s="18">
        <f t="shared" si="180"/>
        <v>41512.230000000003</v>
      </c>
      <c r="I8134" s="3"/>
    </row>
    <row r="8135" spans="1:9" s="4" customFormat="1" ht="20.25" customHeight="1" x14ac:dyDescent="0.55000000000000004">
      <c r="A8135" s="18">
        <v>24.7330717</v>
      </c>
      <c r="B8135" s="18">
        <v>34.788889099999999</v>
      </c>
      <c r="C8135" s="18">
        <v>680923.56</v>
      </c>
      <c r="D8135" s="18">
        <v>2736573.65</v>
      </c>
      <c r="E8135" s="18">
        <v>375.16</v>
      </c>
      <c r="F8135" s="18">
        <v>41679.97</v>
      </c>
      <c r="G8135" s="18">
        <v>132200</v>
      </c>
      <c r="H8135" s="18">
        <f t="shared" si="180"/>
        <v>41509.97</v>
      </c>
      <c r="I8135" s="3"/>
    </row>
    <row r="8136" spans="1:9" s="4" customFormat="1" ht="20.25" customHeight="1" x14ac:dyDescent="0.55000000000000004">
      <c r="A8136" s="18">
        <v>24.7330744</v>
      </c>
      <c r="B8136" s="18">
        <v>34.7889117</v>
      </c>
      <c r="C8136" s="18">
        <v>680925.84</v>
      </c>
      <c r="D8136" s="18">
        <v>2736573.97</v>
      </c>
      <c r="E8136" s="18">
        <v>375.11</v>
      </c>
      <c r="F8136" s="18">
        <v>41677.83</v>
      </c>
      <c r="G8136" s="18">
        <v>132202</v>
      </c>
      <c r="H8136" s="18">
        <f t="shared" si="180"/>
        <v>41507.83</v>
      </c>
      <c r="I8136" s="3"/>
    </row>
    <row r="8137" spans="1:9" s="4" customFormat="1" ht="20.25" customHeight="1" x14ac:dyDescent="0.55000000000000004">
      <c r="A8137" s="18">
        <v>24.7330787</v>
      </c>
      <c r="B8137" s="18">
        <v>34.788936300000003</v>
      </c>
      <c r="C8137" s="18">
        <v>680928.32</v>
      </c>
      <c r="D8137" s="18">
        <v>2736574.49</v>
      </c>
      <c r="E8137" s="18">
        <v>375.14</v>
      </c>
      <c r="F8137" s="18">
        <v>41675.67</v>
      </c>
      <c r="G8137" s="18">
        <v>132204</v>
      </c>
      <c r="H8137" s="18">
        <f t="shared" si="180"/>
        <v>41505.67</v>
      </c>
      <c r="I8137" s="3"/>
    </row>
    <row r="8138" spans="1:9" s="4" customFormat="1" ht="20.25" customHeight="1" x14ac:dyDescent="0.55000000000000004">
      <c r="A8138" s="18">
        <v>24.7330772</v>
      </c>
      <c r="B8138" s="18">
        <v>34.7889591</v>
      </c>
      <c r="C8138" s="18">
        <v>680930.63</v>
      </c>
      <c r="D8138" s="18">
        <v>2736574.35</v>
      </c>
      <c r="E8138" s="18">
        <v>375.08</v>
      </c>
      <c r="F8138" s="18">
        <v>41678</v>
      </c>
      <c r="G8138" s="18">
        <v>132206</v>
      </c>
      <c r="H8138" s="18">
        <f t="shared" si="180"/>
        <v>41508</v>
      </c>
      <c r="I8138" s="3"/>
    </row>
    <row r="8139" spans="1:9" s="4" customFormat="1" ht="20.25" customHeight="1" x14ac:dyDescent="0.55000000000000004">
      <c r="A8139" s="18">
        <v>24.733072</v>
      </c>
      <c r="B8139" s="18">
        <v>34.788981499999998</v>
      </c>
      <c r="C8139" s="18">
        <v>680932.91</v>
      </c>
      <c r="D8139" s="18">
        <v>2736573.8</v>
      </c>
      <c r="E8139" s="18">
        <v>375.06</v>
      </c>
      <c r="F8139" s="18">
        <v>41675.47</v>
      </c>
      <c r="G8139" s="18">
        <v>132208</v>
      </c>
      <c r="H8139" s="18">
        <f t="shared" si="180"/>
        <v>41505.47</v>
      </c>
      <c r="I8139" s="3"/>
    </row>
    <row r="8140" spans="1:9" s="4" customFormat="1" ht="20.25" customHeight="1" x14ac:dyDescent="0.55000000000000004">
      <c r="A8140" s="18">
        <v>24.733073699999998</v>
      </c>
      <c r="B8140" s="18">
        <v>34.789005199999998</v>
      </c>
      <c r="C8140" s="18">
        <v>680935.3</v>
      </c>
      <c r="D8140" s="18">
        <v>2736574.03</v>
      </c>
      <c r="E8140" s="18">
        <v>375.09</v>
      </c>
      <c r="F8140" s="18">
        <v>41678.76</v>
      </c>
      <c r="G8140" s="18">
        <v>132210</v>
      </c>
      <c r="H8140" s="18">
        <f t="shared" si="180"/>
        <v>41508.76</v>
      </c>
      <c r="I8140" s="3"/>
    </row>
    <row r="8141" spans="1:9" s="4" customFormat="1" ht="20.25" customHeight="1" x14ac:dyDescent="0.55000000000000004">
      <c r="A8141" s="18">
        <v>24.733075100000001</v>
      </c>
      <c r="B8141" s="18">
        <v>34.789027599999997</v>
      </c>
      <c r="C8141" s="18">
        <v>680937.56</v>
      </c>
      <c r="D8141" s="18">
        <v>2736574.21</v>
      </c>
      <c r="E8141" s="18">
        <v>375.14</v>
      </c>
      <c r="F8141" s="18">
        <v>41676.94</v>
      </c>
      <c r="G8141" s="18">
        <v>132212</v>
      </c>
      <c r="H8141" s="18">
        <f t="shared" si="180"/>
        <v>41506.94</v>
      </c>
      <c r="I8141" s="3"/>
    </row>
    <row r="8142" spans="1:9" s="4" customFormat="1" ht="20.25" customHeight="1" x14ac:dyDescent="0.55000000000000004">
      <c r="A8142" s="18">
        <v>24.7330799</v>
      </c>
      <c r="B8142" s="18">
        <v>34.789050899999999</v>
      </c>
      <c r="C8142" s="18">
        <v>680939.92</v>
      </c>
      <c r="D8142" s="18">
        <v>2736574.77</v>
      </c>
      <c r="E8142" s="18">
        <v>375.09</v>
      </c>
      <c r="F8142" s="18">
        <v>41675.599999999999</v>
      </c>
      <c r="G8142" s="18">
        <v>132214</v>
      </c>
      <c r="H8142" s="18">
        <f t="shared" si="180"/>
        <v>41505.599999999999</v>
      </c>
      <c r="I8142" s="3"/>
    </row>
    <row r="8143" spans="1:9" s="4" customFormat="1" ht="20.25" customHeight="1" x14ac:dyDescent="0.55000000000000004">
      <c r="A8143" s="18">
        <v>24.733087000000001</v>
      </c>
      <c r="B8143" s="18">
        <v>34.789076600000001</v>
      </c>
      <c r="C8143" s="18">
        <v>680942.51</v>
      </c>
      <c r="D8143" s="18">
        <v>2736575.58</v>
      </c>
      <c r="E8143" s="18">
        <v>374.98</v>
      </c>
      <c r="F8143" s="18">
        <v>41677.68</v>
      </c>
      <c r="G8143" s="18">
        <v>132216</v>
      </c>
      <c r="H8143" s="18">
        <f t="shared" si="180"/>
        <v>41507.68</v>
      </c>
      <c r="I8143" s="3"/>
    </row>
    <row r="8144" spans="1:9" s="4" customFormat="1" ht="20.25" customHeight="1" x14ac:dyDescent="0.55000000000000004">
      <c r="A8144" s="18">
        <v>24.733089499999998</v>
      </c>
      <c r="B8144" s="18">
        <v>34.789100900000001</v>
      </c>
      <c r="C8144" s="18">
        <v>680944.96</v>
      </c>
      <c r="D8144" s="18">
        <v>2736575.9</v>
      </c>
      <c r="E8144" s="18">
        <v>375.06</v>
      </c>
      <c r="F8144" s="18">
        <v>41680.71</v>
      </c>
      <c r="G8144" s="18">
        <v>132218</v>
      </c>
      <c r="H8144" s="18">
        <f t="shared" si="180"/>
        <v>41510.71</v>
      </c>
      <c r="I8144" s="3"/>
    </row>
    <row r="8145" spans="1:9" s="4" customFormat="1" ht="20.25" customHeight="1" x14ac:dyDescent="0.55000000000000004">
      <c r="A8145" s="18">
        <v>24.7330884</v>
      </c>
      <c r="B8145" s="18">
        <v>34.789125599999998</v>
      </c>
      <c r="C8145" s="18">
        <v>680947.46</v>
      </c>
      <c r="D8145" s="18">
        <v>2736575.81</v>
      </c>
      <c r="E8145" s="18">
        <v>375.15</v>
      </c>
      <c r="F8145" s="18">
        <v>41682.51</v>
      </c>
      <c r="G8145" s="18">
        <v>132220</v>
      </c>
      <c r="H8145" s="18">
        <f t="shared" si="180"/>
        <v>41512.51</v>
      </c>
      <c r="I8145" s="3"/>
    </row>
    <row r="8146" spans="1:9" s="4" customFormat="1" ht="20.25" customHeight="1" x14ac:dyDescent="0.55000000000000004">
      <c r="A8146" s="18">
        <v>24.733085599999999</v>
      </c>
      <c r="B8146" s="18">
        <v>34.789150399999997</v>
      </c>
      <c r="C8146" s="18">
        <v>680949.98</v>
      </c>
      <c r="D8146" s="18">
        <v>2736575.53</v>
      </c>
      <c r="E8146" s="18">
        <v>375.25</v>
      </c>
      <c r="F8146" s="18">
        <v>41677.949999999997</v>
      </c>
      <c r="G8146" s="18">
        <v>132222</v>
      </c>
      <c r="H8146" s="18">
        <f t="shared" si="180"/>
        <v>41507.949999999997</v>
      </c>
      <c r="I8146" s="3"/>
    </row>
    <row r="8147" spans="1:9" s="4" customFormat="1" ht="20.25" customHeight="1" x14ac:dyDescent="0.55000000000000004">
      <c r="A8147" s="18">
        <v>24.733082499999998</v>
      </c>
      <c r="B8147" s="18">
        <v>34.789170800000001</v>
      </c>
      <c r="C8147" s="18">
        <v>680952.04</v>
      </c>
      <c r="D8147" s="18">
        <v>2736575.22</v>
      </c>
      <c r="E8147" s="18">
        <v>375.31</v>
      </c>
      <c r="F8147" s="18">
        <v>41677.879999999997</v>
      </c>
      <c r="G8147" s="18">
        <v>132224</v>
      </c>
      <c r="H8147" s="18">
        <f t="shared" si="180"/>
        <v>41507.879999999997</v>
      </c>
      <c r="I8147" s="3"/>
    </row>
    <row r="8148" spans="1:9" s="4" customFormat="1" ht="20.25" customHeight="1" x14ac:dyDescent="0.55000000000000004">
      <c r="A8148" s="18">
        <v>24.733083600000001</v>
      </c>
      <c r="B8148" s="18">
        <v>34.789192900000003</v>
      </c>
      <c r="C8148" s="18">
        <v>680954.27</v>
      </c>
      <c r="D8148" s="18">
        <v>2736575.37</v>
      </c>
      <c r="E8148" s="18">
        <v>375.31</v>
      </c>
      <c r="F8148" s="18">
        <v>41677.279999999999</v>
      </c>
      <c r="G8148" s="18">
        <v>132226</v>
      </c>
      <c r="H8148" s="18">
        <f t="shared" ref="H8148:H8196" si="181">SUM(F8148-170)</f>
        <v>41507.279999999999</v>
      </c>
      <c r="I8148" s="3"/>
    </row>
    <row r="8149" spans="1:9" s="4" customFormat="1" ht="20.25" customHeight="1" x14ac:dyDescent="0.55000000000000004">
      <c r="A8149" s="18">
        <v>24.7330857</v>
      </c>
      <c r="B8149" s="18">
        <v>34.789214200000004</v>
      </c>
      <c r="C8149" s="18">
        <v>680956.43</v>
      </c>
      <c r="D8149" s="18">
        <v>2736575.63</v>
      </c>
      <c r="E8149" s="18">
        <v>375.36</v>
      </c>
      <c r="F8149" s="18">
        <v>41675.919999999998</v>
      </c>
      <c r="G8149" s="18">
        <v>132228</v>
      </c>
      <c r="H8149" s="18">
        <f t="shared" si="181"/>
        <v>41505.919999999998</v>
      </c>
      <c r="I8149" s="3"/>
    </row>
    <row r="8150" spans="1:9" s="4" customFormat="1" ht="20.25" customHeight="1" x14ac:dyDescent="0.55000000000000004">
      <c r="A8150" s="18">
        <v>24.733089199999998</v>
      </c>
      <c r="B8150" s="18">
        <v>34.7892364</v>
      </c>
      <c r="C8150" s="18">
        <v>680958.67</v>
      </c>
      <c r="D8150" s="18">
        <v>2736576.05</v>
      </c>
      <c r="E8150" s="18">
        <v>375.37</v>
      </c>
      <c r="F8150" s="18">
        <v>41679.22</v>
      </c>
      <c r="G8150" s="18">
        <v>132230</v>
      </c>
      <c r="H8150" s="18">
        <f t="shared" si="181"/>
        <v>41509.22</v>
      </c>
      <c r="I8150" s="3"/>
    </row>
    <row r="8151" spans="1:9" s="4" customFormat="1" ht="20.25" customHeight="1" x14ac:dyDescent="0.55000000000000004">
      <c r="A8151" s="18">
        <v>24.733090300000001</v>
      </c>
      <c r="B8151" s="18">
        <v>34.789248800000003</v>
      </c>
      <c r="C8151" s="18">
        <v>680959.92</v>
      </c>
      <c r="D8151" s="18">
        <v>2736576.18</v>
      </c>
      <c r="E8151" s="18">
        <v>375.52</v>
      </c>
      <c r="F8151" s="18">
        <v>41682.550000000003</v>
      </c>
      <c r="G8151" s="18">
        <v>132232</v>
      </c>
      <c r="H8151" s="18">
        <f t="shared" si="181"/>
        <v>41512.550000000003</v>
      </c>
      <c r="I8151" s="3"/>
    </row>
    <row r="8152" spans="1:9" s="4" customFormat="1" ht="20.25" customHeight="1" x14ac:dyDescent="0.55000000000000004">
      <c r="A8152" s="18">
        <v>24.733090700000002</v>
      </c>
      <c r="B8152" s="18">
        <v>34.789261199999999</v>
      </c>
      <c r="C8152" s="18">
        <v>680961.18</v>
      </c>
      <c r="D8152" s="18">
        <v>2736576.24</v>
      </c>
      <c r="E8152" s="18">
        <v>375.54</v>
      </c>
      <c r="F8152" s="18">
        <v>41679.769999999997</v>
      </c>
      <c r="G8152" s="18">
        <v>132234</v>
      </c>
      <c r="H8152" s="18">
        <f t="shared" si="181"/>
        <v>41509.769999999997</v>
      </c>
      <c r="I8152" s="3"/>
    </row>
    <row r="8153" spans="1:9" s="4" customFormat="1" ht="20.25" customHeight="1" x14ac:dyDescent="0.55000000000000004">
      <c r="A8153" s="18">
        <v>24.733088599999999</v>
      </c>
      <c r="B8153" s="18">
        <v>34.7892735</v>
      </c>
      <c r="C8153" s="18">
        <v>680962.42</v>
      </c>
      <c r="D8153" s="18">
        <v>2736576.03</v>
      </c>
      <c r="E8153" s="18">
        <v>375.5</v>
      </c>
      <c r="F8153" s="18">
        <v>41678.910000000003</v>
      </c>
      <c r="G8153" s="18">
        <v>132236</v>
      </c>
      <c r="H8153" s="18">
        <f t="shared" si="181"/>
        <v>41508.910000000003</v>
      </c>
      <c r="I8153" s="3"/>
    </row>
    <row r="8154" spans="1:9" s="4" customFormat="1" ht="20.25" customHeight="1" x14ac:dyDescent="0.55000000000000004">
      <c r="A8154" s="18">
        <v>24.733092899999999</v>
      </c>
      <c r="B8154" s="18">
        <v>34.789296499999999</v>
      </c>
      <c r="C8154" s="18">
        <v>680964.74</v>
      </c>
      <c r="D8154" s="18">
        <v>2736576.53</v>
      </c>
      <c r="E8154" s="18">
        <v>375.34</v>
      </c>
      <c r="F8154" s="18">
        <v>41683.74</v>
      </c>
      <c r="G8154" s="18">
        <v>132238</v>
      </c>
      <c r="H8154" s="18">
        <f t="shared" si="181"/>
        <v>41513.74</v>
      </c>
      <c r="I8154" s="3"/>
    </row>
    <row r="8155" spans="1:9" s="4" customFormat="1" ht="20.25" customHeight="1" x14ac:dyDescent="0.55000000000000004">
      <c r="A8155" s="18">
        <v>24.7330936</v>
      </c>
      <c r="B8155" s="18">
        <v>34.7893203</v>
      </c>
      <c r="C8155" s="18">
        <v>680967.15</v>
      </c>
      <c r="D8155" s="18">
        <v>2736576.64</v>
      </c>
      <c r="E8155" s="18">
        <v>375.35</v>
      </c>
      <c r="F8155" s="18">
        <v>41683.54</v>
      </c>
      <c r="G8155" s="18">
        <v>132240</v>
      </c>
      <c r="H8155" s="18">
        <f t="shared" si="181"/>
        <v>41513.54</v>
      </c>
      <c r="I8155" s="3"/>
    </row>
    <row r="8156" spans="1:9" s="4" customFormat="1" ht="20.25" customHeight="1" x14ac:dyDescent="0.55000000000000004">
      <c r="A8156" s="18">
        <v>24.733097300000001</v>
      </c>
      <c r="B8156" s="18">
        <v>34.789342699999999</v>
      </c>
      <c r="C8156" s="18">
        <v>680969.41</v>
      </c>
      <c r="D8156" s="18">
        <v>2736577.08</v>
      </c>
      <c r="E8156" s="18">
        <v>375.11</v>
      </c>
      <c r="F8156" s="18">
        <v>41683.230000000003</v>
      </c>
      <c r="G8156" s="18">
        <v>132242</v>
      </c>
      <c r="H8156" s="18">
        <f t="shared" si="181"/>
        <v>41513.230000000003</v>
      </c>
      <c r="I8156" s="3"/>
    </row>
    <row r="8157" spans="1:9" s="4" customFormat="1" ht="20.25" customHeight="1" x14ac:dyDescent="0.55000000000000004">
      <c r="A8157" s="18">
        <v>24.733098500000001</v>
      </c>
      <c r="B8157" s="18">
        <v>34.789365500000002</v>
      </c>
      <c r="C8157" s="18">
        <v>680971.72</v>
      </c>
      <c r="D8157" s="18">
        <v>2736577.25</v>
      </c>
      <c r="E8157" s="18">
        <v>375.19</v>
      </c>
      <c r="F8157" s="18">
        <v>41683.839999999997</v>
      </c>
      <c r="G8157" s="18">
        <v>132244</v>
      </c>
      <c r="H8157" s="18">
        <f t="shared" si="181"/>
        <v>41513.839999999997</v>
      </c>
      <c r="I8157" s="3"/>
    </row>
    <row r="8158" spans="1:9" s="4" customFormat="1" ht="20.25" customHeight="1" x14ac:dyDescent="0.55000000000000004">
      <c r="A8158" s="18">
        <v>24.733096100000001</v>
      </c>
      <c r="B8158" s="18">
        <v>34.7893854</v>
      </c>
      <c r="C8158" s="18">
        <v>680973.73</v>
      </c>
      <c r="D8158" s="18">
        <v>2736577.01</v>
      </c>
      <c r="E8158" s="18">
        <v>375.31</v>
      </c>
      <c r="F8158" s="18">
        <v>41683.54</v>
      </c>
      <c r="G8158" s="18">
        <v>132246</v>
      </c>
      <c r="H8158" s="18">
        <f t="shared" si="181"/>
        <v>41513.54</v>
      </c>
      <c r="I8158" s="3"/>
    </row>
    <row r="8159" spans="1:9" s="4" customFormat="1" ht="20.25" customHeight="1" x14ac:dyDescent="0.55000000000000004">
      <c r="A8159" s="18">
        <v>24.733094000000001</v>
      </c>
      <c r="B8159" s="18">
        <v>34.789407400000002</v>
      </c>
      <c r="C8159" s="18">
        <v>680975.95</v>
      </c>
      <c r="D8159" s="18">
        <v>2736576.8</v>
      </c>
      <c r="E8159" s="18">
        <v>375.2</v>
      </c>
      <c r="F8159" s="18">
        <v>41686.76</v>
      </c>
      <c r="G8159" s="18">
        <v>132248</v>
      </c>
      <c r="H8159" s="18">
        <f t="shared" si="181"/>
        <v>41516.76</v>
      </c>
      <c r="I8159" s="3"/>
    </row>
    <row r="8160" spans="1:9" s="4" customFormat="1" ht="20.25" customHeight="1" x14ac:dyDescent="0.55000000000000004">
      <c r="A8160" s="18">
        <v>24.733091399999999</v>
      </c>
      <c r="B8160" s="18">
        <v>34.789431299999997</v>
      </c>
      <c r="C8160" s="18">
        <v>680978.38</v>
      </c>
      <c r="D8160" s="18">
        <v>2736576.55</v>
      </c>
      <c r="E8160" s="18">
        <v>375.15</v>
      </c>
      <c r="F8160" s="18">
        <v>41690.97</v>
      </c>
      <c r="G8160" s="18">
        <v>132250</v>
      </c>
      <c r="H8160" s="18">
        <f t="shared" si="181"/>
        <v>41520.97</v>
      </c>
      <c r="I8160" s="3"/>
    </row>
    <row r="8161" spans="1:9" s="4" customFormat="1" ht="20.25" customHeight="1" x14ac:dyDescent="0.55000000000000004">
      <c r="A8161" s="18">
        <v>24.733087999999999</v>
      </c>
      <c r="B8161" s="18">
        <v>34.789455799999999</v>
      </c>
      <c r="C8161" s="18">
        <v>680980.87</v>
      </c>
      <c r="D8161" s="18">
        <v>2736576.2</v>
      </c>
      <c r="E8161" s="18">
        <v>375.16</v>
      </c>
      <c r="F8161" s="18">
        <v>41690.639999999999</v>
      </c>
      <c r="G8161" s="18">
        <v>132252</v>
      </c>
      <c r="H8161" s="18">
        <f t="shared" si="181"/>
        <v>41520.639999999999</v>
      </c>
      <c r="I8161" s="3"/>
    </row>
    <row r="8162" spans="1:9" s="4" customFormat="1" ht="20.25" customHeight="1" x14ac:dyDescent="0.55000000000000004">
      <c r="A8162" s="18">
        <v>24.733084000000002</v>
      </c>
      <c r="B8162" s="18">
        <v>34.789477699999999</v>
      </c>
      <c r="C8162" s="18">
        <v>680983.08</v>
      </c>
      <c r="D8162" s="18">
        <v>2736575.79</v>
      </c>
      <c r="E8162" s="18">
        <v>375.11</v>
      </c>
      <c r="F8162" s="18">
        <v>41690.269999999997</v>
      </c>
      <c r="G8162" s="18">
        <v>132254</v>
      </c>
      <c r="H8162" s="18">
        <f t="shared" si="181"/>
        <v>41520.269999999997</v>
      </c>
      <c r="I8162" s="3"/>
    </row>
    <row r="8163" spans="1:9" s="4" customFormat="1" ht="20.25" customHeight="1" x14ac:dyDescent="0.55000000000000004">
      <c r="A8163" s="18">
        <v>24.7330814</v>
      </c>
      <c r="B8163" s="18">
        <v>34.7895003</v>
      </c>
      <c r="C8163" s="18">
        <v>680985.37</v>
      </c>
      <c r="D8163" s="18">
        <v>2736575.53</v>
      </c>
      <c r="E8163" s="18">
        <v>375.15</v>
      </c>
      <c r="F8163" s="18">
        <v>41693.9</v>
      </c>
      <c r="G8163" s="18">
        <v>132256</v>
      </c>
      <c r="H8163" s="18">
        <f t="shared" si="181"/>
        <v>41523.9</v>
      </c>
      <c r="I8163" s="3"/>
    </row>
    <row r="8164" spans="1:9" s="4" customFormat="1" ht="20.25" customHeight="1" x14ac:dyDescent="0.55000000000000004">
      <c r="A8164" s="18">
        <v>24.733079400000001</v>
      </c>
      <c r="B8164" s="18">
        <v>34.789521800000003</v>
      </c>
      <c r="C8164" s="18">
        <v>680987.55</v>
      </c>
      <c r="D8164" s="18">
        <v>2736575.33</v>
      </c>
      <c r="E8164" s="18">
        <v>375.18</v>
      </c>
      <c r="F8164" s="18">
        <v>41692.67</v>
      </c>
      <c r="G8164" s="18">
        <v>132258</v>
      </c>
      <c r="H8164" s="18">
        <f t="shared" si="181"/>
        <v>41522.67</v>
      </c>
      <c r="I8164" s="3"/>
    </row>
    <row r="8165" spans="1:9" s="4" customFormat="1" ht="20.25" customHeight="1" x14ac:dyDescent="0.55000000000000004">
      <c r="A8165" s="18">
        <v>24.733076100000002</v>
      </c>
      <c r="B8165" s="18">
        <v>34.789542400000002</v>
      </c>
      <c r="C8165" s="18">
        <v>680989.64</v>
      </c>
      <c r="D8165" s="18">
        <v>2736575</v>
      </c>
      <c r="E8165" s="18">
        <v>375.22</v>
      </c>
      <c r="F8165" s="18">
        <v>41691.589999999997</v>
      </c>
      <c r="G8165" s="18">
        <v>132300</v>
      </c>
      <c r="H8165" s="18">
        <f t="shared" si="181"/>
        <v>41521.589999999997</v>
      </c>
      <c r="I8165" s="3"/>
    </row>
    <row r="8166" spans="1:9" s="4" customFormat="1" ht="20.25" customHeight="1" x14ac:dyDescent="0.55000000000000004">
      <c r="A8166" s="18">
        <v>24.733077000000002</v>
      </c>
      <c r="B8166" s="18">
        <v>34.7895641</v>
      </c>
      <c r="C8166" s="18">
        <v>680991.83</v>
      </c>
      <c r="D8166" s="18">
        <v>2736575.13</v>
      </c>
      <c r="E8166" s="18">
        <v>375.27</v>
      </c>
      <c r="F8166" s="18">
        <v>41690.46</v>
      </c>
      <c r="G8166" s="18">
        <v>132302</v>
      </c>
      <c r="H8166" s="18">
        <f t="shared" si="181"/>
        <v>41520.46</v>
      </c>
      <c r="I8166" s="3"/>
    </row>
    <row r="8167" spans="1:9" s="4" customFormat="1" ht="20.25" customHeight="1" x14ac:dyDescent="0.55000000000000004">
      <c r="A8167" s="18">
        <v>24.733084300000002</v>
      </c>
      <c r="B8167" s="18">
        <v>34.789583999999998</v>
      </c>
      <c r="C8167" s="18">
        <v>680993.84</v>
      </c>
      <c r="D8167" s="18">
        <v>2736575.97</v>
      </c>
      <c r="E8167" s="18">
        <v>375.37</v>
      </c>
      <c r="F8167" s="18">
        <v>41688.67</v>
      </c>
      <c r="G8167" s="18">
        <v>132304</v>
      </c>
      <c r="H8167" s="18">
        <f t="shared" si="181"/>
        <v>41518.67</v>
      </c>
      <c r="I8167" s="3"/>
    </row>
    <row r="8168" spans="1:9" s="4" customFormat="1" ht="20.25" customHeight="1" x14ac:dyDescent="0.55000000000000004">
      <c r="A8168" s="18">
        <v>24.733089700000001</v>
      </c>
      <c r="B8168" s="18">
        <v>34.789604799999999</v>
      </c>
      <c r="C8168" s="18">
        <v>680995.93</v>
      </c>
      <c r="D8168" s="18">
        <v>2736576.59</v>
      </c>
      <c r="E8168" s="18">
        <v>375.43</v>
      </c>
      <c r="F8168" s="18">
        <v>41688.269999999997</v>
      </c>
      <c r="G8168" s="18">
        <v>132306</v>
      </c>
      <c r="H8168" s="18">
        <f t="shared" si="181"/>
        <v>41518.269999999997</v>
      </c>
      <c r="I8168" s="3"/>
    </row>
    <row r="8169" spans="1:9" s="4" customFormat="1" ht="20.25" customHeight="1" x14ac:dyDescent="0.55000000000000004">
      <c r="A8169" s="18">
        <v>24.733091399999999</v>
      </c>
      <c r="B8169" s="18">
        <v>34.789627000000003</v>
      </c>
      <c r="C8169" s="18">
        <v>680998.17</v>
      </c>
      <c r="D8169" s="18">
        <v>2736576.81</v>
      </c>
      <c r="E8169" s="18">
        <v>375.55</v>
      </c>
      <c r="F8169" s="18">
        <v>41689.9</v>
      </c>
      <c r="G8169" s="18">
        <v>132308</v>
      </c>
      <c r="H8169" s="18">
        <f t="shared" si="181"/>
        <v>41519.9</v>
      </c>
      <c r="I8169" s="3"/>
    </row>
    <row r="8170" spans="1:9" s="4" customFormat="1" ht="20.25" customHeight="1" x14ac:dyDescent="0.55000000000000004">
      <c r="A8170" s="18">
        <v>24.733094699999999</v>
      </c>
      <c r="B8170" s="18">
        <v>34.789650399999999</v>
      </c>
      <c r="C8170" s="18">
        <v>681000.54</v>
      </c>
      <c r="D8170" s="18">
        <v>2736577.2</v>
      </c>
      <c r="E8170" s="18">
        <v>375.46</v>
      </c>
      <c r="F8170" s="18">
        <v>41689.81</v>
      </c>
      <c r="G8170" s="18">
        <v>132310</v>
      </c>
      <c r="H8170" s="18">
        <f t="shared" si="181"/>
        <v>41519.81</v>
      </c>
      <c r="I8170" s="3"/>
    </row>
    <row r="8171" spans="1:9" s="4" customFormat="1" ht="20.25" customHeight="1" x14ac:dyDescent="0.55000000000000004">
      <c r="A8171" s="18">
        <v>24.733095800000001</v>
      </c>
      <c r="B8171" s="18">
        <v>34.789673299999997</v>
      </c>
      <c r="C8171" s="18">
        <v>681002.86</v>
      </c>
      <c r="D8171" s="18">
        <v>2736577.36</v>
      </c>
      <c r="E8171" s="18">
        <v>375.52</v>
      </c>
      <c r="F8171" s="18">
        <v>41687.730000000003</v>
      </c>
      <c r="G8171" s="18">
        <v>132312</v>
      </c>
      <c r="H8171" s="18">
        <f t="shared" si="181"/>
        <v>41517.730000000003</v>
      </c>
      <c r="I8171" s="3"/>
    </row>
    <row r="8172" spans="1:9" s="4" customFormat="1" ht="20.25" customHeight="1" x14ac:dyDescent="0.55000000000000004">
      <c r="A8172" s="18">
        <v>24.7330963</v>
      </c>
      <c r="B8172" s="18">
        <v>34.789695399999999</v>
      </c>
      <c r="C8172" s="18">
        <v>681005.08</v>
      </c>
      <c r="D8172" s="18">
        <v>2736577.44</v>
      </c>
      <c r="E8172" s="18">
        <v>375.47</v>
      </c>
      <c r="F8172" s="18">
        <v>41687.71</v>
      </c>
      <c r="G8172" s="18">
        <v>132314</v>
      </c>
      <c r="H8172" s="18">
        <f t="shared" si="181"/>
        <v>41517.71</v>
      </c>
      <c r="I8172" s="3"/>
    </row>
    <row r="8173" spans="1:9" s="4" customFormat="1" ht="20.25" customHeight="1" x14ac:dyDescent="0.55000000000000004">
      <c r="A8173" s="18">
        <v>24.733097699999998</v>
      </c>
      <c r="B8173" s="18">
        <v>34.789718499999999</v>
      </c>
      <c r="C8173" s="18">
        <v>681007.42</v>
      </c>
      <c r="D8173" s="18">
        <v>2736577.63</v>
      </c>
      <c r="E8173" s="18">
        <v>375.51</v>
      </c>
      <c r="F8173" s="18">
        <v>41690.6</v>
      </c>
      <c r="G8173" s="18">
        <v>132316</v>
      </c>
      <c r="H8173" s="18">
        <f t="shared" si="181"/>
        <v>41520.6</v>
      </c>
      <c r="I8173" s="3"/>
    </row>
    <row r="8174" spans="1:9" s="4" customFormat="1" ht="20.25" customHeight="1" x14ac:dyDescent="0.55000000000000004">
      <c r="A8174" s="18">
        <v>24.733099899999999</v>
      </c>
      <c r="B8174" s="18">
        <v>34.789743299999998</v>
      </c>
      <c r="C8174" s="18">
        <v>681009.93</v>
      </c>
      <c r="D8174" s="18">
        <v>2736577.9</v>
      </c>
      <c r="E8174" s="18">
        <v>375.41</v>
      </c>
      <c r="F8174" s="18">
        <v>41689.980000000003</v>
      </c>
      <c r="G8174" s="18">
        <v>132318</v>
      </c>
      <c r="H8174" s="18">
        <f t="shared" si="181"/>
        <v>41519.980000000003</v>
      </c>
      <c r="I8174" s="3"/>
    </row>
    <row r="8175" spans="1:9" s="4" customFormat="1" ht="20.25" customHeight="1" x14ac:dyDescent="0.55000000000000004">
      <c r="A8175" s="18">
        <v>24.733102299999999</v>
      </c>
      <c r="B8175" s="18">
        <v>34.789765899999999</v>
      </c>
      <c r="C8175" s="18">
        <v>681012.21</v>
      </c>
      <c r="D8175" s="18">
        <v>2736578.19</v>
      </c>
      <c r="E8175" s="18">
        <v>375.5</v>
      </c>
      <c r="F8175" s="18">
        <v>41687.4</v>
      </c>
      <c r="G8175" s="18">
        <v>132320</v>
      </c>
      <c r="H8175" s="18">
        <f t="shared" si="181"/>
        <v>41517.4</v>
      </c>
      <c r="I8175" s="3"/>
    </row>
    <row r="8176" spans="1:9" s="4" customFormat="1" ht="20.25" customHeight="1" x14ac:dyDescent="0.55000000000000004">
      <c r="A8176" s="18">
        <v>24.733106200000002</v>
      </c>
      <c r="B8176" s="18">
        <v>34.789789300000002</v>
      </c>
      <c r="C8176" s="18">
        <v>681014.57</v>
      </c>
      <c r="D8176" s="18">
        <v>2736578.66</v>
      </c>
      <c r="E8176" s="18">
        <v>375.39</v>
      </c>
      <c r="F8176" s="18">
        <v>41690.36</v>
      </c>
      <c r="G8176" s="18">
        <v>132322</v>
      </c>
      <c r="H8176" s="18">
        <f t="shared" si="181"/>
        <v>41520.36</v>
      </c>
      <c r="I8176" s="3"/>
    </row>
    <row r="8177" spans="1:9" s="4" customFormat="1" ht="20.25" customHeight="1" x14ac:dyDescent="0.55000000000000004">
      <c r="A8177" s="18">
        <v>24.7331115</v>
      </c>
      <c r="B8177" s="18">
        <v>34.789813299999999</v>
      </c>
      <c r="C8177" s="18">
        <v>681016.99</v>
      </c>
      <c r="D8177" s="18">
        <v>2736579.27</v>
      </c>
      <c r="E8177" s="18">
        <v>375.4</v>
      </c>
      <c r="F8177" s="18">
        <v>41691.85</v>
      </c>
      <c r="G8177" s="18">
        <v>132324</v>
      </c>
      <c r="H8177" s="18">
        <f t="shared" si="181"/>
        <v>41521.85</v>
      </c>
      <c r="I8177" s="3"/>
    </row>
    <row r="8178" spans="1:9" s="4" customFormat="1" ht="20.25" customHeight="1" x14ac:dyDescent="0.55000000000000004">
      <c r="A8178" s="18">
        <v>24.733112599999998</v>
      </c>
      <c r="B8178" s="18">
        <v>34.789836100000002</v>
      </c>
      <c r="C8178" s="18">
        <v>681019.3</v>
      </c>
      <c r="D8178" s="18">
        <v>2736579.43</v>
      </c>
      <c r="E8178" s="18">
        <v>375.25</v>
      </c>
      <c r="F8178" s="18">
        <v>41691.25</v>
      </c>
      <c r="G8178" s="18">
        <v>132326</v>
      </c>
      <c r="H8178" s="18">
        <f t="shared" si="181"/>
        <v>41521.25</v>
      </c>
      <c r="I8178" s="3"/>
    </row>
    <row r="8179" spans="1:9" s="4" customFormat="1" ht="20.25" customHeight="1" x14ac:dyDescent="0.55000000000000004">
      <c r="A8179" s="18">
        <v>24.733113599999999</v>
      </c>
      <c r="B8179" s="18">
        <v>34.789860300000001</v>
      </c>
      <c r="C8179" s="18">
        <v>681021.74</v>
      </c>
      <c r="D8179" s="18">
        <v>2736579.57</v>
      </c>
      <c r="E8179" s="18">
        <v>375.2</v>
      </c>
      <c r="F8179" s="18">
        <v>41695.1</v>
      </c>
      <c r="G8179" s="18">
        <v>132328</v>
      </c>
      <c r="H8179" s="18">
        <f t="shared" si="181"/>
        <v>41525.1</v>
      </c>
      <c r="I8179" s="3"/>
    </row>
    <row r="8180" spans="1:9" s="4" customFormat="1" ht="20.25" customHeight="1" x14ac:dyDescent="0.55000000000000004">
      <c r="A8180" s="18">
        <v>24.7331158</v>
      </c>
      <c r="B8180" s="18">
        <v>34.789882900000002</v>
      </c>
      <c r="C8180" s="18">
        <v>681024.03</v>
      </c>
      <c r="D8180" s="18">
        <v>2736579.84</v>
      </c>
      <c r="E8180" s="18">
        <v>375.01</v>
      </c>
      <c r="F8180" s="18">
        <v>41692.19</v>
      </c>
      <c r="G8180" s="18">
        <v>132330</v>
      </c>
      <c r="H8180" s="18">
        <f t="shared" si="181"/>
        <v>41522.19</v>
      </c>
      <c r="I8180" s="3"/>
    </row>
    <row r="8181" spans="1:9" s="4" customFormat="1" ht="20.25" customHeight="1" x14ac:dyDescent="0.55000000000000004">
      <c r="A8181" s="18">
        <v>24.733123200000001</v>
      </c>
      <c r="B8181" s="18">
        <v>34.789906999999999</v>
      </c>
      <c r="C8181" s="18">
        <v>681026.45</v>
      </c>
      <c r="D8181" s="18">
        <v>2736580.7</v>
      </c>
      <c r="E8181" s="18">
        <v>375.03</v>
      </c>
      <c r="F8181" s="18">
        <v>41693.08</v>
      </c>
      <c r="G8181" s="18">
        <v>132332</v>
      </c>
      <c r="H8181" s="18">
        <f t="shared" si="181"/>
        <v>41523.08</v>
      </c>
      <c r="I8181" s="3"/>
    </row>
    <row r="8182" spans="1:9" s="4" customFormat="1" ht="20.25" customHeight="1" x14ac:dyDescent="0.55000000000000004">
      <c r="A8182" s="18">
        <v>24.733131100000001</v>
      </c>
      <c r="B8182" s="18">
        <v>34.789928099999997</v>
      </c>
      <c r="C8182" s="18">
        <v>681028.57</v>
      </c>
      <c r="D8182" s="18">
        <v>2736581.6</v>
      </c>
      <c r="E8182" s="18">
        <v>375.1</v>
      </c>
      <c r="F8182" s="18">
        <v>41691</v>
      </c>
      <c r="G8182" s="18">
        <v>132334</v>
      </c>
      <c r="H8182" s="18">
        <f t="shared" si="181"/>
        <v>41521</v>
      </c>
      <c r="I8182" s="3"/>
    </row>
    <row r="8183" spans="1:9" s="4" customFormat="1" ht="20.25" customHeight="1" x14ac:dyDescent="0.55000000000000004">
      <c r="A8183" s="18">
        <v>24.7331392</v>
      </c>
      <c r="B8183" s="18">
        <v>34.789948600000002</v>
      </c>
      <c r="C8183" s="18">
        <v>681030.64</v>
      </c>
      <c r="D8183" s="18">
        <v>2736582.53</v>
      </c>
      <c r="E8183" s="18">
        <v>375.07</v>
      </c>
      <c r="F8183" s="18">
        <v>41692.629999999997</v>
      </c>
      <c r="G8183" s="18">
        <v>132336</v>
      </c>
      <c r="H8183" s="18">
        <f t="shared" si="181"/>
        <v>41522.629999999997</v>
      </c>
      <c r="I8183" s="3"/>
    </row>
    <row r="8184" spans="1:9" s="4" customFormat="1" ht="20.25" customHeight="1" x14ac:dyDescent="0.55000000000000004">
      <c r="A8184" s="18">
        <v>24.733143500000001</v>
      </c>
      <c r="B8184" s="18">
        <v>34.789971299999998</v>
      </c>
      <c r="C8184" s="18">
        <v>681032.93</v>
      </c>
      <c r="D8184" s="18">
        <v>2736583.04</v>
      </c>
      <c r="E8184" s="18">
        <v>374.86</v>
      </c>
      <c r="F8184" s="18">
        <v>41693.68</v>
      </c>
      <c r="G8184" s="18">
        <v>132338</v>
      </c>
      <c r="H8184" s="18">
        <f t="shared" si="181"/>
        <v>41523.68</v>
      </c>
      <c r="I8184" s="3"/>
    </row>
    <row r="8185" spans="1:9" s="4" customFormat="1" ht="20.25" customHeight="1" x14ac:dyDescent="0.55000000000000004">
      <c r="A8185" s="18">
        <v>24.7331474</v>
      </c>
      <c r="B8185" s="18">
        <v>34.7899916</v>
      </c>
      <c r="C8185" s="18">
        <v>681034.98</v>
      </c>
      <c r="D8185" s="18">
        <v>2736583.49</v>
      </c>
      <c r="E8185" s="18">
        <v>374.94</v>
      </c>
      <c r="F8185" s="18">
        <v>41688.46</v>
      </c>
      <c r="G8185" s="18">
        <v>132340</v>
      </c>
      <c r="H8185" s="18">
        <f t="shared" si="181"/>
        <v>41518.46</v>
      </c>
      <c r="I8185" s="3"/>
    </row>
    <row r="8186" spans="1:9" s="4" customFormat="1" ht="20.25" customHeight="1" x14ac:dyDescent="0.55000000000000004">
      <c r="A8186" s="18">
        <v>24.733156099999999</v>
      </c>
      <c r="B8186" s="18">
        <v>34.790013100000003</v>
      </c>
      <c r="C8186" s="18">
        <v>681037.14</v>
      </c>
      <c r="D8186" s="18">
        <v>2736584.48</v>
      </c>
      <c r="E8186" s="18">
        <v>374.94</v>
      </c>
      <c r="F8186" s="18">
        <v>41688.959999999999</v>
      </c>
      <c r="G8186" s="18">
        <v>132342</v>
      </c>
      <c r="H8186" s="18">
        <f t="shared" si="181"/>
        <v>41518.959999999999</v>
      </c>
      <c r="I8186" s="3"/>
    </row>
    <row r="8187" spans="1:9" s="4" customFormat="1" ht="20.25" customHeight="1" x14ac:dyDescent="0.55000000000000004">
      <c r="A8187" s="18">
        <v>24.733161899999999</v>
      </c>
      <c r="B8187" s="18">
        <v>34.790036700000002</v>
      </c>
      <c r="C8187" s="18">
        <v>681039.52</v>
      </c>
      <c r="D8187" s="18">
        <v>2736585.16</v>
      </c>
      <c r="E8187" s="18">
        <v>374.84</v>
      </c>
      <c r="F8187" s="18">
        <v>41687.81</v>
      </c>
      <c r="G8187" s="18">
        <v>132344</v>
      </c>
      <c r="H8187" s="18">
        <f t="shared" si="181"/>
        <v>41517.81</v>
      </c>
      <c r="I8187" s="3"/>
    </row>
    <row r="8188" spans="1:9" s="4" customFormat="1" ht="20.25" customHeight="1" x14ac:dyDescent="0.55000000000000004">
      <c r="A8188" s="18">
        <v>24.7331638</v>
      </c>
      <c r="B8188" s="18">
        <v>34.790056499999999</v>
      </c>
      <c r="C8188" s="18">
        <v>681041.52</v>
      </c>
      <c r="D8188" s="18">
        <v>2736585.4</v>
      </c>
      <c r="E8188" s="18">
        <v>374.9</v>
      </c>
      <c r="F8188" s="18">
        <v>41690.720000000001</v>
      </c>
      <c r="G8188" s="18">
        <v>132346</v>
      </c>
      <c r="H8188" s="18">
        <f t="shared" si="181"/>
        <v>41520.720000000001</v>
      </c>
      <c r="I8188" s="3"/>
    </row>
    <row r="8189" spans="1:9" s="4" customFormat="1" ht="20.25" customHeight="1" x14ac:dyDescent="0.55000000000000004">
      <c r="A8189" s="18">
        <v>24.733162100000001</v>
      </c>
      <c r="B8189" s="18">
        <v>34.790076900000003</v>
      </c>
      <c r="C8189" s="18">
        <v>681043.59</v>
      </c>
      <c r="D8189" s="18">
        <v>2736585.23</v>
      </c>
      <c r="E8189" s="18">
        <v>374.95</v>
      </c>
      <c r="F8189" s="18">
        <v>41692.720000000001</v>
      </c>
      <c r="G8189" s="18">
        <v>132348</v>
      </c>
      <c r="H8189" s="18">
        <f t="shared" si="181"/>
        <v>41522.720000000001</v>
      </c>
      <c r="I8189" s="3"/>
    </row>
    <row r="8190" spans="1:9" s="4" customFormat="1" ht="20.25" customHeight="1" x14ac:dyDescent="0.55000000000000004">
      <c r="A8190" s="18">
        <v>24.733163300000001</v>
      </c>
      <c r="B8190" s="18">
        <v>34.790090599999999</v>
      </c>
      <c r="C8190" s="18">
        <v>681044.97</v>
      </c>
      <c r="D8190" s="18">
        <v>2736585.38</v>
      </c>
      <c r="E8190" s="18">
        <v>374.95</v>
      </c>
      <c r="F8190" s="18">
        <v>41690.51</v>
      </c>
      <c r="G8190" s="18">
        <v>132350</v>
      </c>
      <c r="H8190" s="18">
        <f t="shared" si="181"/>
        <v>41520.51</v>
      </c>
      <c r="I8190" s="3"/>
    </row>
    <row r="8191" spans="1:9" s="4" customFormat="1" ht="20.25" customHeight="1" x14ac:dyDescent="0.55000000000000004">
      <c r="A8191" s="18">
        <v>24.733161200000001</v>
      </c>
      <c r="B8191" s="18">
        <v>34.790104999999997</v>
      </c>
      <c r="C8191" s="18">
        <v>681046.43</v>
      </c>
      <c r="D8191" s="18">
        <v>2736585.16</v>
      </c>
      <c r="E8191" s="18">
        <v>374.92</v>
      </c>
      <c r="F8191" s="18">
        <v>41690.99</v>
      </c>
      <c r="G8191" s="18">
        <v>132352</v>
      </c>
      <c r="H8191" s="18">
        <f t="shared" si="181"/>
        <v>41520.99</v>
      </c>
      <c r="I8191" s="3"/>
    </row>
    <row r="8192" spans="1:9" s="4" customFormat="1" ht="20.25" customHeight="1" x14ac:dyDescent="0.55000000000000004">
      <c r="A8192" s="18">
        <v>24.733163099999999</v>
      </c>
      <c r="B8192" s="18">
        <v>34.790123999999999</v>
      </c>
      <c r="C8192" s="18">
        <v>681048.34</v>
      </c>
      <c r="D8192" s="18">
        <v>2736585.41</v>
      </c>
      <c r="E8192" s="18">
        <v>374.73</v>
      </c>
      <c r="F8192" s="18">
        <v>41710.68</v>
      </c>
      <c r="G8192" s="18">
        <v>132354</v>
      </c>
      <c r="H8192" s="18">
        <f t="shared" si="181"/>
        <v>41540.68</v>
      </c>
      <c r="I8192" s="3"/>
    </row>
    <row r="8193" spans="1:9" s="4" customFormat="1" ht="20.25" customHeight="1" x14ac:dyDescent="0.55000000000000004">
      <c r="A8193" s="18">
        <v>24.733165100000001</v>
      </c>
      <c r="B8193" s="18">
        <v>34.790137399999999</v>
      </c>
      <c r="C8193" s="18">
        <v>681049.7</v>
      </c>
      <c r="D8193" s="18">
        <v>2736585.64</v>
      </c>
      <c r="E8193" s="18">
        <v>374.69</v>
      </c>
      <c r="F8193" s="18">
        <v>41712.800000000003</v>
      </c>
      <c r="G8193" s="18">
        <v>132356</v>
      </c>
      <c r="H8193" s="18">
        <f t="shared" si="181"/>
        <v>41542.800000000003</v>
      </c>
      <c r="I8193" s="3"/>
    </row>
    <row r="8194" spans="1:9" s="4" customFormat="1" ht="20.25" customHeight="1" x14ac:dyDescent="0.55000000000000004">
      <c r="A8194" s="18">
        <v>24.733174500000001</v>
      </c>
      <c r="B8194" s="18">
        <v>34.790152200000001</v>
      </c>
      <c r="C8194" s="18">
        <v>681051.19</v>
      </c>
      <c r="D8194" s="18">
        <v>2736586.7</v>
      </c>
      <c r="E8194" s="18">
        <v>374.7</v>
      </c>
      <c r="F8194" s="18">
        <v>41703.85</v>
      </c>
      <c r="G8194" s="18">
        <v>132358</v>
      </c>
      <c r="H8194" s="18">
        <f t="shared" si="181"/>
        <v>41533.85</v>
      </c>
      <c r="I8194" s="3"/>
    </row>
    <row r="8195" spans="1:9" s="4" customFormat="1" ht="20.25" customHeight="1" x14ac:dyDescent="0.55000000000000004">
      <c r="A8195" s="18">
        <v>24.733170099999999</v>
      </c>
      <c r="B8195" s="18">
        <v>34.790168999999999</v>
      </c>
      <c r="C8195" s="18">
        <v>681052.89</v>
      </c>
      <c r="D8195" s="18">
        <v>2736586.24</v>
      </c>
      <c r="E8195" s="18">
        <v>374.45</v>
      </c>
      <c r="F8195" s="18">
        <v>41691.17</v>
      </c>
      <c r="G8195" s="18">
        <v>132400</v>
      </c>
      <c r="H8195" s="18">
        <f t="shared" si="181"/>
        <v>41521.17</v>
      </c>
      <c r="I8195" s="3"/>
    </row>
    <row r="8196" spans="1:9" s="4" customFormat="1" ht="20.25" customHeight="1" x14ac:dyDescent="0.55000000000000004">
      <c r="A8196" s="18">
        <v>24.733168899999999</v>
      </c>
      <c r="B8196" s="18">
        <v>34.790173600000003</v>
      </c>
      <c r="C8196" s="18">
        <v>681053.35</v>
      </c>
      <c r="D8196" s="18">
        <v>2736586.11</v>
      </c>
      <c r="E8196" s="18">
        <v>374.5</v>
      </c>
      <c r="F8196" s="18">
        <v>41694.160000000003</v>
      </c>
      <c r="G8196" s="18">
        <v>132402</v>
      </c>
      <c r="H8196" s="18">
        <f t="shared" si="181"/>
        <v>41524.160000000003</v>
      </c>
      <c r="I8196" s="3"/>
    </row>
    <row r="8197" spans="1:9" s="8" customFormat="1" ht="21" customHeight="1" x14ac:dyDescent="0.6">
      <c r="A8197" s="7">
        <v>24.812731100000001</v>
      </c>
      <c r="B8197" s="7">
        <v>34.847033000000003</v>
      </c>
      <c r="C8197" s="7">
        <v>686686.16</v>
      </c>
      <c r="D8197" s="7">
        <v>2745475.06</v>
      </c>
      <c r="E8197" s="7">
        <v>221.73</v>
      </c>
      <c r="F8197" s="7">
        <v>41953.55</v>
      </c>
      <c r="G8197" s="7">
        <v>83431</v>
      </c>
      <c r="H8197" s="7">
        <f>SUM(F8197-5)</f>
        <v>41948.55</v>
      </c>
      <c r="I8197" s="15"/>
    </row>
    <row r="8198" spans="1:9" s="8" customFormat="1" ht="21" customHeight="1" x14ac:dyDescent="0.6">
      <c r="A8198" s="7">
        <v>24.812731500000002</v>
      </c>
      <c r="B8198" s="7">
        <v>34.847029300000003</v>
      </c>
      <c r="C8198" s="7">
        <v>686685.79</v>
      </c>
      <c r="D8198" s="7">
        <v>2745475.1</v>
      </c>
      <c r="E8198" s="7">
        <v>222.26</v>
      </c>
      <c r="F8198" s="7">
        <v>41954.2</v>
      </c>
      <c r="G8198" s="7">
        <v>83446</v>
      </c>
      <c r="H8198" s="7">
        <f t="shared" ref="H8198:H8236" si="182">SUM(F8198-5)</f>
        <v>41949.2</v>
      </c>
      <c r="I8198" s="15"/>
    </row>
    <row r="8199" spans="1:9" s="8" customFormat="1" ht="21" customHeight="1" x14ac:dyDescent="0.6">
      <c r="A8199" s="7">
        <v>24.8139191</v>
      </c>
      <c r="B8199" s="7">
        <v>34.846347399999999</v>
      </c>
      <c r="C8199" s="7">
        <v>686615.08</v>
      </c>
      <c r="D8199" s="7">
        <v>2745605.71</v>
      </c>
      <c r="E8199" s="7">
        <v>225.47</v>
      </c>
      <c r="F8199" s="7">
        <v>41931.21</v>
      </c>
      <c r="G8199" s="7">
        <v>83631</v>
      </c>
      <c r="H8199" s="7">
        <f t="shared" si="182"/>
        <v>41926.21</v>
      </c>
      <c r="I8199" s="15"/>
    </row>
    <row r="8200" spans="1:9" s="8" customFormat="1" ht="21" customHeight="1" x14ac:dyDescent="0.6">
      <c r="A8200" s="7">
        <v>24.814122900000001</v>
      </c>
      <c r="B8200" s="7">
        <v>34.844470700000002</v>
      </c>
      <c r="C8200" s="7">
        <v>686425.04</v>
      </c>
      <c r="D8200" s="7">
        <v>2745625.71</v>
      </c>
      <c r="E8200" s="7">
        <v>230.46</v>
      </c>
      <c r="F8200" s="7">
        <v>41941.410000000003</v>
      </c>
      <c r="G8200" s="7">
        <v>83810</v>
      </c>
      <c r="H8200" s="7">
        <f t="shared" si="182"/>
        <v>41936.410000000003</v>
      </c>
      <c r="I8200" s="15"/>
    </row>
    <row r="8201" spans="1:9" s="8" customFormat="1" ht="21" customHeight="1" x14ac:dyDescent="0.6">
      <c r="A8201" s="7">
        <v>24.814122900000001</v>
      </c>
      <c r="B8201" s="7">
        <v>34.844470100000002</v>
      </c>
      <c r="C8201" s="7">
        <v>686424.99</v>
      </c>
      <c r="D8201" s="7">
        <v>2745625.71</v>
      </c>
      <c r="E8201" s="7">
        <v>230.42</v>
      </c>
      <c r="F8201" s="7">
        <v>41939.370000000003</v>
      </c>
      <c r="G8201" s="7">
        <v>83819</v>
      </c>
      <c r="H8201" s="7">
        <f t="shared" si="182"/>
        <v>41934.370000000003</v>
      </c>
      <c r="I8201" s="15"/>
    </row>
    <row r="8202" spans="1:9" s="8" customFormat="1" ht="21" customHeight="1" x14ac:dyDescent="0.6">
      <c r="A8202" s="7">
        <v>24.815346099999999</v>
      </c>
      <c r="B8202" s="7">
        <v>34.844048899999997</v>
      </c>
      <c r="C8202" s="7">
        <v>686380.57</v>
      </c>
      <c r="D8202" s="7">
        <v>2745760.62</v>
      </c>
      <c r="E8202" s="7">
        <v>233.39</v>
      </c>
      <c r="F8202" s="7">
        <v>41927.760000000002</v>
      </c>
      <c r="G8202" s="7">
        <v>84025</v>
      </c>
      <c r="H8202" s="7">
        <f t="shared" si="182"/>
        <v>41922.76</v>
      </c>
      <c r="I8202" s="15"/>
    </row>
    <row r="8203" spans="1:9" s="8" customFormat="1" ht="21" customHeight="1" x14ac:dyDescent="0.6">
      <c r="A8203" s="7">
        <v>24.815343599999999</v>
      </c>
      <c r="B8203" s="7">
        <v>34.844047000000003</v>
      </c>
      <c r="C8203" s="7">
        <v>686380.38</v>
      </c>
      <c r="D8203" s="7">
        <v>2745760.34</v>
      </c>
      <c r="E8203" s="7">
        <v>232.81</v>
      </c>
      <c r="F8203" s="7">
        <v>41923.980000000003</v>
      </c>
      <c r="G8203" s="7">
        <v>84034</v>
      </c>
      <c r="H8203" s="7">
        <f t="shared" si="182"/>
        <v>41918.980000000003</v>
      </c>
      <c r="I8203" s="15"/>
    </row>
    <row r="8204" spans="1:9" s="8" customFormat="1" ht="21" customHeight="1" x14ac:dyDescent="0.6">
      <c r="A8204" s="7">
        <v>24.816512299999999</v>
      </c>
      <c r="B8204" s="7">
        <v>34.8432125</v>
      </c>
      <c r="C8204" s="7">
        <v>686294.27</v>
      </c>
      <c r="D8204" s="7">
        <v>2745888.66</v>
      </c>
      <c r="E8204" s="7">
        <v>240.08</v>
      </c>
      <c r="F8204" s="7">
        <v>41883.879999999997</v>
      </c>
      <c r="G8204" s="7">
        <v>84210</v>
      </c>
      <c r="H8204" s="7">
        <f t="shared" si="182"/>
        <v>41878.879999999997</v>
      </c>
      <c r="I8204" s="15"/>
    </row>
    <row r="8205" spans="1:9" s="8" customFormat="1" ht="21" customHeight="1" x14ac:dyDescent="0.6">
      <c r="A8205" s="7">
        <v>24.816514099999999</v>
      </c>
      <c r="B8205" s="7">
        <v>34.8432137</v>
      </c>
      <c r="C8205" s="7">
        <v>686294.4</v>
      </c>
      <c r="D8205" s="7">
        <v>2745888.85</v>
      </c>
      <c r="E8205" s="7">
        <v>240.28</v>
      </c>
      <c r="F8205" s="7">
        <v>41878.629999999997</v>
      </c>
      <c r="G8205" s="7">
        <v>84222</v>
      </c>
      <c r="H8205" s="7">
        <f t="shared" si="182"/>
        <v>41873.629999999997</v>
      </c>
      <c r="I8205" s="15"/>
    </row>
    <row r="8206" spans="1:9" s="8" customFormat="1" ht="21" customHeight="1" x14ac:dyDescent="0.6">
      <c r="A8206" s="7">
        <v>24.816746299999998</v>
      </c>
      <c r="B8206" s="7">
        <v>34.841166100000002</v>
      </c>
      <c r="C8206" s="7">
        <v>686087.04</v>
      </c>
      <c r="D8206" s="7">
        <v>2745911.77</v>
      </c>
      <c r="E8206" s="7">
        <v>244.68</v>
      </c>
      <c r="F8206" s="7">
        <v>41871.629999999997</v>
      </c>
      <c r="G8206" s="7">
        <v>84355</v>
      </c>
      <c r="H8206" s="7">
        <f t="shared" si="182"/>
        <v>41866.629999999997</v>
      </c>
      <c r="I8206" s="15"/>
    </row>
    <row r="8207" spans="1:9" s="8" customFormat="1" ht="21" customHeight="1" x14ac:dyDescent="0.6">
      <c r="A8207" s="7">
        <v>24.817622199999999</v>
      </c>
      <c r="B8207" s="7">
        <v>34.839944799999998</v>
      </c>
      <c r="C8207" s="7">
        <v>685962.27</v>
      </c>
      <c r="D8207" s="7">
        <v>2746007.13</v>
      </c>
      <c r="E8207" s="7">
        <v>243.44</v>
      </c>
      <c r="F8207" s="7">
        <v>41830.61</v>
      </c>
      <c r="G8207" s="7">
        <v>84634</v>
      </c>
      <c r="H8207" s="7">
        <f t="shared" si="182"/>
        <v>41825.61</v>
      </c>
      <c r="I8207" s="15"/>
    </row>
    <row r="8208" spans="1:9" s="8" customFormat="1" ht="21" customHeight="1" x14ac:dyDescent="0.6">
      <c r="A8208" s="7">
        <v>24.8176238</v>
      </c>
      <c r="B8208" s="7">
        <v>34.839944899999999</v>
      </c>
      <c r="C8208" s="7">
        <v>685962.28</v>
      </c>
      <c r="D8208" s="7">
        <v>2746007.31</v>
      </c>
      <c r="E8208" s="7">
        <v>243.43</v>
      </c>
      <c r="F8208" s="7">
        <v>41824.33</v>
      </c>
      <c r="G8208" s="7">
        <v>84646</v>
      </c>
      <c r="H8208" s="7">
        <f t="shared" si="182"/>
        <v>41819.33</v>
      </c>
      <c r="I8208" s="15"/>
    </row>
    <row r="8209" spans="1:9" s="8" customFormat="1" ht="21" customHeight="1" x14ac:dyDescent="0.6">
      <c r="A8209" s="7">
        <v>24.819181100000002</v>
      </c>
      <c r="B8209" s="7">
        <v>34.840613400000002</v>
      </c>
      <c r="C8209" s="7">
        <v>686027.54</v>
      </c>
      <c r="D8209" s="7">
        <v>2746180.71</v>
      </c>
      <c r="E8209" s="7">
        <v>248.15</v>
      </c>
      <c r="F8209" s="7">
        <v>41884.49</v>
      </c>
      <c r="G8209" s="7">
        <v>85031</v>
      </c>
      <c r="H8209" s="7">
        <f t="shared" si="182"/>
        <v>41879.49</v>
      </c>
      <c r="I8209" s="15"/>
    </row>
    <row r="8210" spans="1:9" s="8" customFormat="1" ht="21" customHeight="1" x14ac:dyDescent="0.6">
      <c r="A8210" s="7">
        <v>24.819180800000002</v>
      </c>
      <c r="B8210" s="7">
        <v>34.840614600000002</v>
      </c>
      <c r="C8210" s="7">
        <v>686027.66</v>
      </c>
      <c r="D8210" s="7">
        <v>2746180.68</v>
      </c>
      <c r="E8210" s="7">
        <v>248.25</v>
      </c>
      <c r="F8210" s="7">
        <v>41883.839999999997</v>
      </c>
      <c r="G8210" s="7">
        <v>85043</v>
      </c>
      <c r="H8210" s="7">
        <f t="shared" si="182"/>
        <v>41878.839999999997</v>
      </c>
      <c r="I8210" s="15"/>
    </row>
    <row r="8211" spans="1:9" s="8" customFormat="1" ht="21" customHeight="1" x14ac:dyDescent="0.6">
      <c r="A8211" s="7">
        <v>24.819969</v>
      </c>
      <c r="B8211" s="7">
        <v>34.838797100000001</v>
      </c>
      <c r="C8211" s="7">
        <v>685842.75</v>
      </c>
      <c r="D8211" s="7">
        <v>2746265.51</v>
      </c>
      <c r="E8211" s="7">
        <v>254.26</v>
      </c>
      <c r="F8211" s="7">
        <v>41871.29</v>
      </c>
      <c r="G8211" s="7">
        <v>85319</v>
      </c>
      <c r="H8211" s="7">
        <f t="shared" si="182"/>
        <v>41866.29</v>
      </c>
      <c r="I8211" s="15"/>
    </row>
    <row r="8212" spans="1:9" s="8" customFormat="1" ht="21" customHeight="1" x14ac:dyDescent="0.6">
      <c r="A8212" s="7">
        <v>24.819969100000002</v>
      </c>
      <c r="B8212" s="7">
        <v>34.838796700000003</v>
      </c>
      <c r="C8212" s="7">
        <v>685842.71</v>
      </c>
      <c r="D8212" s="7">
        <v>2746265.52</v>
      </c>
      <c r="E8212" s="7">
        <v>254.32</v>
      </c>
      <c r="F8212" s="7">
        <v>41871.1</v>
      </c>
      <c r="G8212" s="7">
        <v>85331</v>
      </c>
      <c r="H8212" s="7">
        <f t="shared" si="182"/>
        <v>41866.1</v>
      </c>
      <c r="I8212" s="15"/>
    </row>
    <row r="8213" spans="1:9" s="8" customFormat="1" ht="21" customHeight="1" x14ac:dyDescent="0.6">
      <c r="A8213" s="7">
        <v>24.821246599999998</v>
      </c>
      <c r="B8213" s="7">
        <v>34.837505899999996</v>
      </c>
      <c r="C8213" s="7">
        <v>685710.31</v>
      </c>
      <c r="D8213" s="7">
        <v>2746405.26</v>
      </c>
      <c r="E8213" s="7">
        <v>258.24</v>
      </c>
      <c r="F8213" s="7">
        <v>41882.25</v>
      </c>
      <c r="G8213" s="7">
        <v>85507</v>
      </c>
      <c r="H8213" s="7">
        <f t="shared" si="182"/>
        <v>41877.25</v>
      </c>
      <c r="I8213" s="15"/>
    </row>
    <row r="8214" spans="1:9" s="8" customFormat="1" ht="21" customHeight="1" x14ac:dyDescent="0.6">
      <c r="A8214" s="7">
        <v>24.8212473</v>
      </c>
      <c r="B8214" s="7">
        <v>34.837505499999999</v>
      </c>
      <c r="C8214" s="7">
        <v>685710.27</v>
      </c>
      <c r="D8214" s="7">
        <v>2746405.33</v>
      </c>
      <c r="E8214" s="7">
        <v>258.10000000000002</v>
      </c>
      <c r="F8214" s="7">
        <v>41880.65</v>
      </c>
      <c r="G8214" s="7">
        <v>85513</v>
      </c>
      <c r="H8214" s="7">
        <f t="shared" si="182"/>
        <v>41875.65</v>
      </c>
      <c r="I8214" s="15"/>
    </row>
    <row r="8215" spans="1:9" s="8" customFormat="1" ht="21" customHeight="1" x14ac:dyDescent="0.6">
      <c r="A8215" s="7">
        <v>24.822160799999999</v>
      </c>
      <c r="B8215" s="7">
        <v>34.835897899999999</v>
      </c>
      <c r="C8215" s="7">
        <v>685546.4</v>
      </c>
      <c r="D8215" s="7">
        <v>2746504.33</v>
      </c>
      <c r="E8215" s="7">
        <v>261.54000000000002</v>
      </c>
      <c r="F8215" s="7">
        <v>41897.9</v>
      </c>
      <c r="G8215" s="7">
        <v>85643</v>
      </c>
      <c r="H8215" s="7">
        <f t="shared" si="182"/>
        <v>41892.9</v>
      </c>
      <c r="I8215" s="15"/>
    </row>
    <row r="8216" spans="1:9" s="8" customFormat="1" ht="21" customHeight="1" x14ac:dyDescent="0.6">
      <c r="A8216" s="7">
        <v>24.822161000000001</v>
      </c>
      <c r="B8216" s="7">
        <v>34.835898999999998</v>
      </c>
      <c r="C8216" s="7">
        <v>685546.51</v>
      </c>
      <c r="D8216" s="7">
        <v>2746504.35</v>
      </c>
      <c r="E8216" s="7">
        <v>261.56</v>
      </c>
      <c r="F8216" s="7">
        <v>41895.949999999997</v>
      </c>
      <c r="G8216" s="7">
        <v>85652</v>
      </c>
      <c r="H8216" s="7">
        <f t="shared" si="182"/>
        <v>41890.949999999997</v>
      </c>
      <c r="I8216" s="15"/>
    </row>
    <row r="8217" spans="1:9" s="8" customFormat="1" ht="21" customHeight="1" x14ac:dyDescent="0.6">
      <c r="A8217" s="7">
        <v>24.823215399999999</v>
      </c>
      <c r="B8217" s="7">
        <v>34.834600999999999</v>
      </c>
      <c r="C8217" s="7">
        <v>685413.73</v>
      </c>
      <c r="D8217" s="7">
        <v>2746619.37</v>
      </c>
      <c r="E8217" s="7">
        <v>264.89999999999998</v>
      </c>
      <c r="F8217" s="7">
        <v>41899.480000000003</v>
      </c>
      <c r="G8217" s="7">
        <v>85858</v>
      </c>
      <c r="H8217" s="7">
        <f t="shared" si="182"/>
        <v>41894.480000000003</v>
      </c>
      <c r="I8217" s="15"/>
    </row>
    <row r="8218" spans="1:9" s="8" customFormat="1" ht="21" customHeight="1" x14ac:dyDescent="0.6">
      <c r="A8218" s="7">
        <v>24.823215600000001</v>
      </c>
      <c r="B8218" s="7">
        <v>34.834600799999997</v>
      </c>
      <c r="C8218" s="7">
        <v>685413.7</v>
      </c>
      <c r="D8218" s="7">
        <v>2746619.4</v>
      </c>
      <c r="E8218" s="7">
        <v>265.02</v>
      </c>
      <c r="F8218" s="7">
        <v>41901.589999999997</v>
      </c>
      <c r="G8218" s="7">
        <v>85907</v>
      </c>
      <c r="H8218" s="7">
        <f t="shared" si="182"/>
        <v>41896.589999999997</v>
      </c>
      <c r="I8218" s="15"/>
    </row>
    <row r="8219" spans="1:9" s="8" customFormat="1" ht="21" customHeight="1" x14ac:dyDescent="0.6">
      <c r="A8219" s="7">
        <v>24.823214199999999</v>
      </c>
      <c r="B8219" s="7">
        <v>34.833207000000002</v>
      </c>
      <c r="C8219" s="7">
        <v>685272.81</v>
      </c>
      <c r="D8219" s="7">
        <v>2746617.35</v>
      </c>
      <c r="E8219" s="7">
        <v>267.48</v>
      </c>
      <c r="F8219" s="7">
        <v>41899.25</v>
      </c>
      <c r="G8219" s="7">
        <v>90058</v>
      </c>
      <c r="H8219" s="7">
        <f t="shared" si="182"/>
        <v>41894.25</v>
      </c>
      <c r="I8219" s="15"/>
    </row>
    <row r="8220" spans="1:9" s="8" customFormat="1" ht="21" customHeight="1" x14ac:dyDescent="0.6">
      <c r="A8220" s="7">
        <v>24.8232146</v>
      </c>
      <c r="B8220" s="7">
        <v>34.833207799999997</v>
      </c>
      <c r="C8220" s="7">
        <v>685272.89</v>
      </c>
      <c r="D8220" s="7">
        <v>2746617.39</v>
      </c>
      <c r="E8220" s="7">
        <v>267.11</v>
      </c>
      <c r="F8220" s="7">
        <v>41900.050000000003</v>
      </c>
      <c r="G8220" s="7">
        <v>90110</v>
      </c>
      <c r="H8220" s="7">
        <f t="shared" si="182"/>
        <v>41895.050000000003</v>
      </c>
      <c r="I8220" s="15"/>
    </row>
    <row r="8221" spans="1:9" s="8" customFormat="1" ht="21" customHeight="1" x14ac:dyDescent="0.6">
      <c r="A8221" s="7">
        <v>24.822661</v>
      </c>
      <c r="B8221" s="7">
        <v>34.831788799999998</v>
      </c>
      <c r="C8221" s="7">
        <v>685130.27</v>
      </c>
      <c r="D8221" s="7">
        <v>2746554.14</v>
      </c>
      <c r="E8221" s="7">
        <v>269.26</v>
      </c>
      <c r="F8221" s="7">
        <v>41914.050000000003</v>
      </c>
      <c r="G8221" s="7">
        <v>90325</v>
      </c>
      <c r="H8221" s="7">
        <f t="shared" si="182"/>
        <v>41909.050000000003</v>
      </c>
      <c r="I8221" s="15"/>
    </row>
    <row r="8222" spans="1:9" s="8" customFormat="1" ht="21" customHeight="1" x14ac:dyDescent="0.6">
      <c r="A8222" s="7">
        <v>24.822680500000001</v>
      </c>
      <c r="B8222" s="7">
        <v>34.831763899999999</v>
      </c>
      <c r="C8222" s="7">
        <v>685127.73</v>
      </c>
      <c r="D8222" s="7">
        <v>2746556.28</v>
      </c>
      <c r="E8222" s="7">
        <v>269.12</v>
      </c>
      <c r="F8222" s="7">
        <v>41914.550000000003</v>
      </c>
      <c r="G8222" s="7">
        <v>90334</v>
      </c>
      <c r="H8222" s="7">
        <f t="shared" si="182"/>
        <v>41909.550000000003</v>
      </c>
      <c r="I8222" s="15"/>
    </row>
    <row r="8223" spans="1:9" s="8" customFormat="1" ht="21" customHeight="1" x14ac:dyDescent="0.6">
      <c r="A8223" s="7">
        <v>24.822757899999999</v>
      </c>
      <c r="B8223" s="7">
        <v>34.829651300000002</v>
      </c>
      <c r="C8223" s="7">
        <v>684914.05</v>
      </c>
      <c r="D8223" s="7">
        <v>2746561.98</v>
      </c>
      <c r="E8223" s="7">
        <v>274.35000000000002</v>
      </c>
      <c r="F8223" s="7">
        <v>41901.56</v>
      </c>
      <c r="G8223" s="7">
        <v>90710</v>
      </c>
      <c r="H8223" s="7">
        <f t="shared" si="182"/>
        <v>41896.559999999998</v>
      </c>
      <c r="I8223" s="15"/>
    </row>
    <row r="8224" spans="1:9" s="8" customFormat="1" ht="21" customHeight="1" x14ac:dyDescent="0.6">
      <c r="A8224" s="7">
        <v>24.8226516</v>
      </c>
      <c r="B8224" s="7">
        <v>34.829059899999997</v>
      </c>
      <c r="C8224" s="7">
        <v>684854.43</v>
      </c>
      <c r="D8224" s="7">
        <v>2746549.4</v>
      </c>
      <c r="E8224" s="7">
        <v>277.08999999999997</v>
      </c>
      <c r="F8224" s="7">
        <v>41912.5</v>
      </c>
      <c r="G8224" s="7">
        <v>90819</v>
      </c>
      <c r="H8224" s="7">
        <f t="shared" si="182"/>
        <v>41907.5</v>
      </c>
      <c r="I8224" s="15"/>
    </row>
    <row r="8225" spans="1:9" s="8" customFormat="1" ht="21" customHeight="1" x14ac:dyDescent="0.6">
      <c r="A8225" s="7">
        <v>24.8226874</v>
      </c>
      <c r="B8225" s="7">
        <v>34.8284843</v>
      </c>
      <c r="C8225" s="7">
        <v>684796.19</v>
      </c>
      <c r="D8225" s="7">
        <v>2746552.59</v>
      </c>
      <c r="E8225" s="7">
        <v>279.24</v>
      </c>
      <c r="F8225" s="7">
        <v>41909.4</v>
      </c>
      <c r="G8225" s="7">
        <v>90916</v>
      </c>
      <c r="H8225" s="7">
        <f t="shared" si="182"/>
        <v>41904.400000000001</v>
      </c>
      <c r="I8225" s="15"/>
    </row>
    <row r="8226" spans="1:9" s="8" customFormat="1" ht="21" customHeight="1" x14ac:dyDescent="0.6">
      <c r="A8226" s="7">
        <v>24.822598800000002</v>
      </c>
      <c r="B8226" s="7">
        <v>34.828055599999999</v>
      </c>
      <c r="C8226" s="7">
        <v>684752.98</v>
      </c>
      <c r="D8226" s="7">
        <v>2746542.2</v>
      </c>
      <c r="E8226" s="7">
        <v>281.39999999999998</v>
      </c>
      <c r="F8226" s="7">
        <v>41916.239999999998</v>
      </c>
      <c r="G8226" s="7">
        <v>91004</v>
      </c>
      <c r="H8226" s="7">
        <f t="shared" si="182"/>
        <v>41911.24</v>
      </c>
      <c r="I8226" s="15"/>
    </row>
    <row r="8227" spans="1:9" s="8" customFormat="1" ht="21" customHeight="1" x14ac:dyDescent="0.6">
      <c r="A8227" s="7">
        <v>24.822598800000002</v>
      </c>
      <c r="B8227" s="7">
        <v>34.8280551</v>
      </c>
      <c r="C8227" s="7">
        <v>684752.94</v>
      </c>
      <c r="D8227" s="7">
        <v>2746542.2</v>
      </c>
      <c r="E8227" s="7">
        <v>280.94</v>
      </c>
      <c r="F8227" s="7">
        <v>41910.04</v>
      </c>
      <c r="G8227" s="7">
        <v>91025</v>
      </c>
      <c r="H8227" s="7">
        <f t="shared" si="182"/>
        <v>41905.040000000001</v>
      </c>
      <c r="I8227" s="15"/>
    </row>
    <row r="8228" spans="1:9" s="8" customFormat="1" ht="21" customHeight="1" x14ac:dyDescent="0.6">
      <c r="A8228" s="7">
        <v>24.823687799999998</v>
      </c>
      <c r="B8228" s="7">
        <v>34.833767399999999</v>
      </c>
      <c r="C8228" s="7">
        <v>685328.76</v>
      </c>
      <c r="D8228" s="7">
        <v>2746670.57</v>
      </c>
      <c r="E8228" s="7">
        <v>263.95999999999998</v>
      </c>
      <c r="F8228" s="7">
        <v>41896.559999999998</v>
      </c>
      <c r="G8228" s="7">
        <v>92158</v>
      </c>
      <c r="H8228" s="7">
        <f t="shared" si="182"/>
        <v>41891.56</v>
      </c>
      <c r="I8228" s="15"/>
    </row>
    <row r="8229" spans="1:9" s="8" customFormat="1" ht="21" customHeight="1" x14ac:dyDescent="0.6">
      <c r="A8229" s="7">
        <v>24.824002499999999</v>
      </c>
      <c r="B8229" s="7">
        <v>34.833264200000002</v>
      </c>
      <c r="C8229" s="7">
        <v>685277.42</v>
      </c>
      <c r="D8229" s="7">
        <v>2746704.74</v>
      </c>
      <c r="E8229" s="7">
        <v>265.74</v>
      </c>
      <c r="F8229" s="7">
        <v>41895.11</v>
      </c>
      <c r="G8229" s="7">
        <v>92334</v>
      </c>
      <c r="H8229" s="7">
        <f t="shared" si="182"/>
        <v>41890.11</v>
      </c>
      <c r="I8229" s="15"/>
    </row>
    <row r="8230" spans="1:9" s="8" customFormat="1" ht="21" customHeight="1" x14ac:dyDescent="0.6">
      <c r="A8230" s="7">
        <v>24.823832800000002</v>
      </c>
      <c r="B8230" s="7">
        <v>34.831781700000001</v>
      </c>
      <c r="C8230" s="7">
        <v>685127.82</v>
      </c>
      <c r="D8230" s="7">
        <v>2746683.93</v>
      </c>
      <c r="E8230" s="7">
        <v>269.20999999999998</v>
      </c>
      <c r="F8230" s="7">
        <v>41906.160000000003</v>
      </c>
      <c r="G8230" s="7">
        <v>92640</v>
      </c>
      <c r="H8230" s="7">
        <f t="shared" si="182"/>
        <v>41901.160000000003</v>
      </c>
      <c r="I8230" s="15"/>
    </row>
    <row r="8231" spans="1:9" s="8" customFormat="1" ht="21" customHeight="1" x14ac:dyDescent="0.6">
      <c r="A8231" s="7">
        <v>24.825085699999999</v>
      </c>
      <c r="B8231" s="7">
        <v>34.8310806</v>
      </c>
      <c r="C8231" s="7">
        <v>685055.08</v>
      </c>
      <c r="D8231" s="7">
        <v>2746821.75</v>
      </c>
      <c r="E8231" s="7">
        <v>273.36</v>
      </c>
      <c r="F8231" s="7">
        <v>41905.440000000002</v>
      </c>
      <c r="G8231" s="7">
        <v>92837</v>
      </c>
      <c r="H8231" s="7">
        <f t="shared" si="182"/>
        <v>41900.44</v>
      </c>
      <c r="I8231" s="15"/>
    </row>
    <row r="8232" spans="1:9" s="8" customFormat="1" ht="21" customHeight="1" x14ac:dyDescent="0.6">
      <c r="A8232" s="7">
        <v>24.825086200000001</v>
      </c>
      <c r="B8232" s="7">
        <v>34.831081099999999</v>
      </c>
      <c r="C8232" s="7">
        <v>685055.13</v>
      </c>
      <c r="D8232" s="7">
        <v>2746821.81</v>
      </c>
      <c r="E8232" s="7">
        <v>273.19</v>
      </c>
      <c r="F8232" s="7">
        <v>41899.83</v>
      </c>
      <c r="G8232" s="7">
        <v>92846</v>
      </c>
      <c r="H8232" s="7">
        <f t="shared" si="182"/>
        <v>41894.83</v>
      </c>
      <c r="I8232" s="15"/>
    </row>
    <row r="8233" spans="1:9" s="8" customFormat="1" ht="21" customHeight="1" x14ac:dyDescent="0.6">
      <c r="A8233" s="7">
        <v>24.826278599999998</v>
      </c>
      <c r="B8233" s="7">
        <v>34.829431399999997</v>
      </c>
      <c r="C8233" s="7">
        <v>684886.6</v>
      </c>
      <c r="D8233" s="7">
        <v>2746951.65</v>
      </c>
      <c r="E8233" s="7">
        <v>280.45999999999998</v>
      </c>
      <c r="F8233" s="7">
        <v>41936.19</v>
      </c>
      <c r="G8233" s="7">
        <v>93052</v>
      </c>
      <c r="H8233" s="7">
        <f t="shared" si="182"/>
        <v>41931.19</v>
      </c>
      <c r="I8233" s="15"/>
    </row>
    <row r="8234" spans="1:9" s="8" customFormat="1" ht="21" customHeight="1" x14ac:dyDescent="0.6">
      <c r="A8234" s="7">
        <v>24.826278299999998</v>
      </c>
      <c r="B8234" s="7">
        <v>34.829433100000003</v>
      </c>
      <c r="C8234" s="7">
        <v>684886.77</v>
      </c>
      <c r="D8234" s="7">
        <v>2746951.62</v>
      </c>
      <c r="E8234" s="7">
        <v>280.77999999999997</v>
      </c>
      <c r="F8234" s="7">
        <v>41937.629999999997</v>
      </c>
      <c r="G8234" s="7">
        <v>93104</v>
      </c>
      <c r="H8234" s="7">
        <f t="shared" si="182"/>
        <v>41932.629999999997</v>
      </c>
      <c r="I8234" s="15"/>
    </row>
    <row r="8235" spans="1:9" s="8" customFormat="1" ht="21" customHeight="1" x14ac:dyDescent="0.6">
      <c r="A8235" s="7">
        <v>24.826711199999998</v>
      </c>
      <c r="B8235" s="7">
        <v>34.8275711</v>
      </c>
      <c r="C8235" s="7">
        <v>684697.9</v>
      </c>
      <c r="D8235" s="7">
        <v>2746997.04</v>
      </c>
      <c r="E8235" s="7">
        <v>282.63</v>
      </c>
      <c r="F8235" s="7">
        <v>41919.769999999997</v>
      </c>
      <c r="G8235" s="7">
        <v>93428</v>
      </c>
      <c r="H8235" s="7">
        <f t="shared" si="182"/>
        <v>41914.769999999997</v>
      </c>
      <c r="I8235" s="15"/>
    </row>
    <row r="8236" spans="1:9" s="8" customFormat="1" ht="21" customHeight="1" x14ac:dyDescent="0.6">
      <c r="A8236" s="7">
        <v>24.826711</v>
      </c>
      <c r="B8236" s="7">
        <v>34.827571599999999</v>
      </c>
      <c r="C8236" s="7">
        <v>684697.95</v>
      </c>
      <c r="D8236" s="7">
        <v>2746997.02</v>
      </c>
      <c r="E8236" s="7">
        <v>282.67</v>
      </c>
      <c r="F8236" s="7">
        <v>41917.83</v>
      </c>
      <c r="G8236" s="7">
        <v>93437</v>
      </c>
      <c r="H8236" s="7">
        <f t="shared" si="182"/>
        <v>41912.83</v>
      </c>
      <c r="I8236" s="15"/>
    </row>
    <row r="8237" spans="1:9" s="8" customFormat="1" ht="21" customHeight="1" x14ac:dyDescent="0.6">
      <c r="A8237" s="7">
        <v>24.7978731</v>
      </c>
      <c r="B8237" s="7">
        <v>34.836359399999999</v>
      </c>
      <c r="C8237" s="7">
        <v>685629.24</v>
      </c>
      <c r="D8237" s="7">
        <v>2743814.79</v>
      </c>
      <c r="E8237" s="7">
        <v>235.93</v>
      </c>
      <c r="F8237" s="7">
        <v>41887.660000000003</v>
      </c>
      <c r="G8237" s="7">
        <v>100343</v>
      </c>
      <c r="H8237" s="7">
        <f>SUM(F8237-10)</f>
        <v>41877.660000000003</v>
      </c>
      <c r="I8237" s="15"/>
    </row>
    <row r="8238" spans="1:9" s="8" customFormat="1" ht="21" customHeight="1" x14ac:dyDescent="0.6">
      <c r="A8238" s="7">
        <v>24.797873299999999</v>
      </c>
      <c r="B8238" s="7">
        <v>34.836359700000003</v>
      </c>
      <c r="C8238" s="7">
        <v>685629.28</v>
      </c>
      <c r="D8238" s="7">
        <v>2743814.81</v>
      </c>
      <c r="E8238" s="7">
        <v>235.88</v>
      </c>
      <c r="F8238" s="7">
        <v>41888.49</v>
      </c>
      <c r="G8238" s="7">
        <v>100355</v>
      </c>
      <c r="H8238" s="7">
        <f t="shared" ref="H8238:H8240" si="183">SUM(F8238-10)</f>
        <v>41878.49</v>
      </c>
      <c r="I8238" s="15"/>
    </row>
    <row r="8239" spans="1:9" s="8" customFormat="1" ht="21" customHeight="1" x14ac:dyDescent="0.6">
      <c r="A8239" s="7">
        <v>24.7987383</v>
      </c>
      <c r="B8239" s="7">
        <v>34.833837799999998</v>
      </c>
      <c r="C8239" s="7">
        <v>685373</v>
      </c>
      <c r="D8239" s="7">
        <v>2743907.19</v>
      </c>
      <c r="E8239" s="7">
        <v>246.08</v>
      </c>
      <c r="F8239" s="7">
        <v>42101.73</v>
      </c>
      <c r="G8239" s="7">
        <v>100801</v>
      </c>
      <c r="H8239" s="7">
        <f t="shared" si="183"/>
        <v>42091.73</v>
      </c>
      <c r="I8239" s="15"/>
    </row>
    <row r="8240" spans="1:9" s="8" customFormat="1" ht="21" customHeight="1" x14ac:dyDescent="0.6">
      <c r="A8240" s="7">
        <v>24.798776</v>
      </c>
      <c r="B8240" s="7">
        <v>34.833779100000001</v>
      </c>
      <c r="C8240" s="7">
        <v>685367.01</v>
      </c>
      <c r="D8240" s="7">
        <v>2743911.28</v>
      </c>
      <c r="E8240" s="7">
        <v>246.01</v>
      </c>
      <c r="F8240" s="7">
        <v>42104.69</v>
      </c>
      <c r="G8240" s="7">
        <v>100828</v>
      </c>
      <c r="H8240" s="7">
        <f t="shared" si="183"/>
        <v>42094.69</v>
      </c>
      <c r="I8240" s="15"/>
    </row>
    <row r="8241" spans="1:9" s="4" customFormat="1" ht="19.5" customHeight="1" x14ac:dyDescent="0.55000000000000004">
      <c r="A8241" s="18">
        <v>24.7986653</v>
      </c>
      <c r="B8241" s="18">
        <v>34.833489700000001</v>
      </c>
      <c r="C8241" s="18">
        <v>685337.91</v>
      </c>
      <c r="D8241" s="18">
        <v>2743898.63</v>
      </c>
      <c r="E8241" s="18">
        <v>249.79</v>
      </c>
      <c r="F8241" s="18">
        <v>41958.16</v>
      </c>
      <c r="G8241" s="18">
        <v>101130</v>
      </c>
      <c r="H8241" s="18">
        <f>SUM(F8241-10)</f>
        <v>41948.160000000003</v>
      </c>
      <c r="I8241" s="3"/>
    </row>
    <row r="8242" spans="1:9" s="4" customFormat="1" ht="19.5" customHeight="1" x14ac:dyDescent="0.55000000000000004">
      <c r="A8242" s="18">
        <v>24.798644400000001</v>
      </c>
      <c r="B8242" s="18">
        <v>34.833486000000001</v>
      </c>
      <c r="C8242" s="18">
        <v>685337.58</v>
      </c>
      <c r="D8242" s="18">
        <v>2743896.31</v>
      </c>
      <c r="E8242" s="18">
        <v>249.85</v>
      </c>
      <c r="F8242" s="18">
        <v>41955.87</v>
      </c>
      <c r="G8242" s="18">
        <v>101132</v>
      </c>
      <c r="H8242" s="18">
        <f t="shared" ref="H8242:H8305" si="184">SUM(F8242-10)</f>
        <v>41945.87</v>
      </c>
      <c r="I8242" s="3"/>
    </row>
    <row r="8243" spans="1:9" s="4" customFormat="1" ht="19.5" customHeight="1" x14ac:dyDescent="0.55000000000000004">
      <c r="A8243" s="18">
        <v>24.7986228</v>
      </c>
      <c r="B8243" s="18">
        <v>34.833492399999997</v>
      </c>
      <c r="C8243" s="18">
        <v>685338.25</v>
      </c>
      <c r="D8243" s="18">
        <v>2743893.92</v>
      </c>
      <c r="E8243" s="18">
        <v>249.84</v>
      </c>
      <c r="F8243" s="18">
        <v>41956.67</v>
      </c>
      <c r="G8243" s="18">
        <v>101134</v>
      </c>
      <c r="H8243" s="18">
        <f t="shared" si="184"/>
        <v>41946.67</v>
      </c>
      <c r="I8243" s="3"/>
    </row>
    <row r="8244" spans="1:9" s="4" customFormat="1" ht="19.5" customHeight="1" x14ac:dyDescent="0.55000000000000004">
      <c r="A8244" s="18">
        <v>24.7986188</v>
      </c>
      <c r="B8244" s="18">
        <v>34.833501099999999</v>
      </c>
      <c r="C8244" s="18">
        <v>685339.14</v>
      </c>
      <c r="D8244" s="18">
        <v>2743893.5</v>
      </c>
      <c r="E8244" s="18">
        <v>245.07</v>
      </c>
      <c r="F8244" s="18">
        <v>41955.64</v>
      </c>
      <c r="G8244" s="18">
        <v>101136</v>
      </c>
      <c r="H8244" s="18">
        <f t="shared" si="184"/>
        <v>41945.64</v>
      </c>
      <c r="I8244" s="3"/>
    </row>
    <row r="8245" spans="1:9" s="4" customFormat="1" ht="19.5" customHeight="1" x14ac:dyDescent="0.55000000000000004">
      <c r="A8245" s="18">
        <v>24.798591299999998</v>
      </c>
      <c r="B8245" s="18">
        <v>34.833502799999998</v>
      </c>
      <c r="C8245" s="18">
        <v>685339.36</v>
      </c>
      <c r="D8245" s="18">
        <v>2743890.45</v>
      </c>
      <c r="E8245" s="18">
        <v>246.42</v>
      </c>
      <c r="F8245" s="18">
        <v>41953.85</v>
      </c>
      <c r="G8245" s="18">
        <v>101138</v>
      </c>
      <c r="H8245" s="18">
        <f t="shared" si="184"/>
        <v>41943.85</v>
      </c>
      <c r="I8245" s="3"/>
    </row>
    <row r="8246" spans="1:9" s="4" customFormat="1" ht="19.5" customHeight="1" x14ac:dyDescent="0.55000000000000004">
      <c r="A8246" s="18">
        <v>24.798569400000002</v>
      </c>
      <c r="B8246" s="18">
        <v>34.8335103</v>
      </c>
      <c r="C8246" s="18">
        <v>685340.14</v>
      </c>
      <c r="D8246" s="18">
        <v>2743888.03</v>
      </c>
      <c r="E8246" s="18">
        <v>246.09</v>
      </c>
      <c r="F8246" s="18">
        <v>41952.3</v>
      </c>
      <c r="G8246" s="18">
        <v>101140</v>
      </c>
      <c r="H8246" s="18">
        <f t="shared" si="184"/>
        <v>41942.300000000003</v>
      </c>
      <c r="I8246" s="3"/>
    </row>
    <row r="8247" spans="1:9" s="4" customFormat="1" ht="19.5" customHeight="1" x14ac:dyDescent="0.55000000000000004">
      <c r="A8247" s="18">
        <v>24.798548199999999</v>
      </c>
      <c r="B8247" s="18">
        <v>34.833521599999997</v>
      </c>
      <c r="C8247" s="18">
        <v>685341.32</v>
      </c>
      <c r="D8247" s="18">
        <v>2743885.71</v>
      </c>
      <c r="E8247" s="18">
        <v>245.67</v>
      </c>
      <c r="F8247" s="18">
        <v>41954.94</v>
      </c>
      <c r="G8247" s="18">
        <v>101142</v>
      </c>
      <c r="H8247" s="18">
        <f t="shared" si="184"/>
        <v>41944.94</v>
      </c>
      <c r="I8247" s="3"/>
    </row>
    <row r="8248" spans="1:9" s="4" customFormat="1" ht="19.5" customHeight="1" x14ac:dyDescent="0.55000000000000004">
      <c r="A8248" s="18">
        <v>24.798526200000001</v>
      </c>
      <c r="B8248" s="18">
        <v>34.833529599999999</v>
      </c>
      <c r="C8248" s="18">
        <v>685342.16</v>
      </c>
      <c r="D8248" s="18">
        <v>2743883.27</v>
      </c>
      <c r="E8248" s="18">
        <v>245.54</v>
      </c>
      <c r="F8248" s="18">
        <v>41952.3</v>
      </c>
      <c r="G8248" s="18">
        <v>101144</v>
      </c>
      <c r="H8248" s="18">
        <f t="shared" si="184"/>
        <v>41942.300000000003</v>
      </c>
      <c r="I8248" s="3"/>
    </row>
    <row r="8249" spans="1:9" s="4" customFormat="1" ht="19.5" customHeight="1" x14ac:dyDescent="0.55000000000000004">
      <c r="A8249" s="18">
        <v>24.7985042</v>
      </c>
      <c r="B8249" s="18">
        <v>34.833539899999998</v>
      </c>
      <c r="C8249" s="18">
        <v>685343.23</v>
      </c>
      <c r="D8249" s="18">
        <v>2743880.85</v>
      </c>
      <c r="E8249" s="18">
        <v>245.47</v>
      </c>
      <c r="F8249" s="18">
        <v>41949.61</v>
      </c>
      <c r="G8249" s="18">
        <v>101146</v>
      </c>
      <c r="H8249" s="18">
        <f t="shared" si="184"/>
        <v>41939.61</v>
      </c>
      <c r="I8249" s="3"/>
    </row>
    <row r="8250" spans="1:9" s="4" customFormat="1" ht="19.5" customHeight="1" x14ac:dyDescent="0.55000000000000004">
      <c r="A8250" s="18">
        <v>24.798480900000001</v>
      </c>
      <c r="B8250" s="18">
        <v>34.833542100000003</v>
      </c>
      <c r="C8250" s="18">
        <v>685343.49</v>
      </c>
      <c r="D8250" s="18">
        <v>2743878.28</v>
      </c>
      <c r="E8250" s="18">
        <v>245.34</v>
      </c>
      <c r="F8250" s="18">
        <v>41946.41</v>
      </c>
      <c r="G8250" s="18">
        <v>101148</v>
      </c>
      <c r="H8250" s="18">
        <f t="shared" si="184"/>
        <v>41936.410000000003</v>
      </c>
      <c r="I8250" s="3"/>
    </row>
    <row r="8251" spans="1:9" s="4" customFormat="1" ht="19.5" customHeight="1" x14ac:dyDescent="0.55000000000000004">
      <c r="A8251" s="18">
        <v>24.7984601</v>
      </c>
      <c r="B8251" s="18">
        <v>34.833533099999997</v>
      </c>
      <c r="C8251" s="18">
        <v>685342.6</v>
      </c>
      <c r="D8251" s="18">
        <v>2743875.96</v>
      </c>
      <c r="E8251" s="18">
        <v>245.32</v>
      </c>
      <c r="F8251" s="18">
        <v>41940.31</v>
      </c>
      <c r="G8251" s="18">
        <v>101150</v>
      </c>
      <c r="H8251" s="18">
        <f t="shared" si="184"/>
        <v>41930.31</v>
      </c>
      <c r="I8251" s="3"/>
    </row>
    <row r="8252" spans="1:9" s="4" customFormat="1" ht="19.5" customHeight="1" x14ac:dyDescent="0.55000000000000004">
      <c r="A8252" s="18">
        <v>24.798437</v>
      </c>
      <c r="B8252" s="18">
        <v>34.833528600000001</v>
      </c>
      <c r="C8252" s="18">
        <v>685342.19</v>
      </c>
      <c r="D8252" s="18">
        <v>2743873.39</v>
      </c>
      <c r="E8252" s="18">
        <v>245.26</v>
      </c>
      <c r="F8252" s="18">
        <v>41940.75</v>
      </c>
      <c r="G8252" s="18">
        <v>101152</v>
      </c>
      <c r="H8252" s="18">
        <f t="shared" si="184"/>
        <v>41930.75</v>
      </c>
      <c r="I8252" s="3"/>
    </row>
    <row r="8253" spans="1:9" s="4" customFormat="1" ht="19.5" customHeight="1" x14ac:dyDescent="0.55000000000000004">
      <c r="A8253" s="18">
        <v>24.798416</v>
      </c>
      <c r="B8253" s="18">
        <v>34.833524500000003</v>
      </c>
      <c r="C8253" s="18">
        <v>685341.81</v>
      </c>
      <c r="D8253" s="18">
        <v>2743871.06</v>
      </c>
      <c r="E8253" s="18">
        <v>244.76</v>
      </c>
      <c r="F8253" s="18">
        <v>41942.269999999997</v>
      </c>
      <c r="G8253" s="18">
        <v>101154</v>
      </c>
      <c r="H8253" s="18">
        <f t="shared" si="184"/>
        <v>41932.269999999997</v>
      </c>
      <c r="I8253" s="3"/>
    </row>
    <row r="8254" spans="1:9" s="4" customFormat="1" ht="19.5" customHeight="1" x14ac:dyDescent="0.55000000000000004">
      <c r="A8254" s="18">
        <v>24.798396499999999</v>
      </c>
      <c r="B8254" s="18">
        <v>34.833519000000003</v>
      </c>
      <c r="C8254" s="18">
        <v>685341.27</v>
      </c>
      <c r="D8254" s="18">
        <v>2743868.89</v>
      </c>
      <c r="E8254" s="18">
        <v>244.75</v>
      </c>
      <c r="F8254" s="18">
        <v>41937.71</v>
      </c>
      <c r="G8254" s="18">
        <v>101156</v>
      </c>
      <c r="H8254" s="18">
        <f t="shared" si="184"/>
        <v>41927.71</v>
      </c>
      <c r="I8254" s="3"/>
    </row>
    <row r="8255" spans="1:9" s="4" customFormat="1" ht="19.5" customHeight="1" x14ac:dyDescent="0.55000000000000004">
      <c r="A8255" s="18">
        <v>24.7983777</v>
      </c>
      <c r="B8255" s="18">
        <v>34.833504599999998</v>
      </c>
      <c r="C8255" s="18">
        <v>685339.85</v>
      </c>
      <c r="D8255" s="18">
        <v>2743866.79</v>
      </c>
      <c r="E8255" s="18">
        <v>244.77</v>
      </c>
      <c r="F8255" s="18">
        <v>41931.9</v>
      </c>
      <c r="G8255" s="18">
        <v>101158</v>
      </c>
      <c r="H8255" s="18">
        <f t="shared" si="184"/>
        <v>41921.9</v>
      </c>
      <c r="I8255" s="3"/>
    </row>
    <row r="8256" spans="1:9" s="4" customFormat="1" ht="19.5" customHeight="1" x14ac:dyDescent="0.55000000000000004">
      <c r="A8256" s="18">
        <v>24.798362900000001</v>
      </c>
      <c r="B8256" s="18">
        <v>34.833483999999999</v>
      </c>
      <c r="C8256" s="18">
        <v>685337.79</v>
      </c>
      <c r="D8256" s="18">
        <v>2743865.13</v>
      </c>
      <c r="E8256" s="18">
        <v>244.87</v>
      </c>
      <c r="F8256" s="18">
        <v>41928.94</v>
      </c>
      <c r="G8256" s="18">
        <v>101200</v>
      </c>
      <c r="H8256" s="18">
        <f t="shared" si="184"/>
        <v>41918.94</v>
      </c>
      <c r="I8256" s="3"/>
    </row>
    <row r="8257" spans="1:9" s="4" customFormat="1" ht="19.5" customHeight="1" x14ac:dyDescent="0.55000000000000004">
      <c r="A8257" s="18">
        <v>24.7983519</v>
      </c>
      <c r="B8257" s="18">
        <v>34.833460199999998</v>
      </c>
      <c r="C8257" s="18">
        <v>685335.4</v>
      </c>
      <c r="D8257" s="18">
        <v>2743863.88</v>
      </c>
      <c r="E8257" s="18">
        <v>244.79</v>
      </c>
      <c r="F8257" s="18">
        <v>41924.68</v>
      </c>
      <c r="G8257" s="18">
        <v>101202</v>
      </c>
      <c r="H8257" s="18">
        <f t="shared" si="184"/>
        <v>41914.68</v>
      </c>
      <c r="I8257" s="3"/>
    </row>
    <row r="8258" spans="1:9" s="4" customFormat="1" ht="19.5" customHeight="1" x14ac:dyDescent="0.55000000000000004">
      <c r="A8258" s="18">
        <v>24.798333499999998</v>
      </c>
      <c r="B8258" s="18">
        <v>34.833448400000002</v>
      </c>
      <c r="C8258" s="18">
        <v>685334.23</v>
      </c>
      <c r="D8258" s="18">
        <v>2743861.83</v>
      </c>
      <c r="E8258" s="18">
        <v>244.95</v>
      </c>
      <c r="F8258" s="18">
        <v>41918.65</v>
      </c>
      <c r="G8258" s="18">
        <v>101204</v>
      </c>
      <c r="H8258" s="18">
        <f t="shared" si="184"/>
        <v>41908.65</v>
      </c>
      <c r="I8258" s="3"/>
    </row>
    <row r="8259" spans="1:9" s="4" customFormat="1" ht="19.5" customHeight="1" x14ac:dyDescent="0.55000000000000004">
      <c r="A8259" s="18">
        <v>24.798316700000001</v>
      </c>
      <c r="B8259" s="18">
        <v>34.833434199999999</v>
      </c>
      <c r="C8259" s="18">
        <v>685332.83</v>
      </c>
      <c r="D8259" s="18">
        <v>2743859.95</v>
      </c>
      <c r="E8259" s="18">
        <v>245.1</v>
      </c>
      <c r="F8259" s="18">
        <v>41917.74</v>
      </c>
      <c r="G8259" s="18">
        <v>101206</v>
      </c>
      <c r="H8259" s="18">
        <f t="shared" si="184"/>
        <v>41907.74</v>
      </c>
      <c r="I8259" s="3"/>
    </row>
    <row r="8260" spans="1:9" s="4" customFormat="1" ht="19.5" customHeight="1" x14ac:dyDescent="0.55000000000000004">
      <c r="A8260" s="18">
        <v>24.798304600000002</v>
      </c>
      <c r="B8260" s="18">
        <v>34.833413999999998</v>
      </c>
      <c r="C8260" s="18">
        <v>685330.8</v>
      </c>
      <c r="D8260" s="18">
        <v>2743858.57</v>
      </c>
      <c r="E8260" s="18">
        <v>245.24</v>
      </c>
      <c r="F8260" s="18">
        <v>41913.69</v>
      </c>
      <c r="G8260" s="18">
        <v>101208</v>
      </c>
      <c r="H8260" s="18">
        <f t="shared" si="184"/>
        <v>41903.69</v>
      </c>
      <c r="I8260" s="3"/>
    </row>
    <row r="8261" spans="1:9" s="4" customFormat="1" ht="19.5" customHeight="1" x14ac:dyDescent="0.55000000000000004">
      <c r="A8261" s="18">
        <v>24.798290900000001</v>
      </c>
      <c r="B8261" s="18">
        <v>34.8333941</v>
      </c>
      <c r="C8261" s="18">
        <v>685328.81</v>
      </c>
      <c r="D8261" s="18">
        <v>2743857.03</v>
      </c>
      <c r="E8261" s="18">
        <v>245.5</v>
      </c>
      <c r="F8261" s="18">
        <v>41910.089999999997</v>
      </c>
      <c r="G8261" s="18">
        <v>101210</v>
      </c>
      <c r="H8261" s="18">
        <f t="shared" si="184"/>
        <v>41900.089999999997</v>
      </c>
      <c r="I8261" s="3"/>
    </row>
    <row r="8262" spans="1:9" s="4" customFormat="1" ht="19.5" customHeight="1" x14ac:dyDescent="0.55000000000000004">
      <c r="A8262" s="18">
        <v>24.798277500000001</v>
      </c>
      <c r="B8262" s="18">
        <v>34.833373600000002</v>
      </c>
      <c r="C8262" s="18">
        <v>685326.75</v>
      </c>
      <c r="D8262" s="18">
        <v>2743855.51</v>
      </c>
      <c r="E8262" s="18">
        <v>245.72</v>
      </c>
      <c r="F8262" s="18">
        <v>41906.39</v>
      </c>
      <c r="G8262" s="18">
        <v>101212</v>
      </c>
      <c r="H8262" s="18">
        <f t="shared" si="184"/>
        <v>41896.39</v>
      </c>
      <c r="I8262" s="3"/>
    </row>
    <row r="8263" spans="1:9" s="4" customFormat="1" ht="19.5" customHeight="1" x14ac:dyDescent="0.55000000000000004">
      <c r="A8263" s="18">
        <v>24.798259900000001</v>
      </c>
      <c r="B8263" s="18">
        <v>34.833357300000003</v>
      </c>
      <c r="C8263" s="18">
        <v>685325.13</v>
      </c>
      <c r="D8263" s="18">
        <v>2743853.55</v>
      </c>
      <c r="E8263" s="18">
        <v>245.87</v>
      </c>
      <c r="F8263" s="18">
        <v>41904.629999999997</v>
      </c>
      <c r="G8263" s="18">
        <v>101214</v>
      </c>
      <c r="H8263" s="18">
        <f t="shared" si="184"/>
        <v>41894.629999999997</v>
      </c>
      <c r="I8263" s="3"/>
    </row>
    <row r="8264" spans="1:9" s="4" customFormat="1" ht="19.5" customHeight="1" x14ac:dyDescent="0.55000000000000004">
      <c r="A8264" s="18">
        <v>24.798239899999999</v>
      </c>
      <c r="B8264" s="18">
        <v>34.833344799999999</v>
      </c>
      <c r="C8264" s="18">
        <v>685323.9</v>
      </c>
      <c r="D8264" s="18">
        <v>2743851.32</v>
      </c>
      <c r="E8264" s="18">
        <v>246.13</v>
      </c>
      <c r="F8264" s="18">
        <v>41902.620000000003</v>
      </c>
      <c r="G8264" s="18">
        <v>101216</v>
      </c>
      <c r="H8264" s="18">
        <f t="shared" si="184"/>
        <v>41892.620000000003</v>
      </c>
      <c r="I8264" s="3"/>
    </row>
    <row r="8265" spans="1:9" s="4" customFormat="1" ht="19.5" customHeight="1" x14ac:dyDescent="0.55000000000000004">
      <c r="A8265" s="18">
        <v>24.798221900000001</v>
      </c>
      <c r="B8265" s="18">
        <v>34.833336899999999</v>
      </c>
      <c r="C8265" s="18">
        <v>685323.13</v>
      </c>
      <c r="D8265" s="18">
        <v>2743849.31</v>
      </c>
      <c r="E8265" s="18">
        <v>246.26</v>
      </c>
      <c r="F8265" s="18">
        <v>41899.64</v>
      </c>
      <c r="G8265" s="18">
        <v>101218</v>
      </c>
      <c r="H8265" s="18">
        <f t="shared" si="184"/>
        <v>41889.64</v>
      </c>
      <c r="I8265" s="3"/>
    </row>
    <row r="8266" spans="1:9" s="4" customFormat="1" ht="19.5" customHeight="1" x14ac:dyDescent="0.55000000000000004">
      <c r="A8266" s="18">
        <v>24.798207300000001</v>
      </c>
      <c r="B8266" s="18">
        <v>34.833320200000003</v>
      </c>
      <c r="C8266" s="18">
        <v>685321.46</v>
      </c>
      <c r="D8266" s="18">
        <v>2743847.67</v>
      </c>
      <c r="E8266" s="18">
        <v>246.47</v>
      </c>
      <c r="F8266" s="18">
        <v>41901.82</v>
      </c>
      <c r="G8266" s="18">
        <v>101220</v>
      </c>
      <c r="H8266" s="18">
        <f t="shared" si="184"/>
        <v>41891.82</v>
      </c>
      <c r="I8266" s="3"/>
    </row>
    <row r="8267" spans="1:9" s="4" customFormat="1" ht="19.5" customHeight="1" x14ac:dyDescent="0.55000000000000004">
      <c r="A8267" s="18">
        <v>24.7982026</v>
      </c>
      <c r="B8267" s="18">
        <v>34.833295300000003</v>
      </c>
      <c r="C8267" s="18">
        <v>685318.95</v>
      </c>
      <c r="D8267" s="18">
        <v>2743847.11</v>
      </c>
      <c r="E8267" s="18">
        <v>246.55</v>
      </c>
      <c r="F8267" s="18">
        <v>41898.379999999997</v>
      </c>
      <c r="G8267" s="18">
        <v>101222</v>
      </c>
      <c r="H8267" s="18">
        <f t="shared" si="184"/>
        <v>41888.379999999997</v>
      </c>
      <c r="I8267" s="3"/>
    </row>
    <row r="8268" spans="1:9" s="4" customFormat="1" ht="19.5" customHeight="1" x14ac:dyDescent="0.55000000000000004">
      <c r="A8268" s="18">
        <v>24.798196900000001</v>
      </c>
      <c r="B8268" s="18">
        <v>34.833271000000003</v>
      </c>
      <c r="C8268" s="18">
        <v>685316.5</v>
      </c>
      <c r="D8268" s="18">
        <v>2743846.45</v>
      </c>
      <c r="E8268" s="18">
        <v>246.75</v>
      </c>
      <c r="F8268" s="18">
        <v>41897.69</v>
      </c>
      <c r="G8268" s="18">
        <v>101224</v>
      </c>
      <c r="H8268" s="18">
        <f t="shared" si="184"/>
        <v>41887.69</v>
      </c>
      <c r="I8268" s="3"/>
    </row>
    <row r="8269" spans="1:9" s="4" customFormat="1" ht="19.5" customHeight="1" x14ac:dyDescent="0.55000000000000004">
      <c r="A8269" s="18">
        <v>24.798190699999999</v>
      </c>
      <c r="B8269" s="18">
        <v>34.833247</v>
      </c>
      <c r="C8269" s="18">
        <v>685314.08</v>
      </c>
      <c r="D8269" s="18">
        <v>2743845.73</v>
      </c>
      <c r="E8269" s="18">
        <v>246.92</v>
      </c>
      <c r="F8269" s="18">
        <v>41896.879999999997</v>
      </c>
      <c r="G8269" s="18">
        <v>101226</v>
      </c>
      <c r="H8269" s="18">
        <f t="shared" si="184"/>
        <v>41886.879999999997</v>
      </c>
      <c r="I8269" s="3"/>
    </row>
    <row r="8270" spans="1:9" s="4" customFormat="1" ht="19.5" customHeight="1" x14ac:dyDescent="0.55000000000000004">
      <c r="A8270" s="18">
        <v>24.798192400000001</v>
      </c>
      <c r="B8270" s="18">
        <v>34.833222800000001</v>
      </c>
      <c r="C8270" s="18">
        <v>685311.63</v>
      </c>
      <c r="D8270" s="18">
        <v>2743845.89</v>
      </c>
      <c r="E8270" s="18">
        <v>246.88</v>
      </c>
      <c r="F8270" s="18">
        <v>41894.550000000003</v>
      </c>
      <c r="G8270" s="18">
        <v>101228</v>
      </c>
      <c r="H8270" s="18">
        <f t="shared" si="184"/>
        <v>41884.550000000003</v>
      </c>
      <c r="I8270" s="3"/>
    </row>
    <row r="8271" spans="1:9" s="4" customFormat="1" ht="19.5" customHeight="1" x14ac:dyDescent="0.55000000000000004">
      <c r="A8271" s="18">
        <v>24.7981889</v>
      </c>
      <c r="B8271" s="18">
        <v>34.833197699999999</v>
      </c>
      <c r="C8271" s="18">
        <v>685309.1</v>
      </c>
      <c r="D8271" s="18">
        <v>2743845.47</v>
      </c>
      <c r="E8271" s="18">
        <v>247.02</v>
      </c>
      <c r="F8271" s="18">
        <v>41894.21</v>
      </c>
      <c r="G8271" s="18">
        <v>101230</v>
      </c>
      <c r="H8271" s="18">
        <f t="shared" si="184"/>
        <v>41884.21</v>
      </c>
      <c r="I8271" s="3"/>
    </row>
    <row r="8272" spans="1:9" s="4" customFormat="1" ht="19.5" customHeight="1" x14ac:dyDescent="0.55000000000000004">
      <c r="A8272" s="18">
        <v>24.798181499999998</v>
      </c>
      <c r="B8272" s="18">
        <v>34.833174700000001</v>
      </c>
      <c r="C8272" s="18">
        <v>685306.79</v>
      </c>
      <c r="D8272" s="18">
        <v>2743844.62</v>
      </c>
      <c r="E8272" s="18">
        <v>247.1</v>
      </c>
      <c r="F8272" s="18">
        <v>41892.620000000003</v>
      </c>
      <c r="G8272" s="18">
        <v>101232</v>
      </c>
      <c r="H8272" s="18">
        <f t="shared" si="184"/>
        <v>41882.620000000003</v>
      </c>
      <c r="I8272" s="3"/>
    </row>
    <row r="8273" spans="1:9" s="4" customFormat="1" ht="19.5" customHeight="1" x14ac:dyDescent="0.55000000000000004">
      <c r="A8273" s="18">
        <v>24.798172999999998</v>
      </c>
      <c r="B8273" s="18">
        <v>34.833151999999998</v>
      </c>
      <c r="C8273" s="18">
        <v>685304.51</v>
      </c>
      <c r="D8273" s="18">
        <v>2743843.64</v>
      </c>
      <c r="E8273" s="18">
        <v>247.19</v>
      </c>
      <c r="F8273" s="18">
        <v>41890.76</v>
      </c>
      <c r="G8273" s="18">
        <v>101234</v>
      </c>
      <c r="H8273" s="18">
        <f t="shared" si="184"/>
        <v>41880.76</v>
      </c>
      <c r="I8273" s="3"/>
    </row>
    <row r="8274" spans="1:9" s="4" customFormat="1" ht="19.5" customHeight="1" x14ac:dyDescent="0.55000000000000004">
      <c r="A8274" s="18">
        <v>24.7981661</v>
      </c>
      <c r="B8274" s="18">
        <v>34.833129900000003</v>
      </c>
      <c r="C8274" s="18">
        <v>685302.28</v>
      </c>
      <c r="D8274" s="18">
        <v>2743842.85</v>
      </c>
      <c r="E8274" s="18">
        <v>247.29</v>
      </c>
      <c r="F8274" s="18">
        <v>41890.730000000003</v>
      </c>
      <c r="G8274" s="18">
        <v>101236</v>
      </c>
      <c r="H8274" s="18">
        <f t="shared" si="184"/>
        <v>41880.730000000003</v>
      </c>
      <c r="I8274" s="3"/>
    </row>
    <row r="8275" spans="1:9" s="4" customFormat="1" ht="19.5" customHeight="1" x14ac:dyDescent="0.55000000000000004">
      <c r="A8275" s="18">
        <v>24.7981588</v>
      </c>
      <c r="B8275" s="18">
        <v>34.833106800000003</v>
      </c>
      <c r="C8275" s="18">
        <v>685299.96</v>
      </c>
      <c r="D8275" s="18">
        <v>2743842.01</v>
      </c>
      <c r="E8275" s="18">
        <v>247.3</v>
      </c>
      <c r="F8275" s="18">
        <v>41889.47</v>
      </c>
      <c r="G8275" s="18">
        <v>101238</v>
      </c>
      <c r="H8275" s="18">
        <f t="shared" si="184"/>
        <v>41879.47</v>
      </c>
      <c r="I8275" s="3"/>
    </row>
    <row r="8276" spans="1:9" s="4" customFormat="1" ht="19.5" customHeight="1" x14ac:dyDescent="0.55000000000000004">
      <c r="A8276" s="18">
        <v>24.798154199999999</v>
      </c>
      <c r="B8276" s="18">
        <v>34.833083100000003</v>
      </c>
      <c r="C8276" s="18">
        <v>685297.57</v>
      </c>
      <c r="D8276" s="18">
        <v>2743841.47</v>
      </c>
      <c r="E8276" s="18">
        <v>247.39</v>
      </c>
      <c r="F8276" s="18">
        <v>41890.230000000003</v>
      </c>
      <c r="G8276" s="18">
        <v>101240</v>
      </c>
      <c r="H8276" s="18">
        <f t="shared" si="184"/>
        <v>41880.230000000003</v>
      </c>
      <c r="I8276" s="3"/>
    </row>
    <row r="8277" spans="1:9" s="4" customFormat="1" ht="19.5" customHeight="1" x14ac:dyDescent="0.55000000000000004">
      <c r="A8277" s="18">
        <v>24.798153800000001</v>
      </c>
      <c r="B8277" s="18">
        <v>34.833057699999998</v>
      </c>
      <c r="C8277" s="18">
        <v>685295</v>
      </c>
      <c r="D8277" s="18">
        <v>2743841.39</v>
      </c>
      <c r="E8277" s="18">
        <v>247.47</v>
      </c>
      <c r="F8277" s="18">
        <v>41890.050000000003</v>
      </c>
      <c r="G8277" s="18">
        <v>101242</v>
      </c>
      <c r="H8277" s="18">
        <f t="shared" si="184"/>
        <v>41880.050000000003</v>
      </c>
      <c r="I8277" s="3"/>
    </row>
    <row r="8278" spans="1:9" s="4" customFormat="1" ht="19.5" customHeight="1" x14ac:dyDescent="0.55000000000000004">
      <c r="A8278" s="18">
        <v>24.7981467</v>
      </c>
      <c r="B8278" s="18">
        <v>34.833033</v>
      </c>
      <c r="C8278" s="18">
        <v>685292.51</v>
      </c>
      <c r="D8278" s="18">
        <v>2743840.56</v>
      </c>
      <c r="E8278" s="18">
        <v>247.47</v>
      </c>
      <c r="F8278" s="18">
        <v>41889.4</v>
      </c>
      <c r="G8278" s="18">
        <v>101244</v>
      </c>
      <c r="H8278" s="18">
        <f t="shared" si="184"/>
        <v>41879.4</v>
      </c>
      <c r="I8278" s="3"/>
    </row>
    <row r="8279" spans="1:9" s="4" customFormat="1" ht="19.5" customHeight="1" x14ac:dyDescent="0.55000000000000004">
      <c r="A8279" s="18">
        <v>24.798138999999999</v>
      </c>
      <c r="B8279" s="18">
        <v>34.833009300000001</v>
      </c>
      <c r="C8279" s="18">
        <v>685290.13</v>
      </c>
      <c r="D8279" s="18">
        <v>2743839.69</v>
      </c>
      <c r="E8279" s="18">
        <v>247.53</v>
      </c>
      <c r="F8279" s="18">
        <v>41890.480000000003</v>
      </c>
      <c r="G8279" s="18">
        <v>101246</v>
      </c>
      <c r="H8279" s="18">
        <f t="shared" si="184"/>
        <v>41880.480000000003</v>
      </c>
      <c r="I8279" s="3"/>
    </row>
    <row r="8280" spans="1:9" s="4" customFormat="1" ht="19.5" customHeight="1" x14ac:dyDescent="0.55000000000000004">
      <c r="A8280" s="18">
        <v>24.798134600000001</v>
      </c>
      <c r="B8280" s="18">
        <v>34.832984799999998</v>
      </c>
      <c r="C8280" s="18">
        <v>685287.65</v>
      </c>
      <c r="D8280" s="18">
        <v>2743839.16</v>
      </c>
      <c r="E8280" s="18">
        <v>247.61</v>
      </c>
      <c r="F8280" s="18">
        <v>41886.120000000003</v>
      </c>
      <c r="G8280" s="18">
        <v>101248</v>
      </c>
      <c r="H8280" s="18">
        <f t="shared" si="184"/>
        <v>41876.120000000003</v>
      </c>
      <c r="I8280" s="3"/>
    </row>
    <row r="8281" spans="1:9" s="4" customFormat="1" ht="19.5" customHeight="1" x14ac:dyDescent="0.55000000000000004">
      <c r="A8281" s="18">
        <v>24.798129200000002</v>
      </c>
      <c r="B8281" s="18">
        <v>34.832960200000002</v>
      </c>
      <c r="C8281" s="18">
        <v>685285.18</v>
      </c>
      <c r="D8281" s="18">
        <v>2743838.54</v>
      </c>
      <c r="E8281" s="18">
        <v>247.59</v>
      </c>
      <c r="F8281" s="18">
        <v>41890.97</v>
      </c>
      <c r="G8281" s="18">
        <v>101250</v>
      </c>
      <c r="H8281" s="18">
        <f t="shared" si="184"/>
        <v>41880.97</v>
      </c>
      <c r="I8281" s="3"/>
    </row>
    <row r="8282" spans="1:9" s="4" customFormat="1" ht="19.5" customHeight="1" x14ac:dyDescent="0.55000000000000004">
      <c r="A8282" s="18">
        <v>24.798131399999999</v>
      </c>
      <c r="B8282" s="18">
        <v>34.8329351</v>
      </c>
      <c r="C8282" s="18">
        <v>685282.64</v>
      </c>
      <c r="D8282" s="18">
        <v>2743838.74</v>
      </c>
      <c r="E8282" s="18">
        <v>247.71</v>
      </c>
      <c r="F8282" s="18">
        <v>41890.57</v>
      </c>
      <c r="G8282" s="18">
        <v>101252</v>
      </c>
      <c r="H8282" s="18">
        <f t="shared" si="184"/>
        <v>41880.57</v>
      </c>
      <c r="I8282" s="3"/>
    </row>
    <row r="8283" spans="1:9" s="4" customFormat="1" ht="19.5" customHeight="1" x14ac:dyDescent="0.55000000000000004">
      <c r="A8283" s="18">
        <v>24.798134699999999</v>
      </c>
      <c r="B8283" s="18">
        <v>34.832909100000002</v>
      </c>
      <c r="C8283" s="18">
        <v>685280</v>
      </c>
      <c r="D8283" s="18">
        <v>2743839.07</v>
      </c>
      <c r="E8283" s="18">
        <v>247.76</v>
      </c>
      <c r="F8283" s="18">
        <v>41891.160000000003</v>
      </c>
      <c r="G8283" s="18">
        <v>101254</v>
      </c>
      <c r="H8283" s="18">
        <f t="shared" si="184"/>
        <v>41881.160000000003</v>
      </c>
      <c r="I8283" s="3"/>
    </row>
    <row r="8284" spans="1:9" s="4" customFormat="1" ht="19.5" customHeight="1" x14ac:dyDescent="0.55000000000000004">
      <c r="A8284" s="18">
        <v>24.7981306</v>
      </c>
      <c r="B8284" s="18">
        <v>34.8328852</v>
      </c>
      <c r="C8284" s="18">
        <v>685277.59</v>
      </c>
      <c r="D8284" s="18">
        <v>2743838.59</v>
      </c>
      <c r="E8284" s="18">
        <v>247.77</v>
      </c>
      <c r="F8284" s="18">
        <v>41889.07</v>
      </c>
      <c r="G8284" s="18">
        <v>101256</v>
      </c>
      <c r="H8284" s="18">
        <f t="shared" si="184"/>
        <v>41879.07</v>
      </c>
      <c r="I8284" s="3"/>
    </row>
    <row r="8285" spans="1:9" s="4" customFormat="1" ht="19.5" customHeight="1" x14ac:dyDescent="0.55000000000000004">
      <c r="A8285" s="18">
        <v>24.7981208</v>
      </c>
      <c r="B8285" s="18">
        <v>34.8328609</v>
      </c>
      <c r="C8285" s="18">
        <v>685275.15</v>
      </c>
      <c r="D8285" s="18">
        <v>2743837.47</v>
      </c>
      <c r="E8285" s="18">
        <v>247.86</v>
      </c>
      <c r="F8285" s="18">
        <v>41889.03</v>
      </c>
      <c r="G8285" s="18">
        <v>101258</v>
      </c>
      <c r="H8285" s="18">
        <f t="shared" si="184"/>
        <v>41879.03</v>
      </c>
      <c r="I8285" s="3"/>
    </row>
    <row r="8286" spans="1:9" s="4" customFormat="1" ht="19.5" customHeight="1" x14ac:dyDescent="0.55000000000000004">
      <c r="A8286" s="18">
        <v>24.798109499999999</v>
      </c>
      <c r="B8286" s="18">
        <v>34.832836800000003</v>
      </c>
      <c r="C8286" s="18">
        <v>685272.73</v>
      </c>
      <c r="D8286" s="18">
        <v>2743836.18</v>
      </c>
      <c r="E8286" s="18">
        <v>248.01</v>
      </c>
      <c r="F8286" s="18">
        <v>41887.21</v>
      </c>
      <c r="G8286" s="18">
        <v>101300</v>
      </c>
      <c r="H8286" s="18">
        <f t="shared" si="184"/>
        <v>41877.21</v>
      </c>
      <c r="I8286" s="3"/>
    </row>
    <row r="8287" spans="1:9" s="4" customFormat="1" ht="19.5" customHeight="1" x14ac:dyDescent="0.55000000000000004">
      <c r="A8287" s="18">
        <v>24.798098400000001</v>
      </c>
      <c r="B8287" s="18">
        <v>34.832812500000003</v>
      </c>
      <c r="C8287" s="18">
        <v>685270.28</v>
      </c>
      <c r="D8287" s="18">
        <v>2743834.92</v>
      </c>
      <c r="E8287" s="18">
        <v>248.05</v>
      </c>
      <c r="F8287" s="18">
        <v>41887.919999999998</v>
      </c>
      <c r="G8287" s="18">
        <v>101302</v>
      </c>
      <c r="H8287" s="18">
        <f t="shared" si="184"/>
        <v>41877.919999999998</v>
      </c>
      <c r="I8287" s="3"/>
    </row>
    <row r="8288" spans="1:9" s="4" customFormat="1" ht="19.5" customHeight="1" x14ac:dyDescent="0.55000000000000004">
      <c r="A8288" s="18">
        <v>24.7980874</v>
      </c>
      <c r="B8288" s="18">
        <v>34.832788600000001</v>
      </c>
      <c r="C8288" s="18">
        <v>685267.89</v>
      </c>
      <c r="D8288" s="18">
        <v>2743833.67</v>
      </c>
      <c r="E8288" s="18">
        <v>248.09</v>
      </c>
      <c r="F8288" s="18">
        <v>41888.43</v>
      </c>
      <c r="G8288" s="18">
        <v>101304</v>
      </c>
      <c r="H8288" s="18">
        <f t="shared" si="184"/>
        <v>41878.43</v>
      </c>
      <c r="I8288" s="3"/>
    </row>
    <row r="8289" spans="1:9" s="4" customFormat="1" ht="19.5" customHeight="1" x14ac:dyDescent="0.55000000000000004">
      <c r="A8289" s="18">
        <v>24.7980768</v>
      </c>
      <c r="B8289" s="18">
        <v>34.8327648</v>
      </c>
      <c r="C8289" s="18">
        <v>685265.49</v>
      </c>
      <c r="D8289" s="18">
        <v>2743832.46</v>
      </c>
      <c r="E8289" s="18">
        <v>248.17</v>
      </c>
      <c r="F8289" s="18">
        <v>41885.85</v>
      </c>
      <c r="G8289" s="18">
        <v>101306</v>
      </c>
      <c r="H8289" s="18">
        <f t="shared" si="184"/>
        <v>41875.85</v>
      </c>
      <c r="I8289" s="3"/>
    </row>
    <row r="8290" spans="1:9" s="4" customFormat="1" ht="19.5" customHeight="1" x14ac:dyDescent="0.55000000000000004">
      <c r="A8290" s="18">
        <v>24.798071499999999</v>
      </c>
      <c r="B8290" s="18">
        <v>34.832738900000003</v>
      </c>
      <c r="C8290" s="18">
        <v>685262.89</v>
      </c>
      <c r="D8290" s="18">
        <v>2743831.84</v>
      </c>
      <c r="E8290" s="18">
        <v>248.25</v>
      </c>
      <c r="F8290" s="18">
        <v>41886.050000000003</v>
      </c>
      <c r="G8290" s="18">
        <v>101308</v>
      </c>
      <c r="H8290" s="18">
        <f t="shared" si="184"/>
        <v>41876.050000000003</v>
      </c>
      <c r="I8290" s="3"/>
    </row>
    <row r="8291" spans="1:9" s="4" customFormat="1" ht="19.5" customHeight="1" x14ac:dyDescent="0.55000000000000004">
      <c r="A8291" s="18">
        <v>24.798066899999998</v>
      </c>
      <c r="B8291" s="18">
        <v>34.832713400000003</v>
      </c>
      <c r="C8291" s="18">
        <v>685260.31</v>
      </c>
      <c r="D8291" s="18">
        <v>2743831.3</v>
      </c>
      <c r="E8291" s="18">
        <v>248.25</v>
      </c>
      <c r="F8291" s="18">
        <v>41885.129999999997</v>
      </c>
      <c r="G8291" s="18">
        <v>101310</v>
      </c>
      <c r="H8291" s="18">
        <f t="shared" si="184"/>
        <v>41875.129999999997</v>
      </c>
      <c r="I8291" s="3"/>
    </row>
    <row r="8292" spans="1:9" s="4" customFormat="1" ht="19.5" customHeight="1" x14ac:dyDescent="0.55000000000000004">
      <c r="A8292" s="18">
        <v>24.798069399999999</v>
      </c>
      <c r="B8292" s="18">
        <v>34.832687900000003</v>
      </c>
      <c r="C8292" s="18">
        <v>685257.74</v>
      </c>
      <c r="D8292" s="18">
        <v>2743831.54</v>
      </c>
      <c r="E8292" s="18">
        <v>248.31</v>
      </c>
      <c r="F8292" s="18">
        <v>41886.18</v>
      </c>
      <c r="G8292" s="18">
        <v>101312</v>
      </c>
      <c r="H8292" s="18">
        <f t="shared" si="184"/>
        <v>41876.18</v>
      </c>
      <c r="I8292" s="3"/>
    </row>
    <row r="8293" spans="1:9" s="4" customFormat="1" ht="19.5" customHeight="1" x14ac:dyDescent="0.55000000000000004">
      <c r="A8293" s="18">
        <v>24.798075499999999</v>
      </c>
      <c r="B8293" s="18">
        <v>34.832663099999998</v>
      </c>
      <c r="C8293" s="18">
        <v>685255.21</v>
      </c>
      <c r="D8293" s="18">
        <v>2743832.18</v>
      </c>
      <c r="E8293" s="18">
        <v>248.4</v>
      </c>
      <c r="F8293" s="18">
        <v>41883.64</v>
      </c>
      <c r="G8293" s="18">
        <v>101314</v>
      </c>
      <c r="H8293" s="18">
        <f t="shared" si="184"/>
        <v>41873.64</v>
      </c>
      <c r="I8293" s="3"/>
    </row>
    <row r="8294" spans="1:9" s="4" customFormat="1" ht="19.5" customHeight="1" x14ac:dyDescent="0.55000000000000004">
      <c r="A8294" s="18">
        <v>24.798076699999999</v>
      </c>
      <c r="B8294" s="18">
        <v>34.832639800000003</v>
      </c>
      <c r="C8294" s="18">
        <v>685252.86</v>
      </c>
      <c r="D8294" s="18">
        <v>2743832.28</v>
      </c>
      <c r="E8294" s="18">
        <v>248.38</v>
      </c>
      <c r="F8294" s="18">
        <v>41883.440000000002</v>
      </c>
      <c r="G8294" s="18">
        <v>101316</v>
      </c>
      <c r="H8294" s="18">
        <f t="shared" si="184"/>
        <v>41873.440000000002</v>
      </c>
      <c r="I8294" s="3"/>
    </row>
    <row r="8295" spans="1:9" s="4" customFormat="1" ht="19.5" customHeight="1" x14ac:dyDescent="0.55000000000000004">
      <c r="A8295" s="18">
        <v>24.7980752</v>
      </c>
      <c r="B8295" s="18">
        <v>34.832613199999997</v>
      </c>
      <c r="C8295" s="18">
        <v>685250.17</v>
      </c>
      <c r="D8295" s="18">
        <v>2743832.08</v>
      </c>
      <c r="E8295" s="18">
        <v>248.5</v>
      </c>
      <c r="F8295" s="18">
        <v>41884.43</v>
      </c>
      <c r="G8295" s="18">
        <v>101318</v>
      </c>
      <c r="H8295" s="18">
        <f t="shared" si="184"/>
        <v>41874.43</v>
      </c>
      <c r="I8295" s="3"/>
    </row>
    <row r="8296" spans="1:9" s="4" customFormat="1" ht="19.5" customHeight="1" x14ac:dyDescent="0.55000000000000004">
      <c r="A8296" s="18">
        <v>24.798065399999999</v>
      </c>
      <c r="B8296" s="18">
        <v>34.832590099999997</v>
      </c>
      <c r="C8296" s="18">
        <v>685247.85</v>
      </c>
      <c r="D8296" s="18">
        <v>2743830.96</v>
      </c>
      <c r="E8296" s="18">
        <v>248.5</v>
      </c>
      <c r="F8296" s="18">
        <v>41882.76</v>
      </c>
      <c r="G8296" s="18">
        <v>101320</v>
      </c>
      <c r="H8296" s="18">
        <f t="shared" si="184"/>
        <v>41872.76</v>
      </c>
      <c r="I8296" s="3"/>
    </row>
    <row r="8297" spans="1:9" s="4" customFormat="1" ht="19.5" customHeight="1" x14ac:dyDescent="0.55000000000000004">
      <c r="A8297" s="18">
        <v>24.7980549</v>
      </c>
      <c r="B8297" s="18">
        <v>34.832566700000001</v>
      </c>
      <c r="C8297" s="18">
        <v>685245.5</v>
      </c>
      <c r="D8297" s="18">
        <v>2743829.76</v>
      </c>
      <c r="E8297" s="18">
        <v>248.56</v>
      </c>
      <c r="F8297" s="18">
        <v>41884.68</v>
      </c>
      <c r="G8297" s="18">
        <v>101322</v>
      </c>
      <c r="H8297" s="18">
        <f t="shared" si="184"/>
        <v>41874.68</v>
      </c>
      <c r="I8297" s="3"/>
    </row>
    <row r="8298" spans="1:9" s="4" customFormat="1" ht="19.5" customHeight="1" x14ac:dyDescent="0.55000000000000004">
      <c r="A8298" s="18">
        <v>24.798049500000001</v>
      </c>
      <c r="B8298" s="18">
        <v>34.832542199999999</v>
      </c>
      <c r="C8298" s="18">
        <v>685243.04</v>
      </c>
      <c r="D8298" s="18">
        <v>2743829.14</v>
      </c>
      <c r="E8298" s="18">
        <v>248.61</v>
      </c>
      <c r="F8298" s="18">
        <v>41880.61</v>
      </c>
      <c r="G8298" s="18">
        <v>101324</v>
      </c>
      <c r="H8298" s="18">
        <f t="shared" si="184"/>
        <v>41870.61</v>
      </c>
      <c r="I8298" s="3"/>
    </row>
    <row r="8299" spans="1:9" s="4" customFormat="1" ht="19.5" customHeight="1" x14ac:dyDescent="0.55000000000000004">
      <c r="A8299" s="18">
        <v>24.7980448</v>
      </c>
      <c r="B8299" s="18">
        <v>34.832516800000001</v>
      </c>
      <c r="C8299" s="18">
        <v>685240.47</v>
      </c>
      <c r="D8299" s="18">
        <v>2743828.58</v>
      </c>
      <c r="E8299" s="18">
        <v>248.62</v>
      </c>
      <c r="F8299" s="18">
        <v>41879.449999999997</v>
      </c>
      <c r="G8299" s="18">
        <v>101326</v>
      </c>
      <c r="H8299" s="18">
        <f t="shared" si="184"/>
        <v>41869.449999999997</v>
      </c>
      <c r="I8299" s="3"/>
    </row>
    <row r="8300" spans="1:9" s="4" customFormat="1" ht="19.5" customHeight="1" x14ac:dyDescent="0.55000000000000004">
      <c r="A8300" s="18">
        <v>24.798039299999999</v>
      </c>
      <c r="B8300" s="18">
        <v>34.832493200000002</v>
      </c>
      <c r="C8300" s="18">
        <v>685238.09</v>
      </c>
      <c r="D8300" s="18">
        <v>2743827.94</v>
      </c>
      <c r="E8300" s="18">
        <v>248.71</v>
      </c>
      <c r="F8300" s="18">
        <v>41879.71</v>
      </c>
      <c r="G8300" s="18">
        <v>101328</v>
      </c>
      <c r="H8300" s="18">
        <f t="shared" si="184"/>
        <v>41869.71</v>
      </c>
      <c r="I8300" s="3"/>
    </row>
    <row r="8301" spans="1:9" s="4" customFormat="1" ht="19.5" customHeight="1" x14ac:dyDescent="0.55000000000000004">
      <c r="A8301" s="18">
        <v>24.798032200000002</v>
      </c>
      <c r="B8301" s="18">
        <v>34.832467899999997</v>
      </c>
      <c r="C8301" s="18">
        <v>685235.55</v>
      </c>
      <c r="D8301" s="18">
        <v>2743827.12</v>
      </c>
      <c r="E8301" s="18">
        <v>248.76</v>
      </c>
      <c r="F8301" s="18">
        <v>41882.68</v>
      </c>
      <c r="G8301" s="18">
        <v>101330</v>
      </c>
      <c r="H8301" s="18">
        <f t="shared" si="184"/>
        <v>41872.68</v>
      </c>
      <c r="I8301" s="3"/>
    </row>
    <row r="8302" spans="1:9" s="4" customFormat="1" ht="19.5" customHeight="1" x14ac:dyDescent="0.55000000000000004">
      <c r="A8302" s="18">
        <v>24.798032500000001</v>
      </c>
      <c r="B8302" s="18">
        <v>34.832441899999999</v>
      </c>
      <c r="C8302" s="18">
        <v>685232.91</v>
      </c>
      <c r="D8302" s="18">
        <v>2743827.12</v>
      </c>
      <c r="E8302" s="18">
        <v>248.75</v>
      </c>
      <c r="F8302" s="18">
        <v>41880</v>
      </c>
      <c r="G8302" s="18">
        <v>101332</v>
      </c>
      <c r="H8302" s="18">
        <f t="shared" si="184"/>
        <v>41870</v>
      </c>
      <c r="I8302" s="3"/>
    </row>
    <row r="8303" spans="1:9" s="4" customFormat="1" ht="19.5" customHeight="1" x14ac:dyDescent="0.55000000000000004">
      <c r="A8303" s="18">
        <v>24.798036</v>
      </c>
      <c r="B8303" s="18">
        <v>34.832417499999998</v>
      </c>
      <c r="C8303" s="18">
        <v>685230.44</v>
      </c>
      <c r="D8303" s="18">
        <v>2743827.47</v>
      </c>
      <c r="E8303" s="18">
        <v>248.81</v>
      </c>
      <c r="F8303" s="18">
        <v>41884.31</v>
      </c>
      <c r="G8303" s="18">
        <v>101334</v>
      </c>
      <c r="H8303" s="18">
        <f t="shared" si="184"/>
        <v>41874.31</v>
      </c>
      <c r="I8303" s="3"/>
    </row>
    <row r="8304" spans="1:9" s="4" customFormat="1" ht="19.5" customHeight="1" x14ac:dyDescent="0.55000000000000004">
      <c r="A8304" s="18">
        <v>24.798037799999999</v>
      </c>
      <c r="B8304" s="18">
        <v>34.832393500000002</v>
      </c>
      <c r="C8304" s="18">
        <v>685228.02</v>
      </c>
      <c r="D8304" s="18">
        <v>2743827.63</v>
      </c>
      <c r="E8304" s="18">
        <v>248.86</v>
      </c>
      <c r="F8304" s="18">
        <v>41878.94</v>
      </c>
      <c r="G8304" s="18">
        <v>101336</v>
      </c>
      <c r="H8304" s="18">
        <f t="shared" si="184"/>
        <v>41868.94</v>
      </c>
      <c r="I8304" s="3"/>
    </row>
    <row r="8305" spans="1:9" s="4" customFormat="1" ht="19.5" customHeight="1" x14ac:dyDescent="0.55000000000000004">
      <c r="A8305" s="18">
        <v>24.798034099999999</v>
      </c>
      <c r="B8305" s="18">
        <v>34.832368600000002</v>
      </c>
      <c r="C8305" s="18">
        <v>685225.5</v>
      </c>
      <c r="D8305" s="18">
        <v>2743827.19</v>
      </c>
      <c r="E8305" s="18">
        <v>248.84</v>
      </c>
      <c r="F8305" s="18">
        <v>41879.339999999997</v>
      </c>
      <c r="G8305" s="18">
        <v>101338</v>
      </c>
      <c r="H8305" s="18">
        <f t="shared" si="184"/>
        <v>41869.339999999997</v>
      </c>
      <c r="I8305" s="3"/>
    </row>
    <row r="8306" spans="1:9" s="4" customFormat="1" ht="19.5" customHeight="1" x14ac:dyDescent="0.55000000000000004">
      <c r="A8306" s="18">
        <v>24.798033100000001</v>
      </c>
      <c r="B8306" s="18">
        <v>34.832344399999997</v>
      </c>
      <c r="C8306" s="18">
        <v>685223.06</v>
      </c>
      <c r="D8306" s="18">
        <v>2743827.05</v>
      </c>
      <c r="E8306" s="18">
        <v>248.92</v>
      </c>
      <c r="F8306" s="18">
        <v>41878.86</v>
      </c>
      <c r="G8306" s="18">
        <v>101340</v>
      </c>
      <c r="H8306" s="18">
        <f t="shared" ref="H8306:H8369" si="185">SUM(F8306-10)</f>
        <v>41868.86</v>
      </c>
      <c r="I8306" s="3"/>
    </row>
    <row r="8307" spans="1:9" s="4" customFormat="1" ht="19.5" customHeight="1" x14ac:dyDescent="0.55000000000000004">
      <c r="A8307" s="18">
        <v>24.79804</v>
      </c>
      <c r="B8307" s="18">
        <v>34.832319300000002</v>
      </c>
      <c r="C8307" s="18">
        <v>685220.51</v>
      </c>
      <c r="D8307" s="18">
        <v>2743827.78</v>
      </c>
      <c r="E8307" s="18">
        <v>248.93</v>
      </c>
      <c r="F8307" s="18">
        <v>41879.800000000003</v>
      </c>
      <c r="G8307" s="18">
        <v>101342</v>
      </c>
      <c r="H8307" s="18">
        <f t="shared" si="185"/>
        <v>41869.800000000003</v>
      </c>
      <c r="I8307" s="3"/>
    </row>
    <row r="8308" spans="1:9" s="4" customFormat="1" ht="19.5" customHeight="1" x14ac:dyDescent="0.55000000000000004">
      <c r="A8308" s="18">
        <v>24.798044699999998</v>
      </c>
      <c r="B8308" s="18">
        <v>34.832295700000003</v>
      </c>
      <c r="C8308" s="18">
        <v>685218.12</v>
      </c>
      <c r="D8308" s="18">
        <v>2743828.27</v>
      </c>
      <c r="E8308" s="18">
        <v>248.95</v>
      </c>
      <c r="F8308" s="18">
        <v>41880.050000000003</v>
      </c>
      <c r="G8308" s="18">
        <v>101344</v>
      </c>
      <c r="H8308" s="18">
        <f t="shared" si="185"/>
        <v>41870.050000000003</v>
      </c>
      <c r="I8308" s="3"/>
    </row>
    <row r="8309" spans="1:9" s="4" customFormat="1" ht="19.5" customHeight="1" x14ac:dyDescent="0.55000000000000004">
      <c r="A8309" s="18">
        <v>24.798049500000001</v>
      </c>
      <c r="B8309" s="18">
        <v>34.832270999999999</v>
      </c>
      <c r="C8309" s="18">
        <v>685215.62</v>
      </c>
      <c r="D8309" s="18">
        <v>2743828.77</v>
      </c>
      <c r="E8309" s="18">
        <v>248.98</v>
      </c>
      <c r="F8309" s="18">
        <v>41879.629999999997</v>
      </c>
      <c r="G8309" s="18">
        <v>101346</v>
      </c>
      <c r="H8309" s="18">
        <f t="shared" si="185"/>
        <v>41869.629999999997</v>
      </c>
      <c r="I8309" s="3"/>
    </row>
    <row r="8310" spans="1:9" s="4" customFormat="1" ht="19.5" customHeight="1" x14ac:dyDescent="0.55000000000000004">
      <c r="A8310" s="18">
        <v>24.798055000000002</v>
      </c>
      <c r="B8310" s="18">
        <v>34.832247500000001</v>
      </c>
      <c r="C8310" s="18">
        <v>685213.23</v>
      </c>
      <c r="D8310" s="18">
        <v>2743829.34</v>
      </c>
      <c r="E8310" s="18">
        <v>248.96</v>
      </c>
      <c r="F8310" s="18">
        <v>41877.51</v>
      </c>
      <c r="G8310" s="18">
        <v>101348</v>
      </c>
      <c r="H8310" s="18">
        <f t="shared" si="185"/>
        <v>41867.51</v>
      </c>
      <c r="I8310" s="3"/>
    </row>
    <row r="8311" spans="1:9" s="4" customFormat="1" ht="19.5" customHeight="1" x14ac:dyDescent="0.55000000000000004">
      <c r="A8311" s="18">
        <v>24.798060599999999</v>
      </c>
      <c r="B8311" s="18">
        <v>34.8322225</v>
      </c>
      <c r="C8311" s="18">
        <v>685210.7</v>
      </c>
      <c r="D8311" s="18">
        <v>2743829.93</v>
      </c>
      <c r="E8311" s="18">
        <v>249.04</v>
      </c>
      <c r="F8311" s="18">
        <v>41880.01</v>
      </c>
      <c r="G8311" s="18">
        <v>101350</v>
      </c>
      <c r="H8311" s="18">
        <f t="shared" si="185"/>
        <v>41870.01</v>
      </c>
      <c r="I8311" s="3"/>
    </row>
    <row r="8312" spans="1:9" s="4" customFormat="1" ht="19.5" customHeight="1" x14ac:dyDescent="0.55000000000000004">
      <c r="A8312" s="18">
        <v>24.798069699999999</v>
      </c>
      <c r="B8312" s="18">
        <v>34.832198099999999</v>
      </c>
      <c r="C8312" s="18">
        <v>685208.21</v>
      </c>
      <c r="D8312" s="18">
        <v>2743830.91</v>
      </c>
      <c r="E8312" s="18">
        <v>249</v>
      </c>
      <c r="F8312" s="18">
        <v>41882.480000000003</v>
      </c>
      <c r="G8312" s="18">
        <v>101352</v>
      </c>
      <c r="H8312" s="18">
        <f t="shared" si="185"/>
        <v>41872.480000000003</v>
      </c>
      <c r="I8312" s="3"/>
    </row>
    <row r="8313" spans="1:9" s="4" customFormat="1" ht="19.5" customHeight="1" x14ac:dyDescent="0.55000000000000004">
      <c r="A8313" s="18">
        <v>24.798077500000002</v>
      </c>
      <c r="B8313" s="18">
        <v>34.832175700000001</v>
      </c>
      <c r="C8313" s="18">
        <v>685205.94</v>
      </c>
      <c r="D8313" s="18">
        <v>2743831.74</v>
      </c>
      <c r="E8313" s="18">
        <v>249.11</v>
      </c>
      <c r="F8313" s="18">
        <v>41875.120000000003</v>
      </c>
      <c r="G8313" s="18">
        <v>101354</v>
      </c>
      <c r="H8313" s="18">
        <f t="shared" si="185"/>
        <v>41865.120000000003</v>
      </c>
      <c r="I8313" s="3"/>
    </row>
    <row r="8314" spans="1:9" s="4" customFormat="1" ht="19.5" customHeight="1" x14ac:dyDescent="0.55000000000000004">
      <c r="A8314" s="18">
        <v>24.798077899999999</v>
      </c>
      <c r="B8314" s="18">
        <v>34.832152100000002</v>
      </c>
      <c r="C8314" s="18">
        <v>685203.55</v>
      </c>
      <c r="D8314" s="18">
        <v>2743831.75</v>
      </c>
      <c r="E8314" s="18">
        <v>249.09</v>
      </c>
      <c r="F8314" s="18">
        <v>41874.9</v>
      </c>
      <c r="G8314" s="18">
        <v>101356</v>
      </c>
      <c r="H8314" s="18">
        <f t="shared" si="185"/>
        <v>41864.9</v>
      </c>
      <c r="I8314" s="3"/>
    </row>
    <row r="8315" spans="1:9" s="4" customFormat="1" ht="19.5" customHeight="1" x14ac:dyDescent="0.55000000000000004">
      <c r="A8315" s="18">
        <v>24.798074199999999</v>
      </c>
      <c r="B8315" s="18">
        <v>34.832126600000002</v>
      </c>
      <c r="C8315" s="18">
        <v>685200.98</v>
      </c>
      <c r="D8315" s="18">
        <v>2743831.31</v>
      </c>
      <c r="E8315" s="18">
        <v>249.16</v>
      </c>
      <c r="F8315" s="18">
        <v>41875.33</v>
      </c>
      <c r="G8315" s="18">
        <v>101358</v>
      </c>
      <c r="H8315" s="18">
        <f t="shared" si="185"/>
        <v>41865.33</v>
      </c>
      <c r="I8315" s="3"/>
    </row>
    <row r="8316" spans="1:9" s="4" customFormat="1" ht="19.5" customHeight="1" x14ac:dyDescent="0.55000000000000004">
      <c r="A8316" s="18">
        <v>24.7980774</v>
      </c>
      <c r="B8316" s="18">
        <v>34.832101999999999</v>
      </c>
      <c r="C8316" s="18">
        <v>685198.48</v>
      </c>
      <c r="D8316" s="18">
        <v>2743831.63</v>
      </c>
      <c r="E8316" s="18">
        <v>249.3</v>
      </c>
      <c r="F8316" s="18">
        <v>41875.980000000003</v>
      </c>
      <c r="G8316" s="18">
        <v>101400</v>
      </c>
      <c r="H8316" s="18">
        <f t="shared" si="185"/>
        <v>41865.980000000003</v>
      </c>
      <c r="I8316" s="3"/>
    </row>
    <row r="8317" spans="1:9" s="4" customFormat="1" ht="19.5" customHeight="1" x14ac:dyDescent="0.55000000000000004">
      <c r="A8317" s="18">
        <v>24.798082099999998</v>
      </c>
      <c r="B8317" s="18">
        <v>34.832077300000002</v>
      </c>
      <c r="C8317" s="18">
        <v>685195.98</v>
      </c>
      <c r="D8317" s="18">
        <v>2743832.12</v>
      </c>
      <c r="E8317" s="18">
        <v>249.31</v>
      </c>
      <c r="F8317" s="18">
        <v>41879.1</v>
      </c>
      <c r="G8317" s="18">
        <v>101402</v>
      </c>
      <c r="H8317" s="18">
        <f t="shared" si="185"/>
        <v>41869.1</v>
      </c>
      <c r="I8317" s="3"/>
    </row>
    <row r="8318" spans="1:9" s="4" customFormat="1" ht="19.5" customHeight="1" x14ac:dyDescent="0.55000000000000004">
      <c r="A8318" s="18">
        <v>24.798085100000002</v>
      </c>
      <c r="B8318" s="18">
        <v>34.832051999999997</v>
      </c>
      <c r="C8318" s="18">
        <v>685193.41</v>
      </c>
      <c r="D8318" s="18">
        <v>2743832.41</v>
      </c>
      <c r="E8318" s="18">
        <v>249.38</v>
      </c>
      <c r="F8318" s="18">
        <v>41875.64</v>
      </c>
      <c r="G8318" s="18">
        <v>101404</v>
      </c>
      <c r="H8318" s="18">
        <f t="shared" si="185"/>
        <v>41865.64</v>
      </c>
      <c r="I8318" s="3"/>
    </row>
    <row r="8319" spans="1:9" s="4" customFormat="1" ht="19.5" customHeight="1" x14ac:dyDescent="0.55000000000000004">
      <c r="A8319" s="18">
        <v>24.7980923</v>
      </c>
      <c r="B8319" s="18">
        <v>34.832027400000001</v>
      </c>
      <c r="C8319" s="18">
        <v>685190.92</v>
      </c>
      <c r="D8319" s="18">
        <v>2743833.17</v>
      </c>
      <c r="E8319" s="18">
        <v>249.48</v>
      </c>
      <c r="F8319" s="18">
        <v>41874.25</v>
      </c>
      <c r="G8319" s="18">
        <v>101406</v>
      </c>
      <c r="H8319" s="18">
        <f t="shared" si="185"/>
        <v>41864.25</v>
      </c>
      <c r="I8319" s="3"/>
    </row>
    <row r="8320" spans="1:9" s="4" customFormat="1" ht="19.5" customHeight="1" x14ac:dyDescent="0.55000000000000004">
      <c r="A8320" s="18">
        <v>24.798097500000001</v>
      </c>
      <c r="B8320" s="18">
        <v>34.832003399999998</v>
      </c>
      <c r="C8320" s="18">
        <v>685188.49</v>
      </c>
      <c r="D8320" s="18">
        <v>2743833.73</v>
      </c>
      <c r="E8320" s="18">
        <v>249.5</v>
      </c>
      <c r="F8320" s="18">
        <v>41872.68</v>
      </c>
      <c r="G8320" s="18">
        <v>101408</v>
      </c>
      <c r="H8320" s="18">
        <f t="shared" si="185"/>
        <v>41862.68</v>
      </c>
      <c r="I8320" s="3"/>
    </row>
    <row r="8321" spans="1:9" s="4" customFormat="1" ht="19.5" customHeight="1" x14ac:dyDescent="0.55000000000000004">
      <c r="A8321" s="18">
        <v>24.798100600000001</v>
      </c>
      <c r="B8321" s="18">
        <v>34.831978100000001</v>
      </c>
      <c r="C8321" s="18">
        <v>685185.92</v>
      </c>
      <c r="D8321" s="18">
        <v>2743834.03</v>
      </c>
      <c r="E8321" s="18">
        <v>249.56</v>
      </c>
      <c r="F8321" s="18">
        <v>41875.65</v>
      </c>
      <c r="G8321" s="18">
        <v>101410</v>
      </c>
      <c r="H8321" s="18">
        <f t="shared" si="185"/>
        <v>41865.65</v>
      </c>
      <c r="I8321" s="3"/>
    </row>
    <row r="8322" spans="1:9" s="4" customFormat="1" ht="19.5" customHeight="1" x14ac:dyDescent="0.55000000000000004">
      <c r="A8322" s="18">
        <v>24.7981017</v>
      </c>
      <c r="B8322" s="18">
        <v>34.831953400000003</v>
      </c>
      <c r="C8322" s="18">
        <v>685183.42</v>
      </c>
      <c r="D8322" s="18">
        <v>2743834.12</v>
      </c>
      <c r="E8322" s="18">
        <v>249.64</v>
      </c>
      <c r="F8322" s="18">
        <v>41871.910000000003</v>
      </c>
      <c r="G8322" s="18">
        <v>101412</v>
      </c>
      <c r="H8322" s="18">
        <f t="shared" si="185"/>
        <v>41861.910000000003</v>
      </c>
      <c r="I8322" s="3"/>
    </row>
    <row r="8323" spans="1:9" s="4" customFormat="1" ht="19.5" customHeight="1" x14ac:dyDescent="0.55000000000000004">
      <c r="A8323" s="18">
        <v>24.798098299999999</v>
      </c>
      <c r="B8323" s="18">
        <v>34.831927700000001</v>
      </c>
      <c r="C8323" s="18">
        <v>685180.83</v>
      </c>
      <c r="D8323" s="18">
        <v>2743833.71</v>
      </c>
      <c r="E8323" s="18">
        <v>249.58</v>
      </c>
      <c r="F8323" s="18">
        <v>41876.870000000003</v>
      </c>
      <c r="G8323" s="18">
        <v>101414</v>
      </c>
      <c r="H8323" s="18">
        <f t="shared" si="185"/>
        <v>41866.870000000003</v>
      </c>
      <c r="I8323" s="3"/>
    </row>
    <row r="8324" spans="1:9" s="4" customFormat="1" ht="19.5" customHeight="1" x14ac:dyDescent="0.55000000000000004">
      <c r="A8324" s="18">
        <v>24.798100000000002</v>
      </c>
      <c r="B8324" s="18">
        <v>34.8319008</v>
      </c>
      <c r="C8324" s="18">
        <v>685178.1</v>
      </c>
      <c r="D8324" s="18">
        <v>2743833.86</v>
      </c>
      <c r="E8324" s="18">
        <v>249.69</v>
      </c>
      <c r="F8324" s="18">
        <v>41873.49</v>
      </c>
      <c r="G8324" s="18">
        <v>101416</v>
      </c>
      <c r="H8324" s="18">
        <f t="shared" si="185"/>
        <v>41863.49</v>
      </c>
      <c r="I8324" s="3"/>
    </row>
    <row r="8325" spans="1:9" s="4" customFormat="1" ht="19.5" customHeight="1" x14ac:dyDescent="0.55000000000000004">
      <c r="A8325" s="18">
        <v>24.7981029</v>
      </c>
      <c r="B8325" s="18">
        <v>34.831875099999998</v>
      </c>
      <c r="C8325" s="18">
        <v>685175.5</v>
      </c>
      <c r="D8325" s="18">
        <v>2743834.14</v>
      </c>
      <c r="E8325" s="18">
        <v>249.71</v>
      </c>
      <c r="F8325" s="18">
        <v>41873.980000000003</v>
      </c>
      <c r="G8325" s="18">
        <v>101418</v>
      </c>
      <c r="H8325" s="18">
        <f t="shared" si="185"/>
        <v>41863.980000000003</v>
      </c>
      <c r="I8325" s="3"/>
    </row>
    <row r="8326" spans="1:9" s="4" customFormat="1" ht="19.5" customHeight="1" x14ac:dyDescent="0.55000000000000004">
      <c r="A8326" s="18">
        <v>24.7981111</v>
      </c>
      <c r="B8326" s="18">
        <v>34.831851399999998</v>
      </c>
      <c r="C8326" s="18">
        <v>685173.09</v>
      </c>
      <c r="D8326" s="18">
        <v>2743835.02</v>
      </c>
      <c r="E8326" s="18">
        <v>249.71</v>
      </c>
      <c r="F8326" s="18">
        <v>41872.230000000003</v>
      </c>
      <c r="G8326" s="18">
        <v>101420</v>
      </c>
      <c r="H8326" s="18">
        <f t="shared" si="185"/>
        <v>41862.230000000003</v>
      </c>
      <c r="I8326" s="3"/>
    </row>
    <row r="8327" spans="1:9" s="4" customFormat="1" ht="19.5" customHeight="1" x14ac:dyDescent="0.55000000000000004">
      <c r="A8327" s="18">
        <v>24.7981157</v>
      </c>
      <c r="B8327" s="18">
        <v>34.831826</v>
      </c>
      <c r="C8327" s="18">
        <v>685170.52</v>
      </c>
      <c r="D8327" s="18">
        <v>2743835.5</v>
      </c>
      <c r="E8327" s="18">
        <v>249.8</v>
      </c>
      <c r="F8327" s="18">
        <v>41871.5</v>
      </c>
      <c r="G8327" s="18">
        <v>101422</v>
      </c>
      <c r="H8327" s="18">
        <f t="shared" si="185"/>
        <v>41861.5</v>
      </c>
      <c r="I8327" s="3"/>
    </row>
    <row r="8328" spans="1:9" s="4" customFormat="1" ht="19.5" customHeight="1" x14ac:dyDescent="0.55000000000000004">
      <c r="A8328" s="18">
        <v>24.798117900000001</v>
      </c>
      <c r="B8328" s="18">
        <v>34.8317999</v>
      </c>
      <c r="C8328" s="18">
        <v>685167.88</v>
      </c>
      <c r="D8328" s="18">
        <v>2743835.7</v>
      </c>
      <c r="E8328" s="18">
        <v>249.77</v>
      </c>
      <c r="F8328" s="18">
        <v>41873.339999999997</v>
      </c>
      <c r="G8328" s="18">
        <v>101424</v>
      </c>
      <c r="H8328" s="18">
        <f t="shared" si="185"/>
        <v>41863.339999999997</v>
      </c>
      <c r="I8328" s="3"/>
    </row>
    <row r="8329" spans="1:9" s="4" customFormat="1" ht="19.5" customHeight="1" x14ac:dyDescent="0.55000000000000004">
      <c r="A8329" s="18">
        <v>24.798120399999998</v>
      </c>
      <c r="B8329" s="18">
        <v>34.831775200000003</v>
      </c>
      <c r="C8329" s="18">
        <v>685165.38</v>
      </c>
      <c r="D8329" s="18">
        <v>2743835.94</v>
      </c>
      <c r="E8329" s="18">
        <v>249.8</v>
      </c>
      <c r="F8329" s="18">
        <v>41873.730000000003</v>
      </c>
      <c r="G8329" s="18">
        <v>101426</v>
      </c>
      <c r="H8329" s="18">
        <f t="shared" si="185"/>
        <v>41863.730000000003</v>
      </c>
      <c r="I8329" s="3"/>
    </row>
    <row r="8330" spans="1:9" s="4" customFormat="1" ht="19.5" customHeight="1" x14ac:dyDescent="0.55000000000000004">
      <c r="A8330" s="18">
        <v>24.7981251</v>
      </c>
      <c r="B8330" s="18">
        <v>34.831750100000001</v>
      </c>
      <c r="C8330" s="18">
        <v>685162.83</v>
      </c>
      <c r="D8330" s="18">
        <v>2743836.44</v>
      </c>
      <c r="E8330" s="18">
        <v>249.9</v>
      </c>
      <c r="F8330" s="18">
        <v>41874.019999999997</v>
      </c>
      <c r="G8330" s="18">
        <v>101428</v>
      </c>
      <c r="H8330" s="18">
        <f t="shared" si="185"/>
        <v>41864.019999999997</v>
      </c>
      <c r="I8330" s="3"/>
    </row>
    <row r="8331" spans="1:9" s="4" customFormat="1" ht="19.5" customHeight="1" x14ac:dyDescent="0.55000000000000004">
      <c r="A8331" s="18">
        <v>24.798131099999999</v>
      </c>
      <c r="B8331" s="18">
        <v>34.8317269</v>
      </c>
      <c r="C8331" s="18">
        <v>685160.48</v>
      </c>
      <c r="D8331" s="18">
        <v>2743837.07</v>
      </c>
      <c r="E8331" s="18">
        <v>249.88</v>
      </c>
      <c r="F8331" s="18">
        <v>41871.660000000003</v>
      </c>
      <c r="G8331" s="18">
        <v>101430</v>
      </c>
      <c r="H8331" s="18">
        <f t="shared" si="185"/>
        <v>41861.660000000003</v>
      </c>
      <c r="I8331" s="3"/>
    </row>
    <row r="8332" spans="1:9" s="4" customFormat="1" ht="19.5" customHeight="1" x14ac:dyDescent="0.55000000000000004">
      <c r="A8332" s="18">
        <v>24.798133400000001</v>
      </c>
      <c r="B8332" s="18">
        <v>34.831701500000001</v>
      </c>
      <c r="C8332" s="18">
        <v>685157.91</v>
      </c>
      <c r="D8332" s="18">
        <v>2743837.28</v>
      </c>
      <c r="E8332" s="18">
        <v>249.99</v>
      </c>
      <c r="F8332" s="18">
        <v>41873.480000000003</v>
      </c>
      <c r="G8332" s="18">
        <v>101432</v>
      </c>
      <c r="H8332" s="18">
        <f t="shared" si="185"/>
        <v>41863.480000000003</v>
      </c>
      <c r="I8332" s="3"/>
    </row>
    <row r="8333" spans="1:9" s="4" customFormat="1" ht="19.5" customHeight="1" x14ac:dyDescent="0.55000000000000004">
      <c r="A8333" s="18">
        <v>24.798134900000001</v>
      </c>
      <c r="B8333" s="18">
        <v>34.831674900000003</v>
      </c>
      <c r="C8333" s="18">
        <v>685155.22</v>
      </c>
      <c r="D8333" s="18">
        <v>2743837.41</v>
      </c>
      <c r="E8333" s="18">
        <v>250.01</v>
      </c>
      <c r="F8333" s="18">
        <v>41873.15</v>
      </c>
      <c r="G8333" s="18">
        <v>101434</v>
      </c>
      <c r="H8333" s="18">
        <f t="shared" si="185"/>
        <v>41863.15</v>
      </c>
      <c r="I8333" s="3"/>
    </row>
    <row r="8334" spans="1:9" s="4" customFormat="1" ht="19.5" customHeight="1" x14ac:dyDescent="0.55000000000000004">
      <c r="A8334" s="18">
        <v>24.798135599999998</v>
      </c>
      <c r="B8334" s="18">
        <v>34.831648600000001</v>
      </c>
      <c r="C8334" s="18">
        <v>685152.55</v>
      </c>
      <c r="D8334" s="18">
        <v>2743837.46</v>
      </c>
      <c r="E8334" s="18">
        <v>249.98</v>
      </c>
      <c r="F8334" s="18">
        <v>41873.31</v>
      </c>
      <c r="G8334" s="18">
        <v>101436</v>
      </c>
      <c r="H8334" s="18">
        <f t="shared" si="185"/>
        <v>41863.31</v>
      </c>
      <c r="I8334" s="3"/>
    </row>
    <row r="8335" spans="1:9" s="4" customFormat="1" ht="19.5" customHeight="1" x14ac:dyDescent="0.55000000000000004">
      <c r="A8335" s="18">
        <v>24.798140199999999</v>
      </c>
      <c r="B8335" s="18">
        <v>34.831622799999998</v>
      </c>
      <c r="C8335" s="18">
        <v>685149.94</v>
      </c>
      <c r="D8335" s="18">
        <v>2743837.93</v>
      </c>
      <c r="E8335" s="18">
        <v>250.05</v>
      </c>
      <c r="F8335" s="18">
        <v>41872.839999999997</v>
      </c>
      <c r="G8335" s="18">
        <v>101438</v>
      </c>
      <c r="H8335" s="18">
        <f t="shared" si="185"/>
        <v>41862.839999999997</v>
      </c>
      <c r="I8335" s="3"/>
    </row>
    <row r="8336" spans="1:9" s="4" customFormat="1" ht="19.5" customHeight="1" x14ac:dyDescent="0.55000000000000004">
      <c r="A8336" s="18">
        <v>24.798146800000001</v>
      </c>
      <c r="B8336" s="18">
        <v>34.8315968</v>
      </c>
      <c r="C8336" s="18">
        <v>685147.3</v>
      </c>
      <c r="D8336" s="18">
        <v>2743838.64</v>
      </c>
      <c r="E8336" s="18">
        <v>250.14</v>
      </c>
      <c r="F8336" s="18">
        <v>41872.300000000003</v>
      </c>
      <c r="G8336" s="18">
        <v>101440</v>
      </c>
      <c r="H8336" s="18">
        <f t="shared" si="185"/>
        <v>41862.300000000003</v>
      </c>
      <c r="I8336" s="3"/>
    </row>
    <row r="8337" spans="1:9" s="4" customFormat="1" ht="19.5" customHeight="1" x14ac:dyDescent="0.55000000000000004">
      <c r="A8337" s="18">
        <v>24.798152099999999</v>
      </c>
      <c r="B8337" s="18">
        <v>34.831570800000001</v>
      </c>
      <c r="C8337" s="18">
        <v>685144.66</v>
      </c>
      <c r="D8337" s="18">
        <v>2743839.18</v>
      </c>
      <c r="E8337" s="18">
        <v>250.12</v>
      </c>
      <c r="F8337" s="18">
        <v>41872.54</v>
      </c>
      <c r="G8337" s="18">
        <v>101442</v>
      </c>
      <c r="H8337" s="18">
        <f t="shared" si="185"/>
        <v>41862.54</v>
      </c>
      <c r="I8337" s="3"/>
    </row>
    <row r="8338" spans="1:9" s="4" customFormat="1" ht="19.5" customHeight="1" x14ac:dyDescent="0.55000000000000004">
      <c r="A8338" s="18">
        <v>24.7981582</v>
      </c>
      <c r="B8338" s="18">
        <v>34.831545699999999</v>
      </c>
      <c r="C8338" s="18">
        <v>685142.12</v>
      </c>
      <c r="D8338" s="18">
        <v>2743839.83</v>
      </c>
      <c r="E8338" s="18">
        <v>250.21</v>
      </c>
      <c r="F8338" s="18">
        <v>41873.22</v>
      </c>
      <c r="G8338" s="18">
        <v>101444</v>
      </c>
      <c r="H8338" s="18">
        <f t="shared" si="185"/>
        <v>41863.22</v>
      </c>
      <c r="I8338" s="3"/>
    </row>
    <row r="8339" spans="1:9" s="4" customFormat="1" ht="19.5" customHeight="1" x14ac:dyDescent="0.55000000000000004">
      <c r="A8339" s="18">
        <v>24.798168799999999</v>
      </c>
      <c r="B8339" s="18">
        <v>34.831521500000001</v>
      </c>
      <c r="C8339" s="18">
        <v>685139.65</v>
      </c>
      <c r="D8339" s="18">
        <v>2743840.97</v>
      </c>
      <c r="E8339" s="18">
        <v>250.28</v>
      </c>
      <c r="F8339" s="18">
        <v>41873.839999999997</v>
      </c>
      <c r="G8339" s="18">
        <v>101446</v>
      </c>
      <c r="H8339" s="18">
        <f t="shared" si="185"/>
        <v>41863.839999999997</v>
      </c>
      <c r="I8339" s="3"/>
    </row>
    <row r="8340" spans="1:9" s="4" customFormat="1" ht="19.5" customHeight="1" x14ac:dyDescent="0.55000000000000004">
      <c r="A8340" s="18">
        <v>24.798179699999999</v>
      </c>
      <c r="B8340" s="18">
        <v>34.8314965</v>
      </c>
      <c r="C8340" s="18">
        <v>685137.11</v>
      </c>
      <c r="D8340" s="18">
        <v>2743842.14</v>
      </c>
      <c r="E8340" s="18">
        <v>250.3</v>
      </c>
      <c r="F8340" s="18">
        <v>41873.03</v>
      </c>
      <c r="G8340" s="18">
        <v>101448</v>
      </c>
      <c r="H8340" s="18">
        <f t="shared" si="185"/>
        <v>41863.03</v>
      </c>
      <c r="I8340" s="3"/>
    </row>
    <row r="8341" spans="1:9" s="4" customFormat="1" ht="19.5" customHeight="1" x14ac:dyDescent="0.55000000000000004">
      <c r="A8341" s="18">
        <v>24.798184899999999</v>
      </c>
      <c r="B8341" s="18">
        <v>34.831470500000002</v>
      </c>
      <c r="C8341" s="18">
        <v>685134.47</v>
      </c>
      <c r="D8341" s="18">
        <v>2743842.68</v>
      </c>
      <c r="E8341" s="18">
        <v>250.3</v>
      </c>
      <c r="F8341" s="18">
        <v>41873.910000000003</v>
      </c>
      <c r="G8341" s="18">
        <v>101450</v>
      </c>
      <c r="H8341" s="18">
        <f t="shared" si="185"/>
        <v>41863.910000000003</v>
      </c>
      <c r="I8341" s="3"/>
    </row>
    <row r="8342" spans="1:9" s="4" customFormat="1" ht="19.5" customHeight="1" x14ac:dyDescent="0.55000000000000004">
      <c r="A8342" s="18">
        <v>24.798192100000001</v>
      </c>
      <c r="B8342" s="18">
        <v>34.831445700000003</v>
      </c>
      <c r="C8342" s="18">
        <v>685131.96</v>
      </c>
      <c r="D8342" s="18">
        <v>2743843.44</v>
      </c>
      <c r="E8342" s="18">
        <v>250.46</v>
      </c>
      <c r="F8342" s="18">
        <v>41872.46</v>
      </c>
      <c r="G8342" s="18">
        <v>101452</v>
      </c>
      <c r="H8342" s="18">
        <f t="shared" si="185"/>
        <v>41862.46</v>
      </c>
      <c r="I8342" s="3"/>
    </row>
    <row r="8343" spans="1:9" s="4" customFormat="1" ht="19.5" customHeight="1" x14ac:dyDescent="0.55000000000000004">
      <c r="A8343" s="18">
        <v>24.798198500000002</v>
      </c>
      <c r="B8343" s="18">
        <v>34.831420299999998</v>
      </c>
      <c r="C8343" s="18">
        <v>685129.38</v>
      </c>
      <c r="D8343" s="18">
        <v>2743844.12</v>
      </c>
      <c r="E8343" s="18">
        <v>250.46</v>
      </c>
      <c r="F8343" s="18">
        <v>41875.730000000003</v>
      </c>
      <c r="G8343" s="18">
        <v>101454</v>
      </c>
      <c r="H8343" s="18">
        <f t="shared" si="185"/>
        <v>41865.730000000003</v>
      </c>
      <c r="I8343" s="3"/>
    </row>
    <row r="8344" spans="1:9" s="4" customFormat="1" ht="19.5" customHeight="1" x14ac:dyDescent="0.55000000000000004">
      <c r="A8344" s="18">
        <v>24.798210300000001</v>
      </c>
      <c r="B8344" s="18">
        <v>34.831398100000001</v>
      </c>
      <c r="C8344" s="18">
        <v>685127.12</v>
      </c>
      <c r="D8344" s="18">
        <v>2743845.39</v>
      </c>
      <c r="E8344" s="18">
        <v>250.49</v>
      </c>
      <c r="F8344" s="18">
        <v>41872.07</v>
      </c>
      <c r="G8344" s="18">
        <v>101456</v>
      </c>
      <c r="H8344" s="18">
        <f t="shared" si="185"/>
        <v>41862.07</v>
      </c>
      <c r="I8344" s="3"/>
    </row>
    <row r="8345" spans="1:9" s="4" customFormat="1" ht="19.5" customHeight="1" x14ac:dyDescent="0.55000000000000004">
      <c r="A8345" s="18">
        <v>24.7982142</v>
      </c>
      <c r="B8345" s="18">
        <v>34.831372500000001</v>
      </c>
      <c r="C8345" s="18">
        <v>685124.53</v>
      </c>
      <c r="D8345" s="18">
        <v>2743845.79</v>
      </c>
      <c r="E8345" s="18">
        <v>250.56</v>
      </c>
      <c r="F8345" s="18">
        <v>41876.080000000002</v>
      </c>
      <c r="G8345" s="18">
        <v>101458</v>
      </c>
      <c r="H8345" s="18">
        <f t="shared" si="185"/>
        <v>41866.080000000002</v>
      </c>
      <c r="I8345" s="3"/>
    </row>
    <row r="8346" spans="1:9" s="4" customFormat="1" ht="19.5" customHeight="1" x14ac:dyDescent="0.55000000000000004">
      <c r="A8346" s="18">
        <v>24.798217600000001</v>
      </c>
      <c r="B8346" s="18">
        <v>34.831346099999998</v>
      </c>
      <c r="C8346" s="18">
        <v>685121.85</v>
      </c>
      <c r="D8346" s="18">
        <v>2743846.13</v>
      </c>
      <c r="E8346" s="18">
        <v>250.56</v>
      </c>
      <c r="F8346" s="18">
        <v>41873.83</v>
      </c>
      <c r="G8346" s="18">
        <v>101500</v>
      </c>
      <c r="H8346" s="18">
        <f t="shared" si="185"/>
        <v>41863.83</v>
      </c>
      <c r="I8346" s="3"/>
    </row>
    <row r="8347" spans="1:9" s="4" customFormat="1" ht="19.5" customHeight="1" x14ac:dyDescent="0.55000000000000004">
      <c r="A8347" s="18">
        <v>24.798221000000002</v>
      </c>
      <c r="B8347" s="18">
        <v>34.831319399999998</v>
      </c>
      <c r="C8347" s="18">
        <v>685119.14</v>
      </c>
      <c r="D8347" s="18">
        <v>2743846.48</v>
      </c>
      <c r="E8347" s="18">
        <v>250.52</v>
      </c>
      <c r="F8347" s="18">
        <v>41873.61</v>
      </c>
      <c r="G8347" s="18">
        <v>101502</v>
      </c>
      <c r="H8347" s="18">
        <f t="shared" si="185"/>
        <v>41863.61</v>
      </c>
      <c r="I8347" s="3"/>
    </row>
    <row r="8348" spans="1:9" s="4" customFormat="1" ht="19.5" customHeight="1" x14ac:dyDescent="0.55000000000000004">
      <c r="A8348" s="18">
        <v>24.798221999999999</v>
      </c>
      <c r="B8348" s="18">
        <v>34.831294499999998</v>
      </c>
      <c r="C8348" s="18">
        <v>685116.63</v>
      </c>
      <c r="D8348" s="18">
        <v>2743846.55</v>
      </c>
      <c r="E8348" s="18">
        <v>250.58</v>
      </c>
      <c r="F8348" s="18">
        <v>41873.629999999997</v>
      </c>
      <c r="G8348" s="18">
        <v>101504</v>
      </c>
      <c r="H8348" s="18">
        <f t="shared" si="185"/>
        <v>41863.629999999997</v>
      </c>
      <c r="I8348" s="3"/>
    </row>
    <row r="8349" spans="1:9" s="4" customFormat="1" ht="19.5" customHeight="1" x14ac:dyDescent="0.55000000000000004">
      <c r="A8349" s="18">
        <v>24.798222800000001</v>
      </c>
      <c r="B8349" s="18">
        <v>34.831270699999997</v>
      </c>
      <c r="C8349" s="18">
        <v>685114.21</v>
      </c>
      <c r="D8349" s="18">
        <v>2743846.61</v>
      </c>
      <c r="E8349" s="18">
        <v>250.64</v>
      </c>
      <c r="F8349" s="18">
        <v>41873.230000000003</v>
      </c>
      <c r="G8349" s="18">
        <v>101506</v>
      </c>
      <c r="H8349" s="18">
        <f t="shared" si="185"/>
        <v>41863.230000000003</v>
      </c>
      <c r="I8349" s="3"/>
    </row>
    <row r="8350" spans="1:9" s="4" customFormat="1" ht="19.5" customHeight="1" x14ac:dyDescent="0.55000000000000004">
      <c r="A8350" s="18">
        <v>24.7982263</v>
      </c>
      <c r="B8350" s="18">
        <v>34.831245500000001</v>
      </c>
      <c r="C8350" s="18">
        <v>685111.66</v>
      </c>
      <c r="D8350" s="18">
        <v>2743846.96</v>
      </c>
      <c r="E8350" s="18">
        <v>250.66</v>
      </c>
      <c r="F8350" s="18">
        <v>41873.18</v>
      </c>
      <c r="G8350" s="18">
        <v>101508</v>
      </c>
      <c r="H8350" s="18">
        <f t="shared" si="185"/>
        <v>41863.18</v>
      </c>
      <c r="I8350" s="3"/>
    </row>
    <row r="8351" spans="1:9" s="4" customFormat="1" ht="19.5" customHeight="1" x14ac:dyDescent="0.55000000000000004">
      <c r="A8351" s="18">
        <v>24.7982294</v>
      </c>
      <c r="B8351" s="18">
        <v>34.8312186</v>
      </c>
      <c r="C8351" s="18">
        <v>685108.93</v>
      </c>
      <c r="D8351" s="18">
        <v>2743847.27</v>
      </c>
      <c r="E8351" s="18">
        <v>250.75</v>
      </c>
      <c r="F8351" s="18">
        <v>41871.22</v>
      </c>
      <c r="G8351" s="18">
        <v>101510</v>
      </c>
      <c r="H8351" s="18">
        <f t="shared" si="185"/>
        <v>41861.22</v>
      </c>
      <c r="I8351" s="3"/>
    </row>
    <row r="8352" spans="1:9" s="4" customFormat="1" ht="19.5" customHeight="1" x14ac:dyDescent="0.55000000000000004">
      <c r="A8352" s="18">
        <v>24.798230400000001</v>
      </c>
      <c r="B8352" s="18">
        <v>34.831193900000002</v>
      </c>
      <c r="C8352" s="18">
        <v>685106.44</v>
      </c>
      <c r="D8352" s="18">
        <v>2743847.35</v>
      </c>
      <c r="E8352" s="18">
        <v>250.81</v>
      </c>
      <c r="F8352" s="18">
        <v>41872.17</v>
      </c>
      <c r="G8352" s="18">
        <v>101512</v>
      </c>
      <c r="H8352" s="18">
        <f t="shared" si="185"/>
        <v>41862.17</v>
      </c>
      <c r="I8352" s="3"/>
    </row>
    <row r="8353" spans="1:9" s="4" customFormat="1" ht="19.5" customHeight="1" x14ac:dyDescent="0.55000000000000004">
      <c r="A8353" s="18">
        <v>24.798231099999999</v>
      </c>
      <c r="B8353" s="18">
        <v>34.8311688</v>
      </c>
      <c r="C8353" s="18">
        <v>685103.9</v>
      </c>
      <c r="D8353" s="18">
        <v>2743847.39</v>
      </c>
      <c r="E8353" s="18">
        <v>250.91</v>
      </c>
      <c r="F8353" s="18">
        <v>41872.44</v>
      </c>
      <c r="G8353" s="18">
        <v>101514</v>
      </c>
      <c r="H8353" s="18">
        <f t="shared" si="185"/>
        <v>41862.44</v>
      </c>
      <c r="I8353" s="3"/>
    </row>
    <row r="8354" spans="1:9" s="4" customFormat="1" ht="19.5" customHeight="1" x14ac:dyDescent="0.55000000000000004">
      <c r="A8354" s="18">
        <v>24.798230499999999</v>
      </c>
      <c r="B8354" s="18">
        <v>34.831143099999998</v>
      </c>
      <c r="C8354" s="18">
        <v>685101.31</v>
      </c>
      <c r="D8354" s="18">
        <v>2743847.28</v>
      </c>
      <c r="E8354" s="18">
        <v>251.07</v>
      </c>
      <c r="F8354" s="18">
        <v>41871.25</v>
      </c>
      <c r="G8354" s="18">
        <v>101516</v>
      </c>
      <c r="H8354" s="18">
        <f t="shared" si="185"/>
        <v>41861.25</v>
      </c>
      <c r="I8354" s="3"/>
    </row>
    <row r="8355" spans="1:9" s="4" customFormat="1" ht="19.5" customHeight="1" x14ac:dyDescent="0.55000000000000004">
      <c r="A8355" s="18">
        <v>24.798228900000002</v>
      </c>
      <c r="B8355" s="18">
        <v>34.831117499999998</v>
      </c>
      <c r="C8355" s="18">
        <v>685098.72</v>
      </c>
      <c r="D8355" s="18">
        <v>2743847.07</v>
      </c>
      <c r="E8355" s="18">
        <v>251.12</v>
      </c>
      <c r="F8355" s="18">
        <v>41870.339999999997</v>
      </c>
      <c r="G8355" s="18">
        <v>101518</v>
      </c>
      <c r="H8355" s="18">
        <f t="shared" si="185"/>
        <v>41860.339999999997</v>
      </c>
      <c r="I8355" s="3"/>
    </row>
    <row r="8356" spans="1:9" s="4" customFormat="1" ht="19.5" customHeight="1" x14ac:dyDescent="0.55000000000000004">
      <c r="A8356" s="18">
        <v>24.7982306</v>
      </c>
      <c r="B8356" s="18">
        <v>34.831091800000003</v>
      </c>
      <c r="C8356" s="18">
        <v>685096.11</v>
      </c>
      <c r="D8356" s="18">
        <v>2743847.23</v>
      </c>
      <c r="E8356" s="18">
        <v>251.12</v>
      </c>
      <c r="F8356" s="18">
        <v>41874.25</v>
      </c>
      <c r="G8356" s="18">
        <v>101520</v>
      </c>
      <c r="H8356" s="18">
        <f t="shared" si="185"/>
        <v>41864.25</v>
      </c>
      <c r="I8356" s="3"/>
    </row>
    <row r="8357" spans="1:9" s="4" customFormat="1" ht="19.5" customHeight="1" x14ac:dyDescent="0.55000000000000004">
      <c r="A8357" s="18">
        <v>24.798233</v>
      </c>
      <c r="B8357" s="18">
        <v>34.831066399999997</v>
      </c>
      <c r="C8357" s="18">
        <v>685093.55</v>
      </c>
      <c r="D8357" s="18">
        <v>2743847.46</v>
      </c>
      <c r="E8357" s="18">
        <v>251.22</v>
      </c>
      <c r="F8357" s="18">
        <v>41872.559999999998</v>
      </c>
      <c r="G8357" s="18">
        <v>101522</v>
      </c>
      <c r="H8357" s="18">
        <f t="shared" si="185"/>
        <v>41862.559999999998</v>
      </c>
      <c r="I8357" s="3"/>
    </row>
    <row r="8358" spans="1:9" s="4" customFormat="1" ht="19.5" customHeight="1" x14ac:dyDescent="0.55000000000000004">
      <c r="A8358" s="18">
        <v>24.7982324</v>
      </c>
      <c r="B8358" s="18">
        <v>34.831040700000003</v>
      </c>
      <c r="C8358" s="18">
        <v>685090.95</v>
      </c>
      <c r="D8358" s="18">
        <v>2743847.36</v>
      </c>
      <c r="E8358" s="18">
        <v>251.24</v>
      </c>
      <c r="F8358" s="18">
        <v>41873.79</v>
      </c>
      <c r="G8358" s="18">
        <v>101524</v>
      </c>
      <c r="H8358" s="18">
        <f t="shared" si="185"/>
        <v>41863.79</v>
      </c>
      <c r="I8358" s="3"/>
    </row>
    <row r="8359" spans="1:9" s="4" customFormat="1" ht="19.5" customHeight="1" x14ac:dyDescent="0.55000000000000004">
      <c r="A8359" s="18">
        <v>24.798230700000001</v>
      </c>
      <c r="B8359" s="18">
        <v>34.8310149</v>
      </c>
      <c r="C8359" s="18">
        <v>685088.34</v>
      </c>
      <c r="D8359" s="18">
        <v>2743847.14</v>
      </c>
      <c r="E8359" s="18">
        <v>251.27</v>
      </c>
      <c r="F8359" s="18">
        <v>41872.92</v>
      </c>
      <c r="G8359" s="18">
        <v>101526</v>
      </c>
      <c r="H8359" s="18">
        <f t="shared" si="185"/>
        <v>41862.92</v>
      </c>
      <c r="I8359" s="3"/>
    </row>
    <row r="8360" spans="1:9" s="4" customFormat="1" ht="19.5" customHeight="1" x14ac:dyDescent="0.55000000000000004">
      <c r="A8360" s="18">
        <v>24.798228399999999</v>
      </c>
      <c r="B8360" s="18">
        <v>34.830989799999998</v>
      </c>
      <c r="C8360" s="18">
        <v>685085.8</v>
      </c>
      <c r="D8360" s="18">
        <v>2743846.85</v>
      </c>
      <c r="E8360" s="18">
        <v>251.38</v>
      </c>
      <c r="F8360" s="18">
        <v>41871.760000000002</v>
      </c>
      <c r="G8360" s="18">
        <v>101528</v>
      </c>
      <c r="H8360" s="18">
        <f t="shared" si="185"/>
        <v>41861.760000000002</v>
      </c>
      <c r="I8360" s="3"/>
    </row>
    <row r="8361" spans="1:9" s="4" customFormat="1" ht="19.5" customHeight="1" x14ac:dyDescent="0.55000000000000004">
      <c r="A8361" s="18">
        <v>24.798225299999999</v>
      </c>
      <c r="B8361" s="18">
        <v>34.830964600000001</v>
      </c>
      <c r="C8361" s="18">
        <v>685083.26</v>
      </c>
      <c r="D8361" s="18">
        <v>2743846.46</v>
      </c>
      <c r="E8361" s="18">
        <v>251.43</v>
      </c>
      <c r="F8361" s="18">
        <v>41872.9</v>
      </c>
      <c r="G8361" s="18">
        <v>101530</v>
      </c>
      <c r="H8361" s="18">
        <f t="shared" si="185"/>
        <v>41862.9</v>
      </c>
      <c r="I8361" s="3"/>
    </row>
    <row r="8362" spans="1:9" s="4" customFormat="1" ht="19.5" customHeight="1" x14ac:dyDescent="0.55000000000000004">
      <c r="A8362" s="18">
        <v>24.798223400000001</v>
      </c>
      <c r="B8362" s="18">
        <v>34.830939499999999</v>
      </c>
      <c r="C8362" s="18">
        <v>685080.73</v>
      </c>
      <c r="D8362" s="18">
        <v>2743846.22</v>
      </c>
      <c r="E8362" s="18">
        <v>251.53</v>
      </c>
      <c r="F8362" s="18">
        <v>41874.129999999997</v>
      </c>
      <c r="G8362" s="18">
        <v>101532</v>
      </c>
      <c r="H8362" s="18">
        <f t="shared" si="185"/>
        <v>41864.129999999997</v>
      </c>
      <c r="I8362" s="3"/>
    </row>
    <row r="8363" spans="1:9" s="4" customFormat="1" ht="19.5" customHeight="1" x14ac:dyDescent="0.55000000000000004">
      <c r="A8363" s="18">
        <v>24.798221900000001</v>
      </c>
      <c r="B8363" s="18">
        <v>34.830914900000003</v>
      </c>
      <c r="C8363" s="18">
        <v>685078.24</v>
      </c>
      <c r="D8363" s="18">
        <v>2743846.02</v>
      </c>
      <c r="E8363" s="18">
        <v>251.63</v>
      </c>
      <c r="F8363" s="18">
        <v>41874.75</v>
      </c>
      <c r="G8363" s="18">
        <v>101534</v>
      </c>
      <c r="H8363" s="18">
        <f t="shared" si="185"/>
        <v>41864.75</v>
      </c>
      <c r="I8363" s="3"/>
    </row>
    <row r="8364" spans="1:9" s="4" customFormat="1" ht="19.5" customHeight="1" x14ac:dyDescent="0.55000000000000004">
      <c r="A8364" s="18">
        <v>24.798218800000001</v>
      </c>
      <c r="B8364" s="18">
        <v>34.830888799999997</v>
      </c>
      <c r="C8364" s="18">
        <v>685075.61</v>
      </c>
      <c r="D8364" s="18">
        <v>2743845.65</v>
      </c>
      <c r="E8364" s="18">
        <v>251.66</v>
      </c>
      <c r="F8364" s="18">
        <v>41874.730000000003</v>
      </c>
      <c r="G8364" s="18">
        <v>101536</v>
      </c>
      <c r="H8364" s="18">
        <f t="shared" si="185"/>
        <v>41864.730000000003</v>
      </c>
      <c r="I8364" s="3"/>
    </row>
    <row r="8365" spans="1:9" s="4" customFormat="1" ht="19.5" customHeight="1" x14ac:dyDescent="0.55000000000000004">
      <c r="A8365" s="18">
        <v>24.798214600000001</v>
      </c>
      <c r="B8365" s="18">
        <v>34.830862699999997</v>
      </c>
      <c r="C8365" s="18">
        <v>685072.98</v>
      </c>
      <c r="D8365" s="18">
        <v>2743845.15</v>
      </c>
      <c r="E8365" s="18">
        <v>251.74</v>
      </c>
      <c r="F8365" s="18">
        <v>41876</v>
      </c>
      <c r="G8365" s="18">
        <v>101538</v>
      </c>
      <c r="H8365" s="18">
        <f t="shared" si="185"/>
        <v>41866</v>
      </c>
      <c r="I8365" s="3"/>
    </row>
    <row r="8366" spans="1:9" s="4" customFormat="1" ht="19.5" customHeight="1" x14ac:dyDescent="0.55000000000000004">
      <c r="A8366" s="18">
        <v>24.7982139</v>
      </c>
      <c r="B8366" s="18">
        <v>34.830835800000003</v>
      </c>
      <c r="C8366" s="18">
        <v>685070.26</v>
      </c>
      <c r="D8366" s="18">
        <v>2743845.03</v>
      </c>
      <c r="E8366" s="18">
        <v>251.81</v>
      </c>
      <c r="F8366" s="18">
        <v>41873.379999999997</v>
      </c>
      <c r="G8366" s="18">
        <v>101540</v>
      </c>
      <c r="H8366" s="18">
        <f t="shared" si="185"/>
        <v>41863.379999999997</v>
      </c>
      <c r="I8366" s="3"/>
    </row>
    <row r="8367" spans="1:9" s="4" customFormat="1" ht="19.5" customHeight="1" x14ac:dyDescent="0.55000000000000004">
      <c r="A8367" s="18">
        <v>24.798214399999999</v>
      </c>
      <c r="B8367" s="18">
        <v>34.8308094</v>
      </c>
      <c r="C8367" s="18">
        <v>685067.59</v>
      </c>
      <c r="D8367" s="18">
        <v>2743845.05</v>
      </c>
      <c r="E8367" s="18">
        <v>251.74</v>
      </c>
      <c r="F8367" s="18">
        <v>41872.94</v>
      </c>
      <c r="G8367" s="18">
        <v>101542</v>
      </c>
      <c r="H8367" s="18">
        <f t="shared" si="185"/>
        <v>41862.94</v>
      </c>
      <c r="I8367" s="3"/>
    </row>
    <row r="8368" spans="1:9" s="4" customFormat="1" ht="19.5" customHeight="1" x14ac:dyDescent="0.55000000000000004">
      <c r="A8368" s="18">
        <v>24.798214300000001</v>
      </c>
      <c r="B8368" s="18">
        <v>34.830782399999997</v>
      </c>
      <c r="C8368" s="18">
        <v>685064.86</v>
      </c>
      <c r="D8368" s="18">
        <v>2743845</v>
      </c>
      <c r="E8368" s="18">
        <v>251.8</v>
      </c>
      <c r="F8368" s="18">
        <v>41875.43</v>
      </c>
      <c r="G8368" s="18">
        <v>101544</v>
      </c>
      <c r="H8368" s="18">
        <f t="shared" si="185"/>
        <v>41865.43</v>
      </c>
      <c r="I8368" s="3"/>
    </row>
    <row r="8369" spans="1:9" s="4" customFormat="1" ht="19.5" customHeight="1" x14ac:dyDescent="0.55000000000000004">
      <c r="A8369" s="18">
        <v>24.7982148</v>
      </c>
      <c r="B8369" s="18">
        <v>34.830755699999997</v>
      </c>
      <c r="C8369" s="18">
        <v>685062.15</v>
      </c>
      <c r="D8369" s="18">
        <v>2743845.02</v>
      </c>
      <c r="E8369" s="18">
        <v>251.89</v>
      </c>
      <c r="F8369" s="18">
        <v>41876.239999999998</v>
      </c>
      <c r="G8369" s="18">
        <v>101546</v>
      </c>
      <c r="H8369" s="18">
        <f t="shared" si="185"/>
        <v>41866.239999999998</v>
      </c>
      <c r="I8369" s="3"/>
    </row>
    <row r="8370" spans="1:9" s="4" customFormat="1" ht="19.5" customHeight="1" x14ac:dyDescent="0.55000000000000004">
      <c r="A8370" s="18">
        <v>24.798217399999999</v>
      </c>
      <c r="B8370" s="18">
        <v>34.830728700000002</v>
      </c>
      <c r="C8370" s="18">
        <v>685059.42</v>
      </c>
      <c r="D8370" s="18">
        <v>2743845.28</v>
      </c>
      <c r="E8370" s="18">
        <v>251.89</v>
      </c>
      <c r="F8370" s="18">
        <v>41878</v>
      </c>
      <c r="G8370" s="18">
        <v>101548</v>
      </c>
      <c r="H8370" s="18">
        <f t="shared" ref="H8370:H8433" si="186">SUM(F8370-10)</f>
        <v>41868</v>
      </c>
      <c r="I8370" s="3"/>
    </row>
    <row r="8371" spans="1:9" s="4" customFormat="1" ht="19.5" customHeight="1" x14ac:dyDescent="0.55000000000000004">
      <c r="A8371" s="18">
        <v>24.798224900000001</v>
      </c>
      <c r="B8371" s="18">
        <v>34.830707500000003</v>
      </c>
      <c r="C8371" s="18">
        <v>685057.27</v>
      </c>
      <c r="D8371" s="18">
        <v>2743846.07</v>
      </c>
      <c r="E8371" s="18">
        <v>251.94</v>
      </c>
      <c r="F8371" s="18">
        <v>41875.089999999997</v>
      </c>
      <c r="G8371" s="18">
        <v>101550</v>
      </c>
      <c r="H8371" s="18">
        <f t="shared" si="186"/>
        <v>41865.089999999997</v>
      </c>
      <c r="I8371" s="3"/>
    </row>
    <row r="8372" spans="1:9" s="4" customFormat="1" ht="19.5" customHeight="1" x14ac:dyDescent="0.55000000000000004">
      <c r="A8372" s="18">
        <v>24.798229500000001</v>
      </c>
      <c r="B8372" s="18">
        <v>34.830679500000002</v>
      </c>
      <c r="C8372" s="18">
        <v>685054.44</v>
      </c>
      <c r="D8372" s="18">
        <v>2743846.55</v>
      </c>
      <c r="E8372" s="18">
        <v>252.02</v>
      </c>
      <c r="F8372" s="18">
        <v>41875.94</v>
      </c>
      <c r="G8372" s="18">
        <v>101552</v>
      </c>
      <c r="H8372" s="18">
        <f t="shared" si="186"/>
        <v>41865.94</v>
      </c>
      <c r="I8372" s="3"/>
    </row>
    <row r="8373" spans="1:9" s="4" customFormat="1" ht="19.5" customHeight="1" x14ac:dyDescent="0.55000000000000004">
      <c r="A8373" s="18">
        <v>24.798233100000001</v>
      </c>
      <c r="B8373" s="18">
        <v>34.830656099999999</v>
      </c>
      <c r="C8373" s="18">
        <v>685052.06</v>
      </c>
      <c r="D8373" s="18">
        <v>2743846.91</v>
      </c>
      <c r="E8373" s="18">
        <v>252.2</v>
      </c>
      <c r="F8373" s="18">
        <v>41875.660000000003</v>
      </c>
      <c r="G8373" s="18">
        <v>101554</v>
      </c>
      <c r="H8373" s="18">
        <f t="shared" si="186"/>
        <v>41865.660000000003</v>
      </c>
      <c r="I8373" s="3"/>
    </row>
    <row r="8374" spans="1:9" s="4" customFormat="1" ht="19.5" customHeight="1" x14ac:dyDescent="0.55000000000000004">
      <c r="A8374" s="18">
        <v>24.7982388</v>
      </c>
      <c r="B8374" s="18">
        <v>34.830632799999997</v>
      </c>
      <c r="C8374" s="18">
        <v>685049.7</v>
      </c>
      <c r="D8374" s="18">
        <v>2743847.51</v>
      </c>
      <c r="E8374" s="18">
        <v>252.26</v>
      </c>
      <c r="F8374" s="18">
        <v>41877.089999999997</v>
      </c>
      <c r="G8374" s="18">
        <v>101556</v>
      </c>
      <c r="H8374" s="18">
        <f t="shared" si="186"/>
        <v>41867.089999999997</v>
      </c>
      <c r="I8374" s="3"/>
    </row>
    <row r="8375" spans="1:9" s="4" customFormat="1" ht="19.5" customHeight="1" x14ac:dyDescent="0.55000000000000004">
      <c r="A8375" s="18">
        <v>24.798244499999999</v>
      </c>
      <c r="B8375" s="18">
        <v>34.830608300000002</v>
      </c>
      <c r="C8375" s="18">
        <v>685047.21</v>
      </c>
      <c r="D8375" s="18">
        <v>2743848.11</v>
      </c>
      <c r="E8375" s="18">
        <v>252.38</v>
      </c>
      <c r="F8375" s="18">
        <v>41876.61</v>
      </c>
      <c r="G8375" s="18">
        <v>101558</v>
      </c>
      <c r="H8375" s="18">
        <f t="shared" si="186"/>
        <v>41866.61</v>
      </c>
      <c r="I8375" s="3"/>
    </row>
    <row r="8376" spans="1:9" s="4" customFormat="1" ht="19.5" customHeight="1" x14ac:dyDescent="0.55000000000000004">
      <c r="A8376" s="18">
        <v>24.798250299999999</v>
      </c>
      <c r="B8376" s="18">
        <v>34.830583300000001</v>
      </c>
      <c r="C8376" s="18">
        <v>685044.67</v>
      </c>
      <c r="D8376" s="18">
        <v>2743848.72</v>
      </c>
      <c r="E8376" s="18">
        <v>252.37</v>
      </c>
      <c r="F8376" s="18">
        <v>41874.89</v>
      </c>
      <c r="G8376" s="18">
        <v>101600</v>
      </c>
      <c r="H8376" s="18">
        <f t="shared" si="186"/>
        <v>41864.89</v>
      </c>
      <c r="I8376" s="3"/>
    </row>
    <row r="8377" spans="1:9" s="4" customFormat="1" ht="19.5" customHeight="1" x14ac:dyDescent="0.55000000000000004">
      <c r="A8377" s="18">
        <v>24.7982561</v>
      </c>
      <c r="B8377" s="18">
        <v>34.830560200000001</v>
      </c>
      <c r="C8377" s="18">
        <v>685042.33</v>
      </c>
      <c r="D8377" s="18">
        <v>2743849.34</v>
      </c>
      <c r="E8377" s="18">
        <v>252.5</v>
      </c>
      <c r="F8377" s="18">
        <v>41874.269999999997</v>
      </c>
      <c r="G8377" s="18">
        <v>101602</v>
      </c>
      <c r="H8377" s="18">
        <f t="shared" si="186"/>
        <v>41864.269999999997</v>
      </c>
      <c r="I8377" s="3"/>
    </row>
    <row r="8378" spans="1:9" s="4" customFormat="1" ht="19.5" customHeight="1" x14ac:dyDescent="0.55000000000000004">
      <c r="A8378" s="18">
        <v>24.798262900000001</v>
      </c>
      <c r="B8378" s="18">
        <v>34.830542600000001</v>
      </c>
      <c r="C8378" s="18">
        <v>685040.54</v>
      </c>
      <c r="D8378" s="18">
        <v>2743850.06</v>
      </c>
      <c r="E8378" s="18">
        <v>252.59</v>
      </c>
      <c r="F8378" s="18">
        <v>41875.1</v>
      </c>
      <c r="G8378" s="18">
        <v>101604</v>
      </c>
      <c r="H8378" s="18">
        <f t="shared" si="186"/>
        <v>41865.1</v>
      </c>
      <c r="I8378" s="3"/>
    </row>
    <row r="8379" spans="1:9" s="4" customFormat="1" ht="19.5" customHeight="1" x14ac:dyDescent="0.55000000000000004">
      <c r="A8379" s="18">
        <v>24.798268700000001</v>
      </c>
      <c r="B8379" s="18">
        <v>34.830530299999999</v>
      </c>
      <c r="C8379" s="18">
        <v>685039.29</v>
      </c>
      <c r="D8379" s="18">
        <v>2743850.69</v>
      </c>
      <c r="E8379" s="18">
        <v>252.69</v>
      </c>
      <c r="F8379" s="18">
        <v>41865.33</v>
      </c>
      <c r="G8379" s="18">
        <v>101606</v>
      </c>
      <c r="H8379" s="18">
        <f t="shared" si="186"/>
        <v>41855.33</v>
      </c>
      <c r="I8379" s="3"/>
    </row>
    <row r="8380" spans="1:9" s="4" customFormat="1" ht="19.5" customHeight="1" x14ac:dyDescent="0.55000000000000004">
      <c r="A8380" s="18">
        <v>24.798276000000001</v>
      </c>
      <c r="B8380" s="18">
        <v>34.830510799999999</v>
      </c>
      <c r="C8380" s="18">
        <v>685037.3</v>
      </c>
      <c r="D8380" s="18">
        <v>2743851.47</v>
      </c>
      <c r="E8380" s="18">
        <v>252.72</v>
      </c>
      <c r="F8380" s="18">
        <v>41847.230000000003</v>
      </c>
      <c r="G8380" s="18">
        <v>101608</v>
      </c>
      <c r="H8380" s="18">
        <f t="shared" si="186"/>
        <v>41837.230000000003</v>
      </c>
      <c r="I8380" s="3"/>
    </row>
    <row r="8381" spans="1:9" s="4" customFormat="1" ht="19.5" customHeight="1" x14ac:dyDescent="0.55000000000000004">
      <c r="A8381" s="18">
        <v>24.798281299999999</v>
      </c>
      <c r="B8381" s="18">
        <v>34.830488099999997</v>
      </c>
      <c r="C8381" s="18">
        <v>685035</v>
      </c>
      <c r="D8381" s="18">
        <v>2743852.03</v>
      </c>
      <c r="E8381" s="18">
        <v>252.8</v>
      </c>
      <c r="F8381" s="18">
        <v>41841.32</v>
      </c>
      <c r="G8381" s="18">
        <v>101610</v>
      </c>
      <c r="H8381" s="18">
        <f t="shared" si="186"/>
        <v>41831.32</v>
      </c>
      <c r="I8381" s="3"/>
    </row>
    <row r="8382" spans="1:9" s="4" customFormat="1" ht="19.5" customHeight="1" x14ac:dyDescent="0.55000000000000004">
      <c r="A8382" s="18">
        <v>24.7982838</v>
      </c>
      <c r="B8382" s="18">
        <v>34.8304683</v>
      </c>
      <c r="C8382" s="18">
        <v>685032.99</v>
      </c>
      <c r="D8382" s="18">
        <v>2743852.27</v>
      </c>
      <c r="E8382" s="18">
        <v>252.81</v>
      </c>
      <c r="F8382" s="18">
        <v>41830.47</v>
      </c>
      <c r="G8382" s="18">
        <v>101612</v>
      </c>
      <c r="H8382" s="18">
        <f t="shared" si="186"/>
        <v>41820.47</v>
      </c>
      <c r="I8382" s="3"/>
    </row>
    <row r="8383" spans="1:9" s="4" customFormat="1" ht="19.5" customHeight="1" x14ac:dyDescent="0.55000000000000004">
      <c r="A8383" s="18">
        <v>24.798290000000001</v>
      </c>
      <c r="B8383" s="18">
        <v>34.830446899999998</v>
      </c>
      <c r="C8383" s="18">
        <v>685030.82</v>
      </c>
      <c r="D8383" s="18">
        <v>2743852.93</v>
      </c>
      <c r="E8383" s="18">
        <v>252.86</v>
      </c>
      <c r="F8383" s="18">
        <v>41833.96</v>
      </c>
      <c r="G8383" s="18">
        <v>101614</v>
      </c>
      <c r="H8383" s="18">
        <f t="shared" si="186"/>
        <v>41823.96</v>
      </c>
      <c r="I8383" s="3"/>
    </row>
    <row r="8384" spans="1:9" s="4" customFormat="1" ht="19.5" customHeight="1" x14ac:dyDescent="0.55000000000000004">
      <c r="A8384" s="18">
        <v>24.798297300000002</v>
      </c>
      <c r="B8384" s="18">
        <v>34.830425400000003</v>
      </c>
      <c r="C8384" s="18">
        <v>685028.64</v>
      </c>
      <c r="D8384" s="18">
        <v>2743853.71</v>
      </c>
      <c r="E8384" s="18">
        <v>252.99</v>
      </c>
      <c r="F8384" s="18">
        <v>41832.57</v>
      </c>
      <c r="G8384" s="18">
        <v>101616</v>
      </c>
      <c r="H8384" s="18">
        <f t="shared" si="186"/>
        <v>41822.57</v>
      </c>
      <c r="I8384" s="3"/>
    </row>
    <row r="8385" spans="1:9" s="4" customFormat="1" ht="19.5" customHeight="1" x14ac:dyDescent="0.55000000000000004">
      <c r="A8385" s="18">
        <v>24.798303499999999</v>
      </c>
      <c r="B8385" s="18">
        <v>34.830403400000002</v>
      </c>
      <c r="C8385" s="18">
        <v>685026.41</v>
      </c>
      <c r="D8385" s="18">
        <v>2743854.37</v>
      </c>
      <c r="E8385" s="18">
        <v>253.02</v>
      </c>
      <c r="F8385" s="18">
        <v>41838.230000000003</v>
      </c>
      <c r="G8385" s="18">
        <v>101618</v>
      </c>
      <c r="H8385" s="18">
        <f t="shared" si="186"/>
        <v>41828.230000000003</v>
      </c>
      <c r="I8385" s="3"/>
    </row>
    <row r="8386" spans="1:9" s="4" customFormat="1" ht="19.5" customHeight="1" x14ac:dyDescent="0.55000000000000004">
      <c r="A8386" s="18">
        <v>24.798308599999999</v>
      </c>
      <c r="B8386" s="18">
        <v>34.830381600000003</v>
      </c>
      <c r="C8386" s="18">
        <v>685024.2</v>
      </c>
      <c r="D8386" s="18">
        <v>2743854.91</v>
      </c>
      <c r="E8386" s="18">
        <v>253.11</v>
      </c>
      <c r="F8386" s="18">
        <v>41841.07</v>
      </c>
      <c r="G8386" s="18">
        <v>101620</v>
      </c>
      <c r="H8386" s="18">
        <f t="shared" si="186"/>
        <v>41831.07</v>
      </c>
      <c r="I8386" s="3"/>
    </row>
    <row r="8387" spans="1:9" s="4" customFormat="1" ht="19.5" customHeight="1" x14ac:dyDescent="0.55000000000000004">
      <c r="A8387" s="18">
        <v>24.798317000000001</v>
      </c>
      <c r="B8387" s="18">
        <v>34.830360900000002</v>
      </c>
      <c r="C8387" s="18">
        <v>685022.09</v>
      </c>
      <c r="D8387" s="18">
        <v>2743855.8</v>
      </c>
      <c r="E8387" s="18">
        <v>253.1</v>
      </c>
      <c r="F8387" s="18">
        <v>41831.980000000003</v>
      </c>
      <c r="G8387" s="18">
        <v>101622</v>
      </c>
      <c r="H8387" s="18">
        <f t="shared" si="186"/>
        <v>41821.980000000003</v>
      </c>
      <c r="I8387" s="3"/>
    </row>
    <row r="8388" spans="1:9" s="4" customFormat="1" ht="19.5" customHeight="1" x14ac:dyDescent="0.55000000000000004">
      <c r="A8388" s="18">
        <v>24.798321999999999</v>
      </c>
      <c r="B8388" s="18">
        <v>34.830339600000002</v>
      </c>
      <c r="C8388" s="18">
        <v>685019.93</v>
      </c>
      <c r="D8388" s="18">
        <v>2743856.34</v>
      </c>
      <c r="E8388" s="18">
        <v>253.18</v>
      </c>
      <c r="F8388" s="18">
        <v>41840.050000000003</v>
      </c>
      <c r="G8388" s="18">
        <v>101624</v>
      </c>
      <c r="H8388" s="18">
        <f t="shared" si="186"/>
        <v>41830.050000000003</v>
      </c>
      <c r="I8388" s="3"/>
    </row>
    <row r="8389" spans="1:9" s="4" customFormat="1" ht="19.5" customHeight="1" x14ac:dyDescent="0.55000000000000004">
      <c r="A8389" s="18">
        <v>24.798329299999999</v>
      </c>
      <c r="B8389" s="18">
        <v>34.830320299999997</v>
      </c>
      <c r="C8389" s="18">
        <v>685017.97</v>
      </c>
      <c r="D8389" s="18">
        <v>2743857.11</v>
      </c>
      <c r="E8389" s="18">
        <v>253.27</v>
      </c>
      <c r="F8389" s="18">
        <v>41837.050000000003</v>
      </c>
      <c r="G8389" s="18">
        <v>101626</v>
      </c>
      <c r="H8389" s="18">
        <f t="shared" si="186"/>
        <v>41827.050000000003</v>
      </c>
      <c r="I8389" s="3"/>
    </row>
    <row r="8390" spans="1:9" s="4" customFormat="1" ht="19.5" customHeight="1" x14ac:dyDescent="0.55000000000000004">
      <c r="A8390" s="18">
        <v>24.798334700000002</v>
      </c>
      <c r="B8390" s="18">
        <v>34.8303042</v>
      </c>
      <c r="C8390" s="18">
        <v>685016.32</v>
      </c>
      <c r="D8390" s="18">
        <v>2743857.69</v>
      </c>
      <c r="E8390" s="18">
        <v>253.33</v>
      </c>
      <c r="F8390" s="18">
        <v>41836.79</v>
      </c>
      <c r="G8390" s="18">
        <v>101628</v>
      </c>
      <c r="H8390" s="18">
        <f t="shared" si="186"/>
        <v>41826.79</v>
      </c>
      <c r="I8390" s="3"/>
    </row>
    <row r="8391" spans="1:9" s="4" customFormat="1" ht="19.5" customHeight="1" x14ac:dyDescent="0.55000000000000004">
      <c r="A8391" s="18">
        <v>24.798336899999999</v>
      </c>
      <c r="B8391" s="18">
        <v>34.830300600000001</v>
      </c>
      <c r="C8391" s="18">
        <v>685015.97</v>
      </c>
      <c r="D8391" s="18">
        <v>2743857.93</v>
      </c>
      <c r="E8391" s="18">
        <v>253.34</v>
      </c>
      <c r="F8391" s="18">
        <v>41833.5</v>
      </c>
      <c r="G8391" s="18">
        <v>101630</v>
      </c>
      <c r="H8391" s="18">
        <f t="shared" si="186"/>
        <v>41823.5</v>
      </c>
      <c r="I8391" s="3"/>
    </row>
    <row r="8392" spans="1:9" s="4" customFormat="1" ht="19.5" customHeight="1" x14ac:dyDescent="0.55000000000000004">
      <c r="A8392" s="18">
        <v>24.798336800000001</v>
      </c>
      <c r="B8392" s="18">
        <v>34.830300000000001</v>
      </c>
      <c r="C8392" s="18">
        <v>685015.91</v>
      </c>
      <c r="D8392" s="18">
        <v>2743857.92</v>
      </c>
      <c r="E8392" s="18">
        <v>253.33</v>
      </c>
      <c r="F8392" s="18">
        <v>41829.86</v>
      </c>
      <c r="G8392" s="18">
        <v>101632</v>
      </c>
      <c r="H8392" s="18">
        <f t="shared" si="186"/>
        <v>41819.86</v>
      </c>
      <c r="I8392" s="3"/>
    </row>
    <row r="8393" spans="1:9" s="4" customFormat="1" ht="19.5" customHeight="1" x14ac:dyDescent="0.55000000000000004">
      <c r="A8393" s="18">
        <v>24.798339800000001</v>
      </c>
      <c r="B8393" s="18">
        <v>34.830285699999997</v>
      </c>
      <c r="C8393" s="18">
        <v>685014.45</v>
      </c>
      <c r="D8393" s="18">
        <v>2743858.23</v>
      </c>
      <c r="E8393" s="18">
        <v>253.36</v>
      </c>
      <c r="F8393" s="18">
        <v>41860.81</v>
      </c>
      <c r="G8393" s="18">
        <v>101634</v>
      </c>
      <c r="H8393" s="18">
        <f t="shared" si="186"/>
        <v>41850.81</v>
      </c>
      <c r="I8393" s="3"/>
    </row>
    <row r="8394" spans="1:9" s="4" customFormat="1" ht="19.5" customHeight="1" x14ac:dyDescent="0.55000000000000004">
      <c r="A8394" s="18">
        <v>24.798348699999998</v>
      </c>
      <c r="B8394" s="18">
        <v>34.830263700000003</v>
      </c>
      <c r="C8394" s="18">
        <v>685012.21</v>
      </c>
      <c r="D8394" s="18">
        <v>2743859.18</v>
      </c>
      <c r="E8394" s="18">
        <v>253.53</v>
      </c>
      <c r="F8394" s="18">
        <v>41870.42</v>
      </c>
      <c r="G8394" s="18">
        <v>101636</v>
      </c>
      <c r="H8394" s="18">
        <f t="shared" si="186"/>
        <v>41860.42</v>
      </c>
      <c r="I8394" s="3"/>
    </row>
    <row r="8395" spans="1:9" s="4" customFormat="1" ht="19.5" customHeight="1" x14ac:dyDescent="0.55000000000000004">
      <c r="A8395" s="18">
        <v>24.7983586</v>
      </c>
      <c r="B8395" s="18">
        <v>34.830240799999999</v>
      </c>
      <c r="C8395" s="18">
        <v>685009.89</v>
      </c>
      <c r="D8395" s="18">
        <v>2743860.25</v>
      </c>
      <c r="E8395" s="18">
        <v>253.54</v>
      </c>
      <c r="F8395" s="18">
        <v>41869.480000000003</v>
      </c>
      <c r="G8395" s="18">
        <v>101638</v>
      </c>
      <c r="H8395" s="18">
        <f t="shared" si="186"/>
        <v>41859.480000000003</v>
      </c>
      <c r="I8395" s="3"/>
    </row>
    <row r="8396" spans="1:9" s="4" customFormat="1" ht="19.5" customHeight="1" x14ac:dyDescent="0.55000000000000004">
      <c r="A8396" s="18">
        <v>24.798367599999999</v>
      </c>
      <c r="B8396" s="18">
        <v>34.830217599999997</v>
      </c>
      <c r="C8396" s="18">
        <v>685007.53</v>
      </c>
      <c r="D8396" s="18">
        <v>2743861.22</v>
      </c>
      <c r="E8396" s="18">
        <v>253.51</v>
      </c>
      <c r="F8396" s="18">
        <v>41868.120000000003</v>
      </c>
      <c r="G8396" s="18">
        <v>101640</v>
      </c>
      <c r="H8396" s="18">
        <f t="shared" si="186"/>
        <v>41858.120000000003</v>
      </c>
      <c r="I8396" s="3"/>
    </row>
    <row r="8397" spans="1:9" s="4" customFormat="1" ht="19.5" customHeight="1" x14ac:dyDescent="0.55000000000000004">
      <c r="A8397" s="18">
        <v>24.798378700000001</v>
      </c>
      <c r="B8397" s="18">
        <v>34.830196700000002</v>
      </c>
      <c r="C8397" s="18">
        <v>685005.39</v>
      </c>
      <c r="D8397" s="18">
        <v>2743862.42</v>
      </c>
      <c r="E8397" s="18">
        <v>253.6</v>
      </c>
      <c r="F8397" s="18">
        <v>41868.19</v>
      </c>
      <c r="G8397" s="18">
        <v>101642</v>
      </c>
      <c r="H8397" s="18">
        <f t="shared" si="186"/>
        <v>41858.19</v>
      </c>
      <c r="I8397" s="3"/>
    </row>
    <row r="8398" spans="1:9" s="4" customFormat="1" ht="19.5" customHeight="1" x14ac:dyDescent="0.55000000000000004">
      <c r="A8398" s="18">
        <v>24.798391299999999</v>
      </c>
      <c r="B8398" s="18">
        <v>34.830174900000003</v>
      </c>
      <c r="C8398" s="18">
        <v>685003.17</v>
      </c>
      <c r="D8398" s="18">
        <v>2743863.79</v>
      </c>
      <c r="E8398" s="18">
        <v>253.64</v>
      </c>
      <c r="F8398" s="18">
        <v>41867</v>
      </c>
      <c r="G8398" s="18">
        <v>101644</v>
      </c>
      <c r="H8398" s="18">
        <f t="shared" si="186"/>
        <v>41857</v>
      </c>
      <c r="I8398" s="3"/>
    </row>
    <row r="8399" spans="1:9" s="4" customFormat="1" ht="19.5" customHeight="1" x14ac:dyDescent="0.55000000000000004">
      <c r="A8399" s="18">
        <v>24.798405599999999</v>
      </c>
      <c r="B8399" s="18">
        <v>34.830154499999999</v>
      </c>
      <c r="C8399" s="18">
        <v>685001.09</v>
      </c>
      <c r="D8399" s="18">
        <v>2743865.34</v>
      </c>
      <c r="E8399" s="18">
        <v>253.64</v>
      </c>
      <c r="F8399" s="18">
        <v>41868.54</v>
      </c>
      <c r="G8399" s="18">
        <v>101646</v>
      </c>
      <c r="H8399" s="18">
        <f t="shared" si="186"/>
        <v>41858.54</v>
      </c>
      <c r="I8399" s="3"/>
    </row>
    <row r="8400" spans="1:9" s="4" customFormat="1" ht="19.5" customHeight="1" x14ac:dyDescent="0.55000000000000004">
      <c r="A8400" s="18">
        <v>24.798420799999999</v>
      </c>
      <c r="B8400" s="18">
        <v>34.830134800000003</v>
      </c>
      <c r="C8400" s="18">
        <v>684999.08</v>
      </c>
      <c r="D8400" s="18">
        <v>2743867</v>
      </c>
      <c r="E8400" s="18">
        <v>253.85</v>
      </c>
      <c r="F8400" s="18">
        <v>41869.08</v>
      </c>
      <c r="G8400" s="18">
        <v>101648</v>
      </c>
      <c r="H8400" s="18">
        <f t="shared" si="186"/>
        <v>41859.08</v>
      </c>
      <c r="I8400" s="3"/>
    </row>
    <row r="8401" spans="1:9" s="4" customFormat="1" ht="19.5" customHeight="1" x14ac:dyDescent="0.55000000000000004">
      <c r="A8401" s="18">
        <v>24.798436200000001</v>
      </c>
      <c r="B8401" s="18">
        <v>34.830115900000003</v>
      </c>
      <c r="C8401" s="18">
        <v>684997.14</v>
      </c>
      <c r="D8401" s="18">
        <v>2743868.68</v>
      </c>
      <c r="E8401" s="18">
        <v>253.9</v>
      </c>
      <c r="F8401" s="18">
        <v>41868.04</v>
      </c>
      <c r="G8401" s="18">
        <v>101650</v>
      </c>
      <c r="H8401" s="18">
        <f t="shared" si="186"/>
        <v>41858.04</v>
      </c>
      <c r="I8401" s="3"/>
    </row>
    <row r="8402" spans="1:9" s="4" customFormat="1" ht="19.5" customHeight="1" x14ac:dyDescent="0.55000000000000004">
      <c r="A8402" s="18">
        <v>24.798452900000001</v>
      </c>
      <c r="B8402" s="18">
        <v>34.830097700000003</v>
      </c>
      <c r="C8402" s="18">
        <v>684995.27</v>
      </c>
      <c r="D8402" s="18">
        <v>2743870.51</v>
      </c>
      <c r="E8402" s="18">
        <v>253.93</v>
      </c>
      <c r="F8402" s="18">
        <v>41866.370000000003</v>
      </c>
      <c r="G8402" s="18">
        <v>101652</v>
      </c>
      <c r="H8402" s="18">
        <f t="shared" si="186"/>
        <v>41856.370000000003</v>
      </c>
      <c r="I8402" s="3"/>
    </row>
    <row r="8403" spans="1:9" s="4" customFormat="1" ht="19.5" customHeight="1" x14ac:dyDescent="0.55000000000000004">
      <c r="A8403" s="18">
        <v>24.7984668</v>
      </c>
      <c r="B8403" s="18">
        <v>34.830077600000003</v>
      </c>
      <c r="C8403" s="18">
        <v>684993.22</v>
      </c>
      <c r="D8403" s="18">
        <v>2743872.02</v>
      </c>
      <c r="E8403" s="18">
        <v>254.1</v>
      </c>
      <c r="F8403" s="18">
        <v>41863.47</v>
      </c>
      <c r="G8403" s="18">
        <v>101654</v>
      </c>
      <c r="H8403" s="18">
        <f t="shared" si="186"/>
        <v>41853.47</v>
      </c>
      <c r="I8403" s="3"/>
    </row>
    <row r="8404" spans="1:9" s="4" customFormat="1" ht="19.5" customHeight="1" x14ac:dyDescent="0.55000000000000004">
      <c r="A8404" s="18">
        <v>24.798482499999999</v>
      </c>
      <c r="B8404" s="18">
        <v>34.8300597</v>
      </c>
      <c r="C8404" s="18">
        <v>684991.39</v>
      </c>
      <c r="D8404" s="18">
        <v>2743873.73</v>
      </c>
      <c r="E8404" s="18">
        <v>254.12</v>
      </c>
      <c r="F8404" s="18">
        <v>41865.26</v>
      </c>
      <c r="G8404" s="18">
        <v>101656</v>
      </c>
      <c r="H8404" s="18">
        <f t="shared" si="186"/>
        <v>41855.26</v>
      </c>
      <c r="I8404" s="3"/>
    </row>
    <row r="8405" spans="1:9" s="4" customFormat="1" ht="19.5" customHeight="1" x14ac:dyDescent="0.55000000000000004">
      <c r="A8405" s="18">
        <v>24.798501600000002</v>
      </c>
      <c r="B8405" s="18">
        <v>34.830043099999997</v>
      </c>
      <c r="C8405" s="18">
        <v>684989.68</v>
      </c>
      <c r="D8405" s="18">
        <v>2743875.82</v>
      </c>
      <c r="E8405" s="18">
        <v>254.13</v>
      </c>
      <c r="F8405" s="18">
        <v>41865.980000000003</v>
      </c>
      <c r="G8405" s="18">
        <v>101658</v>
      </c>
      <c r="H8405" s="18">
        <f t="shared" si="186"/>
        <v>41855.980000000003</v>
      </c>
      <c r="I8405" s="3"/>
    </row>
    <row r="8406" spans="1:9" s="4" customFormat="1" ht="19.5" customHeight="1" x14ac:dyDescent="0.55000000000000004">
      <c r="A8406" s="18">
        <v>24.7985209</v>
      </c>
      <c r="B8406" s="18">
        <v>34.830027200000004</v>
      </c>
      <c r="C8406" s="18">
        <v>684988.05</v>
      </c>
      <c r="D8406" s="18">
        <v>2743877.93</v>
      </c>
      <c r="E8406" s="18">
        <v>254.22</v>
      </c>
      <c r="F8406" s="18">
        <v>41865.089999999997</v>
      </c>
      <c r="G8406" s="18">
        <v>101700</v>
      </c>
      <c r="H8406" s="18">
        <f t="shared" si="186"/>
        <v>41855.089999999997</v>
      </c>
      <c r="I8406" s="3"/>
    </row>
    <row r="8407" spans="1:9" s="4" customFormat="1" ht="19.5" customHeight="1" x14ac:dyDescent="0.55000000000000004">
      <c r="A8407" s="18">
        <v>24.7985398</v>
      </c>
      <c r="B8407" s="18">
        <v>34.830010600000001</v>
      </c>
      <c r="C8407" s="18">
        <v>684986.34</v>
      </c>
      <c r="D8407" s="18">
        <v>2743880.01</v>
      </c>
      <c r="E8407" s="18">
        <v>254.3</v>
      </c>
      <c r="F8407" s="18">
        <v>41865.040000000001</v>
      </c>
      <c r="G8407" s="18">
        <v>101702</v>
      </c>
      <c r="H8407" s="18">
        <f t="shared" si="186"/>
        <v>41855.040000000001</v>
      </c>
      <c r="I8407" s="3"/>
    </row>
    <row r="8408" spans="1:9" s="4" customFormat="1" ht="19.5" customHeight="1" x14ac:dyDescent="0.55000000000000004">
      <c r="A8408" s="18">
        <v>24.7985586</v>
      </c>
      <c r="B8408" s="18">
        <v>34.829993999999999</v>
      </c>
      <c r="C8408" s="18">
        <v>684984.64</v>
      </c>
      <c r="D8408" s="18">
        <v>2743882.06</v>
      </c>
      <c r="E8408" s="18">
        <v>254.31</v>
      </c>
      <c r="F8408" s="18">
        <v>41867.040000000001</v>
      </c>
      <c r="G8408" s="18">
        <v>101704</v>
      </c>
      <c r="H8408" s="18">
        <f t="shared" si="186"/>
        <v>41857.040000000001</v>
      </c>
      <c r="I8408" s="3"/>
    </row>
    <row r="8409" spans="1:9" s="4" customFormat="1" ht="19.5" customHeight="1" x14ac:dyDescent="0.55000000000000004">
      <c r="A8409" s="18">
        <v>24.798577600000002</v>
      </c>
      <c r="B8409" s="18">
        <v>34.829978599999997</v>
      </c>
      <c r="C8409" s="18">
        <v>684983.05</v>
      </c>
      <c r="D8409" s="18">
        <v>2743884.15</v>
      </c>
      <c r="E8409" s="18">
        <v>254.45</v>
      </c>
      <c r="F8409" s="18">
        <v>41867.03</v>
      </c>
      <c r="G8409" s="18">
        <v>101706</v>
      </c>
      <c r="H8409" s="18">
        <f t="shared" si="186"/>
        <v>41857.03</v>
      </c>
      <c r="I8409" s="3"/>
    </row>
    <row r="8410" spans="1:9" s="4" customFormat="1" ht="19.5" customHeight="1" x14ac:dyDescent="0.55000000000000004">
      <c r="A8410" s="18">
        <v>24.798596100000001</v>
      </c>
      <c r="B8410" s="18">
        <v>34.829962600000002</v>
      </c>
      <c r="C8410" s="18">
        <v>684981.4</v>
      </c>
      <c r="D8410" s="18">
        <v>2743886.18</v>
      </c>
      <c r="E8410" s="18">
        <v>254.55</v>
      </c>
      <c r="F8410" s="18">
        <v>41865.730000000003</v>
      </c>
      <c r="G8410" s="18">
        <v>101708</v>
      </c>
      <c r="H8410" s="18">
        <f t="shared" si="186"/>
        <v>41855.730000000003</v>
      </c>
      <c r="I8410" s="3"/>
    </row>
    <row r="8411" spans="1:9" s="4" customFormat="1" ht="19.5" customHeight="1" x14ac:dyDescent="0.55000000000000004">
      <c r="A8411" s="18">
        <v>24.798615000000002</v>
      </c>
      <c r="B8411" s="18">
        <v>34.829946499999998</v>
      </c>
      <c r="C8411" s="18">
        <v>684979.75</v>
      </c>
      <c r="D8411" s="18">
        <v>2743888.26</v>
      </c>
      <c r="E8411" s="18">
        <v>254.55</v>
      </c>
      <c r="F8411" s="18">
        <v>41864.870000000003</v>
      </c>
      <c r="G8411" s="18">
        <v>101710</v>
      </c>
      <c r="H8411" s="18">
        <f t="shared" si="186"/>
        <v>41854.870000000003</v>
      </c>
      <c r="I8411" s="3"/>
    </row>
    <row r="8412" spans="1:9" s="4" customFormat="1" ht="19.5" customHeight="1" x14ac:dyDescent="0.55000000000000004">
      <c r="A8412" s="18">
        <v>24.798635399999998</v>
      </c>
      <c r="B8412" s="18">
        <v>34.829932800000002</v>
      </c>
      <c r="C8412" s="18">
        <v>684978.33</v>
      </c>
      <c r="D8412" s="18">
        <v>2743890.5</v>
      </c>
      <c r="E8412" s="18">
        <v>254.6</v>
      </c>
      <c r="F8412" s="18">
        <v>41865.949999999997</v>
      </c>
      <c r="G8412" s="18">
        <v>101712</v>
      </c>
      <c r="H8412" s="18">
        <f t="shared" si="186"/>
        <v>41855.949999999997</v>
      </c>
      <c r="I8412" s="3"/>
    </row>
    <row r="8413" spans="1:9" s="4" customFormat="1" ht="19.5" customHeight="1" x14ac:dyDescent="0.55000000000000004">
      <c r="A8413" s="18">
        <v>24.7986562</v>
      </c>
      <c r="B8413" s="18">
        <v>34.829917999999999</v>
      </c>
      <c r="C8413" s="18">
        <v>684976.81</v>
      </c>
      <c r="D8413" s="18">
        <v>2743892.78</v>
      </c>
      <c r="E8413" s="18">
        <v>254.7</v>
      </c>
      <c r="F8413" s="18">
        <v>41868.74</v>
      </c>
      <c r="G8413" s="18">
        <v>101714</v>
      </c>
      <c r="H8413" s="18">
        <f t="shared" si="186"/>
        <v>41858.74</v>
      </c>
      <c r="I8413" s="3"/>
    </row>
    <row r="8414" spans="1:9" s="4" customFormat="1" ht="19.5" customHeight="1" x14ac:dyDescent="0.55000000000000004">
      <c r="A8414" s="18">
        <v>24.798677600000001</v>
      </c>
      <c r="B8414" s="18">
        <v>34.829904300000003</v>
      </c>
      <c r="C8414" s="18">
        <v>684975.39</v>
      </c>
      <c r="D8414" s="18">
        <v>2743895.12</v>
      </c>
      <c r="E8414" s="18">
        <v>254.73</v>
      </c>
      <c r="F8414" s="18">
        <v>41867.31</v>
      </c>
      <c r="G8414" s="18">
        <v>101716</v>
      </c>
      <c r="H8414" s="18">
        <f t="shared" si="186"/>
        <v>41857.31</v>
      </c>
      <c r="I8414" s="3"/>
    </row>
    <row r="8415" spans="1:9" s="4" customFormat="1" ht="19.5" customHeight="1" x14ac:dyDescent="0.55000000000000004">
      <c r="A8415" s="18">
        <v>24.7986988</v>
      </c>
      <c r="B8415" s="18">
        <v>34.829890399999996</v>
      </c>
      <c r="C8415" s="18">
        <v>684973.95</v>
      </c>
      <c r="D8415" s="18">
        <v>2743897.46</v>
      </c>
      <c r="E8415" s="18">
        <v>254.72</v>
      </c>
      <c r="F8415" s="18">
        <v>41867.879999999997</v>
      </c>
      <c r="G8415" s="18">
        <v>101718</v>
      </c>
      <c r="H8415" s="18">
        <f t="shared" si="186"/>
        <v>41857.879999999997</v>
      </c>
      <c r="I8415" s="3"/>
    </row>
    <row r="8416" spans="1:9" s="4" customFormat="1" ht="19.5" customHeight="1" x14ac:dyDescent="0.55000000000000004">
      <c r="A8416" s="18">
        <v>24.798717499999999</v>
      </c>
      <c r="B8416" s="18">
        <v>34.829871799999999</v>
      </c>
      <c r="C8416" s="18">
        <v>684972.04</v>
      </c>
      <c r="D8416" s="18">
        <v>2743899.5</v>
      </c>
      <c r="E8416" s="18">
        <v>254.8</v>
      </c>
      <c r="F8416" s="18">
        <v>41869.47</v>
      </c>
      <c r="G8416" s="18">
        <v>101720</v>
      </c>
      <c r="H8416" s="18">
        <f t="shared" si="186"/>
        <v>41859.47</v>
      </c>
      <c r="I8416" s="3"/>
    </row>
    <row r="8417" spans="1:9" s="4" customFormat="1" ht="19.5" customHeight="1" x14ac:dyDescent="0.55000000000000004">
      <c r="A8417" s="18">
        <v>24.7987368</v>
      </c>
      <c r="B8417" s="18">
        <v>34.829857099999998</v>
      </c>
      <c r="C8417" s="18">
        <v>684970.53</v>
      </c>
      <c r="D8417" s="18">
        <v>2743901.62</v>
      </c>
      <c r="E8417" s="18">
        <v>254.86</v>
      </c>
      <c r="F8417" s="18">
        <v>41870.199999999997</v>
      </c>
      <c r="G8417" s="18">
        <v>101722</v>
      </c>
      <c r="H8417" s="18">
        <f t="shared" si="186"/>
        <v>41860.199999999997</v>
      </c>
      <c r="I8417" s="3"/>
    </row>
    <row r="8418" spans="1:9" s="4" customFormat="1" ht="19.5" customHeight="1" x14ac:dyDescent="0.55000000000000004">
      <c r="A8418" s="18">
        <v>24.798751200000002</v>
      </c>
      <c r="B8418" s="18">
        <v>34.829836999999998</v>
      </c>
      <c r="C8418" s="18">
        <v>684968.47</v>
      </c>
      <c r="D8418" s="18">
        <v>2743903.18</v>
      </c>
      <c r="E8418" s="18">
        <v>254.72</v>
      </c>
      <c r="F8418" s="18">
        <v>41864.47</v>
      </c>
      <c r="G8418" s="18">
        <v>101724</v>
      </c>
      <c r="H8418" s="18">
        <f t="shared" si="186"/>
        <v>41854.47</v>
      </c>
      <c r="I8418" s="3"/>
    </row>
    <row r="8419" spans="1:9" s="4" customFormat="1" ht="19.5" customHeight="1" x14ac:dyDescent="0.55000000000000004">
      <c r="A8419" s="18">
        <v>24.798770600000001</v>
      </c>
      <c r="B8419" s="18">
        <v>34.829819399999998</v>
      </c>
      <c r="C8419" s="18">
        <v>684966.66</v>
      </c>
      <c r="D8419" s="18">
        <v>2743905.31</v>
      </c>
      <c r="E8419" s="18">
        <v>254.76</v>
      </c>
      <c r="F8419" s="18">
        <v>41869.050000000003</v>
      </c>
      <c r="G8419" s="18">
        <v>101726</v>
      </c>
      <c r="H8419" s="18">
        <f t="shared" si="186"/>
        <v>41859.050000000003</v>
      </c>
      <c r="I8419" s="3"/>
    </row>
    <row r="8420" spans="1:9" s="4" customFormat="1" ht="19.5" customHeight="1" x14ac:dyDescent="0.55000000000000004">
      <c r="A8420" s="18">
        <v>24.7987933</v>
      </c>
      <c r="B8420" s="18">
        <v>34.829809900000001</v>
      </c>
      <c r="C8420" s="18">
        <v>684965.68</v>
      </c>
      <c r="D8420" s="18">
        <v>2743907.81</v>
      </c>
      <c r="E8420" s="18">
        <v>254.93</v>
      </c>
      <c r="F8420" s="18">
        <v>41871.03</v>
      </c>
      <c r="G8420" s="18">
        <v>101728</v>
      </c>
      <c r="H8420" s="18">
        <f t="shared" si="186"/>
        <v>41861.03</v>
      </c>
      <c r="I8420" s="3"/>
    </row>
    <row r="8421" spans="1:9" s="4" customFormat="1" ht="19.5" customHeight="1" x14ac:dyDescent="0.55000000000000004">
      <c r="A8421" s="18">
        <v>24.7988155</v>
      </c>
      <c r="B8421" s="18">
        <v>34.829801500000002</v>
      </c>
      <c r="C8421" s="18">
        <v>684964.79</v>
      </c>
      <c r="D8421" s="18">
        <v>2743910.26</v>
      </c>
      <c r="E8421" s="18">
        <v>255.02</v>
      </c>
      <c r="F8421" s="18">
        <v>41871.269999999997</v>
      </c>
      <c r="G8421" s="18">
        <v>101730</v>
      </c>
      <c r="H8421" s="18">
        <f t="shared" si="186"/>
        <v>41861.269999999997</v>
      </c>
      <c r="I8421" s="3"/>
    </row>
    <row r="8422" spans="1:9" s="4" customFormat="1" ht="19.5" customHeight="1" x14ac:dyDescent="0.55000000000000004">
      <c r="A8422" s="18">
        <v>24.7988395</v>
      </c>
      <c r="B8422" s="18">
        <v>34.829798099999998</v>
      </c>
      <c r="C8422" s="18">
        <v>684964.41</v>
      </c>
      <c r="D8422" s="18">
        <v>2743912.92</v>
      </c>
      <c r="E8422" s="18">
        <v>255.01</v>
      </c>
      <c r="F8422" s="18">
        <v>41871.35</v>
      </c>
      <c r="G8422" s="18">
        <v>101732</v>
      </c>
      <c r="H8422" s="18">
        <f t="shared" si="186"/>
        <v>41861.35</v>
      </c>
      <c r="I8422" s="3"/>
    </row>
    <row r="8423" spans="1:9" s="4" customFormat="1" ht="19.5" customHeight="1" x14ac:dyDescent="0.55000000000000004">
      <c r="A8423" s="18">
        <v>24.798863300000001</v>
      </c>
      <c r="B8423" s="18">
        <v>34.829790299999999</v>
      </c>
      <c r="C8423" s="18">
        <v>684963.59</v>
      </c>
      <c r="D8423" s="18">
        <v>2743915.55</v>
      </c>
      <c r="E8423" s="18">
        <v>255.05</v>
      </c>
      <c r="F8423" s="18">
        <v>41872.089999999997</v>
      </c>
      <c r="G8423" s="18">
        <v>101734</v>
      </c>
      <c r="H8423" s="18">
        <f t="shared" si="186"/>
        <v>41862.089999999997</v>
      </c>
      <c r="I8423" s="3"/>
    </row>
    <row r="8424" spans="1:9" s="4" customFormat="1" ht="19.5" customHeight="1" x14ac:dyDescent="0.55000000000000004">
      <c r="A8424" s="18">
        <v>24.798888399999999</v>
      </c>
      <c r="B8424" s="18">
        <v>34.829786900000002</v>
      </c>
      <c r="C8424" s="18">
        <v>684963.2</v>
      </c>
      <c r="D8424" s="18">
        <v>2743918.31</v>
      </c>
      <c r="E8424" s="18">
        <v>255.14</v>
      </c>
      <c r="F8424" s="18">
        <v>41871.279999999999</v>
      </c>
      <c r="G8424" s="18">
        <v>101736</v>
      </c>
      <c r="H8424" s="18">
        <f t="shared" si="186"/>
        <v>41861.279999999999</v>
      </c>
      <c r="I8424" s="3"/>
    </row>
    <row r="8425" spans="1:9" s="4" customFormat="1" ht="19.5" customHeight="1" x14ac:dyDescent="0.55000000000000004">
      <c r="A8425" s="18">
        <v>24.798913200000001</v>
      </c>
      <c r="B8425" s="18">
        <v>34.829785000000001</v>
      </c>
      <c r="C8425" s="18">
        <v>684962.98</v>
      </c>
      <c r="D8425" s="18">
        <v>2743921.07</v>
      </c>
      <c r="E8425" s="18">
        <v>255.18</v>
      </c>
      <c r="F8425" s="18">
        <v>41871.9</v>
      </c>
      <c r="G8425" s="18">
        <v>101738</v>
      </c>
      <c r="H8425" s="18">
        <f t="shared" si="186"/>
        <v>41861.9</v>
      </c>
      <c r="I8425" s="3"/>
    </row>
    <row r="8426" spans="1:9" s="4" customFormat="1" ht="19.5" customHeight="1" x14ac:dyDescent="0.55000000000000004">
      <c r="A8426" s="18">
        <v>24.798937200000001</v>
      </c>
      <c r="B8426" s="18">
        <v>34.8297861</v>
      </c>
      <c r="C8426" s="18">
        <v>684963.05</v>
      </c>
      <c r="D8426" s="18">
        <v>2743923.72</v>
      </c>
      <c r="E8426" s="18">
        <v>255.18</v>
      </c>
      <c r="F8426" s="18">
        <v>41872.69</v>
      </c>
      <c r="G8426" s="18">
        <v>101740</v>
      </c>
      <c r="H8426" s="18">
        <f t="shared" si="186"/>
        <v>41862.69</v>
      </c>
      <c r="I8426" s="3"/>
    </row>
    <row r="8427" spans="1:9" s="4" customFormat="1" ht="19.5" customHeight="1" x14ac:dyDescent="0.55000000000000004">
      <c r="A8427" s="18">
        <v>24.798962499999998</v>
      </c>
      <c r="B8427" s="18">
        <v>34.829788499999999</v>
      </c>
      <c r="C8427" s="18">
        <v>684963.26</v>
      </c>
      <c r="D8427" s="18">
        <v>2743926.53</v>
      </c>
      <c r="E8427" s="18">
        <v>255.19</v>
      </c>
      <c r="F8427" s="18">
        <v>41871.65</v>
      </c>
      <c r="G8427" s="18">
        <v>101742</v>
      </c>
      <c r="H8427" s="18">
        <f t="shared" si="186"/>
        <v>41861.65</v>
      </c>
      <c r="I8427" s="3"/>
    </row>
    <row r="8428" spans="1:9" s="4" customFormat="1" ht="19.5" customHeight="1" x14ac:dyDescent="0.55000000000000004">
      <c r="A8428" s="18">
        <v>24.798986500000002</v>
      </c>
      <c r="B8428" s="18">
        <v>34.829792599999998</v>
      </c>
      <c r="C8428" s="18">
        <v>684963.63</v>
      </c>
      <c r="D8428" s="18">
        <v>2743929.19</v>
      </c>
      <c r="E8428" s="18">
        <v>255.23</v>
      </c>
      <c r="F8428" s="18">
        <v>41871.96</v>
      </c>
      <c r="G8428" s="18">
        <v>101744</v>
      </c>
      <c r="H8428" s="18">
        <f t="shared" si="186"/>
        <v>41861.96</v>
      </c>
      <c r="I8428" s="3"/>
    </row>
    <row r="8429" spans="1:9" s="4" customFormat="1" ht="19.5" customHeight="1" x14ac:dyDescent="0.55000000000000004">
      <c r="A8429" s="18">
        <v>24.799009600000002</v>
      </c>
      <c r="B8429" s="18">
        <v>34.8297995</v>
      </c>
      <c r="C8429" s="18">
        <v>684964.3</v>
      </c>
      <c r="D8429" s="18">
        <v>2743931.76</v>
      </c>
      <c r="E8429" s="18">
        <v>255.23</v>
      </c>
      <c r="F8429" s="18">
        <v>41871.65</v>
      </c>
      <c r="G8429" s="18">
        <v>101746</v>
      </c>
      <c r="H8429" s="18">
        <f t="shared" si="186"/>
        <v>41861.65</v>
      </c>
      <c r="I8429" s="3"/>
    </row>
    <row r="8430" spans="1:9" s="4" customFormat="1" ht="19.5" customHeight="1" x14ac:dyDescent="0.55000000000000004">
      <c r="A8430" s="18">
        <v>24.7990332</v>
      </c>
      <c r="B8430" s="18">
        <v>34.829807600000002</v>
      </c>
      <c r="C8430" s="18">
        <v>684965.08</v>
      </c>
      <c r="D8430" s="18">
        <v>2743934.39</v>
      </c>
      <c r="E8430" s="18">
        <v>255.18</v>
      </c>
      <c r="F8430" s="18">
        <v>41872.14</v>
      </c>
      <c r="G8430" s="18">
        <v>101748</v>
      </c>
      <c r="H8430" s="18">
        <f t="shared" si="186"/>
        <v>41862.14</v>
      </c>
      <c r="I8430" s="3"/>
    </row>
    <row r="8431" spans="1:9" s="4" customFormat="1" ht="19.5" customHeight="1" x14ac:dyDescent="0.55000000000000004">
      <c r="A8431" s="18">
        <v>24.7990557</v>
      </c>
      <c r="B8431" s="18">
        <v>34.8298135</v>
      </c>
      <c r="C8431" s="18">
        <v>684965.65</v>
      </c>
      <c r="D8431" s="18">
        <v>2743936.88</v>
      </c>
      <c r="E8431" s="18">
        <v>255.24</v>
      </c>
      <c r="F8431" s="18">
        <v>41871.57</v>
      </c>
      <c r="G8431" s="18">
        <v>101750</v>
      </c>
      <c r="H8431" s="18">
        <f t="shared" si="186"/>
        <v>41861.57</v>
      </c>
      <c r="I8431" s="3"/>
    </row>
    <row r="8432" spans="1:9" s="4" customFormat="1" ht="19.5" customHeight="1" x14ac:dyDescent="0.55000000000000004">
      <c r="A8432" s="18">
        <v>24.799078399999999</v>
      </c>
      <c r="B8432" s="18">
        <v>34.829818000000003</v>
      </c>
      <c r="C8432" s="18">
        <v>684966.07</v>
      </c>
      <c r="D8432" s="18">
        <v>2743939.4</v>
      </c>
      <c r="E8432" s="18">
        <v>255.3</v>
      </c>
      <c r="F8432" s="18">
        <v>41871.040000000001</v>
      </c>
      <c r="G8432" s="18">
        <v>101752</v>
      </c>
      <c r="H8432" s="18">
        <f t="shared" si="186"/>
        <v>41861.040000000001</v>
      </c>
      <c r="I8432" s="3"/>
    </row>
    <row r="8433" spans="1:9" s="4" customFormat="1" ht="19.5" customHeight="1" x14ac:dyDescent="0.55000000000000004">
      <c r="A8433" s="18">
        <v>24.7991013</v>
      </c>
      <c r="B8433" s="18">
        <v>34.829822399999998</v>
      </c>
      <c r="C8433" s="18">
        <v>684966.47</v>
      </c>
      <c r="D8433" s="18">
        <v>2743941.95</v>
      </c>
      <c r="E8433" s="18">
        <v>255.27</v>
      </c>
      <c r="F8433" s="18">
        <v>41872.620000000003</v>
      </c>
      <c r="G8433" s="18">
        <v>101754</v>
      </c>
      <c r="H8433" s="18">
        <f t="shared" si="186"/>
        <v>41862.620000000003</v>
      </c>
      <c r="I8433" s="3"/>
    </row>
    <row r="8434" spans="1:9" s="4" customFormat="1" ht="19.5" customHeight="1" x14ac:dyDescent="0.55000000000000004">
      <c r="A8434" s="18">
        <v>24.799123900000001</v>
      </c>
      <c r="B8434" s="18">
        <v>34.829831300000002</v>
      </c>
      <c r="C8434" s="18">
        <v>684967.35</v>
      </c>
      <c r="D8434" s="18">
        <v>2743944.46</v>
      </c>
      <c r="E8434" s="18">
        <v>255.3</v>
      </c>
      <c r="F8434" s="18">
        <v>41873.1</v>
      </c>
      <c r="G8434" s="18">
        <v>101756</v>
      </c>
      <c r="H8434" s="18">
        <f t="shared" ref="H8434:H8497" si="187">SUM(F8434-10)</f>
        <v>41863.1</v>
      </c>
      <c r="I8434" s="3"/>
    </row>
    <row r="8435" spans="1:9" s="4" customFormat="1" ht="19.5" customHeight="1" x14ac:dyDescent="0.55000000000000004">
      <c r="A8435" s="18">
        <v>24.799146100000002</v>
      </c>
      <c r="B8435" s="18">
        <v>34.829837699999999</v>
      </c>
      <c r="C8435" s="18">
        <v>684967.96</v>
      </c>
      <c r="D8435" s="18">
        <v>2743946.94</v>
      </c>
      <c r="E8435" s="18">
        <v>255.39</v>
      </c>
      <c r="F8435" s="18">
        <v>41872.26</v>
      </c>
      <c r="G8435" s="18">
        <v>101758</v>
      </c>
      <c r="H8435" s="18">
        <f t="shared" si="187"/>
        <v>41862.26</v>
      </c>
      <c r="I8435" s="3"/>
    </row>
    <row r="8436" spans="1:9" s="4" customFormat="1" ht="19.5" customHeight="1" x14ac:dyDescent="0.55000000000000004">
      <c r="A8436" s="18">
        <v>24.7991688</v>
      </c>
      <c r="B8436" s="18">
        <v>34.829845200000001</v>
      </c>
      <c r="C8436" s="18">
        <v>684968.68</v>
      </c>
      <c r="D8436" s="18">
        <v>2743949.46</v>
      </c>
      <c r="E8436" s="18">
        <v>255.43</v>
      </c>
      <c r="F8436" s="18">
        <v>41872.51</v>
      </c>
      <c r="G8436" s="18">
        <v>101800</v>
      </c>
      <c r="H8436" s="18">
        <f t="shared" si="187"/>
        <v>41862.51</v>
      </c>
      <c r="I8436" s="3"/>
    </row>
    <row r="8437" spans="1:9" s="4" customFormat="1" ht="19.5" customHeight="1" x14ac:dyDescent="0.55000000000000004">
      <c r="A8437" s="18">
        <v>24.799188999999998</v>
      </c>
      <c r="B8437" s="18">
        <v>34.829857400000002</v>
      </c>
      <c r="C8437" s="18">
        <v>684969.88</v>
      </c>
      <c r="D8437" s="18">
        <v>2743951.71</v>
      </c>
      <c r="E8437" s="18">
        <v>255.52</v>
      </c>
      <c r="F8437" s="18">
        <v>41871.89</v>
      </c>
      <c r="G8437" s="18">
        <v>101802</v>
      </c>
      <c r="H8437" s="18">
        <f t="shared" si="187"/>
        <v>41861.89</v>
      </c>
      <c r="I8437" s="3"/>
    </row>
    <row r="8438" spans="1:9" s="4" customFormat="1" ht="19.5" customHeight="1" x14ac:dyDescent="0.55000000000000004">
      <c r="A8438" s="18">
        <v>24.799211799999998</v>
      </c>
      <c r="B8438" s="18">
        <v>34.829865400000003</v>
      </c>
      <c r="C8438" s="18">
        <v>684970.66</v>
      </c>
      <c r="D8438" s="18">
        <v>2743954.24</v>
      </c>
      <c r="E8438" s="18">
        <v>255.55</v>
      </c>
      <c r="F8438" s="18">
        <v>41872.080000000002</v>
      </c>
      <c r="G8438" s="18">
        <v>101804</v>
      </c>
      <c r="H8438" s="18">
        <f t="shared" si="187"/>
        <v>41862.080000000002</v>
      </c>
      <c r="I8438" s="3"/>
    </row>
    <row r="8439" spans="1:9" s="4" customFormat="1" ht="19.5" customHeight="1" x14ac:dyDescent="0.55000000000000004">
      <c r="A8439" s="18">
        <v>24.799235400000001</v>
      </c>
      <c r="B8439" s="18">
        <v>34.829871900000001</v>
      </c>
      <c r="C8439" s="18">
        <v>684971.28</v>
      </c>
      <c r="D8439" s="18">
        <v>2743956.87</v>
      </c>
      <c r="E8439" s="18">
        <v>255.79</v>
      </c>
      <c r="F8439" s="18">
        <v>41871.910000000003</v>
      </c>
      <c r="G8439" s="18">
        <v>101806</v>
      </c>
      <c r="H8439" s="18">
        <f t="shared" si="187"/>
        <v>41861.910000000003</v>
      </c>
      <c r="I8439" s="3"/>
    </row>
    <row r="8440" spans="1:9" s="4" customFormat="1" ht="19.5" customHeight="1" x14ac:dyDescent="0.55000000000000004">
      <c r="A8440" s="18">
        <v>24.7992554</v>
      </c>
      <c r="B8440" s="18">
        <v>34.829876200000001</v>
      </c>
      <c r="C8440" s="18">
        <v>684971.69</v>
      </c>
      <c r="D8440" s="18">
        <v>2743959.09</v>
      </c>
      <c r="E8440" s="18">
        <v>255.4</v>
      </c>
      <c r="F8440" s="18">
        <v>41872.26</v>
      </c>
      <c r="G8440" s="18">
        <v>101808</v>
      </c>
      <c r="H8440" s="18">
        <f t="shared" si="187"/>
        <v>41862.26</v>
      </c>
      <c r="I8440" s="3"/>
    </row>
    <row r="8441" spans="1:9" s="4" customFormat="1" ht="19.5" customHeight="1" x14ac:dyDescent="0.55000000000000004">
      <c r="A8441" s="18">
        <v>24.7992779</v>
      </c>
      <c r="B8441" s="18">
        <v>34.829882499999997</v>
      </c>
      <c r="C8441" s="18">
        <v>684972.3</v>
      </c>
      <c r="D8441" s="18">
        <v>2743961.6000000001</v>
      </c>
      <c r="E8441" s="18">
        <v>255.37</v>
      </c>
      <c r="F8441" s="18">
        <v>41872.21</v>
      </c>
      <c r="G8441" s="18">
        <v>101810</v>
      </c>
      <c r="H8441" s="18">
        <f t="shared" si="187"/>
        <v>41862.21</v>
      </c>
      <c r="I8441" s="3"/>
    </row>
    <row r="8442" spans="1:9" s="4" customFormat="1" ht="19.5" customHeight="1" x14ac:dyDescent="0.55000000000000004">
      <c r="A8442" s="18">
        <v>24.799303099999999</v>
      </c>
      <c r="B8442" s="18">
        <v>34.829890499999998</v>
      </c>
      <c r="C8442" s="18">
        <v>684973.06</v>
      </c>
      <c r="D8442" s="18">
        <v>2743964.4</v>
      </c>
      <c r="E8442" s="18">
        <v>255.8</v>
      </c>
      <c r="F8442" s="18">
        <v>41871.769999999997</v>
      </c>
      <c r="G8442" s="18">
        <v>101812</v>
      </c>
      <c r="H8442" s="18">
        <f t="shared" si="187"/>
        <v>41861.769999999997</v>
      </c>
      <c r="I8442" s="3"/>
    </row>
    <row r="8443" spans="1:9" s="4" customFormat="1" ht="19.5" customHeight="1" x14ac:dyDescent="0.55000000000000004">
      <c r="A8443" s="18">
        <v>24.799327900000002</v>
      </c>
      <c r="B8443" s="18">
        <v>34.829895800000003</v>
      </c>
      <c r="C8443" s="18">
        <v>684973.56</v>
      </c>
      <c r="D8443" s="18">
        <v>2743967.15</v>
      </c>
      <c r="E8443" s="18">
        <v>256.10000000000002</v>
      </c>
      <c r="F8443" s="18">
        <v>41871.56</v>
      </c>
      <c r="G8443" s="18">
        <v>101814</v>
      </c>
      <c r="H8443" s="18">
        <f t="shared" si="187"/>
        <v>41861.56</v>
      </c>
      <c r="I8443" s="3"/>
    </row>
    <row r="8444" spans="1:9" s="4" customFormat="1" ht="19.5" customHeight="1" x14ac:dyDescent="0.55000000000000004">
      <c r="A8444" s="18">
        <v>24.7993527</v>
      </c>
      <c r="B8444" s="18">
        <v>34.829900500000001</v>
      </c>
      <c r="C8444" s="18">
        <v>684974</v>
      </c>
      <c r="D8444" s="18">
        <v>2743969.9</v>
      </c>
      <c r="E8444" s="18">
        <v>256.18</v>
      </c>
      <c r="F8444" s="18">
        <v>41870.79</v>
      </c>
      <c r="G8444" s="18">
        <v>101816</v>
      </c>
      <c r="H8444" s="18">
        <f t="shared" si="187"/>
        <v>41860.79</v>
      </c>
      <c r="I8444" s="3"/>
    </row>
    <row r="8445" spans="1:9" s="4" customFormat="1" ht="19.5" customHeight="1" x14ac:dyDescent="0.55000000000000004">
      <c r="A8445" s="18">
        <v>24.799373899999999</v>
      </c>
      <c r="B8445" s="18">
        <v>34.829910099999999</v>
      </c>
      <c r="C8445" s="18">
        <v>684974.95</v>
      </c>
      <c r="D8445" s="18">
        <v>2743972.26</v>
      </c>
      <c r="E8445" s="18">
        <v>255.92</v>
      </c>
      <c r="F8445" s="18">
        <v>41869.51</v>
      </c>
      <c r="G8445" s="18">
        <v>101818</v>
      </c>
      <c r="H8445" s="18">
        <f t="shared" si="187"/>
        <v>41859.51</v>
      </c>
      <c r="I8445" s="3"/>
    </row>
    <row r="8446" spans="1:9" s="4" customFormat="1" ht="19.5" customHeight="1" x14ac:dyDescent="0.55000000000000004">
      <c r="A8446" s="18">
        <v>24.799396699999999</v>
      </c>
      <c r="B8446" s="18">
        <v>34.829918200000002</v>
      </c>
      <c r="C8446" s="18">
        <v>684975.72</v>
      </c>
      <c r="D8446" s="18">
        <v>2743974.79</v>
      </c>
      <c r="E8446" s="18">
        <v>255.85</v>
      </c>
      <c r="F8446" s="18">
        <v>41870.28</v>
      </c>
      <c r="G8446" s="18">
        <v>101820</v>
      </c>
      <c r="H8446" s="18">
        <f t="shared" si="187"/>
        <v>41860.28</v>
      </c>
      <c r="I8446" s="3"/>
    </row>
    <row r="8447" spans="1:9" s="4" customFormat="1" ht="19.5" customHeight="1" x14ac:dyDescent="0.55000000000000004">
      <c r="A8447" s="18">
        <v>24.799420600000001</v>
      </c>
      <c r="B8447" s="18">
        <v>34.829923200000003</v>
      </c>
      <c r="C8447" s="18">
        <v>684976.2</v>
      </c>
      <c r="D8447" s="18">
        <v>2743977.45</v>
      </c>
      <c r="E8447" s="18">
        <v>255.87</v>
      </c>
      <c r="F8447" s="18">
        <v>41871.85</v>
      </c>
      <c r="G8447" s="18">
        <v>101822</v>
      </c>
      <c r="H8447" s="18">
        <f t="shared" si="187"/>
        <v>41861.85</v>
      </c>
      <c r="I8447" s="3"/>
    </row>
    <row r="8448" spans="1:9" s="4" customFormat="1" ht="19.5" customHeight="1" x14ac:dyDescent="0.55000000000000004">
      <c r="A8448" s="18">
        <v>24.7994451</v>
      </c>
      <c r="B8448" s="18">
        <v>34.829928899999999</v>
      </c>
      <c r="C8448" s="18">
        <v>684976.74</v>
      </c>
      <c r="D8448" s="18">
        <v>2743980.17</v>
      </c>
      <c r="E8448" s="18">
        <v>255.91</v>
      </c>
      <c r="F8448" s="18">
        <v>41871.68</v>
      </c>
      <c r="G8448" s="18">
        <v>101824</v>
      </c>
      <c r="H8448" s="18">
        <f t="shared" si="187"/>
        <v>41861.68</v>
      </c>
      <c r="I8448" s="3"/>
    </row>
    <row r="8449" spans="1:9" s="4" customFormat="1" ht="19.5" customHeight="1" x14ac:dyDescent="0.55000000000000004">
      <c r="A8449" s="18">
        <v>24.799469299999998</v>
      </c>
      <c r="B8449" s="18">
        <v>34.829932100000001</v>
      </c>
      <c r="C8449" s="18">
        <v>684977.02</v>
      </c>
      <c r="D8449" s="18">
        <v>2743982.86</v>
      </c>
      <c r="E8449" s="18">
        <v>255.89</v>
      </c>
      <c r="F8449" s="18">
        <v>41871.68</v>
      </c>
      <c r="G8449" s="18">
        <v>101826</v>
      </c>
      <c r="H8449" s="18">
        <f t="shared" si="187"/>
        <v>41861.68</v>
      </c>
      <c r="I8449" s="3"/>
    </row>
    <row r="8450" spans="1:9" s="4" customFormat="1" ht="19.5" customHeight="1" x14ac:dyDescent="0.55000000000000004">
      <c r="A8450" s="18">
        <v>24.799492900000001</v>
      </c>
      <c r="B8450" s="18">
        <v>34.829935999999996</v>
      </c>
      <c r="C8450" s="18">
        <v>684977.39</v>
      </c>
      <c r="D8450" s="18">
        <v>2743985.48</v>
      </c>
      <c r="E8450" s="18">
        <v>255.94</v>
      </c>
      <c r="F8450" s="18">
        <v>41871.589999999997</v>
      </c>
      <c r="G8450" s="18">
        <v>101828</v>
      </c>
      <c r="H8450" s="18">
        <f t="shared" si="187"/>
        <v>41861.589999999997</v>
      </c>
      <c r="I8450" s="3"/>
    </row>
    <row r="8451" spans="1:9" s="4" customFormat="1" ht="19.5" customHeight="1" x14ac:dyDescent="0.55000000000000004">
      <c r="A8451" s="18">
        <v>24.7995172</v>
      </c>
      <c r="B8451" s="18">
        <v>34.829938800000001</v>
      </c>
      <c r="C8451" s="18">
        <v>684977.63</v>
      </c>
      <c r="D8451" s="18">
        <v>2743988.17</v>
      </c>
      <c r="E8451" s="18">
        <v>256.02999999999997</v>
      </c>
      <c r="F8451" s="18">
        <v>41871.58</v>
      </c>
      <c r="G8451" s="18">
        <v>101830</v>
      </c>
      <c r="H8451" s="18">
        <f t="shared" si="187"/>
        <v>41861.58</v>
      </c>
      <c r="I8451" s="3"/>
    </row>
    <row r="8452" spans="1:9" s="4" customFormat="1" ht="19.5" customHeight="1" x14ac:dyDescent="0.55000000000000004">
      <c r="A8452" s="18">
        <v>24.799541399999999</v>
      </c>
      <c r="B8452" s="18">
        <v>34.829940200000003</v>
      </c>
      <c r="C8452" s="18">
        <v>684977.73</v>
      </c>
      <c r="D8452" s="18">
        <v>2743990.85</v>
      </c>
      <c r="E8452" s="18">
        <v>256.12</v>
      </c>
      <c r="F8452" s="18">
        <v>41872.28</v>
      </c>
      <c r="G8452" s="18">
        <v>101832</v>
      </c>
      <c r="H8452" s="18">
        <f t="shared" si="187"/>
        <v>41862.28</v>
      </c>
      <c r="I8452" s="3"/>
    </row>
    <row r="8453" spans="1:9" s="4" customFormat="1" ht="19.5" customHeight="1" x14ac:dyDescent="0.55000000000000004">
      <c r="A8453" s="18">
        <v>24.799565099999999</v>
      </c>
      <c r="B8453" s="18">
        <v>34.829945500000001</v>
      </c>
      <c r="C8453" s="18">
        <v>684978.24</v>
      </c>
      <c r="D8453" s="18">
        <v>2743993.49</v>
      </c>
      <c r="E8453" s="18">
        <v>256.16000000000003</v>
      </c>
      <c r="F8453" s="18">
        <v>41872.49</v>
      </c>
      <c r="G8453" s="18">
        <v>101834</v>
      </c>
      <c r="H8453" s="18">
        <f t="shared" si="187"/>
        <v>41862.49</v>
      </c>
      <c r="I8453" s="3"/>
    </row>
    <row r="8454" spans="1:9" s="4" customFormat="1" ht="19.5" customHeight="1" x14ac:dyDescent="0.55000000000000004">
      <c r="A8454" s="18">
        <v>24.7995886</v>
      </c>
      <c r="B8454" s="18">
        <v>34.829949900000003</v>
      </c>
      <c r="C8454" s="18">
        <v>684978.64</v>
      </c>
      <c r="D8454" s="18">
        <v>2743996.09</v>
      </c>
      <c r="E8454" s="18">
        <v>256.22000000000003</v>
      </c>
      <c r="F8454" s="18">
        <v>41872.699999999997</v>
      </c>
      <c r="G8454" s="18">
        <v>101836</v>
      </c>
      <c r="H8454" s="18">
        <f t="shared" si="187"/>
        <v>41862.699999999997</v>
      </c>
      <c r="I8454" s="3"/>
    </row>
    <row r="8455" spans="1:9" s="4" customFormat="1" ht="19.5" customHeight="1" x14ac:dyDescent="0.55000000000000004">
      <c r="A8455" s="18">
        <v>24.799613399999998</v>
      </c>
      <c r="B8455" s="18">
        <v>34.829953500000002</v>
      </c>
      <c r="C8455" s="18">
        <v>684978.97</v>
      </c>
      <c r="D8455" s="18">
        <v>2743998.85</v>
      </c>
      <c r="E8455" s="18">
        <v>256.27</v>
      </c>
      <c r="F8455" s="18">
        <v>41873.129999999997</v>
      </c>
      <c r="G8455" s="18">
        <v>101838</v>
      </c>
      <c r="H8455" s="18">
        <f t="shared" si="187"/>
        <v>41863.129999999997</v>
      </c>
      <c r="I8455" s="3"/>
    </row>
    <row r="8456" spans="1:9" s="4" customFormat="1" ht="19.5" customHeight="1" x14ac:dyDescent="0.55000000000000004">
      <c r="A8456" s="18">
        <v>24.799637499999999</v>
      </c>
      <c r="B8456" s="18">
        <v>34.829959199999998</v>
      </c>
      <c r="C8456" s="18">
        <v>684979.51</v>
      </c>
      <c r="D8456" s="18">
        <v>2744001.53</v>
      </c>
      <c r="E8456" s="18">
        <v>256.29000000000002</v>
      </c>
      <c r="F8456" s="18">
        <v>41872.699999999997</v>
      </c>
      <c r="G8456" s="18">
        <v>101840</v>
      </c>
      <c r="H8456" s="18">
        <f t="shared" si="187"/>
        <v>41862.699999999997</v>
      </c>
      <c r="I8456" s="3"/>
    </row>
    <row r="8457" spans="1:9" s="4" customFormat="1" ht="19.5" customHeight="1" x14ac:dyDescent="0.55000000000000004">
      <c r="A8457" s="18">
        <v>24.799659699999999</v>
      </c>
      <c r="B8457" s="18">
        <v>34.829965899999998</v>
      </c>
      <c r="C8457" s="18">
        <v>684980.16</v>
      </c>
      <c r="D8457" s="18">
        <v>2744003.99</v>
      </c>
      <c r="E8457" s="18">
        <v>256.31</v>
      </c>
      <c r="F8457" s="18">
        <v>41875.93</v>
      </c>
      <c r="G8457" s="18">
        <v>101842</v>
      </c>
      <c r="H8457" s="18">
        <f t="shared" si="187"/>
        <v>41865.93</v>
      </c>
      <c r="I8457" s="3"/>
    </row>
    <row r="8458" spans="1:9" s="4" customFormat="1" ht="19.5" customHeight="1" x14ac:dyDescent="0.55000000000000004">
      <c r="A8458" s="18">
        <v>24.799682799999999</v>
      </c>
      <c r="B8458" s="18">
        <v>34.8299722</v>
      </c>
      <c r="C8458" s="18">
        <v>684980.76</v>
      </c>
      <c r="D8458" s="18">
        <v>2744006.56</v>
      </c>
      <c r="E8458" s="18">
        <v>256.38</v>
      </c>
      <c r="F8458" s="18">
        <v>41873.24</v>
      </c>
      <c r="G8458" s="18">
        <v>101844</v>
      </c>
      <c r="H8458" s="18">
        <f t="shared" si="187"/>
        <v>41863.24</v>
      </c>
      <c r="I8458" s="3"/>
    </row>
    <row r="8459" spans="1:9" s="4" customFormat="1" ht="19.5" customHeight="1" x14ac:dyDescent="0.55000000000000004">
      <c r="A8459" s="18">
        <v>24.799705299999999</v>
      </c>
      <c r="B8459" s="18">
        <v>34.829978400000002</v>
      </c>
      <c r="C8459" s="18">
        <v>684981.36</v>
      </c>
      <c r="D8459" s="18">
        <v>2744009.06</v>
      </c>
      <c r="E8459" s="18">
        <v>256.36</v>
      </c>
      <c r="F8459" s="18">
        <v>41874.879999999997</v>
      </c>
      <c r="G8459" s="18">
        <v>101846</v>
      </c>
      <c r="H8459" s="18">
        <f t="shared" si="187"/>
        <v>41864.879999999997</v>
      </c>
      <c r="I8459" s="3"/>
    </row>
    <row r="8460" spans="1:9" s="4" customFormat="1" ht="19.5" customHeight="1" x14ac:dyDescent="0.55000000000000004">
      <c r="A8460" s="18">
        <v>24.799728399999999</v>
      </c>
      <c r="B8460" s="18">
        <v>34.829987000000003</v>
      </c>
      <c r="C8460" s="18">
        <v>684982.19</v>
      </c>
      <c r="D8460" s="18">
        <v>2744011.63</v>
      </c>
      <c r="E8460" s="18">
        <v>256.39</v>
      </c>
      <c r="F8460" s="18">
        <v>41871.72</v>
      </c>
      <c r="G8460" s="18">
        <v>101848</v>
      </c>
      <c r="H8460" s="18">
        <f t="shared" si="187"/>
        <v>41861.72</v>
      </c>
      <c r="I8460" s="3"/>
    </row>
    <row r="8461" spans="1:9" s="4" customFormat="1" ht="19.5" customHeight="1" x14ac:dyDescent="0.55000000000000004">
      <c r="A8461" s="18">
        <v>24.799751499999999</v>
      </c>
      <c r="B8461" s="18">
        <v>34.8299953</v>
      </c>
      <c r="C8461" s="18">
        <v>684982.99</v>
      </c>
      <c r="D8461" s="18">
        <v>2744014.2</v>
      </c>
      <c r="E8461" s="18">
        <v>256.47000000000003</v>
      </c>
      <c r="F8461" s="18">
        <v>41871.269999999997</v>
      </c>
      <c r="G8461" s="18">
        <v>101850</v>
      </c>
      <c r="H8461" s="18">
        <f t="shared" si="187"/>
        <v>41861.269999999997</v>
      </c>
      <c r="I8461" s="3"/>
    </row>
    <row r="8462" spans="1:9" s="4" customFormat="1" ht="19.5" customHeight="1" x14ac:dyDescent="0.55000000000000004">
      <c r="A8462" s="18">
        <v>24.799774299999999</v>
      </c>
      <c r="B8462" s="18">
        <v>34.830005300000003</v>
      </c>
      <c r="C8462" s="18">
        <v>684983.97</v>
      </c>
      <c r="D8462" s="18">
        <v>2744016.73</v>
      </c>
      <c r="E8462" s="18">
        <v>256.47000000000003</v>
      </c>
      <c r="F8462" s="18">
        <v>41870.269999999997</v>
      </c>
      <c r="G8462" s="18">
        <v>101852</v>
      </c>
      <c r="H8462" s="18">
        <f t="shared" si="187"/>
        <v>41860.269999999997</v>
      </c>
      <c r="I8462" s="3"/>
    </row>
    <row r="8463" spans="1:9" s="4" customFormat="1" ht="19.5" customHeight="1" x14ac:dyDescent="0.55000000000000004">
      <c r="A8463" s="18">
        <v>24.799796799999999</v>
      </c>
      <c r="B8463" s="18">
        <v>34.8300141</v>
      </c>
      <c r="C8463" s="18">
        <v>684984.83</v>
      </c>
      <c r="D8463" s="18">
        <v>2744019.25</v>
      </c>
      <c r="E8463" s="18">
        <v>256.44</v>
      </c>
      <c r="F8463" s="18">
        <v>41870.769999999997</v>
      </c>
      <c r="G8463" s="18">
        <v>101854</v>
      </c>
      <c r="H8463" s="18">
        <f t="shared" si="187"/>
        <v>41860.769999999997</v>
      </c>
      <c r="I8463" s="3"/>
    </row>
    <row r="8464" spans="1:9" s="4" customFormat="1" ht="19.5" customHeight="1" x14ac:dyDescent="0.55000000000000004">
      <c r="A8464" s="18">
        <v>24.799817999999998</v>
      </c>
      <c r="B8464" s="18">
        <v>34.830024999999999</v>
      </c>
      <c r="C8464" s="18">
        <v>684985.89</v>
      </c>
      <c r="D8464" s="18">
        <v>2744021.61</v>
      </c>
      <c r="E8464" s="18">
        <v>256.5</v>
      </c>
      <c r="F8464" s="18">
        <v>41869.35</v>
      </c>
      <c r="G8464" s="18">
        <v>101856</v>
      </c>
      <c r="H8464" s="18">
        <f t="shared" si="187"/>
        <v>41859.35</v>
      </c>
      <c r="I8464" s="3"/>
    </row>
    <row r="8465" spans="1:9" s="4" customFormat="1" ht="19.5" customHeight="1" x14ac:dyDescent="0.55000000000000004">
      <c r="A8465" s="18">
        <v>24.799840499999998</v>
      </c>
      <c r="B8465" s="18">
        <v>34.830028800000001</v>
      </c>
      <c r="C8465" s="18">
        <v>684986.25</v>
      </c>
      <c r="D8465" s="18">
        <v>2744024.1</v>
      </c>
      <c r="E8465" s="18">
        <v>256.58999999999997</v>
      </c>
      <c r="F8465" s="18">
        <v>41866.92</v>
      </c>
      <c r="G8465" s="18">
        <v>101858</v>
      </c>
      <c r="H8465" s="18">
        <f t="shared" si="187"/>
        <v>41856.92</v>
      </c>
      <c r="I8465" s="3"/>
    </row>
    <row r="8466" spans="1:9" s="4" customFormat="1" ht="19.5" customHeight="1" x14ac:dyDescent="0.55000000000000004">
      <c r="A8466" s="18">
        <v>24.7998616</v>
      </c>
      <c r="B8466" s="18">
        <v>34.830025399999997</v>
      </c>
      <c r="C8466" s="18">
        <v>684985.87</v>
      </c>
      <c r="D8466" s="18">
        <v>2744026.43</v>
      </c>
      <c r="E8466" s="18">
        <v>256.67</v>
      </c>
      <c r="F8466" s="18">
        <v>41862.589999999997</v>
      </c>
      <c r="G8466" s="18">
        <v>101900</v>
      </c>
      <c r="H8466" s="18">
        <f t="shared" si="187"/>
        <v>41852.589999999997</v>
      </c>
      <c r="I8466" s="3"/>
    </row>
    <row r="8467" spans="1:9" s="4" customFormat="1" ht="19.5" customHeight="1" x14ac:dyDescent="0.55000000000000004">
      <c r="A8467" s="18">
        <v>24.7998832</v>
      </c>
      <c r="B8467" s="18">
        <v>34.830017400000003</v>
      </c>
      <c r="C8467" s="18">
        <v>684985.03</v>
      </c>
      <c r="D8467" s="18">
        <v>2744028.82</v>
      </c>
      <c r="E8467" s="18">
        <v>256.86</v>
      </c>
      <c r="F8467" s="18">
        <v>41861.33</v>
      </c>
      <c r="G8467" s="18">
        <v>101902</v>
      </c>
      <c r="H8467" s="18">
        <f t="shared" si="187"/>
        <v>41851.33</v>
      </c>
      <c r="I8467" s="3"/>
    </row>
    <row r="8468" spans="1:9" s="4" customFormat="1" ht="19.5" customHeight="1" x14ac:dyDescent="0.55000000000000004">
      <c r="A8468" s="18">
        <v>24.799906700000001</v>
      </c>
      <c r="B8468" s="18">
        <v>34.830012400000001</v>
      </c>
      <c r="C8468" s="18">
        <v>684984.49</v>
      </c>
      <c r="D8468" s="18">
        <v>2744031.41</v>
      </c>
      <c r="E8468" s="18">
        <v>256.94</v>
      </c>
      <c r="F8468" s="18">
        <v>41858.44</v>
      </c>
      <c r="G8468" s="18">
        <v>101904</v>
      </c>
      <c r="H8468" s="18">
        <f t="shared" si="187"/>
        <v>41848.44</v>
      </c>
      <c r="I8468" s="3"/>
    </row>
    <row r="8469" spans="1:9" s="4" customFormat="1" ht="19.5" customHeight="1" x14ac:dyDescent="0.55000000000000004">
      <c r="A8469" s="18">
        <v>24.799928699999999</v>
      </c>
      <c r="B8469" s="18">
        <v>34.830007899999998</v>
      </c>
      <c r="C8469" s="18">
        <v>684984.01</v>
      </c>
      <c r="D8469" s="18">
        <v>2744033.84</v>
      </c>
      <c r="E8469" s="18">
        <v>257.04000000000002</v>
      </c>
      <c r="F8469" s="18">
        <v>41857.230000000003</v>
      </c>
      <c r="G8469" s="18">
        <v>101906</v>
      </c>
      <c r="H8469" s="18">
        <f t="shared" si="187"/>
        <v>41847.230000000003</v>
      </c>
      <c r="I8469" s="3"/>
    </row>
    <row r="8470" spans="1:9" s="4" customFormat="1" ht="19.5" customHeight="1" x14ac:dyDescent="0.55000000000000004">
      <c r="A8470" s="18">
        <v>24.799951100000001</v>
      </c>
      <c r="B8470" s="18">
        <v>34.830002</v>
      </c>
      <c r="C8470" s="18">
        <v>684983.38</v>
      </c>
      <c r="D8470" s="18">
        <v>2744036.31</v>
      </c>
      <c r="E8470" s="18">
        <v>257.2</v>
      </c>
      <c r="F8470" s="18">
        <v>41857.85</v>
      </c>
      <c r="G8470" s="18">
        <v>101908</v>
      </c>
      <c r="H8470" s="18">
        <f t="shared" si="187"/>
        <v>41847.85</v>
      </c>
      <c r="I8470" s="3"/>
    </row>
    <row r="8471" spans="1:9" s="4" customFormat="1" ht="19.5" customHeight="1" x14ac:dyDescent="0.55000000000000004">
      <c r="A8471" s="18">
        <v>24.7999741</v>
      </c>
      <c r="B8471" s="18">
        <v>34.829997900000002</v>
      </c>
      <c r="C8471" s="18">
        <v>684982.93</v>
      </c>
      <c r="D8471" s="18">
        <v>2744038.86</v>
      </c>
      <c r="E8471" s="18">
        <v>257.23</v>
      </c>
      <c r="F8471" s="18">
        <v>41859.53</v>
      </c>
      <c r="G8471" s="18">
        <v>101910</v>
      </c>
      <c r="H8471" s="18">
        <f t="shared" si="187"/>
        <v>41849.53</v>
      </c>
      <c r="I8471" s="3"/>
    </row>
    <row r="8472" spans="1:9" s="4" customFormat="1" ht="19.5" customHeight="1" x14ac:dyDescent="0.55000000000000004">
      <c r="A8472" s="18">
        <v>24.799997600000001</v>
      </c>
      <c r="B8472" s="18">
        <v>34.829993600000002</v>
      </c>
      <c r="C8472" s="18">
        <v>684982.46</v>
      </c>
      <c r="D8472" s="18">
        <v>2744041.45</v>
      </c>
      <c r="E8472" s="18">
        <v>257.32</v>
      </c>
      <c r="F8472" s="18">
        <v>41864.22</v>
      </c>
      <c r="G8472" s="18">
        <v>101912</v>
      </c>
      <c r="H8472" s="18">
        <f t="shared" si="187"/>
        <v>41854.22</v>
      </c>
      <c r="I8472" s="3"/>
    </row>
    <row r="8473" spans="1:9" s="4" customFormat="1" ht="19.5" customHeight="1" x14ac:dyDescent="0.55000000000000004">
      <c r="A8473" s="18">
        <v>24.800021399999999</v>
      </c>
      <c r="B8473" s="18">
        <v>34.829989300000001</v>
      </c>
      <c r="C8473" s="18">
        <v>684981.99</v>
      </c>
      <c r="D8473" s="18">
        <v>2744044.09</v>
      </c>
      <c r="E8473" s="18">
        <v>257.45</v>
      </c>
      <c r="F8473" s="18">
        <v>41864.89</v>
      </c>
      <c r="G8473" s="18">
        <v>101914</v>
      </c>
      <c r="H8473" s="18">
        <f t="shared" si="187"/>
        <v>41854.89</v>
      </c>
      <c r="I8473" s="3"/>
    </row>
    <row r="8474" spans="1:9" s="4" customFormat="1" ht="19.5" customHeight="1" x14ac:dyDescent="0.55000000000000004">
      <c r="A8474" s="18">
        <v>24.800045000000001</v>
      </c>
      <c r="B8474" s="18">
        <v>34.829985600000001</v>
      </c>
      <c r="C8474" s="18">
        <v>684981.58</v>
      </c>
      <c r="D8474" s="18">
        <v>2744046.7</v>
      </c>
      <c r="E8474" s="18">
        <v>257.49</v>
      </c>
      <c r="F8474" s="18">
        <v>41866.120000000003</v>
      </c>
      <c r="G8474" s="18">
        <v>101916</v>
      </c>
      <c r="H8474" s="18">
        <f t="shared" si="187"/>
        <v>41856.120000000003</v>
      </c>
      <c r="I8474" s="3"/>
    </row>
    <row r="8475" spans="1:9" s="4" customFormat="1" ht="19.5" customHeight="1" x14ac:dyDescent="0.55000000000000004">
      <c r="A8475" s="18">
        <v>24.8000683</v>
      </c>
      <c r="B8475" s="18">
        <v>34.829979199999997</v>
      </c>
      <c r="C8475" s="18">
        <v>684980.9</v>
      </c>
      <c r="D8475" s="18">
        <v>2744049.26</v>
      </c>
      <c r="E8475" s="18">
        <v>257.52</v>
      </c>
      <c r="F8475" s="18">
        <v>41868.160000000003</v>
      </c>
      <c r="G8475" s="18">
        <v>101918</v>
      </c>
      <c r="H8475" s="18">
        <f t="shared" si="187"/>
        <v>41858.160000000003</v>
      </c>
      <c r="I8475" s="3"/>
    </row>
    <row r="8476" spans="1:9" s="4" customFormat="1" ht="19.5" customHeight="1" x14ac:dyDescent="0.55000000000000004">
      <c r="A8476" s="18">
        <v>24.800092100000001</v>
      </c>
      <c r="B8476" s="18">
        <v>34.829980200000001</v>
      </c>
      <c r="C8476" s="18">
        <v>684980.96</v>
      </c>
      <c r="D8476" s="18">
        <v>2744051.91</v>
      </c>
      <c r="E8476" s="18">
        <v>257.64</v>
      </c>
      <c r="F8476" s="18">
        <v>41869.07</v>
      </c>
      <c r="G8476" s="18">
        <v>101920</v>
      </c>
      <c r="H8476" s="18">
        <f t="shared" si="187"/>
        <v>41859.07</v>
      </c>
      <c r="I8476" s="3"/>
    </row>
    <row r="8477" spans="1:9" s="4" customFormat="1" ht="19.5" customHeight="1" x14ac:dyDescent="0.55000000000000004">
      <c r="A8477" s="18">
        <v>24.800114099999998</v>
      </c>
      <c r="B8477" s="18">
        <v>34.829984799999998</v>
      </c>
      <c r="C8477" s="18">
        <v>684981.39</v>
      </c>
      <c r="D8477" s="18">
        <v>2744054.35</v>
      </c>
      <c r="E8477" s="18">
        <v>257.7</v>
      </c>
      <c r="F8477" s="18">
        <v>41867.64</v>
      </c>
      <c r="G8477" s="18">
        <v>101922</v>
      </c>
      <c r="H8477" s="18">
        <f t="shared" si="187"/>
        <v>41857.64</v>
      </c>
      <c r="I8477" s="3"/>
    </row>
    <row r="8478" spans="1:9" s="4" customFormat="1" ht="19.5" customHeight="1" x14ac:dyDescent="0.55000000000000004">
      <c r="A8478" s="18">
        <v>24.800136800000001</v>
      </c>
      <c r="B8478" s="18">
        <v>34.829991800000002</v>
      </c>
      <c r="C8478" s="18">
        <v>684982.07</v>
      </c>
      <c r="D8478" s="18">
        <v>2744056.88</v>
      </c>
      <c r="E8478" s="18">
        <v>257.76</v>
      </c>
      <c r="F8478" s="18">
        <v>41869.32</v>
      </c>
      <c r="G8478" s="18">
        <v>101924</v>
      </c>
      <c r="H8478" s="18">
        <f t="shared" si="187"/>
        <v>41859.32</v>
      </c>
      <c r="I8478" s="3"/>
    </row>
    <row r="8479" spans="1:9" s="4" customFormat="1" ht="19.5" customHeight="1" x14ac:dyDescent="0.55000000000000004">
      <c r="A8479" s="18">
        <v>24.800159699999998</v>
      </c>
      <c r="B8479" s="18">
        <v>34.829997800000001</v>
      </c>
      <c r="C8479" s="18">
        <v>684982.64</v>
      </c>
      <c r="D8479" s="18">
        <v>2744059.42</v>
      </c>
      <c r="E8479" s="18">
        <v>257.88</v>
      </c>
      <c r="F8479" s="18">
        <v>41869.9</v>
      </c>
      <c r="G8479" s="18">
        <v>101926</v>
      </c>
      <c r="H8479" s="18">
        <f t="shared" si="187"/>
        <v>41859.9</v>
      </c>
      <c r="I8479" s="3"/>
    </row>
    <row r="8480" spans="1:9" s="4" customFormat="1" ht="19.5" customHeight="1" x14ac:dyDescent="0.55000000000000004">
      <c r="A8480" s="18">
        <v>24.800179700000001</v>
      </c>
      <c r="B8480" s="18">
        <v>34.830009599999997</v>
      </c>
      <c r="C8480" s="18">
        <v>684983.8</v>
      </c>
      <c r="D8480" s="18">
        <v>2744061.64</v>
      </c>
      <c r="E8480" s="18">
        <v>257.86</v>
      </c>
      <c r="F8480" s="18">
        <v>41871.769999999997</v>
      </c>
      <c r="G8480" s="18">
        <v>101928</v>
      </c>
      <c r="H8480" s="18">
        <f t="shared" si="187"/>
        <v>41861.769999999997</v>
      </c>
      <c r="I8480" s="3"/>
    </row>
    <row r="8481" spans="1:9" s="4" customFormat="1" ht="19.5" customHeight="1" x14ac:dyDescent="0.55000000000000004">
      <c r="A8481" s="18">
        <v>24.800197300000001</v>
      </c>
      <c r="B8481" s="18">
        <v>34.830027200000004</v>
      </c>
      <c r="C8481" s="18">
        <v>684985.56</v>
      </c>
      <c r="D8481" s="18">
        <v>2744063.62</v>
      </c>
      <c r="E8481" s="18">
        <v>257.89</v>
      </c>
      <c r="F8481" s="18">
        <v>41870.01</v>
      </c>
      <c r="G8481" s="18">
        <v>101930</v>
      </c>
      <c r="H8481" s="18">
        <f t="shared" si="187"/>
        <v>41860.01</v>
      </c>
      <c r="I8481" s="3"/>
    </row>
    <row r="8482" spans="1:9" s="4" customFormat="1" ht="19.5" customHeight="1" x14ac:dyDescent="0.55000000000000004">
      <c r="A8482" s="18">
        <v>24.800216599999999</v>
      </c>
      <c r="B8482" s="18">
        <v>34.830035600000002</v>
      </c>
      <c r="C8482" s="18">
        <v>684986.38</v>
      </c>
      <c r="D8482" s="18">
        <v>2744065.77</v>
      </c>
      <c r="E8482" s="18">
        <v>258.01</v>
      </c>
      <c r="F8482" s="18">
        <v>41869.919999999998</v>
      </c>
      <c r="G8482" s="18">
        <v>101932</v>
      </c>
      <c r="H8482" s="18">
        <f t="shared" si="187"/>
        <v>41859.919999999998</v>
      </c>
      <c r="I8482" s="3"/>
    </row>
    <row r="8483" spans="1:9" s="4" customFormat="1" ht="19.5" customHeight="1" x14ac:dyDescent="0.55000000000000004">
      <c r="A8483" s="18">
        <v>24.800239300000001</v>
      </c>
      <c r="B8483" s="18">
        <v>34.830040699999998</v>
      </c>
      <c r="C8483" s="18">
        <v>684986.86</v>
      </c>
      <c r="D8483" s="18">
        <v>2744068.29</v>
      </c>
      <c r="E8483" s="18">
        <v>258.08999999999997</v>
      </c>
      <c r="F8483" s="18">
        <v>41870.089999999997</v>
      </c>
      <c r="G8483" s="18">
        <v>101934</v>
      </c>
      <c r="H8483" s="18">
        <f t="shared" si="187"/>
        <v>41860.089999999997</v>
      </c>
      <c r="I8483" s="3"/>
    </row>
    <row r="8484" spans="1:9" s="4" customFormat="1" ht="19.5" customHeight="1" x14ac:dyDescent="0.55000000000000004">
      <c r="A8484" s="18">
        <v>24.8002617</v>
      </c>
      <c r="B8484" s="18">
        <v>34.830049299999999</v>
      </c>
      <c r="C8484" s="18">
        <v>684987.7</v>
      </c>
      <c r="D8484" s="18">
        <v>2744070.78</v>
      </c>
      <c r="E8484" s="18">
        <v>258.14</v>
      </c>
      <c r="F8484" s="18">
        <v>41870.370000000003</v>
      </c>
      <c r="G8484" s="18">
        <v>101936</v>
      </c>
      <c r="H8484" s="18">
        <f t="shared" si="187"/>
        <v>41860.370000000003</v>
      </c>
      <c r="I8484" s="3"/>
    </row>
    <row r="8485" spans="1:9" s="4" customFormat="1" ht="19.5" customHeight="1" x14ac:dyDescent="0.55000000000000004">
      <c r="A8485" s="18">
        <v>24.8002802</v>
      </c>
      <c r="B8485" s="18">
        <v>34.830052999999999</v>
      </c>
      <c r="C8485" s="18">
        <v>684988.05</v>
      </c>
      <c r="D8485" s="18">
        <v>2744072.84</v>
      </c>
      <c r="E8485" s="18">
        <v>258.26</v>
      </c>
      <c r="F8485" s="18">
        <v>41870.65</v>
      </c>
      <c r="G8485" s="18">
        <v>101938</v>
      </c>
      <c r="H8485" s="18">
        <f t="shared" si="187"/>
        <v>41860.65</v>
      </c>
      <c r="I8485" s="3"/>
    </row>
    <row r="8486" spans="1:9" s="4" customFormat="1" ht="19.5" customHeight="1" x14ac:dyDescent="0.55000000000000004">
      <c r="A8486" s="18">
        <v>24.8003009</v>
      </c>
      <c r="B8486" s="18">
        <v>34.830049899999999</v>
      </c>
      <c r="C8486" s="18">
        <v>684987.7</v>
      </c>
      <c r="D8486" s="18">
        <v>2744075.13</v>
      </c>
      <c r="E8486" s="18">
        <v>258.27999999999997</v>
      </c>
      <c r="F8486" s="18">
        <v>41871.769999999997</v>
      </c>
      <c r="G8486" s="18">
        <v>101940</v>
      </c>
      <c r="H8486" s="18">
        <f t="shared" si="187"/>
        <v>41861.769999999997</v>
      </c>
      <c r="I8486" s="3"/>
    </row>
    <row r="8487" spans="1:9" s="4" customFormat="1" ht="19.5" customHeight="1" x14ac:dyDescent="0.55000000000000004">
      <c r="A8487" s="18">
        <v>24.800323299999999</v>
      </c>
      <c r="B8487" s="18">
        <v>34.830051099999999</v>
      </c>
      <c r="C8487" s="18">
        <v>684987.78</v>
      </c>
      <c r="D8487" s="18">
        <v>2744077.61</v>
      </c>
      <c r="E8487" s="18">
        <v>258.32</v>
      </c>
      <c r="F8487" s="18">
        <v>41869.29</v>
      </c>
      <c r="G8487" s="18">
        <v>101942</v>
      </c>
      <c r="H8487" s="18">
        <f t="shared" si="187"/>
        <v>41859.29</v>
      </c>
      <c r="I8487" s="3"/>
    </row>
    <row r="8488" spans="1:9" s="4" customFormat="1" ht="19.5" customHeight="1" x14ac:dyDescent="0.55000000000000004">
      <c r="A8488" s="18">
        <v>24.800345700000001</v>
      </c>
      <c r="B8488" s="18">
        <v>34.830052100000003</v>
      </c>
      <c r="C8488" s="18">
        <v>684987.86</v>
      </c>
      <c r="D8488" s="18">
        <v>2744080.09</v>
      </c>
      <c r="E8488" s="18">
        <v>258.43</v>
      </c>
      <c r="F8488" s="18">
        <v>41869.339999999997</v>
      </c>
      <c r="G8488" s="18">
        <v>101944</v>
      </c>
      <c r="H8488" s="18">
        <f t="shared" si="187"/>
        <v>41859.339999999997</v>
      </c>
      <c r="I8488" s="3"/>
    </row>
    <row r="8489" spans="1:9" s="4" customFormat="1" ht="19.5" customHeight="1" x14ac:dyDescent="0.55000000000000004">
      <c r="A8489" s="18">
        <v>24.800368599999999</v>
      </c>
      <c r="B8489" s="18">
        <v>34.8300555</v>
      </c>
      <c r="C8489" s="18">
        <v>684988.17</v>
      </c>
      <c r="D8489" s="18">
        <v>2744082.63</v>
      </c>
      <c r="E8489" s="18">
        <v>258.45</v>
      </c>
      <c r="F8489" s="18">
        <v>41871.64</v>
      </c>
      <c r="G8489" s="18">
        <v>101946</v>
      </c>
      <c r="H8489" s="18">
        <f t="shared" si="187"/>
        <v>41861.64</v>
      </c>
      <c r="I8489" s="3"/>
    </row>
    <row r="8490" spans="1:9" s="4" customFormat="1" ht="19.5" customHeight="1" x14ac:dyDescent="0.55000000000000004">
      <c r="A8490" s="18">
        <v>24.800391300000001</v>
      </c>
      <c r="B8490" s="18">
        <v>34.830056300000003</v>
      </c>
      <c r="C8490" s="18">
        <v>684988.22</v>
      </c>
      <c r="D8490" s="18">
        <v>2744085.15</v>
      </c>
      <c r="E8490" s="18">
        <v>258.49</v>
      </c>
      <c r="F8490" s="18">
        <v>41872.69</v>
      </c>
      <c r="G8490" s="18">
        <v>101948</v>
      </c>
      <c r="H8490" s="18">
        <f t="shared" si="187"/>
        <v>41862.69</v>
      </c>
      <c r="I8490" s="3"/>
    </row>
    <row r="8491" spans="1:9" s="4" customFormat="1" ht="19.5" customHeight="1" x14ac:dyDescent="0.55000000000000004">
      <c r="A8491" s="18">
        <v>24.800413599999999</v>
      </c>
      <c r="B8491" s="18">
        <v>34.830053900000003</v>
      </c>
      <c r="C8491" s="18">
        <v>684987.93</v>
      </c>
      <c r="D8491" s="18">
        <v>2744087.62</v>
      </c>
      <c r="E8491" s="18">
        <v>258.60000000000002</v>
      </c>
      <c r="F8491" s="18">
        <v>41872.949999999997</v>
      </c>
      <c r="G8491" s="18">
        <v>101950</v>
      </c>
      <c r="H8491" s="18">
        <f t="shared" si="187"/>
        <v>41862.949999999997</v>
      </c>
      <c r="I8491" s="3"/>
    </row>
    <row r="8492" spans="1:9" s="4" customFormat="1" ht="19.5" customHeight="1" x14ac:dyDescent="0.55000000000000004">
      <c r="A8492" s="18">
        <v>24.800436099999999</v>
      </c>
      <c r="B8492" s="18">
        <v>34.830052700000003</v>
      </c>
      <c r="C8492" s="18">
        <v>684987.78</v>
      </c>
      <c r="D8492" s="18">
        <v>2744090.11</v>
      </c>
      <c r="E8492" s="18">
        <v>258.56</v>
      </c>
      <c r="F8492" s="18">
        <v>41871.32</v>
      </c>
      <c r="G8492" s="18">
        <v>101952</v>
      </c>
      <c r="H8492" s="18">
        <f t="shared" si="187"/>
        <v>41861.32</v>
      </c>
      <c r="I8492" s="3"/>
    </row>
    <row r="8493" spans="1:9" s="4" customFormat="1" ht="19.5" customHeight="1" x14ac:dyDescent="0.55000000000000004">
      <c r="A8493" s="18">
        <v>24.8004587</v>
      </c>
      <c r="B8493" s="18">
        <v>34.830052000000002</v>
      </c>
      <c r="C8493" s="18">
        <v>684987.68</v>
      </c>
      <c r="D8493" s="18">
        <v>2744092.61</v>
      </c>
      <c r="E8493" s="18">
        <v>258.52</v>
      </c>
      <c r="F8493" s="18">
        <v>41869.599999999999</v>
      </c>
      <c r="G8493" s="18">
        <v>101954</v>
      </c>
      <c r="H8493" s="18">
        <f t="shared" si="187"/>
        <v>41859.599999999999</v>
      </c>
      <c r="I8493" s="3"/>
    </row>
    <row r="8494" spans="1:9" s="4" customFormat="1" ht="19.5" customHeight="1" x14ac:dyDescent="0.55000000000000004">
      <c r="A8494" s="18">
        <v>24.800481600000001</v>
      </c>
      <c r="B8494" s="18">
        <v>34.830046899999999</v>
      </c>
      <c r="C8494" s="18">
        <v>684987.13</v>
      </c>
      <c r="D8494" s="18">
        <v>2744095.14</v>
      </c>
      <c r="E8494" s="18">
        <v>258.7</v>
      </c>
      <c r="F8494" s="18">
        <v>41870.660000000003</v>
      </c>
      <c r="G8494" s="18">
        <v>101956</v>
      </c>
      <c r="H8494" s="18">
        <f t="shared" si="187"/>
        <v>41860.660000000003</v>
      </c>
      <c r="I8494" s="3"/>
    </row>
    <row r="8495" spans="1:9" s="4" customFormat="1" ht="19.5" customHeight="1" x14ac:dyDescent="0.55000000000000004">
      <c r="A8495" s="18">
        <v>24.800503599999999</v>
      </c>
      <c r="B8495" s="18">
        <v>34.830049099999997</v>
      </c>
      <c r="C8495" s="18">
        <v>684987.31</v>
      </c>
      <c r="D8495" s="18">
        <v>2744097.57</v>
      </c>
      <c r="E8495" s="18">
        <v>258.76</v>
      </c>
      <c r="F8495" s="18">
        <v>41871.39</v>
      </c>
      <c r="G8495" s="18">
        <v>101958</v>
      </c>
      <c r="H8495" s="18">
        <f t="shared" si="187"/>
        <v>41861.39</v>
      </c>
      <c r="I8495" s="3"/>
    </row>
    <row r="8496" spans="1:9" s="4" customFormat="1" ht="19.5" customHeight="1" x14ac:dyDescent="0.55000000000000004">
      <c r="A8496" s="18">
        <v>24.800524899999999</v>
      </c>
      <c r="B8496" s="18">
        <v>34.830057600000004</v>
      </c>
      <c r="C8496" s="18">
        <v>684988.14</v>
      </c>
      <c r="D8496" s="18">
        <v>2744099.95</v>
      </c>
      <c r="E8496" s="18">
        <v>258.94</v>
      </c>
      <c r="F8496" s="18">
        <v>41870.25</v>
      </c>
      <c r="G8496" s="18">
        <v>102000</v>
      </c>
      <c r="H8496" s="18">
        <f t="shared" si="187"/>
        <v>41860.25</v>
      </c>
      <c r="I8496" s="3"/>
    </row>
    <row r="8497" spans="1:9" s="4" customFormat="1" ht="19.5" customHeight="1" x14ac:dyDescent="0.55000000000000004">
      <c r="A8497" s="18">
        <v>24.800546000000001</v>
      </c>
      <c r="B8497" s="18">
        <v>34.830069299999998</v>
      </c>
      <c r="C8497" s="18">
        <v>684989.29</v>
      </c>
      <c r="D8497" s="18">
        <v>2744102.3</v>
      </c>
      <c r="E8497" s="18">
        <v>259.02</v>
      </c>
      <c r="F8497" s="18">
        <v>41873.08</v>
      </c>
      <c r="G8497" s="18">
        <v>102002</v>
      </c>
      <c r="H8497" s="18">
        <f t="shared" si="187"/>
        <v>41863.08</v>
      </c>
      <c r="I8497" s="3"/>
    </row>
    <row r="8498" spans="1:9" s="4" customFormat="1" ht="19.5" customHeight="1" x14ac:dyDescent="0.55000000000000004">
      <c r="A8498" s="18">
        <v>24.800561699999999</v>
      </c>
      <c r="B8498" s="18">
        <v>34.8300798</v>
      </c>
      <c r="C8498" s="18">
        <v>684990.34</v>
      </c>
      <c r="D8498" s="18">
        <v>2744104.05</v>
      </c>
      <c r="E8498" s="18">
        <v>259.13</v>
      </c>
      <c r="F8498" s="18">
        <v>41874.1</v>
      </c>
      <c r="G8498" s="18">
        <v>102004</v>
      </c>
      <c r="H8498" s="18">
        <f t="shared" ref="H8498:H8561" si="188">SUM(F8498-10)</f>
        <v>41864.1</v>
      </c>
      <c r="I8498" s="3"/>
    </row>
    <row r="8499" spans="1:9" s="4" customFormat="1" ht="19.5" customHeight="1" x14ac:dyDescent="0.55000000000000004">
      <c r="A8499" s="18">
        <v>24.800584000000001</v>
      </c>
      <c r="B8499" s="18">
        <v>34.830087900000002</v>
      </c>
      <c r="C8499" s="18">
        <v>684991.12</v>
      </c>
      <c r="D8499" s="18">
        <v>2744106.54</v>
      </c>
      <c r="E8499" s="18">
        <v>259.17</v>
      </c>
      <c r="F8499" s="18">
        <v>41872.6</v>
      </c>
      <c r="G8499" s="18">
        <v>102006</v>
      </c>
      <c r="H8499" s="18">
        <f t="shared" si="188"/>
        <v>41862.6</v>
      </c>
      <c r="I8499" s="3"/>
    </row>
    <row r="8500" spans="1:9" s="4" customFormat="1" ht="19.5" customHeight="1" x14ac:dyDescent="0.55000000000000004">
      <c r="A8500" s="18">
        <v>24.8006058</v>
      </c>
      <c r="B8500" s="18">
        <v>34.830089000000001</v>
      </c>
      <c r="C8500" s="18">
        <v>684991.2</v>
      </c>
      <c r="D8500" s="18">
        <v>2744108.95</v>
      </c>
      <c r="E8500" s="18">
        <v>259.18</v>
      </c>
      <c r="F8500" s="18">
        <v>41874.160000000003</v>
      </c>
      <c r="G8500" s="18">
        <v>102008</v>
      </c>
      <c r="H8500" s="18">
        <f t="shared" si="188"/>
        <v>41864.160000000003</v>
      </c>
      <c r="I8500" s="3"/>
    </row>
    <row r="8501" spans="1:9" s="4" customFormat="1" ht="19.5" customHeight="1" x14ac:dyDescent="0.55000000000000004">
      <c r="A8501" s="18">
        <v>24.800629600000001</v>
      </c>
      <c r="B8501" s="18">
        <v>34.830091500000002</v>
      </c>
      <c r="C8501" s="18">
        <v>684991.42</v>
      </c>
      <c r="D8501" s="18">
        <v>2744111.59</v>
      </c>
      <c r="E8501" s="18">
        <v>259.2</v>
      </c>
      <c r="F8501" s="18">
        <v>41874.17</v>
      </c>
      <c r="G8501" s="18">
        <v>102010</v>
      </c>
      <c r="H8501" s="18">
        <f t="shared" si="188"/>
        <v>41864.17</v>
      </c>
      <c r="I8501" s="3"/>
    </row>
    <row r="8502" spans="1:9" s="4" customFormat="1" ht="19.5" customHeight="1" x14ac:dyDescent="0.55000000000000004">
      <c r="A8502" s="18">
        <v>24.800651999999999</v>
      </c>
      <c r="B8502" s="18">
        <v>34.830084200000002</v>
      </c>
      <c r="C8502" s="18">
        <v>684990.64</v>
      </c>
      <c r="D8502" s="18">
        <v>2744114.06</v>
      </c>
      <c r="E8502" s="18">
        <v>259.29000000000002</v>
      </c>
      <c r="F8502" s="18">
        <v>41879.35</v>
      </c>
      <c r="G8502" s="18">
        <v>102012</v>
      </c>
      <c r="H8502" s="18">
        <f t="shared" si="188"/>
        <v>41869.35</v>
      </c>
      <c r="I8502" s="3"/>
    </row>
    <row r="8503" spans="1:9" s="4" customFormat="1" ht="19.5" customHeight="1" x14ac:dyDescent="0.55000000000000004">
      <c r="A8503" s="18">
        <v>24.800674600000001</v>
      </c>
      <c r="B8503" s="18">
        <v>34.830076099999999</v>
      </c>
      <c r="C8503" s="18">
        <v>684989.79</v>
      </c>
      <c r="D8503" s="18">
        <v>2744116.56</v>
      </c>
      <c r="E8503" s="18">
        <v>259.33999999999997</v>
      </c>
      <c r="F8503" s="18">
        <v>41878.199999999997</v>
      </c>
      <c r="G8503" s="18">
        <v>102014</v>
      </c>
      <c r="H8503" s="18">
        <f t="shared" si="188"/>
        <v>41868.199999999997</v>
      </c>
      <c r="I8503" s="3"/>
    </row>
    <row r="8504" spans="1:9" s="4" customFormat="1" ht="19.5" customHeight="1" x14ac:dyDescent="0.55000000000000004">
      <c r="A8504" s="18">
        <v>24.8006949</v>
      </c>
      <c r="B8504" s="18">
        <v>34.830070399999997</v>
      </c>
      <c r="C8504" s="18">
        <v>684989.19</v>
      </c>
      <c r="D8504" s="18">
        <v>2744118.79</v>
      </c>
      <c r="E8504" s="18">
        <v>259.49</v>
      </c>
      <c r="F8504" s="18">
        <v>41880.629999999997</v>
      </c>
      <c r="G8504" s="18">
        <v>102016</v>
      </c>
      <c r="H8504" s="18">
        <f t="shared" si="188"/>
        <v>41870.629999999997</v>
      </c>
      <c r="I8504" s="3"/>
    </row>
    <row r="8505" spans="1:9" s="4" customFormat="1" ht="19.5" customHeight="1" x14ac:dyDescent="0.55000000000000004">
      <c r="A8505" s="18">
        <v>24.8007156</v>
      </c>
      <c r="B8505" s="18">
        <v>34.830064200000002</v>
      </c>
      <c r="C8505" s="18">
        <v>684988.53</v>
      </c>
      <c r="D8505" s="18">
        <v>2744121.08</v>
      </c>
      <c r="E8505" s="18">
        <v>259.56</v>
      </c>
      <c r="F8505" s="18">
        <v>41880.769999999997</v>
      </c>
      <c r="G8505" s="18">
        <v>102018</v>
      </c>
      <c r="H8505" s="18">
        <f t="shared" si="188"/>
        <v>41870.769999999997</v>
      </c>
      <c r="I8505" s="3"/>
    </row>
    <row r="8506" spans="1:9" s="4" customFormat="1" ht="19.5" customHeight="1" x14ac:dyDescent="0.55000000000000004">
      <c r="A8506" s="18">
        <v>24.800739400000001</v>
      </c>
      <c r="B8506" s="18">
        <v>34.830058399999999</v>
      </c>
      <c r="C8506" s="18">
        <v>684987.91</v>
      </c>
      <c r="D8506" s="18">
        <v>2744123.71</v>
      </c>
      <c r="E8506" s="18">
        <v>259.60000000000002</v>
      </c>
      <c r="F8506" s="18">
        <v>41888.660000000003</v>
      </c>
      <c r="G8506" s="18">
        <v>102020</v>
      </c>
      <c r="H8506" s="18">
        <f t="shared" si="188"/>
        <v>41878.660000000003</v>
      </c>
      <c r="I8506" s="3"/>
    </row>
    <row r="8507" spans="1:9" s="4" customFormat="1" ht="19.5" customHeight="1" x14ac:dyDescent="0.55000000000000004">
      <c r="A8507" s="18">
        <v>24.800761099999999</v>
      </c>
      <c r="B8507" s="18">
        <v>34.830050100000001</v>
      </c>
      <c r="C8507" s="18">
        <v>684987.04</v>
      </c>
      <c r="D8507" s="18">
        <v>2744126.1</v>
      </c>
      <c r="E8507" s="18">
        <v>259.7</v>
      </c>
      <c r="F8507" s="18">
        <v>41877.800000000003</v>
      </c>
      <c r="G8507" s="18">
        <v>102022</v>
      </c>
      <c r="H8507" s="18">
        <f t="shared" si="188"/>
        <v>41867.800000000003</v>
      </c>
      <c r="I8507" s="3"/>
    </row>
    <row r="8508" spans="1:9" s="4" customFormat="1" ht="19.5" customHeight="1" x14ac:dyDescent="0.55000000000000004">
      <c r="A8508" s="18">
        <v>24.8007834</v>
      </c>
      <c r="B8508" s="18">
        <v>34.830038899999998</v>
      </c>
      <c r="C8508" s="18">
        <v>684985.87</v>
      </c>
      <c r="D8508" s="18">
        <v>2744128.56</v>
      </c>
      <c r="E8508" s="18">
        <v>259.76</v>
      </c>
      <c r="F8508" s="18">
        <v>41868.720000000001</v>
      </c>
      <c r="G8508" s="18">
        <v>102024</v>
      </c>
      <c r="H8508" s="18">
        <f t="shared" si="188"/>
        <v>41858.720000000001</v>
      </c>
      <c r="I8508" s="3"/>
    </row>
    <row r="8509" spans="1:9" s="4" customFormat="1" ht="19.5" customHeight="1" x14ac:dyDescent="0.55000000000000004">
      <c r="A8509" s="18">
        <v>24.800803999999999</v>
      </c>
      <c r="B8509" s="18">
        <v>34.830026199999999</v>
      </c>
      <c r="C8509" s="18">
        <v>684984.55</v>
      </c>
      <c r="D8509" s="18">
        <v>2744130.82</v>
      </c>
      <c r="E8509" s="18">
        <v>259.75</v>
      </c>
      <c r="F8509" s="18">
        <v>41853.72</v>
      </c>
      <c r="G8509" s="18">
        <v>102026</v>
      </c>
      <c r="H8509" s="18">
        <f t="shared" si="188"/>
        <v>41843.72</v>
      </c>
      <c r="I8509" s="3"/>
    </row>
    <row r="8510" spans="1:9" s="4" customFormat="1" ht="19.5" customHeight="1" x14ac:dyDescent="0.55000000000000004">
      <c r="A8510" s="18">
        <v>24.8008253</v>
      </c>
      <c r="B8510" s="18">
        <v>34.830016000000001</v>
      </c>
      <c r="C8510" s="18">
        <v>684983.5</v>
      </c>
      <c r="D8510" s="18">
        <v>2744133.16</v>
      </c>
      <c r="E8510" s="18">
        <v>259.82</v>
      </c>
      <c r="F8510" s="18">
        <v>41825.67</v>
      </c>
      <c r="G8510" s="18">
        <v>102028</v>
      </c>
      <c r="H8510" s="18">
        <f t="shared" si="188"/>
        <v>41815.67</v>
      </c>
      <c r="I8510" s="3"/>
    </row>
    <row r="8511" spans="1:9" s="4" customFormat="1" ht="19.5" customHeight="1" x14ac:dyDescent="0.55000000000000004">
      <c r="A8511" s="18">
        <v>24.800845200000001</v>
      </c>
      <c r="B8511" s="18">
        <v>34.8300062</v>
      </c>
      <c r="C8511" s="18">
        <v>684982.47</v>
      </c>
      <c r="D8511" s="18">
        <v>2744135.35</v>
      </c>
      <c r="E8511" s="18">
        <v>259.83</v>
      </c>
      <c r="F8511" s="18">
        <v>41790.699999999997</v>
      </c>
      <c r="G8511" s="18">
        <v>102030</v>
      </c>
      <c r="H8511" s="18">
        <f t="shared" si="188"/>
        <v>41780.699999999997</v>
      </c>
      <c r="I8511" s="3"/>
    </row>
    <row r="8512" spans="1:9" s="4" customFormat="1" ht="19.5" customHeight="1" x14ac:dyDescent="0.55000000000000004">
      <c r="A8512" s="18">
        <v>24.800865699999999</v>
      </c>
      <c r="B8512" s="18">
        <v>34.829993799999997</v>
      </c>
      <c r="C8512" s="18">
        <v>684981.19</v>
      </c>
      <c r="D8512" s="18">
        <v>2744137.61</v>
      </c>
      <c r="E8512" s="18">
        <v>259.77</v>
      </c>
      <c r="F8512" s="18">
        <v>41773.32</v>
      </c>
      <c r="G8512" s="18">
        <v>102032</v>
      </c>
      <c r="H8512" s="18">
        <f t="shared" si="188"/>
        <v>41763.32</v>
      </c>
      <c r="I8512" s="3"/>
    </row>
    <row r="8513" spans="1:9" s="4" customFormat="1" ht="19.5" customHeight="1" x14ac:dyDescent="0.55000000000000004">
      <c r="A8513" s="18">
        <v>24.800886599999998</v>
      </c>
      <c r="B8513" s="18">
        <v>34.829982600000001</v>
      </c>
      <c r="C8513" s="18">
        <v>684980.02</v>
      </c>
      <c r="D8513" s="18">
        <v>2744139.91</v>
      </c>
      <c r="E8513" s="18">
        <v>259.79000000000002</v>
      </c>
      <c r="F8513" s="18">
        <v>41765.97</v>
      </c>
      <c r="G8513" s="18">
        <v>102034</v>
      </c>
      <c r="H8513" s="18">
        <f t="shared" si="188"/>
        <v>41755.97</v>
      </c>
      <c r="I8513" s="3"/>
    </row>
    <row r="8514" spans="1:9" s="4" customFormat="1" ht="19.5" customHeight="1" x14ac:dyDescent="0.55000000000000004">
      <c r="A8514" s="18">
        <v>24.800908</v>
      </c>
      <c r="B8514" s="18">
        <v>34.829969400000003</v>
      </c>
      <c r="C8514" s="18">
        <v>684978.66</v>
      </c>
      <c r="D8514" s="18">
        <v>2744142.27</v>
      </c>
      <c r="E8514" s="18">
        <v>259.83999999999997</v>
      </c>
      <c r="F8514" s="18">
        <v>41775.08</v>
      </c>
      <c r="G8514" s="18">
        <v>102036</v>
      </c>
      <c r="H8514" s="18">
        <f t="shared" si="188"/>
        <v>41765.08</v>
      </c>
      <c r="I8514" s="3"/>
    </row>
    <row r="8515" spans="1:9" s="4" customFormat="1" ht="19.5" customHeight="1" x14ac:dyDescent="0.55000000000000004">
      <c r="A8515" s="18">
        <v>24.8009302</v>
      </c>
      <c r="B8515" s="18">
        <v>34.829960700000001</v>
      </c>
      <c r="C8515" s="18">
        <v>684977.75</v>
      </c>
      <c r="D8515" s="18">
        <v>2744144.71</v>
      </c>
      <c r="E8515" s="18">
        <v>259.77999999999997</v>
      </c>
      <c r="F8515" s="18">
        <v>41786.42</v>
      </c>
      <c r="G8515" s="18">
        <v>102038</v>
      </c>
      <c r="H8515" s="18">
        <f t="shared" si="188"/>
        <v>41776.42</v>
      </c>
      <c r="I8515" s="3"/>
    </row>
    <row r="8516" spans="1:9" s="4" customFormat="1" ht="19.5" customHeight="1" x14ac:dyDescent="0.55000000000000004">
      <c r="A8516" s="18">
        <v>24.8009512</v>
      </c>
      <c r="B8516" s="18">
        <v>34.829950799999999</v>
      </c>
      <c r="C8516" s="18">
        <v>684976.71</v>
      </c>
      <c r="D8516" s="18">
        <v>2744147.02</v>
      </c>
      <c r="E8516" s="18">
        <v>259.81</v>
      </c>
      <c r="F8516" s="18">
        <v>41795.5</v>
      </c>
      <c r="G8516" s="18">
        <v>102040</v>
      </c>
      <c r="H8516" s="18">
        <f t="shared" si="188"/>
        <v>41785.5</v>
      </c>
      <c r="I8516" s="3"/>
    </row>
    <row r="8517" spans="1:9" s="4" customFormat="1" ht="19.5" customHeight="1" x14ac:dyDescent="0.55000000000000004">
      <c r="A8517" s="18">
        <v>24.800967499999999</v>
      </c>
      <c r="B8517" s="18">
        <v>34.829932599999999</v>
      </c>
      <c r="C8517" s="18">
        <v>684974.85</v>
      </c>
      <c r="D8517" s="18">
        <v>2744148.8</v>
      </c>
      <c r="E8517" s="18">
        <v>259.89999999999998</v>
      </c>
      <c r="F8517" s="18">
        <v>41802.120000000003</v>
      </c>
      <c r="G8517" s="18">
        <v>102042</v>
      </c>
      <c r="H8517" s="18">
        <f t="shared" si="188"/>
        <v>41792.120000000003</v>
      </c>
      <c r="I8517" s="3"/>
    </row>
    <row r="8518" spans="1:9" s="4" customFormat="1" ht="19.5" customHeight="1" x14ac:dyDescent="0.55000000000000004">
      <c r="A8518" s="18">
        <v>24.8009831</v>
      </c>
      <c r="B8518" s="18">
        <v>34.829913099999999</v>
      </c>
      <c r="C8518" s="18">
        <v>684972.86</v>
      </c>
      <c r="D8518" s="18">
        <v>2744150.51</v>
      </c>
      <c r="E8518" s="18">
        <v>259.89</v>
      </c>
      <c r="F8518" s="18">
        <v>41808.42</v>
      </c>
      <c r="G8518" s="18">
        <v>102044</v>
      </c>
      <c r="H8518" s="18">
        <f t="shared" si="188"/>
        <v>41798.42</v>
      </c>
      <c r="I8518" s="3"/>
    </row>
    <row r="8519" spans="1:9" s="4" customFormat="1" ht="19.5" customHeight="1" x14ac:dyDescent="0.55000000000000004">
      <c r="A8519" s="18">
        <v>24.801004200000001</v>
      </c>
      <c r="B8519" s="18">
        <v>34.829900899999998</v>
      </c>
      <c r="C8519" s="18">
        <v>684971.59</v>
      </c>
      <c r="D8519" s="18">
        <v>2744152.82</v>
      </c>
      <c r="E8519" s="18">
        <v>260.08</v>
      </c>
      <c r="F8519" s="18">
        <v>41814.57</v>
      </c>
      <c r="G8519" s="18">
        <v>102046</v>
      </c>
      <c r="H8519" s="18">
        <f t="shared" si="188"/>
        <v>41804.57</v>
      </c>
      <c r="I8519" s="3"/>
    </row>
    <row r="8520" spans="1:9" s="4" customFormat="1" ht="19.5" customHeight="1" x14ac:dyDescent="0.55000000000000004">
      <c r="A8520" s="18">
        <v>24.8010281</v>
      </c>
      <c r="B8520" s="18">
        <v>34.829896900000001</v>
      </c>
      <c r="C8520" s="18">
        <v>684971.15</v>
      </c>
      <c r="D8520" s="18">
        <v>2744155.46</v>
      </c>
      <c r="E8520" s="18">
        <v>260.12</v>
      </c>
      <c r="F8520" s="18">
        <v>41820.43</v>
      </c>
      <c r="G8520" s="18">
        <v>102048</v>
      </c>
      <c r="H8520" s="18">
        <f t="shared" si="188"/>
        <v>41810.43</v>
      </c>
      <c r="I8520" s="3"/>
    </row>
    <row r="8521" spans="1:9" s="4" customFormat="1" ht="19.5" customHeight="1" x14ac:dyDescent="0.55000000000000004">
      <c r="A8521" s="18">
        <v>24.8010506</v>
      </c>
      <c r="B8521" s="18">
        <v>34.829886799999997</v>
      </c>
      <c r="C8521" s="18">
        <v>684970.09</v>
      </c>
      <c r="D8521" s="18">
        <v>2744157.94</v>
      </c>
      <c r="E8521" s="18">
        <v>260.20999999999998</v>
      </c>
      <c r="F8521" s="18">
        <v>41823.360000000001</v>
      </c>
      <c r="G8521" s="18">
        <v>102050</v>
      </c>
      <c r="H8521" s="18">
        <f t="shared" si="188"/>
        <v>41813.360000000001</v>
      </c>
      <c r="I8521" s="3"/>
    </row>
    <row r="8522" spans="1:9" s="4" customFormat="1" ht="19.5" customHeight="1" x14ac:dyDescent="0.55000000000000004">
      <c r="A8522" s="18">
        <v>24.8010713</v>
      </c>
      <c r="B8522" s="18">
        <v>34.8298706</v>
      </c>
      <c r="C8522" s="18">
        <v>684968.42</v>
      </c>
      <c r="D8522" s="18">
        <v>2744160.21</v>
      </c>
      <c r="E8522" s="18">
        <v>260.24</v>
      </c>
      <c r="F8522" s="18">
        <v>41827.61</v>
      </c>
      <c r="G8522" s="18">
        <v>102052</v>
      </c>
      <c r="H8522" s="18">
        <f t="shared" si="188"/>
        <v>41817.61</v>
      </c>
      <c r="I8522" s="3"/>
    </row>
    <row r="8523" spans="1:9" s="4" customFormat="1" ht="19.5" customHeight="1" x14ac:dyDescent="0.55000000000000004">
      <c r="A8523" s="18">
        <v>24.801086399999999</v>
      </c>
      <c r="B8523" s="18">
        <v>34.829849899999999</v>
      </c>
      <c r="C8523" s="18">
        <v>684966.31</v>
      </c>
      <c r="D8523" s="18">
        <v>2744161.86</v>
      </c>
      <c r="E8523" s="18">
        <v>260.26</v>
      </c>
      <c r="F8523" s="18">
        <v>41831.35</v>
      </c>
      <c r="G8523" s="18">
        <v>102054</v>
      </c>
      <c r="H8523" s="18">
        <f t="shared" si="188"/>
        <v>41821.35</v>
      </c>
      <c r="I8523" s="3"/>
    </row>
    <row r="8524" spans="1:9" s="4" customFormat="1" ht="19.5" customHeight="1" x14ac:dyDescent="0.55000000000000004">
      <c r="A8524" s="18">
        <v>24.801099799999999</v>
      </c>
      <c r="B8524" s="18">
        <v>34.829827899999998</v>
      </c>
      <c r="C8524" s="18">
        <v>684964.06</v>
      </c>
      <c r="D8524" s="18">
        <v>2744163.31</v>
      </c>
      <c r="E8524" s="18">
        <v>260.33</v>
      </c>
      <c r="F8524" s="18">
        <v>41834.120000000003</v>
      </c>
      <c r="G8524" s="18">
        <v>102056</v>
      </c>
      <c r="H8524" s="18">
        <f t="shared" si="188"/>
        <v>41824.120000000003</v>
      </c>
      <c r="I8524" s="3"/>
    </row>
    <row r="8525" spans="1:9" s="4" customFormat="1" ht="19.5" customHeight="1" x14ac:dyDescent="0.55000000000000004">
      <c r="A8525" s="18">
        <v>24.801114699999999</v>
      </c>
      <c r="B8525" s="18">
        <v>34.829807000000002</v>
      </c>
      <c r="C8525" s="18">
        <v>684961.93</v>
      </c>
      <c r="D8525" s="18">
        <v>2744164.93</v>
      </c>
      <c r="E8525" s="18">
        <v>260.42</v>
      </c>
      <c r="F8525" s="18">
        <v>41834.83</v>
      </c>
      <c r="G8525" s="18">
        <v>102058</v>
      </c>
      <c r="H8525" s="18">
        <f t="shared" si="188"/>
        <v>41824.83</v>
      </c>
      <c r="I8525" s="3"/>
    </row>
    <row r="8526" spans="1:9" s="4" customFormat="1" ht="19.5" customHeight="1" x14ac:dyDescent="0.55000000000000004">
      <c r="A8526" s="18">
        <v>24.8011275</v>
      </c>
      <c r="B8526" s="18">
        <v>34.829785000000001</v>
      </c>
      <c r="C8526" s="18">
        <v>684959.69</v>
      </c>
      <c r="D8526" s="18">
        <v>2744166.32</v>
      </c>
      <c r="E8526" s="18">
        <v>260.5</v>
      </c>
      <c r="F8526" s="18">
        <v>41837.11</v>
      </c>
      <c r="G8526" s="18">
        <v>102100</v>
      </c>
      <c r="H8526" s="18">
        <f t="shared" si="188"/>
        <v>41827.11</v>
      </c>
      <c r="I8526" s="3"/>
    </row>
    <row r="8527" spans="1:9" s="4" customFormat="1" ht="19.5" customHeight="1" x14ac:dyDescent="0.55000000000000004">
      <c r="A8527" s="18">
        <v>24.801144699999998</v>
      </c>
      <c r="B8527" s="18">
        <v>34.829765999999999</v>
      </c>
      <c r="C8527" s="18">
        <v>684957.74</v>
      </c>
      <c r="D8527" s="18">
        <v>2744168.2</v>
      </c>
      <c r="E8527" s="18">
        <v>260.52999999999997</v>
      </c>
      <c r="F8527" s="18">
        <v>41839.4</v>
      </c>
      <c r="G8527" s="18">
        <v>102102</v>
      </c>
      <c r="H8527" s="18">
        <f t="shared" si="188"/>
        <v>41829.4</v>
      </c>
      <c r="I8527" s="3"/>
    </row>
    <row r="8528" spans="1:9" s="4" customFormat="1" ht="19.5" customHeight="1" x14ac:dyDescent="0.55000000000000004">
      <c r="A8528" s="18">
        <v>24.801161700000002</v>
      </c>
      <c r="B8528" s="18">
        <v>34.829748199999997</v>
      </c>
      <c r="C8528" s="18">
        <v>684955.92</v>
      </c>
      <c r="D8528" s="18">
        <v>2744170.07</v>
      </c>
      <c r="E8528" s="18">
        <v>260.72000000000003</v>
      </c>
      <c r="F8528" s="18">
        <v>41842.1</v>
      </c>
      <c r="G8528" s="18">
        <v>102104</v>
      </c>
      <c r="H8528" s="18">
        <f t="shared" si="188"/>
        <v>41832.1</v>
      </c>
      <c r="I8528" s="3"/>
    </row>
    <row r="8529" spans="1:9" s="4" customFormat="1" ht="19.5" customHeight="1" x14ac:dyDescent="0.55000000000000004">
      <c r="A8529" s="18">
        <v>24.8011777</v>
      </c>
      <c r="B8529" s="18">
        <v>34.829729200000003</v>
      </c>
      <c r="C8529" s="18">
        <v>684953.98</v>
      </c>
      <c r="D8529" s="18">
        <v>2744171.81</v>
      </c>
      <c r="E8529" s="18">
        <v>260.70999999999998</v>
      </c>
      <c r="F8529" s="18">
        <v>41840.81</v>
      </c>
      <c r="G8529" s="18">
        <v>102106</v>
      </c>
      <c r="H8529" s="18">
        <f t="shared" si="188"/>
        <v>41830.81</v>
      </c>
      <c r="I8529" s="3"/>
    </row>
    <row r="8530" spans="1:9" s="4" customFormat="1" ht="19.5" customHeight="1" x14ac:dyDescent="0.55000000000000004">
      <c r="A8530" s="18">
        <v>24.8011944</v>
      </c>
      <c r="B8530" s="18">
        <v>34.829711099999997</v>
      </c>
      <c r="C8530" s="18">
        <v>684952.12</v>
      </c>
      <c r="D8530" s="18">
        <v>2744173.63</v>
      </c>
      <c r="E8530" s="18">
        <v>260.73</v>
      </c>
      <c r="F8530" s="18">
        <v>41842.28</v>
      </c>
      <c r="G8530" s="18">
        <v>102108</v>
      </c>
      <c r="H8530" s="18">
        <f t="shared" si="188"/>
        <v>41832.28</v>
      </c>
      <c r="I8530" s="3"/>
    </row>
    <row r="8531" spans="1:9" s="4" customFormat="1" ht="19.5" customHeight="1" x14ac:dyDescent="0.55000000000000004">
      <c r="A8531" s="18">
        <v>24.801210600000001</v>
      </c>
      <c r="B8531" s="18">
        <v>34.829692100000003</v>
      </c>
      <c r="C8531" s="18">
        <v>684950.18</v>
      </c>
      <c r="D8531" s="18">
        <v>2744175.41</v>
      </c>
      <c r="E8531" s="18">
        <v>260.82</v>
      </c>
      <c r="F8531" s="18">
        <v>41843.56</v>
      </c>
      <c r="G8531" s="18">
        <v>102110</v>
      </c>
      <c r="H8531" s="18">
        <f t="shared" si="188"/>
        <v>41833.56</v>
      </c>
      <c r="I8531" s="3"/>
    </row>
    <row r="8532" spans="1:9" s="4" customFormat="1" ht="19.5" customHeight="1" x14ac:dyDescent="0.55000000000000004">
      <c r="A8532" s="18">
        <v>24.801227000000001</v>
      </c>
      <c r="B8532" s="18">
        <v>34.829673200000002</v>
      </c>
      <c r="C8532" s="18">
        <v>684948.23</v>
      </c>
      <c r="D8532" s="18">
        <v>2744177.19</v>
      </c>
      <c r="E8532" s="18">
        <v>260.89</v>
      </c>
      <c r="F8532" s="18">
        <v>41844.53</v>
      </c>
      <c r="G8532" s="18">
        <v>102112</v>
      </c>
      <c r="H8532" s="18">
        <f t="shared" si="188"/>
        <v>41834.53</v>
      </c>
      <c r="I8532" s="3"/>
    </row>
    <row r="8533" spans="1:9" s="4" customFormat="1" ht="19.5" customHeight="1" x14ac:dyDescent="0.55000000000000004">
      <c r="A8533" s="18">
        <v>24.801241600000001</v>
      </c>
      <c r="B8533" s="18">
        <v>34.829653899999997</v>
      </c>
      <c r="C8533" s="18">
        <v>684946.27</v>
      </c>
      <c r="D8533" s="18">
        <v>2744178.78</v>
      </c>
      <c r="E8533" s="18">
        <v>260.83</v>
      </c>
      <c r="F8533" s="18">
        <v>41846.01</v>
      </c>
      <c r="G8533" s="18">
        <v>102114</v>
      </c>
      <c r="H8533" s="18">
        <f t="shared" si="188"/>
        <v>41836.01</v>
      </c>
      <c r="I8533" s="3"/>
    </row>
    <row r="8534" spans="1:9" s="4" customFormat="1" ht="19.5" customHeight="1" x14ac:dyDescent="0.55000000000000004">
      <c r="A8534" s="18">
        <v>24.8012552</v>
      </c>
      <c r="B8534" s="18">
        <v>34.829632500000002</v>
      </c>
      <c r="C8534" s="18">
        <v>684944.08</v>
      </c>
      <c r="D8534" s="18">
        <v>2744180.26</v>
      </c>
      <c r="E8534" s="18">
        <v>260.85000000000002</v>
      </c>
      <c r="F8534" s="18">
        <v>41847.160000000003</v>
      </c>
      <c r="G8534" s="18">
        <v>102116</v>
      </c>
      <c r="H8534" s="18">
        <f t="shared" si="188"/>
        <v>41837.160000000003</v>
      </c>
      <c r="I8534" s="3"/>
    </row>
    <row r="8535" spans="1:9" s="4" customFormat="1" ht="19.5" customHeight="1" x14ac:dyDescent="0.55000000000000004">
      <c r="A8535" s="18">
        <v>24.8012689</v>
      </c>
      <c r="B8535" s="18">
        <v>34.829611300000003</v>
      </c>
      <c r="C8535" s="18">
        <v>684941.91</v>
      </c>
      <c r="D8535" s="18">
        <v>2744181.75</v>
      </c>
      <c r="E8535" s="18">
        <v>260.93</v>
      </c>
      <c r="F8535" s="18">
        <v>41849.019999999997</v>
      </c>
      <c r="G8535" s="18">
        <v>102118</v>
      </c>
      <c r="H8535" s="18">
        <f t="shared" si="188"/>
        <v>41839.019999999997</v>
      </c>
      <c r="I8535" s="3"/>
    </row>
    <row r="8536" spans="1:9" s="4" customFormat="1" ht="19.5" customHeight="1" x14ac:dyDescent="0.55000000000000004">
      <c r="A8536" s="18">
        <v>24.801286699999999</v>
      </c>
      <c r="B8536" s="18">
        <v>34.829591800000003</v>
      </c>
      <c r="C8536" s="18">
        <v>684939.92</v>
      </c>
      <c r="D8536" s="18">
        <v>2744183.7</v>
      </c>
      <c r="E8536" s="18">
        <v>260.95</v>
      </c>
      <c r="F8536" s="18">
        <v>41848.46</v>
      </c>
      <c r="G8536" s="18">
        <v>102120</v>
      </c>
      <c r="H8536" s="18">
        <f t="shared" si="188"/>
        <v>41838.46</v>
      </c>
      <c r="I8536" s="3"/>
    </row>
    <row r="8537" spans="1:9" s="4" customFormat="1" ht="19.5" customHeight="1" x14ac:dyDescent="0.55000000000000004">
      <c r="A8537" s="18">
        <v>24.801300999999999</v>
      </c>
      <c r="B8537" s="18">
        <v>34.829571199999997</v>
      </c>
      <c r="C8537" s="18">
        <v>684937.81</v>
      </c>
      <c r="D8537" s="18">
        <v>2744185.25</v>
      </c>
      <c r="E8537" s="18">
        <v>260.98</v>
      </c>
      <c r="F8537" s="18">
        <v>41850.339999999997</v>
      </c>
      <c r="G8537" s="18">
        <v>102122</v>
      </c>
      <c r="H8537" s="18">
        <f t="shared" si="188"/>
        <v>41840.339999999997</v>
      </c>
      <c r="I8537" s="3"/>
    </row>
    <row r="8538" spans="1:9" s="4" customFormat="1" ht="19.5" customHeight="1" x14ac:dyDescent="0.55000000000000004">
      <c r="A8538" s="18">
        <v>24.801311399999999</v>
      </c>
      <c r="B8538" s="18">
        <v>34.8295484</v>
      </c>
      <c r="C8538" s="18">
        <v>684935.49</v>
      </c>
      <c r="D8538" s="18">
        <v>2744186.37</v>
      </c>
      <c r="E8538" s="18">
        <v>261.05</v>
      </c>
      <c r="F8538" s="18">
        <v>41851.78</v>
      </c>
      <c r="G8538" s="18">
        <v>102124</v>
      </c>
      <c r="H8538" s="18">
        <f t="shared" si="188"/>
        <v>41841.78</v>
      </c>
      <c r="I8538" s="3"/>
    </row>
    <row r="8539" spans="1:9" s="4" customFormat="1" ht="19.5" customHeight="1" x14ac:dyDescent="0.55000000000000004">
      <c r="A8539" s="18">
        <v>24.801321300000001</v>
      </c>
      <c r="B8539" s="18">
        <v>34.829524499999998</v>
      </c>
      <c r="C8539" s="18">
        <v>684933.06</v>
      </c>
      <c r="D8539" s="18">
        <v>2744187.44</v>
      </c>
      <c r="E8539" s="18">
        <v>261.11</v>
      </c>
      <c r="F8539" s="18">
        <v>41852.559999999998</v>
      </c>
      <c r="G8539" s="18">
        <v>102126</v>
      </c>
      <c r="H8539" s="18">
        <f t="shared" si="188"/>
        <v>41842.559999999998</v>
      </c>
      <c r="I8539" s="3"/>
    </row>
    <row r="8540" spans="1:9" s="4" customFormat="1" ht="19.5" customHeight="1" x14ac:dyDescent="0.55000000000000004">
      <c r="A8540" s="18">
        <v>24.801333</v>
      </c>
      <c r="B8540" s="18">
        <v>34.829501700000002</v>
      </c>
      <c r="C8540" s="18">
        <v>684930.74</v>
      </c>
      <c r="D8540" s="18">
        <v>2744188.7</v>
      </c>
      <c r="E8540" s="18">
        <v>261.11</v>
      </c>
      <c r="F8540" s="18">
        <v>41852.660000000003</v>
      </c>
      <c r="G8540" s="18">
        <v>102128</v>
      </c>
      <c r="H8540" s="18">
        <f t="shared" si="188"/>
        <v>41842.660000000003</v>
      </c>
      <c r="I8540" s="3"/>
    </row>
    <row r="8541" spans="1:9" s="4" customFormat="1" ht="19.5" customHeight="1" x14ac:dyDescent="0.55000000000000004">
      <c r="A8541" s="18">
        <v>24.801349500000001</v>
      </c>
      <c r="B8541" s="18">
        <v>34.8294827</v>
      </c>
      <c r="C8541" s="18">
        <v>684928.8</v>
      </c>
      <c r="D8541" s="18">
        <v>2744190.5</v>
      </c>
      <c r="E8541" s="18">
        <v>261.11</v>
      </c>
      <c r="F8541" s="18">
        <v>41851.199999999997</v>
      </c>
      <c r="G8541" s="18">
        <v>102130</v>
      </c>
      <c r="H8541" s="18">
        <f t="shared" si="188"/>
        <v>41841.199999999997</v>
      </c>
      <c r="I8541" s="3"/>
    </row>
    <row r="8542" spans="1:9" s="4" customFormat="1" ht="19.5" customHeight="1" x14ac:dyDescent="0.55000000000000004">
      <c r="A8542" s="18">
        <v>24.801362999999998</v>
      </c>
      <c r="B8542" s="18">
        <v>34.829461600000002</v>
      </c>
      <c r="C8542" s="18">
        <v>684926.65</v>
      </c>
      <c r="D8542" s="18">
        <v>2744191.97</v>
      </c>
      <c r="E8542" s="18">
        <v>261.19</v>
      </c>
      <c r="F8542" s="18">
        <v>41852.21</v>
      </c>
      <c r="G8542" s="18">
        <v>102132</v>
      </c>
      <c r="H8542" s="18">
        <f t="shared" si="188"/>
        <v>41842.21</v>
      </c>
      <c r="I8542" s="3"/>
    </row>
    <row r="8543" spans="1:9" s="4" customFormat="1" ht="19.5" customHeight="1" x14ac:dyDescent="0.55000000000000004">
      <c r="A8543" s="18">
        <v>24.801378400000001</v>
      </c>
      <c r="B8543" s="18">
        <v>34.829441600000003</v>
      </c>
      <c r="C8543" s="18">
        <v>684924.59</v>
      </c>
      <c r="D8543" s="18">
        <v>2744193.65</v>
      </c>
      <c r="E8543" s="18">
        <v>261.16000000000003</v>
      </c>
      <c r="F8543" s="18">
        <v>41852.83</v>
      </c>
      <c r="G8543" s="18">
        <v>102134</v>
      </c>
      <c r="H8543" s="18">
        <f t="shared" si="188"/>
        <v>41842.83</v>
      </c>
      <c r="I8543" s="3"/>
    </row>
    <row r="8544" spans="1:9" s="4" customFormat="1" ht="19.5" customHeight="1" x14ac:dyDescent="0.55000000000000004">
      <c r="A8544" s="18">
        <v>24.801391800000001</v>
      </c>
      <c r="B8544" s="18">
        <v>34.829419600000001</v>
      </c>
      <c r="C8544" s="18">
        <v>684922.36</v>
      </c>
      <c r="D8544" s="18">
        <v>2744195.1</v>
      </c>
      <c r="E8544" s="18">
        <v>261.25</v>
      </c>
      <c r="F8544" s="18">
        <v>41851.660000000003</v>
      </c>
      <c r="G8544" s="18">
        <v>102136</v>
      </c>
      <c r="H8544" s="18">
        <f t="shared" si="188"/>
        <v>41841.660000000003</v>
      </c>
      <c r="I8544" s="3"/>
    </row>
    <row r="8545" spans="1:9" s="4" customFormat="1" ht="19.5" customHeight="1" x14ac:dyDescent="0.55000000000000004">
      <c r="A8545" s="18">
        <v>24.801404900000001</v>
      </c>
      <c r="B8545" s="18">
        <v>34.8293988</v>
      </c>
      <c r="C8545" s="18">
        <v>684920.23</v>
      </c>
      <c r="D8545" s="18">
        <v>2744196.53</v>
      </c>
      <c r="E8545" s="18">
        <v>261.33</v>
      </c>
      <c r="F8545" s="18">
        <v>41850.910000000003</v>
      </c>
      <c r="G8545" s="18">
        <v>102138</v>
      </c>
      <c r="H8545" s="18">
        <f t="shared" si="188"/>
        <v>41840.910000000003</v>
      </c>
      <c r="I8545" s="3"/>
    </row>
    <row r="8546" spans="1:9" s="4" customFormat="1" ht="19.5" customHeight="1" x14ac:dyDescent="0.55000000000000004">
      <c r="A8546" s="18">
        <v>24.8014215</v>
      </c>
      <c r="B8546" s="18">
        <v>34.829382099999997</v>
      </c>
      <c r="C8546" s="18">
        <v>684918.52</v>
      </c>
      <c r="D8546" s="18">
        <v>2744198.34</v>
      </c>
      <c r="E8546" s="18">
        <v>261.33999999999997</v>
      </c>
      <c r="F8546" s="18">
        <v>41851.08</v>
      </c>
      <c r="G8546" s="18">
        <v>102140</v>
      </c>
      <c r="H8546" s="18">
        <f t="shared" si="188"/>
        <v>41841.08</v>
      </c>
      <c r="I8546" s="3"/>
    </row>
    <row r="8547" spans="1:9" s="4" customFormat="1" ht="19.5" customHeight="1" x14ac:dyDescent="0.55000000000000004">
      <c r="A8547" s="18">
        <v>24.801438999999998</v>
      </c>
      <c r="B8547" s="18">
        <v>34.829365099999997</v>
      </c>
      <c r="C8547" s="18">
        <v>684916.78</v>
      </c>
      <c r="D8547" s="18">
        <v>2744200.26</v>
      </c>
      <c r="E8547" s="18">
        <v>261.43</v>
      </c>
      <c r="F8547" s="18">
        <v>41852.730000000003</v>
      </c>
      <c r="G8547" s="18">
        <v>102142</v>
      </c>
      <c r="H8547" s="18">
        <f t="shared" si="188"/>
        <v>41842.730000000003</v>
      </c>
      <c r="I8547" s="3"/>
    </row>
    <row r="8548" spans="1:9" s="4" customFormat="1" ht="19.5" customHeight="1" x14ac:dyDescent="0.55000000000000004">
      <c r="A8548" s="18">
        <v>24.801456999999999</v>
      </c>
      <c r="B8548" s="18">
        <v>34.829350300000002</v>
      </c>
      <c r="C8548" s="18">
        <v>684915.25</v>
      </c>
      <c r="D8548" s="18">
        <v>2744202.23</v>
      </c>
      <c r="E8548" s="18">
        <v>261.56</v>
      </c>
      <c r="F8548" s="18">
        <v>41853.39</v>
      </c>
      <c r="G8548" s="18">
        <v>102144</v>
      </c>
      <c r="H8548" s="18">
        <f t="shared" si="188"/>
        <v>41843.39</v>
      </c>
      <c r="I8548" s="3"/>
    </row>
    <row r="8549" spans="1:9" s="4" customFormat="1" ht="19.5" customHeight="1" x14ac:dyDescent="0.55000000000000004">
      <c r="A8549" s="18">
        <v>24.801471200000002</v>
      </c>
      <c r="B8549" s="18">
        <v>34.829332999999998</v>
      </c>
      <c r="C8549" s="18">
        <v>684913.48</v>
      </c>
      <c r="D8549" s="18">
        <v>2744203.78</v>
      </c>
      <c r="E8549" s="18">
        <v>261.55</v>
      </c>
      <c r="F8549" s="18">
        <v>41854.22</v>
      </c>
      <c r="G8549" s="18">
        <v>102146</v>
      </c>
      <c r="H8549" s="18">
        <f t="shared" si="188"/>
        <v>41844.22</v>
      </c>
      <c r="I8549" s="3"/>
    </row>
    <row r="8550" spans="1:9" s="4" customFormat="1" ht="19.5" customHeight="1" x14ac:dyDescent="0.55000000000000004">
      <c r="A8550" s="18">
        <v>24.801485899999999</v>
      </c>
      <c r="B8550" s="18">
        <v>34.829318100000002</v>
      </c>
      <c r="C8550" s="18">
        <v>684911.95</v>
      </c>
      <c r="D8550" s="18">
        <v>2744205.39</v>
      </c>
      <c r="E8550" s="18">
        <v>261.64999999999998</v>
      </c>
      <c r="F8550" s="18">
        <v>41854.33</v>
      </c>
      <c r="G8550" s="18">
        <v>102148</v>
      </c>
      <c r="H8550" s="18">
        <f t="shared" si="188"/>
        <v>41844.33</v>
      </c>
      <c r="I8550" s="3"/>
    </row>
    <row r="8551" spans="1:9" s="4" customFormat="1" ht="19.5" customHeight="1" x14ac:dyDescent="0.55000000000000004">
      <c r="A8551" s="18">
        <v>24.801499400000001</v>
      </c>
      <c r="B8551" s="18">
        <v>34.829303400000001</v>
      </c>
      <c r="C8551" s="18">
        <v>684910.44</v>
      </c>
      <c r="D8551" s="18">
        <v>2744206.87</v>
      </c>
      <c r="E8551" s="18">
        <v>261.69</v>
      </c>
      <c r="F8551" s="18">
        <v>41852.47</v>
      </c>
      <c r="G8551" s="18">
        <v>102150</v>
      </c>
      <c r="H8551" s="18">
        <f t="shared" si="188"/>
        <v>41842.47</v>
      </c>
      <c r="I8551" s="3"/>
    </row>
    <row r="8552" spans="1:9" s="4" customFormat="1" ht="19.5" customHeight="1" x14ac:dyDescent="0.55000000000000004">
      <c r="A8552" s="18">
        <v>24.8015121</v>
      </c>
      <c r="B8552" s="18">
        <v>34.829285599999999</v>
      </c>
      <c r="C8552" s="18">
        <v>684908.63</v>
      </c>
      <c r="D8552" s="18">
        <v>2744208.25</v>
      </c>
      <c r="E8552" s="18">
        <v>261.77999999999997</v>
      </c>
      <c r="F8552" s="18">
        <v>41851.89</v>
      </c>
      <c r="G8552" s="18">
        <v>102152</v>
      </c>
      <c r="H8552" s="18">
        <f t="shared" si="188"/>
        <v>41841.89</v>
      </c>
      <c r="I8552" s="3"/>
    </row>
    <row r="8553" spans="1:9" s="4" customFormat="1" ht="19.5" customHeight="1" x14ac:dyDescent="0.55000000000000004">
      <c r="A8553" s="18">
        <v>24.801526299999999</v>
      </c>
      <c r="B8553" s="18">
        <v>34.829267700000003</v>
      </c>
      <c r="C8553" s="18">
        <v>684906.8</v>
      </c>
      <c r="D8553" s="18">
        <v>2744209.8</v>
      </c>
      <c r="E8553" s="18">
        <v>261.82</v>
      </c>
      <c r="F8553" s="18">
        <v>41851.61</v>
      </c>
      <c r="G8553" s="18">
        <v>102154</v>
      </c>
      <c r="H8553" s="18">
        <f t="shared" si="188"/>
        <v>41841.61</v>
      </c>
      <c r="I8553" s="3"/>
    </row>
    <row r="8554" spans="1:9" s="4" customFormat="1" ht="19.5" customHeight="1" x14ac:dyDescent="0.55000000000000004">
      <c r="A8554" s="18">
        <v>24.801538999999998</v>
      </c>
      <c r="B8554" s="18">
        <v>34.829248200000002</v>
      </c>
      <c r="C8554" s="18">
        <v>684904.81</v>
      </c>
      <c r="D8554" s="18">
        <v>2744211.18</v>
      </c>
      <c r="E8554" s="18">
        <v>261.95</v>
      </c>
      <c r="F8554" s="18">
        <v>41853.57</v>
      </c>
      <c r="G8554" s="18">
        <v>102156</v>
      </c>
      <c r="H8554" s="18">
        <f t="shared" si="188"/>
        <v>41843.57</v>
      </c>
      <c r="I8554" s="3"/>
    </row>
    <row r="8555" spans="1:9" s="4" customFormat="1" ht="19.5" customHeight="1" x14ac:dyDescent="0.55000000000000004">
      <c r="A8555" s="18">
        <v>24.801554899999999</v>
      </c>
      <c r="B8555" s="18">
        <v>34.829230600000002</v>
      </c>
      <c r="C8555" s="18">
        <v>684903</v>
      </c>
      <c r="D8555" s="18">
        <v>2744212.92</v>
      </c>
      <c r="E8555" s="18">
        <v>261.95999999999998</v>
      </c>
      <c r="F8555" s="18">
        <v>41852.92</v>
      </c>
      <c r="G8555" s="18">
        <v>102158</v>
      </c>
      <c r="H8555" s="18">
        <f t="shared" si="188"/>
        <v>41842.92</v>
      </c>
      <c r="I8555" s="3"/>
    </row>
    <row r="8556" spans="1:9" s="4" customFormat="1" ht="19.5" customHeight="1" x14ac:dyDescent="0.55000000000000004">
      <c r="A8556" s="18">
        <v>24.801573399999999</v>
      </c>
      <c r="B8556" s="18">
        <v>34.8292158</v>
      </c>
      <c r="C8556" s="18">
        <v>684901.47</v>
      </c>
      <c r="D8556" s="18">
        <v>2744214.94</v>
      </c>
      <c r="E8556" s="18">
        <v>262</v>
      </c>
      <c r="F8556" s="18">
        <v>41853.42</v>
      </c>
      <c r="G8556" s="18">
        <v>102200</v>
      </c>
      <c r="H8556" s="18">
        <f t="shared" si="188"/>
        <v>41843.42</v>
      </c>
      <c r="I8556" s="3"/>
    </row>
    <row r="8557" spans="1:9" s="4" customFormat="1" ht="19.5" customHeight="1" x14ac:dyDescent="0.55000000000000004">
      <c r="A8557" s="18">
        <v>24.8015866</v>
      </c>
      <c r="B8557" s="18">
        <v>34.829195900000002</v>
      </c>
      <c r="C8557" s="18">
        <v>684899.44</v>
      </c>
      <c r="D8557" s="18">
        <v>2744216.38</v>
      </c>
      <c r="E8557" s="18">
        <v>262.02</v>
      </c>
      <c r="F8557" s="18">
        <v>41853.24</v>
      </c>
      <c r="G8557" s="18">
        <v>102202</v>
      </c>
      <c r="H8557" s="18">
        <f t="shared" si="188"/>
        <v>41843.24</v>
      </c>
      <c r="I8557" s="3"/>
    </row>
    <row r="8558" spans="1:9" s="4" customFormat="1" ht="19.5" customHeight="1" x14ac:dyDescent="0.55000000000000004">
      <c r="A8558" s="18">
        <v>24.8015969</v>
      </c>
      <c r="B8558" s="18">
        <v>34.829173400000002</v>
      </c>
      <c r="C8558" s="18">
        <v>684897.16</v>
      </c>
      <c r="D8558" s="18">
        <v>2744217.49</v>
      </c>
      <c r="E8558" s="18">
        <v>262.04000000000002</v>
      </c>
      <c r="F8558" s="18">
        <v>41853.870000000003</v>
      </c>
      <c r="G8558" s="18">
        <v>102204</v>
      </c>
      <c r="H8558" s="18">
        <f t="shared" si="188"/>
        <v>41843.870000000003</v>
      </c>
      <c r="I8558" s="3"/>
    </row>
    <row r="8559" spans="1:9" s="4" customFormat="1" ht="19.5" customHeight="1" x14ac:dyDescent="0.55000000000000004">
      <c r="A8559" s="18">
        <v>24.801607099999998</v>
      </c>
      <c r="B8559" s="18">
        <v>34.829152700000002</v>
      </c>
      <c r="C8559" s="18">
        <v>684895.04</v>
      </c>
      <c r="D8559" s="18">
        <v>2744218.59</v>
      </c>
      <c r="E8559" s="18">
        <v>262.08999999999997</v>
      </c>
      <c r="F8559" s="18">
        <v>41854.5</v>
      </c>
      <c r="G8559" s="18">
        <v>102206</v>
      </c>
      <c r="H8559" s="18">
        <f t="shared" si="188"/>
        <v>41844.5</v>
      </c>
      <c r="I8559" s="3"/>
    </row>
    <row r="8560" spans="1:9" s="4" customFormat="1" ht="19.5" customHeight="1" x14ac:dyDescent="0.55000000000000004">
      <c r="A8560" s="18">
        <v>24.801614199999999</v>
      </c>
      <c r="B8560" s="18">
        <v>34.829128699999998</v>
      </c>
      <c r="C8560" s="18">
        <v>684892.62</v>
      </c>
      <c r="D8560" s="18">
        <v>2744219.35</v>
      </c>
      <c r="E8560" s="18">
        <v>262.08</v>
      </c>
      <c r="F8560" s="18">
        <v>41852.35</v>
      </c>
      <c r="G8560" s="18">
        <v>102208</v>
      </c>
      <c r="H8560" s="18">
        <f t="shared" si="188"/>
        <v>41842.35</v>
      </c>
      <c r="I8560" s="3"/>
    </row>
    <row r="8561" spans="1:9" s="4" customFormat="1" ht="19.5" customHeight="1" x14ac:dyDescent="0.55000000000000004">
      <c r="A8561" s="18">
        <v>24.801623800000002</v>
      </c>
      <c r="B8561" s="18">
        <v>34.829105200000001</v>
      </c>
      <c r="C8561" s="18">
        <v>684890.22</v>
      </c>
      <c r="D8561" s="18">
        <v>2744220.37</v>
      </c>
      <c r="E8561" s="18">
        <v>262.17</v>
      </c>
      <c r="F8561" s="18">
        <v>41856.550000000003</v>
      </c>
      <c r="G8561" s="18">
        <v>102210</v>
      </c>
      <c r="H8561" s="18">
        <f t="shared" si="188"/>
        <v>41846.550000000003</v>
      </c>
      <c r="I8561" s="3"/>
    </row>
    <row r="8562" spans="1:9" s="4" customFormat="1" ht="19.5" customHeight="1" x14ac:dyDescent="0.55000000000000004">
      <c r="A8562" s="18">
        <v>24.8016395</v>
      </c>
      <c r="B8562" s="18">
        <v>34.829087000000001</v>
      </c>
      <c r="C8562" s="18">
        <v>684888.36</v>
      </c>
      <c r="D8562" s="18">
        <v>2744222.09</v>
      </c>
      <c r="E8562" s="18">
        <v>262.27</v>
      </c>
      <c r="F8562" s="18">
        <v>41854.99</v>
      </c>
      <c r="G8562" s="18">
        <v>102212</v>
      </c>
      <c r="H8562" s="18">
        <f t="shared" ref="H8562:H8601" si="189">SUM(F8562-10)</f>
        <v>41844.99</v>
      </c>
      <c r="I8562" s="3"/>
    </row>
    <row r="8563" spans="1:9" s="4" customFormat="1" ht="19.5" customHeight="1" x14ac:dyDescent="0.55000000000000004">
      <c r="A8563" s="18">
        <v>24.8016459</v>
      </c>
      <c r="B8563" s="18">
        <v>34.829064799999998</v>
      </c>
      <c r="C8563" s="18">
        <v>684886.11</v>
      </c>
      <c r="D8563" s="18">
        <v>2744222.76</v>
      </c>
      <c r="E8563" s="18">
        <v>262.33</v>
      </c>
      <c r="F8563" s="18">
        <v>41855.49</v>
      </c>
      <c r="G8563" s="18">
        <v>102214</v>
      </c>
      <c r="H8563" s="18">
        <f t="shared" si="189"/>
        <v>41845.49</v>
      </c>
      <c r="I8563" s="3"/>
    </row>
    <row r="8564" spans="1:9" s="4" customFormat="1" ht="19.5" customHeight="1" x14ac:dyDescent="0.55000000000000004">
      <c r="A8564" s="18">
        <v>24.801653999999999</v>
      </c>
      <c r="B8564" s="18">
        <v>34.829044199999998</v>
      </c>
      <c r="C8564" s="18">
        <v>684884.01</v>
      </c>
      <c r="D8564" s="18">
        <v>2744223.63</v>
      </c>
      <c r="E8564" s="18">
        <v>262.39</v>
      </c>
      <c r="F8564" s="18">
        <v>41856.160000000003</v>
      </c>
      <c r="G8564" s="18">
        <v>102216</v>
      </c>
      <c r="H8564" s="18">
        <f t="shared" si="189"/>
        <v>41846.160000000003</v>
      </c>
      <c r="I8564" s="3"/>
    </row>
    <row r="8565" spans="1:9" s="4" customFormat="1" ht="19.5" customHeight="1" x14ac:dyDescent="0.55000000000000004">
      <c r="A8565" s="18">
        <v>24.801670600000001</v>
      </c>
      <c r="B8565" s="18">
        <v>34.829028999999998</v>
      </c>
      <c r="C8565" s="18">
        <v>684882.45</v>
      </c>
      <c r="D8565" s="18">
        <v>2744225.45</v>
      </c>
      <c r="E8565" s="18">
        <v>262.43</v>
      </c>
      <c r="F8565" s="18">
        <v>41853.57</v>
      </c>
      <c r="G8565" s="18">
        <v>102218</v>
      </c>
      <c r="H8565" s="18">
        <f t="shared" si="189"/>
        <v>41843.57</v>
      </c>
      <c r="I8565" s="3"/>
    </row>
    <row r="8566" spans="1:9" s="4" customFormat="1" ht="19.5" customHeight="1" x14ac:dyDescent="0.55000000000000004">
      <c r="A8566" s="18">
        <v>24.8016875</v>
      </c>
      <c r="B8566" s="18">
        <v>34.8290121</v>
      </c>
      <c r="C8566" s="18">
        <v>684880.71</v>
      </c>
      <c r="D8566" s="18">
        <v>2744227.3</v>
      </c>
      <c r="E8566" s="18">
        <v>262.55</v>
      </c>
      <c r="F8566" s="18">
        <v>41854.57</v>
      </c>
      <c r="G8566" s="18">
        <v>102220</v>
      </c>
      <c r="H8566" s="18">
        <f t="shared" si="189"/>
        <v>41844.57</v>
      </c>
      <c r="I8566" s="3"/>
    </row>
    <row r="8567" spans="1:9" s="4" customFormat="1" ht="19.5" customHeight="1" x14ac:dyDescent="0.55000000000000004">
      <c r="A8567" s="18">
        <v>24.8017033</v>
      </c>
      <c r="B8567" s="18">
        <v>34.828992800000002</v>
      </c>
      <c r="C8567" s="18">
        <v>684878.74</v>
      </c>
      <c r="D8567" s="18">
        <v>2744229.03</v>
      </c>
      <c r="E8567" s="18">
        <v>262.63</v>
      </c>
      <c r="F8567" s="18">
        <v>41855.07</v>
      </c>
      <c r="G8567" s="18">
        <v>102222</v>
      </c>
      <c r="H8567" s="18">
        <f t="shared" si="189"/>
        <v>41845.07</v>
      </c>
      <c r="I8567" s="3"/>
    </row>
    <row r="8568" spans="1:9" s="4" customFormat="1" ht="19.5" customHeight="1" x14ac:dyDescent="0.55000000000000004">
      <c r="A8568" s="18">
        <v>24.801715999999999</v>
      </c>
      <c r="B8568" s="18">
        <v>34.828972700000001</v>
      </c>
      <c r="C8568" s="18">
        <v>684876.68</v>
      </c>
      <c r="D8568" s="18">
        <v>2744230.41</v>
      </c>
      <c r="E8568" s="18">
        <v>262.67</v>
      </c>
      <c r="F8568" s="18">
        <v>41855.449999999997</v>
      </c>
      <c r="G8568" s="18">
        <v>102224</v>
      </c>
      <c r="H8568" s="18">
        <f t="shared" si="189"/>
        <v>41845.449999999997</v>
      </c>
      <c r="I8568" s="3"/>
    </row>
    <row r="8569" spans="1:9" s="4" customFormat="1" ht="19.5" customHeight="1" x14ac:dyDescent="0.55000000000000004">
      <c r="A8569" s="18">
        <v>24.801726899999998</v>
      </c>
      <c r="B8569" s="18">
        <v>34.8289537</v>
      </c>
      <c r="C8569" s="18">
        <v>684874.75</v>
      </c>
      <c r="D8569" s="18">
        <v>2744231.59</v>
      </c>
      <c r="E8569" s="18">
        <v>262.70999999999998</v>
      </c>
      <c r="F8569" s="18">
        <v>41855.54</v>
      </c>
      <c r="G8569" s="18">
        <v>102226</v>
      </c>
      <c r="H8569" s="18">
        <f t="shared" si="189"/>
        <v>41845.54</v>
      </c>
      <c r="I8569" s="3"/>
    </row>
    <row r="8570" spans="1:9" s="4" customFormat="1" ht="19.5" customHeight="1" x14ac:dyDescent="0.55000000000000004">
      <c r="A8570" s="18">
        <v>24.801734199999999</v>
      </c>
      <c r="B8570" s="18">
        <v>34.828932100000003</v>
      </c>
      <c r="C8570" s="18">
        <v>684872.56</v>
      </c>
      <c r="D8570" s="18">
        <v>2744232.37</v>
      </c>
      <c r="E8570" s="18">
        <v>262.72000000000003</v>
      </c>
      <c r="F8570" s="18">
        <v>41851.72</v>
      </c>
      <c r="G8570" s="18">
        <v>102228</v>
      </c>
      <c r="H8570" s="18">
        <f t="shared" si="189"/>
        <v>41841.72</v>
      </c>
      <c r="I8570" s="3"/>
    </row>
    <row r="8571" spans="1:9" s="4" customFormat="1" ht="19.5" customHeight="1" x14ac:dyDescent="0.55000000000000004">
      <c r="A8571" s="18">
        <v>24.801736999999999</v>
      </c>
      <c r="B8571" s="18">
        <v>34.828908300000002</v>
      </c>
      <c r="C8571" s="18">
        <v>684870.15</v>
      </c>
      <c r="D8571" s="18">
        <v>2744232.65</v>
      </c>
      <c r="E8571" s="18">
        <v>262.77</v>
      </c>
      <c r="F8571" s="18">
        <v>41855.26</v>
      </c>
      <c r="G8571" s="18">
        <v>102230</v>
      </c>
      <c r="H8571" s="18">
        <f t="shared" si="189"/>
        <v>41845.26</v>
      </c>
      <c r="I8571" s="3"/>
    </row>
    <row r="8572" spans="1:9" s="4" customFormat="1" ht="19.5" customHeight="1" x14ac:dyDescent="0.55000000000000004">
      <c r="A8572" s="18">
        <v>24.801742300000001</v>
      </c>
      <c r="B8572" s="18">
        <v>34.828884000000002</v>
      </c>
      <c r="C8572" s="18">
        <v>684867.68</v>
      </c>
      <c r="D8572" s="18">
        <v>2744233.2</v>
      </c>
      <c r="E8572" s="18">
        <v>262.89</v>
      </c>
      <c r="F8572" s="18">
        <v>41855.629999999997</v>
      </c>
      <c r="G8572" s="18">
        <v>102232</v>
      </c>
      <c r="H8572" s="18">
        <f t="shared" si="189"/>
        <v>41845.629999999997</v>
      </c>
      <c r="I8572" s="3"/>
    </row>
    <row r="8573" spans="1:9" s="4" customFormat="1" ht="19.5" customHeight="1" x14ac:dyDescent="0.55000000000000004">
      <c r="A8573" s="18">
        <v>24.801750500000001</v>
      </c>
      <c r="B8573" s="18">
        <v>34.828861400000001</v>
      </c>
      <c r="C8573" s="18">
        <v>684865.38</v>
      </c>
      <c r="D8573" s="18">
        <v>2744234.08</v>
      </c>
      <c r="E8573" s="18">
        <v>262.94</v>
      </c>
      <c r="F8573" s="18">
        <v>41857.06</v>
      </c>
      <c r="G8573" s="18">
        <v>102234</v>
      </c>
      <c r="H8573" s="18">
        <f t="shared" si="189"/>
        <v>41847.06</v>
      </c>
      <c r="I8573" s="3"/>
    </row>
    <row r="8574" spans="1:9" s="4" customFormat="1" ht="19.5" customHeight="1" x14ac:dyDescent="0.55000000000000004">
      <c r="A8574" s="18">
        <v>24.8017629</v>
      </c>
      <c r="B8574" s="18">
        <v>34.8288425</v>
      </c>
      <c r="C8574" s="18">
        <v>684863.45</v>
      </c>
      <c r="D8574" s="18">
        <v>2744235.43</v>
      </c>
      <c r="E8574" s="18">
        <v>263</v>
      </c>
      <c r="F8574" s="18">
        <v>41854.620000000003</v>
      </c>
      <c r="G8574" s="18">
        <v>102236</v>
      </c>
      <c r="H8574" s="18">
        <f t="shared" si="189"/>
        <v>41844.620000000003</v>
      </c>
      <c r="I8574" s="3"/>
    </row>
    <row r="8575" spans="1:9" s="4" customFormat="1" ht="19.5" customHeight="1" x14ac:dyDescent="0.55000000000000004">
      <c r="A8575" s="18">
        <v>24.801778899999999</v>
      </c>
      <c r="B8575" s="18">
        <v>34.828823800000002</v>
      </c>
      <c r="C8575" s="18">
        <v>684861.54</v>
      </c>
      <c r="D8575" s="18">
        <v>2744237.18</v>
      </c>
      <c r="E8575" s="18">
        <v>262.95</v>
      </c>
      <c r="F8575" s="18">
        <v>41853.279999999999</v>
      </c>
      <c r="G8575" s="18">
        <v>102238</v>
      </c>
      <c r="H8575" s="18">
        <f t="shared" si="189"/>
        <v>41843.279999999999</v>
      </c>
      <c r="I8575" s="3"/>
    </row>
    <row r="8576" spans="1:9" s="4" customFormat="1" ht="19.5" customHeight="1" x14ac:dyDescent="0.55000000000000004">
      <c r="A8576" s="18">
        <v>24.8017924</v>
      </c>
      <c r="B8576" s="18">
        <v>34.8288042</v>
      </c>
      <c r="C8576" s="18">
        <v>684859.54</v>
      </c>
      <c r="D8576" s="18">
        <v>2744238.64</v>
      </c>
      <c r="E8576" s="18">
        <v>263.06</v>
      </c>
      <c r="F8576" s="18">
        <v>41854.5</v>
      </c>
      <c r="G8576" s="18">
        <v>102240</v>
      </c>
      <c r="H8576" s="18">
        <f t="shared" si="189"/>
        <v>41844.5</v>
      </c>
      <c r="I8576" s="3"/>
    </row>
    <row r="8577" spans="1:9" s="4" customFormat="1" ht="19.5" customHeight="1" x14ac:dyDescent="0.55000000000000004">
      <c r="A8577" s="18">
        <v>24.801804000000001</v>
      </c>
      <c r="B8577" s="18">
        <v>34.828781999999997</v>
      </c>
      <c r="C8577" s="18">
        <v>684857.28</v>
      </c>
      <c r="D8577" s="18">
        <v>2744239.89</v>
      </c>
      <c r="E8577" s="18">
        <v>263.19</v>
      </c>
      <c r="F8577" s="18">
        <v>41853.68</v>
      </c>
      <c r="G8577" s="18">
        <v>102242</v>
      </c>
      <c r="H8577" s="18">
        <f t="shared" si="189"/>
        <v>41843.68</v>
      </c>
      <c r="I8577" s="3"/>
    </row>
    <row r="8578" spans="1:9" s="4" customFormat="1" ht="19.5" customHeight="1" x14ac:dyDescent="0.55000000000000004">
      <c r="A8578" s="18">
        <v>24.801815300000001</v>
      </c>
      <c r="B8578" s="18">
        <v>34.828761100000001</v>
      </c>
      <c r="C8578" s="18">
        <v>684855.15</v>
      </c>
      <c r="D8578" s="18">
        <v>2744241.12</v>
      </c>
      <c r="E8578" s="18">
        <v>263.18</v>
      </c>
      <c r="F8578" s="18">
        <v>41855.29</v>
      </c>
      <c r="G8578" s="18">
        <v>102244</v>
      </c>
      <c r="H8578" s="18">
        <f t="shared" si="189"/>
        <v>41845.29</v>
      </c>
      <c r="I8578" s="3"/>
    </row>
    <row r="8579" spans="1:9" s="4" customFormat="1" ht="19.5" customHeight="1" x14ac:dyDescent="0.55000000000000004">
      <c r="A8579" s="18">
        <v>24.801830800000001</v>
      </c>
      <c r="B8579" s="18">
        <v>34.828745300000001</v>
      </c>
      <c r="C8579" s="18">
        <v>684853.53</v>
      </c>
      <c r="D8579" s="18">
        <v>2744242.81</v>
      </c>
      <c r="E8579" s="18">
        <v>263.27</v>
      </c>
      <c r="F8579" s="18">
        <v>41852.480000000003</v>
      </c>
      <c r="G8579" s="18">
        <v>102246</v>
      </c>
      <c r="H8579" s="18">
        <f t="shared" si="189"/>
        <v>41842.480000000003</v>
      </c>
      <c r="I8579" s="3"/>
    </row>
    <row r="8580" spans="1:9" s="4" customFormat="1" ht="19.5" customHeight="1" x14ac:dyDescent="0.55000000000000004">
      <c r="A8580" s="18">
        <v>24.801842099999998</v>
      </c>
      <c r="B8580" s="18">
        <v>34.828726500000002</v>
      </c>
      <c r="C8580" s="18">
        <v>684851.61</v>
      </c>
      <c r="D8580" s="18">
        <v>2744244.04</v>
      </c>
      <c r="E8580" s="18">
        <v>263.10000000000002</v>
      </c>
      <c r="F8580" s="18">
        <v>41852.300000000003</v>
      </c>
      <c r="G8580" s="18">
        <v>102248</v>
      </c>
      <c r="H8580" s="18">
        <f t="shared" si="189"/>
        <v>41842.300000000003</v>
      </c>
      <c r="I8580" s="3"/>
    </row>
    <row r="8581" spans="1:9" s="4" customFormat="1" ht="19.5" customHeight="1" x14ac:dyDescent="0.55000000000000004">
      <c r="A8581" s="18">
        <v>24.801855100000001</v>
      </c>
      <c r="B8581" s="18">
        <v>34.828704500000001</v>
      </c>
      <c r="C8581" s="18">
        <v>684849.36</v>
      </c>
      <c r="D8581" s="18">
        <v>2744245.45</v>
      </c>
      <c r="E8581" s="18">
        <v>263.14</v>
      </c>
      <c r="F8581" s="18">
        <v>41854.5</v>
      </c>
      <c r="G8581" s="18">
        <v>102250</v>
      </c>
      <c r="H8581" s="18">
        <f t="shared" si="189"/>
        <v>41844.5</v>
      </c>
      <c r="I8581" s="3"/>
    </row>
    <row r="8582" spans="1:9" s="4" customFormat="1" ht="19.5" customHeight="1" x14ac:dyDescent="0.55000000000000004">
      <c r="A8582" s="18">
        <v>24.801866499999999</v>
      </c>
      <c r="B8582" s="18">
        <v>34.828682399999998</v>
      </c>
      <c r="C8582" s="18">
        <v>684847.12</v>
      </c>
      <c r="D8582" s="18">
        <v>2744246.68</v>
      </c>
      <c r="E8582" s="18">
        <v>263.33</v>
      </c>
      <c r="F8582" s="18">
        <v>41853.75</v>
      </c>
      <c r="G8582" s="18">
        <v>102252</v>
      </c>
      <c r="H8582" s="18">
        <f t="shared" si="189"/>
        <v>41843.75</v>
      </c>
      <c r="I8582" s="3"/>
    </row>
    <row r="8583" spans="1:9" s="4" customFormat="1" ht="19.5" customHeight="1" x14ac:dyDescent="0.55000000000000004">
      <c r="A8583" s="18">
        <v>24.801868800000001</v>
      </c>
      <c r="B8583" s="18">
        <v>34.828660599999999</v>
      </c>
      <c r="C8583" s="18">
        <v>684844.91</v>
      </c>
      <c r="D8583" s="18">
        <v>2744246.91</v>
      </c>
      <c r="E8583" s="18">
        <v>263.38</v>
      </c>
      <c r="F8583" s="18">
        <v>41850.35</v>
      </c>
      <c r="G8583" s="18">
        <v>102254</v>
      </c>
      <c r="H8583" s="18">
        <f t="shared" si="189"/>
        <v>41840.35</v>
      </c>
      <c r="I8583" s="3"/>
    </row>
    <row r="8584" spans="1:9" s="4" customFormat="1" ht="19.5" customHeight="1" x14ac:dyDescent="0.55000000000000004">
      <c r="A8584" s="18">
        <v>24.801880100000002</v>
      </c>
      <c r="B8584" s="18">
        <v>34.828641099999999</v>
      </c>
      <c r="C8584" s="18">
        <v>684842.92</v>
      </c>
      <c r="D8584" s="18">
        <v>2744248.13</v>
      </c>
      <c r="E8584" s="18">
        <v>263.45</v>
      </c>
      <c r="F8584" s="18">
        <v>41855.410000000003</v>
      </c>
      <c r="G8584" s="18">
        <v>102256</v>
      </c>
      <c r="H8584" s="18">
        <f t="shared" si="189"/>
        <v>41845.410000000003</v>
      </c>
      <c r="I8584" s="3"/>
    </row>
    <row r="8585" spans="1:9" s="4" customFormat="1" ht="19.5" customHeight="1" x14ac:dyDescent="0.55000000000000004">
      <c r="A8585" s="18">
        <v>24.801899200000001</v>
      </c>
      <c r="B8585" s="18">
        <v>34.828627300000001</v>
      </c>
      <c r="C8585" s="18">
        <v>684841.49</v>
      </c>
      <c r="D8585" s="18">
        <v>2744250.23</v>
      </c>
      <c r="E8585" s="18">
        <v>263.51</v>
      </c>
      <c r="F8585" s="18">
        <v>41852.54</v>
      </c>
      <c r="G8585" s="18">
        <v>102258</v>
      </c>
      <c r="H8585" s="18">
        <f t="shared" si="189"/>
        <v>41842.54</v>
      </c>
      <c r="I8585" s="3"/>
    </row>
    <row r="8586" spans="1:9" s="4" customFormat="1" ht="19.5" customHeight="1" x14ac:dyDescent="0.55000000000000004">
      <c r="A8586" s="18">
        <v>24.801917199999998</v>
      </c>
      <c r="B8586" s="18">
        <v>34.828611500000001</v>
      </c>
      <c r="C8586" s="18">
        <v>684839.88</v>
      </c>
      <c r="D8586" s="18">
        <v>2744252.2</v>
      </c>
      <c r="E8586" s="18">
        <v>263.55</v>
      </c>
      <c r="F8586" s="18">
        <v>41851.79</v>
      </c>
      <c r="G8586" s="18">
        <v>102300</v>
      </c>
      <c r="H8586" s="18">
        <f t="shared" si="189"/>
        <v>41841.79</v>
      </c>
      <c r="I8586" s="3"/>
    </row>
    <row r="8587" spans="1:9" s="4" customFormat="1" ht="19.5" customHeight="1" x14ac:dyDescent="0.55000000000000004">
      <c r="A8587" s="18">
        <v>24.801935100000001</v>
      </c>
      <c r="B8587" s="18">
        <v>34.828595399999998</v>
      </c>
      <c r="C8587" s="18">
        <v>684838.22</v>
      </c>
      <c r="D8587" s="18">
        <v>2744254.17</v>
      </c>
      <c r="E8587" s="18">
        <v>263.58</v>
      </c>
      <c r="F8587" s="18">
        <v>41852.65</v>
      </c>
      <c r="G8587" s="18">
        <v>102302</v>
      </c>
      <c r="H8587" s="18">
        <f t="shared" si="189"/>
        <v>41842.65</v>
      </c>
      <c r="I8587" s="3"/>
    </row>
    <row r="8588" spans="1:9" s="4" customFormat="1" ht="19.5" customHeight="1" x14ac:dyDescent="0.55000000000000004">
      <c r="A8588" s="18">
        <v>24.8019526</v>
      </c>
      <c r="B8588" s="18">
        <v>34.828579599999998</v>
      </c>
      <c r="C8588" s="18">
        <v>684836.59</v>
      </c>
      <c r="D8588" s="18">
        <v>2744256.08</v>
      </c>
      <c r="E8588" s="18">
        <v>263.73</v>
      </c>
      <c r="F8588" s="18">
        <v>41852.44</v>
      </c>
      <c r="G8588" s="18">
        <v>102304</v>
      </c>
      <c r="H8588" s="18">
        <f t="shared" si="189"/>
        <v>41842.44</v>
      </c>
      <c r="I8588" s="3"/>
    </row>
    <row r="8589" spans="1:9" s="4" customFormat="1" ht="19.5" customHeight="1" x14ac:dyDescent="0.55000000000000004">
      <c r="A8589" s="18">
        <v>24.801971099999999</v>
      </c>
      <c r="B8589" s="18">
        <v>34.828563500000001</v>
      </c>
      <c r="C8589" s="18">
        <v>684834.93</v>
      </c>
      <c r="D8589" s="18">
        <v>2744258.11</v>
      </c>
      <c r="E8589" s="18">
        <v>263.76</v>
      </c>
      <c r="F8589" s="18">
        <v>41853.93</v>
      </c>
      <c r="G8589" s="18">
        <v>102306</v>
      </c>
      <c r="H8589" s="18">
        <f t="shared" si="189"/>
        <v>41843.93</v>
      </c>
      <c r="I8589" s="3"/>
    </row>
    <row r="8590" spans="1:9" s="4" customFormat="1" ht="19.5" customHeight="1" x14ac:dyDescent="0.55000000000000004">
      <c r="A8590" s="18">
        <v>24.801988999999999</v>
      </c>
      <c r="B8590" s="18">
        <v>34.828546099999997</v>
      </c>
      <c r="C8590" s="18">
        <v>684833.15</v>
      </c>
      <c r="D8590" s="18">
        <v>2744260.07</v>
      </c>
      <c r="E8590" s="18">
        <v>263.72000000000003</v>
      </c>
      <c r="F8590" s="18">
        <v>41853.699999999997</v>
      </c>
      <c r="G8590" s="18">
        <v>102308</v>
      </c>
      <c r="H8590" s="18">
        <f t="shared" si="189"/>
        <v>41843.699999999997</v>
      </c>
      <c r="I8590" s="3"/>
    </row>
    <row r="8591" spans="1:9" s="4" customFormat="1" ht="19.5" customHeight="1" x14ac:dyDescent="0.55000000000000004">
      <c r="A8591" s="18">
        <v>24.802004700000001</v>
      </c>
      <c r="B8591" s="18">
        <v>34.828526799999999</v>
      </c>
      <c r="C8591" s="18">
        <v>684831.17</v>
      </c>
      <c r="D8591" s="18">
        <v>2744261.79</v>
      </c>
      <c r="E8591" s="18">
        <v>263.82</v>
      </c>
      <c r="F8591" s="18">
        <v>41851.879999999997</v>
      </c>
      <c r="G8591" s="18">
        <v>102310</v>
      </c>
      <c r="H8591" s="18">
        <f t="shared" si="189"/>
        <v>41841.879999999997</v>
      </c>
      <c r="I8591" s="3"/>
    </row>
    <row r="8592" spans="1:9" s="4" customFormat="1" ht="19.5" customHeight="1" x14ac:dyDescent="0.55000000000000004">
      <c r="A8592" s="18">
        <v>24.802021</v>
      </c>
      <c r="B8592" s="18">
        <v>34.828507799999997</v>
      </c>
      <c r="C8592" s="18">
        <v>684829.23</v>
      </c>
      <c r="D8592" s="18">
        <v>2744263.56</v>
      </c>
      <c r="E8592" s="18">
        <v>263.82</v>
      </c>
      <c r="F8592" s="18">
        <v>41854.36</v>
      </c>
      <c r="G8592" s="18">
        <v>102312</v>
      </c>
      <c r="H8592" s="18">
        <f t="shared" si="189"/>
        <v>41844.36</v>
      </c>
      <c r="I8592" s="3"/>
    </row>
    <row r="8593" spans="1:9" s="4" customFormat="1" ht="19.5" customHeight="1" x14ac:dyDescent="0.55000000000000004">
      <c r="A8593" s="18">
        <v>24.802040300000002</v>
      </c>
      <c r="B8593" s="18">
        <v>34.8284916</v>
      </c>
      <c r="C8593" s="18">
        <v>684827.56</v>
      </c>
      <c r="D8593" s="18">
        <v>2744265.67</v>
      </c>
      <c r="E8593" s="18">
        <v>263.85000000000002</v>
      </c>
      <c r="F8593" s="18">
        <v>41853.4</v>
      </c>
      <c r="G8593" s="18">
        <v>102314</v>
      </c>
      <c r="H8593" s="18">
        <f t="shared" si="189"/>
        <v>41843.4</v>
      </c>
      <c r="I8593" s="3"/>
    </row>
    <row r="8594" spans="1:9" s="4" customFormat="1" ht="19.5" customHeight="1" x14ac:dyDescent="0.55000000000000004">
      <c r="A8594" s="18">
        <v>24.8020596</v>
      </c>
      <c r="B8594" s="18">
        <v>34.828476600000002</v>
      </c>
      <c r="C8594" s="18">
        <v>684826.02</v>
      </c>
      <c r="D8594" s="18">
        <v>2744267.8</v>
      </c>
      <c r="E8594" s="18">
        <v>263.95999999999998</v>
      </c>
      <c r="F8594" s="18">
        <v>41852.86</v>
      </c>
      <c r="G8594" s="18">
        <v>102316</v>
      </c>
      <c r="H8594" s="18">
        <f t="shared" si="189"/>
        <v>41842.86</v>
      </c>
      <c r="I8594" s="3"/>
    </row>
    <row r="8595" spans="1:9" s="4" customFormat="1" ht="19.5" customHeight="1" x14ac:dyDescent="0.55000000000000004">
      <c r="A8595" s="18">
        <v>24.802078600000002</v>
      </c>
      <c r="B8595" s="18">
        <v>34.828459299999999</v>
      </c>
      <c r="C8595" s="18">
        <v>684824.25</v>
      </c>
      <c r="D8595" s="18">
        <v>2744269.87</v>
      </c>
      <c r="E8595" s="18">
        <v>264.01</v>
      </c>
      <c r="F8595" s="18">
        <v>41852.370000000003</v>
      </c>
      <c r="G8595" s="18">
        <v>102318</v>
      </c>
      <c r="H8595" s="18">
        <f t="shared" si="189"/>
        <v>41842.370000000003</v>
      </c>
      <c r="I8595" s="3"/>
    </row>
    <row r="8596" spans="1:9" s="4" customFormat="1" ht="19.5" customHeight="1" x14ac:dyDescent="0.55000000000000004">
      <c r="A8596" s="18">
        <v>24.802091999999998</v>
      </c>
      <c r="B8596" s="18">
        <v>34.828439400000001</v>
      </c>
      <c r="C8596" s="18">
        <v>684822.21</v>
      </c>
      <c r="D8596" s="18">
        <v>2744271.33</v>
      </c>
      <c r="E8596" s="18">
        <v>264.02</v>
      </c>
      <c r="F8596" s="18">
        <v>41852.17</v>
      </c>
      <c r="G8596" s="18">
        <v>102320</v>
      </c>
      <c r="H8596" s="18">
        <f t="shared" si="189"/>
        <v>41842.17</v>
      </c>
      <c r="I8596" s="3"/>
    </row>
    <row r="8597" spans="1:9" s="4" customFormat="1" ht="19.5" customHeight="1" x14ac:dyDescent="0.55000000000000004">
      <c r="A8597" s="18">
        <v>24.8021022</v>
      </c>
      <c r="B8597" s="18">
        <v>34.828415399999997</v>
      </c>
      <c r="C8597" s="18">
        <v>684819.77</v>
      </c>
      <c r="D8597" s="18">
        <v>2744272.42</v>
      </c>
      <c r="E8597" s="18">
        <v>264.12</v>
      </c>
      <c r="F8597" s="18">
        <v>41851.089999999997</v>
      </c>
      <c r="G8597" s="18">
        <v>102322</v>
      </c>
      <c r="H8597" s="18">
        <f t="shared" si="189"/>
        <v>41841.089999999997</v>
      </c>
      <c r="I8597" s="3"/>
    </row>
    <row r="8598" spans="1:9" s="4" customFormat="1" ht="19.5" customHeight="1" x14ac:dyDescent="0.55000000000000004">
      <c r="A8598" s="18">
        <v>24.8021137</v>
      </c>
      <c r="B8598" s="18">
        <v>34.828395</v>
      </c>
      <c r="C8598" s="18">
        <v>684817.69</v>
      </c>
      <c r="D8598" s="18">
        <v>2744273.67</v>
      </c>
      <c r="E8598" s="18">
        <v>264.16000000000003</v>
      </c>
      <c r="F8598" s="18">
        <v>41851.35</v>
      </c>
      <c r="G8598" s="18">
        <v>102324</v>
      </c>
      <c r="H8598" s="18">
        <f t="shared" si="189"/>
        <v>41841.35</v>
      </c>
      <c r="I8598" s="3"/>
    </row>
    <row r="8599" spans="1:9" s="4" customFormat="1" ht="19.5" customHeight="1" x14ac:dyDescent="0.55000000000000004">
      <c r="A8599" s="18">
        <v>24.802122700000002</v>
      </c>
      <c r="B8599" s="18">
        <v>34.828373399999997</v>
      </c>
      <c r="C8599" s="18">
        <v>684815.5</v>
      </c>
      <c r="D8599" s="18">
        <v>2744274.64</v>
      </c>
      <c r="E8599" s="18">
        <v>264.27999999999997</v>
      </c>
      <c r="F8599" s="18">
        <v>41851.21</v>
      </c>
      <c r="G8599" s="18">
        <v>102326</v>
      </c>
      <c r="H8599" s="18">
        <f t="shared" si="189"/>
        <v>41841.21</v>
      </c>
      <c r="I8599" s="3"/>
    </row>
    <row r="8600" spans="1:9" s="4" customFormat="1" ht="19.5" customHeight="1" x14ac:dyDescent="0.55000000000000004">
      <c r="A8600" s="18">
        <v>24.802130099999999</v>
      </c>
      <c r="B8600" s="18">
        <v>34.828354400000002</v>
      </c>
      <c r="C8600" s="18">
        <v>684813.56</v>
      </c>
      <c r="D8600" s="18">
        <v>2744275.44</v>
      </c>
      <c r="E8600" s="18">
        <v>264.17</v>
      </c>
      <c r="F8600" s="18">
        <v>41852.31</v>
      </c>
      <c r="G8600" s="18">
        <v>102328</v>
      </c>
      <c r="H8600" s="18">
        <f t="shared" si="189"/>
        <v>41842.31</v>
      </c>
      <c r="I8600" s="3"/>
    </row>
    <row r="8601" spans="1:9" s="4" customFormat="1" ht="19.5" customHeight="1" x14ac:dyDescent="0.55000000000000004">
      <c r="A8601" s="18">
        <v>24.8021338</v>
      </c>
      <c r="B8601" s="18">
        <v>34.828350200000003</v>
      </c>
      <c r="C8601" s="18">
        <v>684813.13</v>
      </c>
      <c r="D8601" s="18">
        <v>2744275.84</v>
      </c>
      <c r="E8601" s="18">
        <v>263.92</v>
      </c>
      <c r="F8601" s="18">
        <v>41854</v>
      </c>
      <c r="G8601" s="18">
        <v>102330</v>
      </c>
      <c r="H8601" s="18">
        <f t="shared" si="189"/>
        <v>41844</v>
      </c>
      <c r="I8601" s="3"/>
    </row>
    <row r="8602" spans="1:9" ht="19.5" customHeight="1" x14ac:dyDescent="0.55000000000000004">
      <c r="A8602" s="18">
        <v>24.8021368</v>
      </c>
      <c r="B8602" s="18">
        <v>34.828377500000002</v>
      </c>
      <c r="C8602" s="18">
        <v>684815.88</v>
      </c>
      <c r="D8602" s="18">
        <v>2744276.21</v>
      </c>
      <c r="E8602" s="18">
        <v>264.69</v>
      </c>
      <c r="F8602" s="18">
        <v>41859.4</v>
      </c>
      <c r="G8602" s="18">
        <v>102724</v>
      </c>
      <c r="H8602" s="18">
        <f>SUM(F8602-10)</f>
        <v>41849.4</v>
      </c>
    </row>
    <row r="8603" spans="1:9" ht="19.5" customHeight="1" x14ac:dyDescent="0.55000000000000004">
      <c r="A8603" s="18">
        <v>24.8021359</v>
      </c>
      <c r="B8603" s="18">
        <v>34.828375899999998</v>
      </c>
      <c r="C8603" s="18">
        <v>684815.72</v>
      </c>
      <c r="D8603" s="18">
        <v>2744276.11</v>
      </c>
      <c r="E8603" s="18">
        <v>264.69</v>
      </c>
      <c r="F8603" s="18">
        <v>41856.410000000003</v>
      </c>
      <c r="G8603" s="18">
        <v>102726</v>
      </c>
      <c r="H8603" s="18">
        <f t="shared" ref="H8603:H8666" si="190">SUM(F8603-10)</f>
        <v>41846.410000000003</v>
      </c>
    </row>
    <row r="8604" spans="1:9" ht="19.5" customHeight="1" x14ac:dyDescent="0.55000000000000004">
      <c r="A8604" s="18">
        <v>24.802134500000001</v>
      </c>
      <c r="B8604" s="18">
        <v>34.828354900000001</v>
      </c>
      <c r="C8604" s="18">
        <v>684813.61</v>
      </c>
      <c r="D8604" s="18">
        <v>2744275.92</v>
      </c>
      <c r="E8604" s="18">
        <v>264.79000000000002</v>
      </c>
      <c r="F8604" s="18">
        <v>41858.089999999997</v>
      </c>
      <c r="G8604" s="18">
        <v>102728</v>
      </c>
      <c r="H8604" s="18">
        <f t="shared" si="190"/>
        <v>41848.089999999997</v>
      </c>
    </row>
    <row r="8605" spans="1:9" ht="19.5" customHeight="1" x14ac:dyDescent="0.55000000000000004">
      <c r="A8605" s="18">
        <v>24.802137200000001</v>
      </c>
      <c r="B8605" s="18">
        <v>34.828335699999997</v>
      </c>
      <c r="C8605" s="18">
        <v>684811.66</v>
      </c>
      <c r="D8605" s="18">
        <v>2744276.2</v>
      </c>
      <c r="E8605" s="18">
        <v>264.91000000000003</v>
      </c>
      <c r="F8605" s="18">
        <v>41853.97</v>
      </c>
      <c r="G8605" s="18">
        <v>102730</v>
      </c>
      <c r="H8605" s="18">
        <f t="shared" si="190"/>
        <v>41843.97</v>
      </c>
    </row>
    <row r="8606" spans="1:9" ht="19.5" customHeight="1" x14ac:dyDescent="0.55000000000000004">
      <c r="A8606" s="18">
        <v>24.802147900000001</v>
      </c>
      <c r="B8606" s="18">
        <v>34.828311200000002</v>
      </c>
      <c r="C8606" s="18">
        <v>684809.17</v>
      </c>
      <c r="D8606" s="18">
        <v>2744277.35</v>
      </c>
      <c r="E8606" s="18">
        <v>265.39</v>
      </c>
      <c r="F8606" s="18">
        <v>41852.07</v>
      </c>
      <c r="G8606" s="18">
        <v>102732</v>
      </c>
      <c r="H8606" s="18">
        <f t="shared" si="190"/>
        <v>41842.07</v>
      </c>
    </row>
    <row r="8607" spans="1:9" ht="19.5" customHeight="1" x14ac:dyDescent="0.55000000000000004">
      <c r="A8607" s="18">
        <v>24.802159799999998</v>
      </c>
      <c r="B8607" s="18">
        <v>34.828290500000001</v>
      </c>
      <c r="C8607" s="18">
        <v>684807.05</v>
      </c>
      <c r="D8607" s="18">
        <v>2744278.64</v>
      </c>
      <c r="E8607" s="18">
        <v>265.44</v>
      </c>
      <c r="F8607" s="18">
        <v>41849.79</v>
      </c>
      <c r="G8607" s="18">
        <v>102734</v>
      </c>
      <c r="H8607" s="18">
        <f t="shared" si="190"/>
        <v>41839.79</v>
      </c>
    </row>
    <row r="8608" spans="1:9" ht="19.5" customHeight="1" x14ac:dyDescent="0.55000000000000004">
      <c r="A8608" s="18">
        <v>24.802170499999999</v>
      </c>
      <c r="B8608" s="18">
        <v>34.828267500000003</v>
      </c>
      <c r="C8608" s="18">
        <v>684804.71</v>
      </c>
      <c r="D8608" s="18">
        <v>2744279.79</v>
      </c>
      <c r="E8608" s="18">
        <v>265.52999999999997</v>
      </c>
      <c r="F8608" s="18">
        <v>41851.089999999997</v>
      </c>
      <c r="G8608" s="18">
        <v>102736</v>
      </c>
      <c r="H8608" s="18">
        <f t="shared" si="190"/>
        <v>41841.089999999997</v>
      </c>
    </row>
    <row r="8609" spans="1:8" ht="19.5" customHeight="1" x14ac:dyDescent="0.55000000000000004">
      <c r="A8609" s="18">
        <v>24.8021791</v>
      </c>
      <c r="B8609" s="18">
        <v>34.828250599999997</v>
      </c>
      <c r="C8609" s="18">
        <v>684803</v>
      </c>
      <c r="D8609" s="18">
        <v>2744280.72</v>
      </c>
      <c r="E8609" s="18">
        <v>265.64999999999998</v>
      </c>
      <c r="F8609" s="18">
        <v>41853.339999999997</v>
      </c>
      <c r="G8609" s="18">
        <v>102738</v>
      </c>
      <c r="H8609" s="18">
        <f t="shared" si="190"/>
        <v>41843.339999999997</v>
      </c>
    </row>
    <row r="8610" spans="1:8" ht="19.5" customHeight="1" x14ac:dyDescent="0.55000000000000004">
      <c r="A8610" s="18">
        <v>24.802182699999999</v>
      </c>
      <c r="B8610" s="18">
        <v>34.828242000000003</v>
      </c>
      <c r="C8610" s="18">
        <v>684802.12</v>
      </c>
      <c r="D8610" s="18">
        <v>2744281.11</v>
      </c>
      <c r="E8610" s="18">
        <v>265.70999999999998</v>
      </c>
      <c r="F8610" s="18">
        <v>41852.04</v>
      </c>
      <c r="G8610" s="18">
        <v>102740</v>
      </c>
      <c r="H8610" s="18">
        <f t="shared" si="190"/>
        <v>41842.04</v>
      </c>
    </row>
    <row r="8611" spans="1:8" ht="19.5" customHeight="1" x14ac:dyDescent="0.55000000000000004">
      <c r="A8611" s="18">
        <v>24.802187</v>
      </c>
      <c r="B8611" s="18">
        <v>34.828230699999999</v>
      </c>
      <c r="C8611" s="18">
        <v>684800.97</v>
      </c>
      <c r="D8611" s="18">
        <v>2744281.57</v>
      </c>
      <c r="E8611" s="18">
        <v>265.73</v>
      </c>
      <c r="F8611" s="18">
        <v>41842.699999999997</v>
      </c>
      <c r="G8611" s="18">
        <v>102742</v>
      </c>
      <c r="H8611" s="18">
        <f t="shared" si="190"/>
        <v>41832.699999999997</v>
      </c>
    </row>
    <row r="8612" spans="1:8" ht="19.5" customHeight="1" x14ac:dyDescent="0.55000000000000004">
      <c r="A8612" s="18">
        <v>24.802191499999999</v>
      </c>
      <c r="B8612" s="18">
        <v>34.828224499999997</v>
      </c>
      <c r="C8612" s="18">
        <v>684800.34</v>
      </c>
      <c r="D8612" s="18">
        <v>2744282.06</v>
      </c>
      <c r="E8612" s="18">
        <v>265.8</v>
      </c>
      <c r="F8612" s="18">
        <v>41834.559999999998</v>
      </c>
      <c r="G8612" s="18">
        <v>102744</v>
      </c>
      <c r="H8612" s="18">
        <f t="shared" si="190"/>
        <v>41824.559999999998</v>
      </c>
    </row>
    <row r="8613" spans="1:8" ht="19.5" customHeight="1" x14ac:dyDescent="0.55000000000000004">
      <c r="A8613" s="18">
        <v>24.802191100000002</v>
      </c>
      <c r="B8613" s="18">
        <v>34.828225699999997</v>
      </c>
      <c r="C8613" s="18">
        <v>684800.46</v>
      </c>
      <c r="D8613" s="18">
        <v>2744282.02</v>
      </c>
      <c r="E8613" s="18">
        <v>265.81</v>
      </c>
      <c r="F8613" s="18">
        <v>41817.42</v>
      </c>
      <c r="G8613" s="18">
        <v>102746</v>
      </c>
      <c r="H8613" s="18">
        <f t="shared" si="190"/>
        <v>41807.42</v>
      </c>
    </row>
    <row r="8614" spans="1:8" ht="19.5" customHeight="1" x14ac:dyDescent="0.55000000000000004">
      <c r="A8614" s="18">
        <v>24.8021913</v>
      </c>
      <c r="B8614" s="18">
        <v>34.828225500000002</v>
      </c>
      <c r="C8614" s="18">
        <v>684800.44</v>
      </c>
      <c r="D8614" s="18">
        <v>2744282.05</v>
      </c>
      <c r="E8614" s="18">
        <v>265.83</v>
      </c>
      <c r="F8614" s="18">
        <v>41817.14</v>
      </c>
      <c r="G8614" s="18">
        <v>102748</v>
      </c>
      <c r="H8614" s="18">
        <f t="shared" si="190"/>
        <v>41807.14</v>
      </c>
    </row>
    <row r="8615" spans="1:8" ht="19.5" customHeight="1" x14ac:dyDescent="0.55000000000000004">
      <c r="A8615" s="18">
        <v>24.8021913</v>
      </c>
      <c r="B8615" s="18">
        <v>34.828225500000002</v>
      </c>
      <c r="C8615" s="18">
        <v>684800.44</v>
      </c>
      <c r="D8615" s="18">
        <v>2744282.04</v>
      </c>
      <c r="E8615" s="18">
        <v>265.83</v>
      </c>
      <c r="F8615" s="18">
        <v>41815.410000000003</v>
      </c>
      <c r="G8615" s="18">
        <v>102750</v>
      </c>
      <c r="H8615" s="18">
        <f t="shared" si="190"/>
        <v>41805.410000000003</v>
      </c>
    </row>
    <row r="8616" spans="1:8" ht="19.5" customHeight="1" x14ac:dyDescent="0.55000000000000004">
      <c r="A8616" s="18">
        <v>24.8021916</v>
      </c>
      <c r="B8616" s="18">
        <v>34.828225199999999</v>
      </c>
      <c r="C8616" s="18">
        <v>684800.4</v>
      </c>
      <c r="D8616" s="18">
        <v>2744282.07</v>
      </c>
      <c r="E8616" s="18">
        <v>265.83999999999997</v>
      </c>
      <c r="F8616" s="18">
        <v>41815.96</v>
      </c>
      <c r="G8616" s="18">
        <v>102752</v>
      </c>
      <c r="H8616" s="18">
        <f t="shared" si="190"/>
        <v>41805.96</v>
      </c>
    </row>
    <row r="8617" spans="1:8" ht="19.5" customHeight="1" x14ac:dyDescent="0.55000000000000004">
      <c r="A8617" s="18">
        <v>24.8021916</v>
      </c>
      <c r="B8617" s="18">
        <v>34.828225199999999</v>
      </c>
      <c r="C8617" s="18">
        <v>684800.41</v>
      </c>
      <c r="D8617" s="18">
        <v>2744282.07</v>
      </c>
      <c r="E8617" s="18">
        <v>265.83999999999997</v>
      </c>
      <c r="F8617" s="18">
        <v>41816.120000000003</v>
      </c>
      <c r="G8617" s="18">
        <v>102754</v>
      </c>
      <c r="H8617" s="18">
        <f t="shared" si="190"/>
        <v>41806.120000000003</v>
      </c>
    </row>
    <row r="8618" spans="1:8" ht="19.5" customHeight="1" x14ac:dyDescent="0.55000000000000004">
      <c r="A8618" s="18">
        <v>24.802191700000002</v>
      </c>
      <c r="B8618" s="18">
        <v>34.828224900000002</v>
      </c>
      <c r="C8618" s="18">
        <v>684800.37</v>
      </c>
      <c r="D8618" s="18">
        <v>2744282.08</v>
      </c>
      <c r="E8618" s="18">
        <v>265.85000000000002</v>
      </c>
      <c r="F8618" s="18">
        <v>41811.910000000003</v>
      </c>
      <c r="G8618" s="18">
        <v>102756</v>
      </c>
      <c r="H8618" s="18">
        <f t="shared" si="190"/>
        <v>41801.910000000003</v>
      </c>
    </row>
    <row r="8619" spans="1:8" ht="19.5" customHeight="1" x14ac:dyDescent="0.55000000000000004">
      <c r="A8619" s="18">
        <v>24.802192099999999</v>
      </c>
      <c r="B8619" s="18">
        <v>34.828224400000003</v>
      </c>
      <c r="C8619" s="18">
        <v>684800.33</v>
      </c>
      <c r="D8619" s="18">
        <v>2744282.13</v>
      </c>
      <c r="E8619" s="18">
        <v>265.85000000000002</v>
      </c>
      <c r="F8619" s="18">
        <v>41816.17</v>
      </c>
      <c r="G8619" s="18">
        <v>102758</v>
      </c>
      <c r="H8619" s="18">
        <f t="shared" si="190"/>
        <v>41806.17</v>
      </c>
    </row>
    <row r="8620" spans="1:8" ht="19.5" customHeight="1" x14ac:dyDescent="0.55000000000000004">
      <c r="A8620" s="18">
        <v>24.8021925</v>
      </c>
      <c r="B8620" s="18">
        <v>34.8282241</v>
      </c>
      <c r="C8620" s="18">
        <v>684800.29</v>
      </c>
      <c r="D8620" s="18">
        <v>2744282.17</v>
      </c>
      <c r="E8620" s="18">
        <v>265.83999999999997</v>
      </c>
      <c r="F8620" s="18">
        <v>41813.199999999997</v>
      </c>
      <c r="G8620" s="18">
        <v>102800</v>
      </c>
      <c r="H8620" s="18">
        <f t="shared" si="190"/>
        <v>41803.199999999997</v>
      </c>
    </row>
    <row r="8621" spans="1:8" ht="19.5" customHeight="1" x14ac:dyDescent="0.55000000000000004">
      <c r="A8621" s="18">
        <v>24.802192600000001</v>
      </c>
      <c r="B8621" s="18">
        <v>34.8282241</v>
      </c>
      <c r="C8621" s="18">
        <v>684800.29</v>
      </c>
      <c r="D8621" s="18">
        <v>2744282.19</v>
      </c>
      <c r="E8621" s="18">
        <v>265.85000000000002</v>
      </c>
      <c r="F8621" s="18">
        <v>41813.910000000003</v>
      </c>
      <c r="G8621" s="18">
        <v>102802</v>
      </c>
      <c r="H8621" s="18">
        <f t="shared" si="190"/>
        <v>41803.910000000003</v>
      </c>
    </row>
    <row r="8622" spans="1:8" ht="19.5" customHeight="1" x14ac:dyDescent="0.55000000000000004">
      <c r="A8622" s="18">
        <v>24.802192699999999</v>
      </c>
      <c r="B8622" s="18">
        <v>34.828223800000004</v>
      </c>
      <c r="C8622" s="18">
        <v>684800.26</v>
      </c>
      <c r="D8622" s="18">
        <v>2744282.2</v>
      </c>
      <c r="E8622" s="18">
        <v>265.83999999999997</v>
      </c>
      <c r="F8622" s="18">
        <v>41813.660000000003</v>
      </c>
      <c r="G8622" s="18">
        <v>102804</v>
      </c>
      <c r="H8622" s="18">
        <f t="shared" si="190"/>
        <v>41803.660000000003</v>
      </c>
    </row>
    <row r="8623" spans="1:8" ht="19.5" customHeight="1" x14ac:dyDescent="0.55000000000000004">
      <c r="A8623" s="18">
        <v>24.8021943</v>
      </c>
      <c r="B8623" s="18">
        <v>34.828219799999999</v>
      </c>
      <c r="C8623" s="18">
        <v>684799.85</v>
      </c>
      <c r="D8623" s="18">
        <v>2744282.37</v>
      </c>
      <c r="E8623" s="18">
        <v>265.77999999999997</v>
      </c>
      <c r="F8623" s="18">
        <v>41821.379999999997</v>
      </c>
      <c r="G8623" s="18">
        <v>102806</v>
      </c>
      <c r="H8623" s="18">
        <f t="shared" si="190"/>
        <v>41811.379999999997</v>
      </c>
    </row>
    <row r="8624" spans="1:8" ht="19.5" customHeight="1" x14ac:dyDescent="0.55000000000000004">
      <c r="A8624" s="18">
        <v>24.802209300000001</v>
      </c>
      <c r="B8624" s="18">
        <v>34.828206100000003</v>
      </c>
      <c r="C8624" s="18">
        <v>684798.45</v>
      </c>
      <c r="D8624" s="18">
        <v>2744284.01</v>
      </c>
      <c r="E8624" s="18">
        <v>265.79000000000002</v>
      </c>
      <c r="F8624" s="18">
        <v>41854.94</v>
      </c>
      <c r="G8624" s="18">
        <v>102808</v>
      </c>
      <c r="H8624" s="18">
        <f t="shared" si="190"/>
        <v>41844.94</v>
      </c>
    </row>
    <row r="8625" spans="1:8" ht="19.5" customHeight="1" x14ac:dyDescent="0.55000000000000004">
      <c r="A8625" s="18">
        <v>24.8022274</v>
      </c>
      <c r="B8625" s="18">
        <v>34.828187499999999</v>
      </c>
      <c r="C8625" s="18">
        <v>684796.54</v>
      </c>
      <c r="D8625" s="18">
        <v>2744285.98</v>
      </c>
      <c r="E8625" s="18">
        <v>265.89999999999998</v>
      </c>
      <c r="F8625" s="18">
        <v>41851.410000000003</v>
      </c>
      <c r="G8625" s="18">
        <v>102810</v>
      </c>
      <c r="H8625" s="18">
        <f t="shared" si="190"/>
        <v>41841.410000000003</v>
      </c>
    </row>
    <row r="8626" spans="1:8" ht="19.5" customHeight="1" x14ac:dyDescent="0.55000000000000004">
      <c r="A8626" s="18">
        <v>24.802240900000001</v>
      </c>
      <c r="B8626" s="18">
        <v>34.828168499999997</v>
      </c>
      <c r="C8626" s="18">
        <v>684794.6</v>
      </c>
      <c r="D8626" s="18">
        <v>2744287.46</v>
      </c>
      <c r="E8626" s="18">
        <v>265.94</v>
      </c>
      <c r="F8626" s="18">
        <v>41841.82</v>
      </c>
      <c r="G8626" s="18">
        <v>102812</v>
      </c>
      <c r="H8626" s="18">
        <f t="shared" si="190"/>
        <v>41831.82</v>
      </c>
    </row>
    <row r="8627" spans="1:8" ht="19.5" customHeight="1" x14ac:dyDescent="0.55000000000000004">
      <c r="A8627" s="18">
        <v>24.802249400000001</v>
      </c>
      <c r="B8627" s="18">
        <v>34.828148499999998</v>
      </c>
      <c r="C8627" s="18">
        <v>684792.57</v>
      </c>
      <c r="D8627" s="18">
        <v>2744288.38</v>
      </c>
      <c r="E8627" s="18">
        <v>265.89999999999998</v>
      </c>
      <c r="F8627" s="18">
        <v>41851.15</v>
      </c>
      <c r="G8627" s="18">
        <v>102814</v>
      </c>
      <c r="H8627" s="18">
        <f t="shared" si="190"/>
        <v>41841.15</v>
      </c>
    </row>
    <row r="8628" spans="1:8" ht="19.5" customHeight="1" x14ac:dyDescent="0.55000000000000004">
      <c r="A8628" s="18">
        <v>24.8022575</v>
      </c>
      <c r="B8628" s="18">
        <v>34.828130299999998</v>
      </c>
      <c r="C8628" s="18">
        <v>684790.71</v>
      </c>
      <c r="D8628" s="18">
        <v>2744289.25</v>
      </c>
      <c r="E8628" s="18">
        <v>265.85000000000002</v>
      </c>
      <c r="F8628" s="18">
        <v>41855.279999999999</v>
      </c>
      <c r="G8628" s="18">
        <v>102816</v>
      </c>
      <c r="H8628" s="18">
        <f t="shared" si="190"/>
        <v>41845.279999999999</v>
      </c>
    </row>
    <row r="8629" spans="1:8" ht="19.5" customHeight="1" x14ac:dyDescent="0.55000000000000004">
      <c r="A8629" s="18">
        <v>24.802257000000001</v>
      </c>
      <c r="B8629" s="18">
        <v>34.828133399999999</v>
      </c>
      <c r="C8629" s="18">
        <v>684791.03</v>
      </c>
      <c r="D8629" s="18">
        <v>2744289.19</v>
      </c>
      <c r="E8629" s="18">
        <v>265.82</v>
      </c>
      <c r="F8629" s="18">
        <v>41831.949999999997</v>
      </c>
      <c r="G8629" s="18">
        <v>102818</v>
      </c>
      <c r="H8629" s="18">
        <f t="shared" si="190"/>
        <v>41821.949999999997</v>
      </c>
    </row>
    <row r="8630" spans="1:8" ht="19.5" customHeight="1" x14ac:dyDescent="0.55000000000000004">
      <c r="A8630" s="18">
        <v>24.802258200000001</v>
      </c>
      <c r="B8630" s="18">
        <v>34.828133899999997</v>
      </c>
      <c r="C8630" s="18">
        <v>684791.08</v>
      </c>
      <c r="D8630" s="18">
        <v>2744289.33</v>
      </c>
      <c r="E8630" s="18">
        <v>265.8</v>
      </c>
      <c r="F8630" s="18">
        <v>41820.89</v>
      </c>
      <c r="G8630" s="18">
        <v>102820</v>
      </c>
      <c r="H8630" s="18">
        <f t="shared" si="190"/>
        <v>41810.89</v>
      </c>
    </row>
    <row r="8631" spans="1:8" ht="19.5" customHeight="1" x14ac:dyDescent="0.55000000000000004">
      <c r="A8631" s="18">
        <v>24.802258599999998</v>
      </c>
      <c r="B8631" s="18">
        <v>34.8281341</v>
      </c>
      <c r="C8631" s="18">
        <v>684791.1</v>
      </c>
      <c r="D8631" s="18">
        <v>2744289.37</v>
      </c>
      <c r="E8631" s="18">
        <v>265.79000000000002</v>
      </c>
      <c r="F8631" s="18">
        <v>41821.440000000002</v>
      </c>
      <c r="G8631" s="18">
        <v>102822</v>
      </c>
      <c r="H8631" s="18">
        <f t="shared" si="190"/>
        <v>41811.440000000002</v>
      </c>
    </row>
    <row r="8632" spans="1:8" ht="19.5" customHeight="1" x14ac:dyDescent="0.55000000000000004">
      <c r="A8632" s="18">
        <v>24.802259299999999</v>
      </c>
      <c r="B8632" s="18">
        <v>34.828134400000003</v>
      </c>
      <c r="C8632" s="18">
        <v>684791.12</v>
      </c>
      <c r="D8632" s="18">
        <v>2744289.45</v>
      </c>
      <c r="E8632" s="18">
        <v>265.77999999999997</v>
      </c>
      <c r="F8632" s="18">
        <v>41820.94</v>
      </c>
      <c r="G8632" s="18">
        <v>102824</v>
      </c>
      <c r="H8632" s="18">
        <f t="shared" si="190"/>
        <v>41810.94</v>
      </c>
    </row>
    <row r="8633" spans="1:8" ht="19.5" customHeight="1" x14ac:dyDescent="0.55000000000000004">
      <c r="A8633" s="18">
        <v>24.80226</v>
      </c>
      <c r="B8633" s="18">
        <v>34.8281347</v>
      </c>
      <c r="C8633" s="18">
        <v>684791.16</v>
      </c>
      <c r="D8633" s="18">
        <v>2744289.53</v>
      </c>
      <c r="E8633" s="18">
        <v>265.74</v>
      </c>
      <c r="F8633" s="18">
        <v>41821.81</v>
      </c>
      <c r="G8633" s="18">
        <v>102826</v>
      </c>
      <c r="H8633" s="18">
        <f t="shared" si="190"/>
        <v>41811.81</v>
      </c>
    </row>
    <row r="8634" spans="1:8" ht="19.5" customHeight="1" x14ac:dyDescent="0.55000000000000004">
      <c r="A8634" s="18">
        <v>24.802259500000002</v>
      </c>
      <c r="B8634" s="18">
        <v>34.828129699999998</v>
      </c>
      <c r="C8634" s="18">
        <v>684790.65</v>
      </c>
      <c r="D8634" s="18">
        <v>2744289.47</v>
      </c>
      <c r="E8634" s="18">
        <v>265.7</v>
      </c>
      <c r="F8634" s="18">
        <v>41826.79</v>
      </c>
      <c r="G8634" s="18">
        <v>102828</v>
      </c>
      <c r="H8634" s="18">
        <f t="shared" si="190"/>
        <v>41816.79</v>
      </c>
    </row>
    <row r="8635" spans="1:8" ht="19.5" customHeight="1" x14ac:dyDescent="0.55000000000000004">
      <c r="A8635" s="18">
        <v>24.802272599999998</v>
      </c>
      <c r="B8635" s="18">
        <v>34.828111499999999</v>
      </c>
      <c r="C8635" s="18">
        <v>684788.79</v>
      </c>
      <c r="D8635" s="18">
        <v>2744290.89</v>
      </c>
      <c r="E8635" s="18">
        <v>265.68</v>
      </c>
      <c r="F8635" s="18">
        <v>41854.32</v>
      </c>
      <c r="G8635" s="18">
        <v>102830</v>
      </c>
      <c r="H8635" s="18">
        <f t="shared" si="190"/>
        <v>41844.32</v>
      </c>
    </row>
    <row r="8636" spans="1:8" ht="19.5" customHeight="1" x14ac:dyDescent="0.55000000000000004">
      <c r="A8636" s="18">
        <v>24.8022922</v>
      </c>
      <c r="B8636" s="18">
        <v>34.828096299999999</v>
      </c>
      <c r="C8636" s="18">
        <v>684787.23</v>
      </c>
      <c r="D8636" s="18">
        <v>2744293.04</v>
      </c>
      <c r="E8636" s="18">
        <v>265.75</v>
      </c>
      <c r="F8636" s="18">
        <v>41855.089999999997</v>
      </c>
      <c r="G8636" s="18">
        <v>102832</v>
      </c>
      <c r="H8636" s="18">
        <f t="shared" si="190"/>
        <v>41845.089999999997</v>
      </c>
    </row>
    <row r="8637" spans="1:8" ht="19.5" customHeight="1" x14ac:dyDescent="0.55000000000000004">
      <c r="A8637" s="18">
        <v>24.802311599999999</v>
      </c>
      <c r="B8637" s="18">
        <v>34.828084199999999</v>
      </c>
      <c r="C8637" s="18">
        <v>684785.98</v>
      </c>
      <c r="D8637" s="18">
        <v>2744295.17</v>
      </c>
      <c r="E8637" s="18">
        <v>265.73</v>
      </c>
      <c r="F8637" s="18">
        <v>41854.35</v>
      </c>
      <c r="G8637" s="18">
        <v>102834</v>
      </c>
      <c r="H8637" s="18">
        <f t="shared" si="190"/>
        <v>41844.35</v>
      </c>
    </row>
    <row r="8638" spans="1:8" ht="19.5" customHeight="1" x14ac:dyDescent="0.55000000000000004">
      <c r="A8638" s="18">
        <v>24.802332799999999</v>
      </c>
      <c r="B8638" s="18">
        <v>34.828073099999997</v>
      </c>
      <c r="C8638" s="18">
        <v>684784.82</v>
      </c>
      <c r="D8638" s="18">
        <v>2744297.51</v>
      </c>
      <c r="E8638" s="18">
        <v>265.81</v>
      </c>
      <c r="F8638" s="18">
        <v>41852.47</v>
      </c>
      <c r="G8638" s="18">
        <v>102836</v>
      </c>
      <c r="H8638" s="18">
        <f t="shared" si="190"/>
        <v>41842.47</v>
      </c>
    </row>
    <row r="8639" spans="1:8" ht="19.5" customHeight="1" x14ac:dyDescent="0.55000000000000004">
      <c r="A8639" s="18">
        <v>24.802353499999999</v>
      </c>
      <c r="B8639" s="18">
        <v>34.828060499999999</v>
      </c>
      <c r="C8639" s="18">
        <v>684783.52</v>
      </c>
      <c r="D8639" s="18">
        <v>2744299.78</v>
      </c>
      <c r="E8639" s="18">
        <v>265.87</v>
      </c>
      <c r="F8639" s="18">
        <v>41853.919999999998</v>
      </c>
      <c r="G8639" s="18">
        <v>102838</v>
      </c>
      <c r="H8639" s="18">
        <f t="shared" si="190"/>
        <v>41843.919999999998</v>
      </c>
    </row>
    <row r="8640" spans="1:8" ht="19.5" customHeight="1" x14ac:dyDescent="0.55000000000000004">
      <c r="A8640" s="18">
        <v>24.8023746</v>
      </c>
      <c r="B8640" s="18">
        <v>34.828049200000002</v>
      </c>
      <c r="C8640" s="18">
        <v>684782.34</v>
      </c>
      <c r="D8640" s="18">
        <v>2744302.1</v>
      </c>
      <c r="E8640" s="18">
        <v>265.85000000000002</v>
      </c>
      <c r="F8640" s="18">
        <v>41853.17</v>
      </c>
      <c r="G8640" s="18">
        <v>102840</v>
      </c>
      <c r="H8640" s="18">
        <f t="shared" si="190"/>
        <v>41843.17</v>
      </c>
    </row>
    <row r="8641" spans="1:8" ht="19.5" customHeight="1" x14ac:dyDescent="0.55000000000000004">
      <c r="A8641" s="18">
        <v>24.8023965</v>
      </c>
      <c r="B8641" s="18">
        <v>34.828038399999997</v>
      </c>
      <c r="C8641" s="18">
        <v>684781.22</v>
      </c>
      <c r="D8641" s="18">
        <v>2744304.51</v>
      </c>
      <c r="E8641" s="18">
        <v>265.83</v>
      </c>
      <c r="F8641" s="18">
        <v>41852.910000000003</v>
      </c>
      <c r="G8641" s="18">
        <v>102842</v>
      </c>
      <c r="H8641" s="18">
        <f t="shared" si="190"/>
        <v>41842.910000000003</v>
      </c>
    </row>
    <row r="8642" spans="1:8" ht="19.5" customHeight="1" x14ac:dyDescent="0.55000000000000004">
      <c r="A8642" s="18">
        <v>24.802415400000001</v>
      </c>
      <c r="B8642" s="18">
        <v>34.8280216</v>
      </c>
      <c r="C8642" s="18">
        <v>684779.49</v>
      </c>
      <c r="D8642" s="18">
        <v>2744306.59</v>
      </c>
      <c r="E8642" s="18">
        <v>265.95999999999998</v>
      </c>
      <c r="F8642" s="18">
        <v>41854.71</v>
      </c>
      <c r="G8642" s="18">
        <v>102844</v>
      </c>
      <c r="H8642" s="18">
        <f t="shared" si="190"/>
        <v>41844.71</v>
      </c>
    </row>
    <row r="8643" spans="1:8" ht="19.5" customHeight="1" x14ac:dyDescent="0.55000000000000004">
      <c r="A8643" s="18">
        <v>24.8024381</v>
      </c>
      <c r="B8643" s="18">
        <v>34.828008099999998</v>
      </c>
      <c r="C8643" s="18">
        <v>684778.1</v>
      </c>
      <c r="D8643" s="18">
        <v>2744309.08</v>
      </c>
      <c r="E8643" s="18">
        <v>266</v>
      </c>
      <c r="F8643" s="18">
        <v>41854.1</v>
      </c>
      <c r="G8643" s="18">
        <v>102846</v>
      </c>
      <c r="H8643" s="18">
        <f t="shared" si="190"/>
        <v>41844.1</v>
      </c>
    </row>
    <row r="8644" spans="1:8" ht="19.5" customHeight="1" x14ac:dyDescent="0.55000000000000004">
      <c r="A8644" s="18">
        <v>24.802458999999999</v>
      </c>
      <c r="B8644" s="18">
        <v>34.827995899999998</v>
      </c>
      <c r="C8644" s="18">
        <v>684776.83</v>
      </c>
      <c r="D8644" s="18">
        <v>2744311.38</v>
      </c>
      <c r="E8644" s="18">
        <v>266</v>
      </c>
      <c r="F8644" s="18">
        <v>41854.300000000003</v>
      </c>
      <c r="G8644" s="18">
        <v>102848</v>
      </c>
      <c r="H8644" s="18">
        <f t="shared" si="190"/>
        <v>41844.300000000003</v>
      </c>
    </row>
    <row r="8645" spans="1:8" ht="19.5" customHeight="1" x14ac:dyDescent="0.55000000000000004">
      <c r="A8645" s="18">
        <v>24.802479200000001</v>
      </c>
      <c r="B8645" s="18">
        <v>34.827978999999999</v>
      </c>
      <c r="C8645" s="18">
        <v>684775.09</v>
      </c>
      <c r="D8645" s="18">
        <v>2744313.6</v>
      </c>
      <c r="E8645" s="18">
        <v>265.97000000000003</v>
      </c>
      <c r="F8645" s="18">
        <v>41855.49</v>
      </c>
      <c r="G8645" s="18">
        <v>102850</v>
      </c>
      <c r="H8645" s="18">
        <f t="shared" si="190"/>
        <v>41845.49</v>
      </c>
    </row>
    <row r="8646" spans="1:8" ht="19.5" customHeight="1" x14ac:dyDescent="0.55000000000000004">
      <c r="A8646" s="18">
        <v>24.8024998</v>
      </c>
      <c r="B8646" s="18">
        <v>34.827961999999999</v>
      </c>
      <c r="C8646" s="18">
        <v>684773.34</v>
      </c>
      <c r="D8646" s="18">
        <v>2744315.86</v>
      </c>
      <c r="E8646" s="18">
        <v>266.04000000000002</v>
      </c>
      <c r="F8646" s="18">
        <v>41856.22</v>
      </c>
      <c r="G8646" s="18">
        <v>102852</v>
      </c>
      <c r="H8646" s="18">
        <f t="shared" si="190"/>
        <v>41846.22</v>
      </c>
    </row>
    <row r="8647" spans="1:8" ht="19.5" customHeight="1" x14ac:dyDescent="0.55000000000000004">
      <c r="A8647" s="18">
        <v>24.8025214</v>
      </c>
      <c r="B8647" s="18">
        <v>34.827946799999999</v>
      </c>
      <c r="C8647" s="18">
        <v>684771.77</v>
      </c>
      <c r="D8647" s="18">
        <v>2744318.23</v>
      </c>
      <c r="E8647" s="18">
        <v>266.08</v>
      </c>
      <c r="F8647" s="18">
        <v>41855.769999999997</v>
      </c>
      <c r="G8647" s="18">
        <v>102854</v>
      </c>
      <c r="H8647" s="18">
        <f t="shared" si="190"/>
        <v>41845.769999999997</v>
      </c>
    </row>
    <row r="8648" spans="1:8" ht="19.5" customHeight="1" x14ac:dyDescent="0.55000000000000004">
      <c r="A8648" s="18">
        <v>24.802544000000001</v>
      </c>
      <c r="B8648" s="18">
        <v>34.8279341</v>
      </c>
      <c r="C8648" s="18">
        <v>684770.45</v>
      </c>
      <c r="D8648" s="18">
        <v>2744320.71</v>
      </c>
      <c r="E8648" s="18">
        <v>266.10000000000002</v>
      </c>
      <c r="F8648" s="18">
        <v>41854.78</v>
      </c>
      <c r="G8648" s="18">
        <v>102856</v>
      </c>
      <c r="H8648" s="18">
        <f t="shared" si="190"/>
        <v>41844.78</v>
      </c>
    </row>
    <row r="8649" spans="1:8" ht="19.5" customHeight="1" x14ac:dyDescent="0.55000000000000004">
      <c r="A8649" s="18">
        <v>24.8025637</v>
      </c>
      <c r="B8649" s="18">
        <v>34.827917900000003</v>
      </c>
      <c r="C8649" s="18">
        <v>684768.78</v>
      </c>
      <c r="D8649" s="18">
        <v>2744322.87</v>
      </c>
      <c r="E8649" s="18">
        <v>266.06</v>
      </c>
      <c r="F8649" s="18">
        <v>41855.65</v>
      </c>
      <c r="G8649" s="18">
        <v>102858</v>
      </c>
      <c r="H8649" s="18">
        <f t="shared" si="190"/>
        <v>41845.65</v>
      </c>
    </row>
    <row r="8650" spans="1:8" ht="19.5" customHeight="1" x14ac:dyDescent="0.55000000000000004">
      <c r="A8650" s="18">
        <v>24.8025856</v>
      </c>
      <c r="B8650" s="18">
        <v>34.8279037</v>
      </c>
      <c r="C8650" s="18">
        <v>684767.32</v>
      </c>
      <c r="D8650" s="18">
        <v>2744325.27</v>
      </c>
      <c r="E8650" s="18">
        <v>266.05</v>
      </c>
      <c r="F8650" s="18">
        <v>41855.26</v>
      </c>
      <c r="G8650" s="18">
        <v>102900</v>
      </c>
      <c r="H8650" s="18">
        <f t="shared" si="190"/>
        <v>41845.26</v>
      </c>
    </row>
    <row r="8651" spans="1:8" ht="19.5" customHeight="1" x14ac:dyDescent="0.55000000000000004">
      <c r="A8651" s="18">
        <v>24.8026084</v>
      </c>
      <c r="B8651" s="18">
        <v>34.827890400000001</v>
      </c>
      <c r="C8651" s="18">
        <v>684765.94</v>
      </c>
      <c r="D8651" s="18">
        <v>2744327.78</v>
      </c>
      <c r="E8651" s="18">
        <v>266.05</v>
      </c>
      <c r="F8651" s="18">
        <v>41858.050000000003</v>
      </c>
      <c r="G8651" s="18">
        <v>102902</v>
      </c>
      <c r="H8651" s="18">
        <f t="shared" si="190"/>
        <v>41848.050000000003</v>
      </c>
    </row>
    <row r="8652" spans="1:8" ht="19.5" customHeight="1" x14ac:dyDescent="0.55000000000000004">
      <c r="A8652" s="18">
        <v>24.8026321</v>
      </c>
      <c r="B8652" s="18">
        <v>34.827878699999999</v>
      </c>
      <c r="C8652" s="18">
        <v>684764.73</v>
      </c>
      <c r="D8652" s="18">
        <v>2744330.4</v>
      </c>
      <c r="E8652" s="18">
        <v>266.05</v>
      </c>
      <c r="F8652" s="18">
        <v>41857.879999999997</v>
      </c>
      <c r="G8652" s="18">
        <v>102904</v>
      </c>
      <c r="H8652" s="18">
        <f t="shared" si="190"/>
        <v>41847.879999999997</v>
      </c>
    </row>
    <row r="8653" spans="1:8" ht="19.5" customHeight="1" x14ac:dyDescent="0.55000000000000004">
      <c r="A8653" s="18">
        <v>24.802656599999999</v>
      </c>
      <c r="B8653" s="18">
        <v>34.827869800000002</v>
      </c>
      <c r="C8653" s="18">
        <v>684763.78</v>
      </c>
      <c r="D8653" s="18">
        <v>2744333.1</v>
      </c>
      <c r="E8653" s="18">
        <v>266.04000000000002</v>
      </c>
      <c r="F8653" s="18">
        <v>41856.97</v>
      </c>
      <c r="G8653" s="18">
        <v>102906</v>
      </c>
      <c r="H8653" s="18">
        <f t="shared" si="190"/>
        <v>41846.97</v>
      </c>
    </row>
    <row r="8654" spans="1:8" ht="19.5" customHeight="1" x14ac:dyDescent="0.55000000000000004">
      <c r="A8654" s="18">
        <v>24.802680599999999</v>
      </c>
      <c r="B8654" s="18">
        <v>34.827861200000001</v>
      </c>
      <c r="C8654" s="18">
        <v>684762.88</v>
      </c>
      <c r="D8654" s="18">
        <v>2744335.74</v>
      </c>
      <c r="E8654" s="18">
        <v>265.97000000000003</v>
      </c>
      <c r="F8654" s="18">
        <v>41859.65</v>
      </c>
      <c r="G8654" s="18">
        <v>102908</v>
      </c>
      <c r="H8654" s="18">
        <f t="shared" si="190"/>
        <v>41849.65</v>
      </c>
    </row>
    <row r="8655" spans="1:8" ht="19.5" customHeight="1" x14ac:dyDescent="0.55000000000000004">
      <c r="A8655" s="18">
        <v>24.802704800000001</v>
      </c>
      <c r="B8655" s="18">
        <v>34.827852499999999</v>
      </c>
      <c r="C8655" s="18">
        <v>684761.96</v>
      </c>
      <c r="D8655" s="18">
        <v>2744338.41</v>
      </c>
      <c r="E8655" s="18">
        <v>265.94</v>
      </c>
      <c r="F8655" s="18">
        <v>41860.36</v>
      </c>
      <c r="G8655" s="18">
        <v>102910</v>
      </c>
      <c r="H8655" s="18">
        <f t="shared" si="190"/>
        <v>41850.36</v>
      </c>
    </row>
    <row r="8656" spans="1:8" ht="19.5" customHeight="1" x14ac:dyDescent="0.55000000000000004">
      <c r="A8656" s="18">
        <v>24.8027269</v>
      </c>
      <c r="B8656" s="18">
        <v>34.827840500000001</v>
      </c>
      <c r="C8656" s="18">
        <v>684760.72</v>
      </c>
      <c r="D8656" s="18">
        <v>2744340.84</v>
      </c>
      <c r="E8656" s="18">
        <v>265.95</v>
      </c>
      <c r="F8656" s="18">
        <v>41858.58</v>
      </c>
      <c r="G8656" s="18">
        <v>102912</v>
      </c>
      <c r="H8656" s="18">
        <f t="shared" si="190"/>
        <v>41848.58</v>
      </c>
    </row>
    <row r="8657" spans="1:8" ht="19.5" customHeight="1" x14ac:dyDescent="0.55000000000000004">
      <c r="A8657" s="18">
        <v>24.8027491</v>
      </c>
      <c r="B8657" s="18">
        <v>34.827826100000003</v>
      </c>
      <c r="C8657" s="18">
        <v>684759.23</v>
      </c>
      <c r="D8657" s="18">
        <v>2744343.28</v>
      </c>
      <c r="E8657" s="18">
        <v>265.98</v>
      </c>
      <c r="F8657" s="18">
        <v>41859.360000000001</v>
      </c>
      <c r="G8657" s="18">
        <v>102914</v>
      </c>
      <c r="H8657" s="18">
        <f t="shared" si="190"/>
        <v>41849.360000000001</v>
      </c>
    </row>
    <row r="8658" spans="1:8" ht="19.5" customHeight="1" x14ac:dyDescent="0.55000000000000004">
      <c r="A8658" s="18">
        <v>24.802773299999998</v>
      </c>
      <c r="B8658" s="18">
        <v>34.827820600000003</v>
      </c>
      <c r="C8658" s="18">
        <v>684758.64</v>
      </c>
      <c r="D8658" s="18">
        <v>2744345.96</v>
      </c>
      <c r="E8658" s="18">
        <v>265.99</v>
      </c>
      <c r="F8658" s="18">
        <v>41860.559999999998</v>
      </c>
      <c r="G8658" s="18">
        <v>102916</v>
      </c>
      <c r="H8658" s="18">
        <f t="shared" si="190"/>
        <v>41850.559999999998</v>
      </c>
    </row>
    <row r="8659" spans="1:8" ht="19.5" customHeight="1" x14ac:dyDescent="0.55000000000000004">
      <c r="A8659" s="18">
        <v>24.802798200000002</v>
      </c>
      <c r="B8659" s="18">
        <v>34.827814500000002</v>
      </c>
      <c r="C8659" s="18">
        <v>684757.98</v>
      </c>
      <c r="D8659" s="18">
        <v>2744348.7</v>
      </c>
      <c r="E8659" s="18">
        <v>265.95</v>
      </c>
      <c r="F8659" s="18">
        <v>41862.1</v>
      </c>
      <c r="G8659" s="18">
        <v>102918</v>
      </c>
      <c r="H8659" s="18">
        <f t="shared" si="190"/>
        <v>41852.1</v>
      </c>
    </row>
    <row r="8660" spans="1:8" ht="19.5" customHeight="1" x14ac:dyDescent="0.55000000000000004">
      <c r="A8660" s="18">
        <v>24.802822899999999</v>
      </c>
      <c r="B8660" s="18">
        <v>34.827808900000001</v>
      </c>
      <c r="C8660" s="18">
        <v>684757.39</v>
      </c>
      <c r="D8660" s="18">
        <v>2744351.44</v>
      </c>
      <c r="E8660" s="18">
        <v>265.89999999999998</v>
      </c>
      <c r="F8660" s="18">
        <v>41860.76</v>
      </c>
      <c r="G8660" s="18">
        <v>102920</v>
      </c>
      <c r="H8660" s="18">
        <f t="shared" si="190"/>
        <v>41850.76</v>
      </c>
    </row>
    <row r="8661" spans="1:8" ht="19.5" customHeight="1" x14ac:dyDescent="0.55000000000000004">
      <c r="A8661" s="18">
        <v>24.8028464</v>
      </c>
      <c r="B8661" s="18">
        <v>34.827803099999997</v>
      </c>
      <c r="C8661" s="18">
        <v>684756.76</v>
      </c>
      <c r="D8661" s="18">
        <v>2744354.03</v>
      </c>
      <c r="E8661" s="18">
        <v>265.89999999999998</v>
      </c>
      <c r="F8661" s="18">
        <v>41861.339999999997</v>
      </c>
      <c r="G8661" s="18">
        <v>102922</v>
      </c>
      <c r="H8661" s="18">
        <f t="shared" si="190"/>
        <v>41851.339999999997</v>
      </c>
    </row>
    <row r="8662" spans="1:8" ht="19.5" customHeight="1" x14ac:dyDescent="0.55000000000000004">
      <c r="A8662" s="18">
        <v>24.802869999999999</v>
      </c>
      <c r="B8662" s="18">
        <v>34.827795999999999</v>
      </c>
      <c r="C8662" s="18">
        <v>684756.01</v>
      </c>
      <c r="D8662" s="18">
        <v>2744356.63</v>
      </c>
      <c r="E8662" s="18">
        <v>265.91000000000003</v>
      </c>
      <c r="F8662" s="18">
        <v>41860.49</v>
      </c>
      <c r="G8662" s="18">
        <v>102924</v>
      </c>
      <c r="H8662" s="18">
        <f t="shared" si="190"/>
        <v>41850.49</v>
      </c>
    </row>
    <row r="8663" spans="1:8" ht="19.5" customHeight="1" x14ac:dyDescent="0.55000000000000004">
      <c r="A8663" s="18">
        <v>24.8028941</v>
      </c>
      <c r="B8663" s="18">
        <v>34.827789899999999</v>
      </c>
      <c r="C8663" s="18">
        <v>684755.35</v>
      </c>
      <c r="D8663" s="18">
        <v>2744359.3</v>
      </c>
      <c r="E8663" s="18">
        <v>265.89</v>
      </c>
      <c r="F8663" s="18">
        <v>41861.42</v>
      </c>
      <c r="G8663" s="18">
        <v>102926</v>
      </c>
      <c r="H8663" s="18">
        <f t="shared" si="190"/>
        <v>41851.42</v>
      </c>
    </row>
    <row r="8664" spans="1:8" ht="19.5" customHeight="1" x14ac:dyDescent="0.55000000000000004">
      <c r="A8664" s="18">
        <v>24.8029188</v>
      </c>
      <c r="B8664" s="18">
        <v>34.8277839</v>
      </c>
      <c r="C8664" s="18">
        <v>684754.71</v>
      </c>
      <c r="D8664" s="18">
        <v>2744362.02</v>
      </c>
      <c r="E8664" s="18">
        <v>265.75</v>
      </c>
      <c r="F8664" s="18">
        <v>41862.57</v>
      </c>
      <c r="G8664" s="18">
        <v>102928</v>
      </c>
      <c r="H8664" s="18">
        <f t="shared" si="190"/>
        <v>41852.57</v>
      </c>
    </row>
    <row r="8665" spans="1:8" ht="19.5" customHeight="1" x14ac:dyDescent="0.55000000000000004">
      <c r="A8665" s="18">
        <v>24.802944</v>
      </c>
      <c r="B8665" s="18">
        <v>34.827777599999997</v>
      </c>
      <c r="C8665" s="18">
        <v>684754.03</v>
      </c>
      <c r="D8665" s="18">
        <v>2744364.8</v>
      </c>
      <c r="E8665" s="18">
        <v>265.67</v>
      </c>
      <c r="F8665" s="18">
        <v>41862.620000000003</v>
      </c>
      <c r="G8665" s="18">
        <v>102930</v>
      </c>
      <c r="H8665" s="18">
        <f t="shared" si="190"/>
        <v>41852.620000000003</v>
      </c>
    </row>
    <row r="8666" spans="1:8" ht="19.5" customHeight="1" x14ac:dyDescent="0.55000000000000004">
      <c r="A8666" s="18">
        <v>24.8029674</v>
      </c>
      <c r="B8666" s="18">
        <v>34.827768300000002</v>
      </c>
      <c r="C8666" s="18">
        <v>684753.06</v>
      </c>
      <c r="D8666" s="18">
        <v>2744367.38</v>
      </c>
      <c r="E8666" s="18">
        <v>265.79000000000002</v>
      </c>
      <c r="F8666" s="18">
        <v>41863.79</v>
      </c>
      <c r="G8666" s="18">
        <v>102932</v>
      </c>
      <c r="H8666" s="18">
        <f t="shared" si="190"/>
        <v>41853.79</v>
      </c>
    </row>
    <row r="8667" spans="1:8" ht="19.5" customHeight="1" x14ac:dyDescent="0.55000000000000004">
      <c r="A8667" s="18">
        <v>24.8029899</v>
      </c>
      <c r="B8667" s="18">
        <v>34.827756800000003</v>
      </c>
      <c r="C8667" s="18">
        <v>684751.87</v>
      </c>
      <c r="D8667" s="18">
        <v>2744369.86</v>
      </c>
      <c r="E8667" s="18">
        <v>265.86</v>
      </c>
      <c r="F8667" s="18">
        <v>41862.949999999997</v>
      </c>
      <c r="G8667" s="18">
        <v>102934</v>
      </c>
      <c r="H8667" s="18">
        <f t="shared" ref="H8667:H8730" si="191">SUM(F8667-10)</f>
        <v>41852.949999999997</v>
      </c>
    </row>
    <row r="8668" spans="1:8" ht="19.5" customHeight="1" x14ac:dyDescent="0.55000000000000004">
      <c r="A8668" s="18">
        <v>24.803012299999999</v>
      </c>
      <c r="B8668" s="18">
        <v>34.827744899999999</v>
      </c>
      <c r="C8668" s="18">
        <v>684750.63</v>
      </c>
      <c r="D8668" s="18">
        <v>2744372.33</v>
      </c>
      <c r="E8668" s="18">
        <v>265.88</v>
      </c>
      <c r="F8668" s="18">
        <v>41863.58</v>
      </c>
      <c r="G8668" s="18">
        <v>102936</v>
      </c>
      <c r="H8668" s="18">
        <f t="shared" si="191"/>
        <v>41853.58</v>
      </c>
    </row>
    <row r="8669" spans="1:8" ht="19.5" customHeight="1" x14ac:dyDescent="0.55000000000000004">
      <c r="A8669" s="18">
        <v>24.803033800000001</v>
      </c>
      <c r="B8669" s="18">
        <v>34.827732099999999</v>
      </c>
      <c r="C8669" s="18">
        <v>684749.3</v>
      </c>
      <c r="D8669" s="18">
        <v>2744374.69</v>
      </c>
      <c r="E8669" s="18">
        <v>265.93</v>
      </c>
      <c r="F8669" s="18">
        <v>41865.74</v>
      </c>
      <c r="G8669" s="18">
        <v>102938</v>
      </c>
      <c r="H8669" s="18">
        <f t="shared" si="191"/>
        <v>41855.74</v>
      </c>
    </row>
    <row r="8670" spans="1:8" ht="19.5" customHeight="1" x14ac:dyDescent="0.55000000000000004">
      <c r="A8670" s="18">
        <v>24.803054499999998</v>
      </c>
      <c r="B8670" s="18">
        <v>34.827718099999998</v>
      </c>
      <c r="C8670" s="18">
        <v>684747.86</v>
      </c>
      <c r="D8670" s="18">
        <v>2744376.96</v>
      </c>
      <c r="E8670" s="18">
        <v>266.02999999999997</v>
      </c>
      <c r="F8670" s="18">
        <v>41865.94</v>
      </c>
      <c r="G8670" s="18">
        <v>102940</v>
      </c>
      <c r="H8670" s="18">
        <f t="shared" si="191"/>
        <v>41855.94</v>
      </c>
    </row>
    <row r="8671" spans="1:8" ht="19.5" customHeight="1" x14ac:dyDescent="0.55000000000000004">
      <c r="A8671" s="18">
        <v>24.803076699999998</v>
      </c>
      <c r="B8671" s="18">
        <v>34.827702899999998</v>
      </c>
      <c r="C8671" s="18">
        <v>684746.29</v>
      </c>
      <c r="D8671" s="18">
        <v>2744379.4</v>
      </c>
      <c r="E8671" s="18">
        <v>266.11</v>
      </c>
      <c r="F8671" s="18">
        <v>41863.879999999997</v>
      </c>
      <c r="G8671" s="18">
        <v>102942</v>
      </c>
      <c r="H8671" s="18">
        <f t="shared" si="191"/>
        <v>41853.879999999997</v>
      </c>
    </row>
    <row r="8672" spans="1:8" ht="19.5" customHeight="1" x14ac:dyDescent="0.55000000000000004">
      <c r="A8672" s="18">
        <v>24.8030969</v>
      </c>
      <c r="B8672" s="18">
        <v>34.827687900000001</v>
      </c>
      <c r="C8672" s="18">
        <v>684744.74</v>
      </c>
      <c r="D8672" s="18">
        <v>2744381.62</v>
      </c>
      <c r="E8672" s="18">
        <v>266.14</v>
      </c>
      <c r="F8672" s="18">
        <v>41866.879999999997</v>
      </c>
      <c r="G8672" s="18">
        <v>102944</v>
      </c>
      <c r="H8672" s="18">
        <f t="shared" si="191"/>
        <v>41856.879999999997</v>
      </c>
    </row>
    <row r="8673" spans="1:8" ht="19.5" customHeight="1" x14ac:dyDescent="0.55000000000000004">
      <c r="A8673" s="18">
        <v>24.803117199999999</v>
      </c>
      <c r="B8673" s="18">
        <v>34.827672999999997</v>
      </c>
      <c r="C8673" s="18">
        <v>684743.2</v>
      </c>
      <c r="D8673" s="18">
        <v>2744383.85</v>
      </c>
      <c r="E8673" s="18">
        <v>266.18</v>
      </c>
      <c r="F8673" s="18">
        <v>41866.5</v>
      </c>
      <c r="G8673" s="18">
        <v>102946</v>
      </c>
      <c r="H8673" s="18">
        <f t="shared" si="191"/>
        <v>41856.5</v>
      </c>
    </row>
    <row r="8674" spans="1:8" ht="19.5" customHeight="1" x14ac:dyDescent="0.55000000000000004">
      <c r="A8674" s="18">
        <v>24.8031358</v>
      </c>
      <c r="B8674" s="18">
        <v>34.827655700000001</v>
      </c>
      <c r="C8674" s="18">
        <v>684741.43</v>
      </c>
      <c r="D8674" s="18">
        <v>2744385.88</v>
      </c>
      <c r="E8674" s="18">
        <v>266.27</v>
      </c>
      <c r="F8674" s="18">
        <v>41866.910000000003</v>
      </c>
      <c r="G8674" s="18">
        <v>102948</v>
      </c>
      <c r="H8674" s="18">
        <f t="shared" si="191"/>
        <v>41856.910000000003</v>
      </c>
    </row>
    <row r="8675" spans="1:8" ht="19.5" customHeight="1" x14ac:dyDescent="0.55000000000000004">
      <c r="A8675" s="18">
        <v>24.8031568</v>
      </c>
      <c r="B8675" s="18">
        <v>34.827641999999997</v>
      </c>
      <c r="C8675" s="18">
        <v>684740.02</v>
      </c>
      <c r="D8675" s="18">
        <v>2744388.19</v>
      </c>
      <c r="E8675" s="18">
        <v>266.36</v>
      </c>
      <c r="F8675" s="18">
        <v>41868.03</v>
      </c>
      <c r="G8675" s="18">
        <v>102950</v>
      </c>
      <c r="H8675" s="18">
        <f t="shared" si="191"/>
        <v>41858.03</v>
      </c>
    </row>
    <row r="8676" spans="1:8" ht="19.5" customHeight="1" x14ac:dyDescent="0.55000000000000004">
      <c r="A8676" s="18">
        <v>24.803178899999999</v>
      </c>
      <c r="B8676" s="18">
        <v>34.827629700000003</v>
      </c>
      <c r="C8676" s="18">
        <v>684738.74</v>
      </c>
      <c r="D8676" s="18">
        <v>2744390.63</v>
      </c>
      <c r="E8676" s="18">
        <v>266.32</v>
      </c>
      <c r="F8676" s="18">
        <v>41868.550000000003</v>
      </c>
      <c r="G8676" s="18">
        <v>102952</v>
      </c>
      <c r="H8676" s="18">
        <f t="shared" si="191"/>
        <v>41858.550000000003</v>
      </c>
    </row>
    <row r="8677" spans="1:8" ht="19.5" customHeight="1" x14ac:dyDescent="0.55000000000000004">
      <c r="A8677" s="18">
        <v>24.8032006</v>
      </c>
      <c r="B8677" s="18">
        <v>34.827617600000004</v>
      </c>
      <c r="C8677" s="18">
        <v>684737.48</v>
      </c>
      <c r="D8677" s="18">
        <v>2744393.01</v>
      </c>
      <c r="E8677" s="18">
        <v>266.33999999999997</v>
      </c>
      <c r="F8677" s="18">
        <v>41868.54</v>
      </c>
      <c r="G8677" s="18">
        <v>102954</v>
      </c>
      <c r="H8677" s="18">
        <f t="shared" si="191"/>
        <v>41858.54</v>
      </c>
    </row>
    <row r="8678" spans="1:8" ht="19.5" customHeight="1" x14ac:dyDescent="0.55000000000000004">
      <c r="A8678" s="18">
        <v>24.803219299999999</v>
      </c>
      <c r="B8678" s="18">
        <v>34.827599499999998</v>
      </c>
      <c r="C8678" s="18">
        <v>684735.62</v>
      </c>
      <c r="D8678" s="18">
        <v>2744395.05</v>
      </c>
      <c r="E8678" s="18">
        <v>266.39</v>
      </c>
      <c r="F8678" s="18">
        <v>41869.26</v>
      </c>
      <c r="G8678" s="18">
        <v>102956</v>
      </c>
      <c r="H8678" s="18">
        <f t="shared" si="191"/>
        <v>41859.26</v>
      </c>
    </row>
    <row r="8679" spans="1:8" ht="19.5" customHeight="1" x14ac:dyDescent="0.55000000000000004">
      <c r="A8679" s="18">
        <v>24.803238100000002</v>
      </c>
      <c r="B8679" s="18">
        <v>34.827582200000002</v>
      </c>
      <c r="C8679" s="18">
        <v>684733.85</v>
      </c>
      <c r="D8679" s="18">
        <v>2744397.11</v>
      </c>
      <c r="E8679" s="18">
        <v>266.5</v>
      </c>
      <c r="F8679" s="18">
        <v>41869.81</v>
      </c>
      <c r="G8679" s="18">
        <v>102958</v>
      </c>
      <c r="H8679" s="18">
        <f t="shared" si="191"/>
        <v>41859.81</v>
      </c>
    </row>
    <row r="8680" spans="1:8" ht="19.5" customHeight="1" x14ac:dyDescent="0.55000000000000004">
      <c r="A8680" s="18">
        <v>24.803259499999999</v>
      </c>
      <c r="B8680" s="18">
        <v>34.827568599999999</v>
      </c>
      <c r="C8680" s="18">
        <v>684732.44</v>
      </c>
      <c r="D8680" s="18">
        <v>2744399.47</v>
      </c>
      <c r="E8680" s="18">
        <v>266.47000000000003</v>
      </c>
      <c r="F8680" s="18">
        <v>41868</v>
      </c>
      <c r="G8680" s="18">
        <v>103000</v>
      </c>
      <c r="H8680" s="18">
        <f t="shared" si="191"/>
        <v>41858</v>
      </c>
    </row>
    <row r="8681" spans="1:8" ht="19.5" customHeight="1" x14ac:dyDescent="0.55000000000000004">
      <c r="A8681" s="18">
        <v>24.803281900000002</v>
      </c>
      <c r="B8681" s="18">
        <v>34.827556600000001</v>
      </c>
      <c r="C8681" s="18">
        <v>684731.19</v>
      </c>
      <c r="D8681" s="18">
        <v>2744401.93</v>
      </c>
      <c r="E8681" s="18">
        <v>266.52</v>
      </c>
      <c r="F8681" s="18">
        <v>41870</v>
      </c>
      <c r="G8681" s="18">
        <v>103002</v>
      </c>
      <c r="H8681" s="18">
        <f t="shared" si="191"/>
        <v>41860</v>
      </c>
    </row>
    <row r="8682" spans="1:8" ht="19.5" customHeight="1" x14ac:dyDescent="0.55000000000000004">
      <c r="A8682" s="18">
        <v>24.803305000000002</v>
      </c>
      <c r="B8682" s="18">
        <v>34.827548299999997</v>
      </c>
      <c r="C8682" s="18">
        <v>684730.31</v>
      </c>
      <c r="D8682" s="18">
        <v>2744404.48</v>
      </c>
      <c r="E8682" s="18">
        <v>266.55</v>
      </c>
      <c r="F8682" s="18">
        <v>41869.82</v>
      </c>
      <c r="G8682" s="18">
        <v>103004</v>
      </c>
      <c r="H8682" s="18">
        <f t="shared" si="191"/>
        <v>41859.82</v>
      </c>
    </row>
    <row r="8683" spans="1:8" ht="19.5" customHeight="1" x14ac:dyDescent="0.55000000000000004">
      <c r="A8683" s="18">
        <v>24.803327899999999</v>
      </c>
      <c r="B8683" s="18">
        <v>34.827539600000001</v>
      </c>
      <c r="C8683" s="18">
        <v>684729.41</v>
      </c>
      <c r="D8683" s="18">
        <v>2744407</v>
      </c>
      <c r="E8683" s="18">
        <v>266.61</v>
      </c>
      <c r="F8683" s="18">
        <v>41870.589999999997</v>
      </c>
      <c r="G8683" s="18">
        <v>103006</v>
      </c>
      <c r="H8683" s="18">
        <f t="shared" si="191"/>
        <v>41860.589999999997</v>
      </c>
    </row>
    <row r="8684" spans="1:8" ht="19.5" customHeight="1" x14ac:dyDescent="0.55000000000000004">
      <c r="A8684" s="18">
        <v>24.803350699999999</v>
      </c>
      <c r="B8684" s="18">
        <v>34.827529300000002</v>
      </c>
      <c r="C8684" s="18">
        <v>684728.34</v>
      </c>
      <c r="D8684" s="18">
        <v>2744409.51</v>
      </c>
      <c r="E8684" s="18">
        <v>266.56</v>
      </c>
      <c r="F8684" s="18">
        <v>41869.629999999997</v>
      </c>
      <c r="G8684" s="18">
        <v>103008</v>
      </c>
      <c r="H8684" s="18">
        <f t="shared" si="191"/>
        <v>41859.629999999997</v>
      </c>
    </row>
    <row r="8685" spans="1:8" ht="19.5" customHeight="1" x14ac:dyDescent="0.55000000000000004">
      <c r="A8685" s="18">
        <v>24.803373300000001</v>
      </c>
      <c r="B8685" s="18">
        <v>34.827517999999998</v>
      </c>
      <c r="C8685" s="18">
        <v>684727.15</v>
      </c>
      <c r="D8685" s="18">
        <v>2744412.01</v>
      </c>
      <c r="E8685" s="18">
        <v>266.57</v>
      </c>
      <c r="F8685" s="18">
        <v>41868.47</v>
      </c>
      <c r="G8685" s="18">
        <v>103010</v>
      </c>
      <c r="H8685" s="18">
        <f t="shared" si="191"/>
        <v>41858.47</v>
      </c>
    </row>
    <row r="8686" spans="1:8" ht="19.5" customHeight="1" x14ac:dyDescent="0.55000000000000004">
      <c r="A8686" s="18">
        <v>24.8033945</v>
      </c>
      <c r="B8686" s="18">
        <v>34.827506300000003</v>
      </c>
      <c r="C8686" s="18">
        <v>684725.94</v>
      </c>
      <c r="D8686" s="18">
        <v>2744414.34</v>
      </c>
      <c r="E8686" s="18">
        <v>266.70999999999998</v>
      </c>
      <c r="F8686" s="18">
        <v>41869.870000000003</v>
      </c>
      <c r="G8686" s="18">
        <v>103012</v>
      </c>
      <c r="H8686" s="18">
        <f t="shared" si="191"/>
        <v>41859.870000000003</v>
      </c>
    </row>
    <row r="8687" spans="1:8" ht="19.5" customHeight="1" x14ac:dyDescent="0.55000000000000004">
      <c r="A8687" s="18">
        <v>24.803416299999999</v>
      </c>
      <c r="B8687" s="18">
        <v>34.8274908</v>
      </c>
      <c r="C8687" s="18">
        <v>684724.35</v>
      </c>
      <c r="D8687" s="18">
        <v>2744416.74</v>
      </c>
      <c r="E8687" s="18">
        <v>266.79000000000002</v>
      </c>
      <c r="F8687" s="18">
        <v>41869.83</v>
      </c>
      <c r="G8687" s="18">
        <v>103014</v>
      </c>
      <c r="H8687" s="18">
        <f t="shared" si="191"/>
        <v>41859.83</v>
      </c>
    </row>
    <row r="8688" spans="1:8" ht="19.5" customHeight="1" x14ac:dyDescent="0.55000000000000004">
      <c r="A8688" s="18">
        <v>24.803436600000001</v>
      </c>
      <c r="B8688" s="18">
        <v>34.827475200000002</v>
      </c>
      <c r="C8688" s="18">
        <v>684722.73</v>
      </c>
      <c r="D8688" s="18">
        <v>2744418.96</v>
      </c>
      <c r="E8688" s="18">
        <v>266.85000000000002</v>
      </c>
      <c r="F8688" s="18">
        <v>41871.839999999997</v>
      </c>
      <c r="G8688" s="18">
        <v>103016</v>
      </c>
      <c r="H8688" s="18">
        <f t="shared" si="191"/>
        <v>41861.839999999997</v>
      </c>
    </row>
    <row r="8689" spans="1:8" ht="19.5" customHeight="1" x14ac:dyDescent="0.55000000000000004">
      <c r="A8689" s="18">
        <v>24.8034544</v>
      </c>
      <c r="B8689" s="18">
        <v>34.827458700000001</v>
      </c>
      <c r="C8689" s="18">
        <v>684721.04</v>
      </c>
      <c r="D8689" s="18">
        <v>2744420.9</v>
      </c>
      <c r="E8689" s="18">
        <v>266.95</v>
      </c>
      <c r="F8689" s="18">
        <v>41871.96</v>
      </c>
      <c r="G8689" s="18">
        <v>103018</v>
      </c>
      <c r="H8689" s="18">
        <f t="shared" si="191"/>
        <v>41861.96</v>
      </c>
    </row>
    <row r="8690" spans="1:8" ht="19.5" customHeight="1" x14ac:dyDescent="0.55000000000000004">
      <c r="A8690" s="18">
        <v>24.803473499999999</v>
      </c>
      <c r="B8690" s="18">
        <v>34.827443299999999</v>
      </c>
      <c r="C8690" s="18">
        <v>684719.46</v>
      </c>
      <c r="D8690" s="18">
        <v>2744423.01</v>
      </c>
      <c r="E8690" s="18">
        <v>267.04000000000002</v>
      </c>
      <c r="F8690" s="18">
        <v>41872.550000000003</v>
      </c>
      <c r="G8690" s="18">
        <v>103020</v>
      </c>
      <c r="H8690" s="18">
        <f t="shared" si="191"/>
        <v>41862.550000000003</v>
      </c>
    </row>
    <row r="8691" spans="1:8" ht="19.5" customHeight="1" x14ac:dyDescent="0.55000000000000004">
      <c r="A8691" s="18">
        <v>24.803488000000002</v>
      </c>
      <c r="B8691" s="18">
        <v>34.8274252</v>
      </c>
      <c r="C8691" s="18">
        <v>684717.61</v>
      </c>
      <c r="D8691" s="18">
        <v>2744424.59</v>
      </c>
      <c r="E8691" s="18">
        <v>267.04000000000002</v>
      </c>
      <c r="F8691" s="18">
        <v>41870.19</v>
      </c>
      <c r="G8691" s="18">
        <v>103022</v>
      </c>
      <c r="H8691" s="18">
        <f t="shared" si="191"/>
        <v>41860.19</v>
      </c>
    </row>
    <row r="8692" spans="1:8" ht="19.5" customHeight="1" x14ac:dyDescent="0.55000000000000004">
      <c r="A8692" s="18">
        <v>24.803503899999999</v>
      </c>
      <c r="B8692" s="18">
        <v>34.827406400000001</v>
      </c>
      <c r="C8692" s="18">
        <v>684715.68</v>
      </c>
      <c r="D8692" s="18">
        <v>2744426.32</v>
      </c>
      <c r="E8692" s="18">
        <v>267.14</v>
      </c>
      <c r="F8692" s="18">
        <v>41869.46</v>
      </c>
      <c r="G8692" s="18">
        <v>103024</v>
      </c>
      <c r="H8692" s="18">
        <f t="shared" si="191"/>
        <v>41859.46</v>
      </c>
    </row>
    <row r="8693" spans="1:8" ht="19.5" customHeight="1" x14ac:dyDescent="0.55000000000000004">
      <c r="A8693" s="18">
        <v>24.803519699999999</v>
      </c>
      <c r="B8693" s="18">
        <v>34.827386400000002</v>
      </c>
      <c r="C8693" s="18">
        <v>684713.63</v>
      </c>
      <c r="D8693" s="18">
        <v>2744428.05</v>
      </c>
      <c r="E8693" s="18">
        <v>267.2</v>
      </c>
      <c r="F8693" s="18">
        <v>41872.239999999998</v>
      </c>
      <c r="G8693" s="18">
        <v>103026</v>
      </c>
      <c r="H8693" s="18">
        <f t="shared" si="191"/>
        <v>41862.239999999998</v>
      </c>
    </row>
    <row r="8694" spans="1:8" ht="19.5" customHeight="1" x14ac:dyDescent="0.55000000000000004">
      <c r="A8694" s="18">
        <v>24.803534200000001</v>
      </c>
      <c r="B8694" s="18">
        <v>34.827366099999999</v>
      </c>
      <c r="C8694" s="18">
        <v>684711.56</v>
      </c>
      <c r="D8694" s="18">
        <v>2744429.62</v>
      </c>
      <c r="E8694" s="18">
        <v>267.24</v>
      </c>
      <c r="F8694" s="18">
        <v>41872.53</v>
      </c>
      <c r="G8694" s="18">
        <v>103028</v>
      </c>
      <c r="H8694" s="18">
        <f t="shared" si="191"/>
        <v>41862.53</v>
      </c>
    </row>
    <row r="8695" spans="1:8" ht="19.5" customHeight="1" x14ac:dyDescent="0.55000000000000004">
      <c r="A8695" s="18">
        <v>24.803546900000001</v>
      </c>
      <c r="B8695" s="18">
        <v>34.827347600000003</v>
      </c>
      <c r="C8695" s="18">
        <v>684709.67</v>
      </c>
      <c r="D8695" s="18">
        <v>2744431.01</v>
      </c>
      <c r="E8695" s="18">
        <v>267.3</v>
      </c>
      <c r="F8695" s="18">
        <v>41867.620000000003</v>
      </c>
      <c r="G8695" s="18">
        <v>103030</v>
      </c>
      <c r="H8695" s="18">
        <f t="shared" si="191"/>
        <v>41857.620000000003</v>
      </c>
    </row>
    <row r="8696" spans="1:8" ht="19.5" customHeight="1" x14ac:dyDescent="0.55000000000000004">
      <c r="A8696" s="18">
        <v>24.803558500000001</v>
      </c>
      <c r="B8696" s="18">
        <v>34.827326399999997</v>
      </c>
      <c r="C8696" s="18">
        <v>684707.51</v>
      </c>
      <c r="D8696" s="18">
        <v>2744432.26</v>
      </c>
      <c r="E8696" s="18">
        <v>267.35000000000002</v>
      </c>
      <c r="F8696" s="18">
        <v>41870.32</v>
      </c>
      <c r="G8696" s="18">
        <v>103032</v>
      </c>
      <c r="H8696" s="18">
        <f t="shared" si="191"/>
        <v>41860.32</v>
      </c>
    </row>
    <row r="8697" spans="1:8" ht="19.5" customHeight="1" x14ac:dyDescent="0.55000000000000004">
      <c r="A8697" s="18">
        <v>24.803572299999999</v>
      </c>
      <c r="B8697" s="18">
        <v>34.827305600000003</v>
      </c>
      <c r="C8697" s="18">
        <v>684705.39</v>
      </c>
      <c r="D8697" s="18">
        <v>2744433.76</v>
      </c>
      <c r="E8697" s="18">
        <v>267.35000000000002</v>
      </c>
      <c r="F8697" s="18">
        <v>41869.24</v>
      </c>
      <c r="G8697" s="18">
        <v>103034</v>
      </c>
      <c r="H8697" s="18">
        <f t="shared" si="191"/>
        <v>41859.24</v>
      </c>
    </row>
    <row r="8698" spans="1:8" ht="19.5" customHeight="1" x14ac:dyDescent="0.55000000000000004">
      <c r="A8698" s="18">
        <v>24.803585600000002</v>
      </c>
      <c r="B8698" s="18">
        <v>34.827284900000002</v>
      </c>
      <c r="C8698" s="18">
        <v>684703.27</v>
      </c>
      <c r="D8698" s="18">
        <v>2744435.2</v>
      </c>
      <c r="E8698" s="18">
        <v>267.43</v>
      </c>
      <c r="F8698" s="18">
        <v>41869.08</v>
      </c>
      <c r="G8698" s="18">
        <v>103036</v>
      </c>
      <c r="H8698" s="18">
        <f t="shared" si="191"/>
        <v>41859.08</v>
      </c>
    </row>
    <row r="8699" spans="1:8" ht="19.5" customHeight="1" x14ac:dyDescent="0.55000000000000004">
      <c r="A8699" s="18">
        <v>24.8035991</v>
      </c>
      <c r="B8699" s="18">
        <v>34.827264100000001</v>
      </c>
      <c r="C8699" s="18">
        <v>684701.15</v>
      </c>
      <c r="D8699" s="18">
        <v>2744436.67</v>
      </c>
      <c r="E8699" s="18">
        <v>267.51</v>
      </c>
      <c r="F8699" s="18">
        <v>41869.43</v>
      </c>
      <c r="G8699" s="18">
        <v>103038</v>
      </c>
      <c r="H8699" s="18">
        <f t="shared" si="191"/>
        <v>41859.43</v>
      </c>
    </row>
    <row r="8700" spans="1:8" ht="19.5" customHeight="1" x14ac:dyDescent="0.55000000000000004">
      <c r="A8700" s="18">
        <v>24.803611700000001</v>
      </c>
      <c r="B8700" s="18">
        <v>34.8272415</v>
      </c>
      <c r="C8700" s="18">
        <v>684698.85</v>
      </c>
      <c r="D8700" s="18">
        <v>2744438.03</v>
      </c>
      <c r="E8700" s="18">
        <v>267.5</v>
      </c>
      <c r="F8700" s="18">
        <v>41868.730000000003</v>
      </c>
      <c r="G8700" s="18">
        <v>103040</v>
      </c>
      <c r="H8700" s="18">
        <f t="shared" si="191"/>
        <v>41858.730000000003</v>
      </c>
    </row>
    <row r="8701" spans="1:8" ht="19.5" customHeight="1" x14ac:dyDescent="0.55000000000000004">
      <c r="A8701" s="18">
        <v>24.8036253</v>
      </c>
      <c r="B8701" s="18">
        <v>34.827221399999999</v>
      </c>
      <c r="C8701" s="18">
        <v>684696.79</v>
      </c>
      <c r="D8701" s="18">
        <v>2744439.52</v>
      </c>
      <c r="E8701" s="18">
        <v>267.56</v>
      </c>
      <c r="F8701" s="18">
        <v>41871.599999999999</v>
      </c>
      <c r="G8701" s="18">
        <v>103042</v>
      </c>
      <c r="H8701" s="18">
        <f t="shared" si="191"/>
        <v>41861.599999999999</v>
      </c>
    </row>
    <row r="8702" spans="1:8" ht="19.5" customHeight="1" x14ac:dyDescent="0.55000000000000004">
      <c r="A8702" s="18">
        <v>24.803639</v>
      </c>
      <c r="B8702" s="18">
        <v>34.827199</v>
      </c>
      <c r="C8702" s="18">
        <v>684694.51</v>
      </c>
      <c r="D8702" s="18">
        <v>2744441</v>
      </c>
      <c r="E8702" s="18">
        <v>267.66000000000003</v>
      </c>
      <c r="F8702" s="18">
        <v>41870.620000000003</v>
      </c>
      <c r="G8702" s="18">
        <v>103044</v>
      </c>
      <c r="H8702" s="18">
        <f t="shared" si="191"/>
        <v>41860.620000000003</v>
      </c>
    </row>
    <row r="8703" spans="1:8" ht="19.5" customHeight="1" x14ac:dyDescent="0.55000000000000004">
      <c r="A8703" s="18">
        <v>24.803653499999999</v>
      </c>
      <c r="B8703" s="18">
        <v>34.827176199999997</v>
      </c>
      <c r="C8703" s="18">
        <v>684692.19</v>
      </c>
      <c r="D8703" s="18">
        <v>2744442.58</v>
      </c>
      <c r="E8703" s="18">
        <v>267.72000000000003</v>
      </c>
      <c r="F8703" s="18">
        <v>41868.67</v>
      </c>
      <c r="G8703" s="18">
        <v>103046</v>
      </c>
      <c r="H8703" s="18">
        <f t="shared" si="191"/>
        <v>41858.67</v>
      </c>
    </row>
    <row r="8704" spans="1:8" ht="19.5" customHeight="1" x14ac:dyDescent="0.55000000000000004">
      <c r="A8704" s="18">
        <v>24.803671699999999</v>
      </c>
      <c r="B8704" s="18">
        <v>34.827156100000003</v>
      </c>
      <c r="C8704" s="18">
        <v>684690.13</v>
      </c>
      <c r="D8704" s="18">
        <v>2744444.57</v>
      </c>
      <c r="E8704" s="18">
        <v>267.8</v>
      </c>
      <c r="F8704" s="18">
        <v>41868.879999999997</v>
      </c>
      <c r="G8704" s="18">
        <v>103048</v>
      </c>
      <c r="H8704" s="18">
        <f t="shared" si="191"/>
        <v>41858.879999999997</v>
      </c>
    </row>
    <row r="8705" spans="1:8" ht="19.5" customHeight="1" x14ac:dyDescent="0.55000000000000004">
      <c r="A8705" s="18">
        <v>24.8036876</v>
      </c>
      <c r="B8705" s="18">
        <v>34.827136099999997</v>
      </c>
      <c r="C8705" s="18">
        <v>684688.08</v>
      </c>
      <c r="D8705" s="18">
        <v>2744446.3</v>
      </c>
      <c r="E8705" s="18">
        <v>267.87</v>
      </c>
      <c r="F8705" s="18">
        <v>41867.879999999997</v>
      </c>
      <c r="G8705" s="18">
        <v>103050</v>
      </c>
      <c r="H8705" s="18">
        <f t="shared" si="191"/>
        <v>41857.879999999997</v>
      </c>
    </row>
    <row r="8706" spans="1:8" ht="19.5" customHeight="1" x14ac:dyDescent="0.55000000000000004">
      <c r="A8706" s="18">
        <v>24.803702099999999</v>
      </c>
      <c r="B8706" s="18">
        <v>34.827113900000001</v>
      </c>
      <c r="C8706" s="18">
        <v>684685.81</v>
      </c>
      <c r="D8706" s="18">
        <v>2744447.87</v>
      </c>
      <c r="E8706" s="18">
        <v>267.97000000000003</v>
      </c>
      <c r="F8706" s="18">
        <v>41869.599999999999</v>
      </c>
      <c r="G8706" s="18">
        <v>103052</v>
      </c>
      <c r="H8706" s="18">
        <f t="shared" si="191"/>
        <v>41859.599999999999</v>
      </c>
    </row>
    <row r="8707" spans="1:8" ht="19.5" customHeight="1" x14ac:dyDescent="0.55000000000000004">
      <c r="A8707" s="18">
        <v>24.803721500000002</v>
      </c>
      <c r="B8707" s="18">
        <v>34.827097299999998</v>
      </c>
      <c r="C8707" s="18">
        <v>684684.11</v>
      </c>
      <c r="D8707" s="18">
        <v>2744450.01</v>
      </c>
      <c r="E8707" s="18">
        <v>268.08</v>
      </c>
      <c r="F8707" s="18">
        <v>41870.78</v>
      </c>
      <c r="G8707" s="18">
        <v>103054</v>
      </c>
      <c r="H8707" s="18">
        <f t="shared" si="191"/>
        <v>41860.78</v>
      </c>
    </row>
    <row r="8708" spans="1:8" ht="19.5" customHeight="1" x14ac:dyDescent="0.55000000000000004">
      <c r="A8708" s="18">
        <v>24.8037387</v>
      </c>
      <c r="B8708" s="18">
        <v>34.827078499999999</v>
      </c>
      <c r="C8708" s="18">
        <v>684682.18</v>
      </c>
      <c r="D8708" s="18">
        <v>2744451.88</v>
      </c>
      <c r="E8708" s="18">
        <v>268.08</v>
      </c>
      <c r="F8708" s="18">
        <v>41869.379999999997</v>
      </c>
      <c r="G8708" s="18">
        <v>103056</v>
      </c>
      <c r="H8708" s="18">
        <f t="shared" si="191"/>
        <v>41859.379999999997</v>
      </c>
    </row>
    <row r="8709" spans="1:8" ht="19.5" customHeight="1" x14ac:dyDescent="0.55000000000000004">
      <c r="A8709" s="18">
        <v>24.803754900000001</v>
      </c>
      <c r="B8709" s="18">
        <v>34.827062900000001</v>
      </c>
      <c r="C8709" s="18">
        <v>684680.57</v>
      </c>
      <c r="D8709" s="18">
        <v>2744453.66</v>
      </c>
      <c r="E8709" s="18">
        <v>268.13</v>
      </c>
      <c r="F8709" s="18">
        <v>41870.720000000001</v>
      </c>
      <c r="G8709" s="18">
        <v>103058</v>
      </c>
      <c r="H8709" s="18">
        <f t="shared" si="191"/>
        <v>41860.720000000001</v>
      </c>
    </row>
    <row r="8710" spans="1:8" ht="19.5" customHeight="1" x14ac:dyDescent="0.55000000000000004">
      <c r="A8710" s="18">
        <v>24.803772599999999</v>
      </c>
      <c r="B8710" s="18">
        <v>34.827048099999999</v>
      </c>
      <c r="C8710" s="18">
        <v>684679.05</v>
      </c>
      <c r="D8710" s="18">
        <v>2744455.6</v>
      </c>
      <c r="E8710" s="18">
        <v>268.20999999999998</v>
      </c>
      <c r="F8710" s="18">
        <v>41871.910000000003</v>
      </c>
      <c r="G8710" s="18">
        <v>103100</v>
      </c>
      <c r="H8710" s="18">
        <f t="shared" si="191"/>
        <v>41861.910000000003</v>
      </c>
    </row>
    <row r="8711" spans="1:8" ht="19.5" customHeight="1" x14ac:dyDescent="0.55000000000000004">
      <c r="A8711" s="18">
        <v>24.803789200000001</v>
      </c>
      <c r="B8711" s="18">
        <v>34.827034300000001</v>
      </c>
      <c r="C8711" s="18">
        <v>684677.63</v>
      </c>
      <c r="D8711" s="18">
        <v>2744457.41</v>
      </c>
      <c r="E8711" s="18">
        <v>268.2</v>
      </c>
      <c r="F8711" s="18">
        <v>41872.26</v>
      </c>
      <c r="G8711" s="18">
        <v>103102</v>
      </c>
      <c r="H8711" s="18">
        <f t="shared" si="191"/>
        <v>41862.26</v>
      </c>
    </row>
    <row r="8712" spans="1:8" ht="19.5" customHeight="1" x14ac:dyDescent="0.55000000000000004">
      <c r="A8712" s="18">
        <v>24.803810899999998</v>
      </c>
      <c r="B8712" s="18">
        <v>34.827021199999997</v>
      </c>
      <c r="C8712" s="18">
        <v>684676.28</v>
      </c>
      <c r="D8712" s="18">
        <v>2744459.8</v>
      </c>
      <c r="E8712" s="18">
        <v>268.26</v>
      </c>
      <c r="F8712" s="18">
        <v>41870.370000000003</v>
      </c>
      <c r="G8712" s="18">
        <v>103104</v>
      </c>
      <c r="H8712" s="18">
        <f t="shared" si="191"/>
        <v>41860.370000000003</v>
      </c>
    </row>
    <row r="8713" spans="1:8" ht="19.5" customHeight="1" x14ac:dyDescent="0.55000000000000004">
      <c r="A8713" s="18">
        <v>24.803833399999998</v>
      </c>
      <c r="B8713" s="18">
        <v>34.827009500000003</v>
      </c>
      <c r="C8713" s="18">
        <v>684675.06</v>
      </c>
      <c r="D8713" s="18">
        <v>2744462.27</v>
      </c>
      <c r="E8713" s="18">
        <v>268.31</v>
      </c>
      <c r="F8713" s="18">
        <v>41869.94</v>
      </c>
      <c r="G8713" s="18">
        <v>103106</v>
      </c>
      <c r="H8713" s="18">
        <f t="shared" si="191"/>
        <v>41859.94</v>
      </c>
    </row>
    <row r="8714" spans="1:8" ht="19.5" customHeight="1" x14ac:dyDescent="0.55000000000000004">
      <c r="A8714" s="18">
        <v>24.803853799999999</v>
      </c>
      <c r="B8714" s="18">
        <v>34.826994999999997</v>
      </c>
      <c r="C8714" s="18">
        <v>684673.56</v>
      </c>
      <c r="D8714" s="18">
        <v>2744464.52</v>
      </c>
      <c r="E8714" s="18">
        <v>268.25</v>
      </c>
      <c r="F8714" s="18">
        <v>41870.04</v>
      </c>
      <c r="G8714" s="18">
        <v>103108</v>
      </c>
      <c r="H8714" s="18">
        <f t="shared" si="191"/>
        <v>41860.04</v>
      </c>
    </row>
    <row r="8715" spans="1:8" ht="19.5" customHeight="1" x14ac:dyDescent="0.55000000000000004">
      <c r="A8715" s="18">
        <v>24.803876200000001</v>
      </c>
      <c r="B8715" s="18">
        <v>34.826982800000003</v>
      </c>
      <c r="C8715" s="18">
        <v>684672.3</v>
      </c>
      <c r="D8715" s="18">
        <v>2744466.98</v>
      </c>
      <c r="E8715" s="18">
        <v>268.25</v>
      </c>
      <c r="F8715" s="18">
        <v>41869.760000000002</v>
      </c>
      <c r="G8715" s="18">
        <v>103110</v>
      </c>
      <c r="H8715" s="18">
        <f t="shared" si="191"/>
        <v>41859.760000000002</v>
      </c>
    </row>
    <row r="8716" spans="1:8" ht="19.5" customHeight="1" x14ac:dyDescent="0.55000000000000004">
      <c r="A8716" s="18">
        <v>24.8038965</v>
      </c>
      <c r="B8716" s="18">
        <v>34.826970199999998</v>
      </c>
      <c r="C8716" s="18">
        <v>684670.99</v>
      </c>
      <c r="D8716" s="18">
        <v>2744469.21</v>
      </c>
      <c r="E8716" s="18">
        <v>268.31</v>
      </c>
      <c r="F8716" s="18">
        <v>41869</v>
      </c>
      <c r="G8716" s="18">
        <v>103112</v>
      </c>
      <c r="H8716" s="18">
        <f t="shared" si="191"/>
        <v>41859</v>
      </c>
    </row>
    <row r="8717" spans="1:8" ht="19.5" customHeight="1" x14ac:dyDescent="0.55000000000000004">
      <c r="A8717" s="18">
        <v>24.8039165</v>
      </c>
      <c r="B8717" s="18">
        <v>34.826957700000001</v>
      </c>
      <c r="C8717" s="18">
        <v>684669.7</v>
      </c>
      <c r="D8717" s="18">
        <v>2744471.41</v>
      </c>
      <c r="E8717" s="18">
        <v>268.39999999999998</v>
      </c>
      <c r="F8717" s="18">
        <v>41868.19</v>
      </c>
      <c r="G8717" s="18">
        <v>103114</v>
      </c>
      <c r="H8717" s="18">
        <f t="shared" si="191"/>
        <v>41858.19</v>
      </c>
    </row>
    <row r="8718" spans="1:8" ht="19.5" customHeight="1" x14ac:dyDescent="0.55000000000000004">
      <c r="A8718" s="18">
        <v>24.803933499999999</v>
      </c>
      <c r="B8718" s="18">
        <v>34.826939099999997</v>
      </c>
      <c r="C8718" s="18">
        <v>684667.8</v>
      </c>
      <c r="D8718" s="18">
        <v>2744473.27</v>
      </c>
      <c r="E8718" s="18">
        <v>268.25</v>
      </c>
      <c r="F8718" s="18">
        <v>41866.93</v>
      </c>
      <c r="G8718" s="18">
        <v>103116</v>
      </c>
      <c r="H8718" s="18">
        <f t="shared" si="191"/>
        <v>41856.93</v>
      </c>
    </row>
    <row r="8719" spans="1:8" ht="19.5" customHeight="1" x14ac:dyDescent="0.55000000000000004">
      <c r="A8719" s="18">
        <v>24.803951600000001</v>
      </c>
      <c r="B8719" s="18">
        <v>34.826921900000002</v>
      </c>
      <c r="C8719" s="18">
        <v>684666.03</v>
      </c>
      <c r="D8719" s="18">
        <v>2744475.25</v>
      </c>
      <c r="E8719" s="18">
        <v>268.33</v>
      </c>
      <c r="F8719" s="18">
        <v>41866.17</v>
      </c>
      <c r="G8719" s="18">
        <v>103118</v>
      </c>
      <c r="H8719" s="18">
        <f t="shared" si="191"/>
        <v>41856.17</v>
      </c>
    </row>
    <row r="8720" spans="1:8" ht="19.5" customHeight="1" x14ac:dyDescent="0.55000000000000004">
      <c r="A8720" s="18">
        <v>24.8039752</v>
      </c>
      <c r="B8720" s="18">
        <v>34.826913099999999</v>
      </c>
      <c r="C8720" s="18">
        <v>684665.11</v>
      </c>
      <c r="D8720" s="18">
        <v>2744477.85</v>
      </c>
      <c r="E8720" s="18">
        <v>268.36</v>
      </c>
      <c r="F8720" s="18">
        <v>41867.360000000001</v>
      </c>
      <c r="G8720" s="18">
        <v>103120</v>
      </c>
      <c r="H8720" s="18">
        <f t="shared" si="191"/>
        <v>41857.360000000001</v>
      </c>
    </row>
    <row r="8721" spans="1:8" ht="19.5" customHeight="1" x14ac:dyDescent="0.55000000000000004">
      <c r="A8721" s="18">
        <v>24.803997899999999</v>
      </c>
      <c r="B8721" s="18">
        <v>34.826915300000003</v>
      </c>
      <c r="C8721" s="18">
        <v>684665.3</v>
      </c>
      <c r="D8721" s="18">
        <v>2744480.37</v>
      </c>
      <c r="E8721" s="18">
        <v>268.60000000000002</v>
      </c>
      <c r="F8721" s="18">
        <v>41880.300000000003</v>
      </c>
      <c r="G8721" s="18">
        <v>103122</v>
      </c>
      <c r="H8721" s="18">
        <f t="shared" si="191"/>
        <v>41870.300000000003</v>
      </c>
    </row>
    <row r="8722" spans="1:8" ht="19.5" customHeight="1" x14ac:dyDescent="0.55000000000000004">
      <c r="A8722" s="18">
        <v>24.804020999999999</v>
      </c>
      <c r="B8722" s="18">
        <v>34.826918900000003</v>
      </c>
      <c r="C8722" s="18">
        <v>684665.63</v>
      </c>
      <c r="D8722" s="18">
        <v>2744482.93</v>
      </c>
      <c r="E8722" s="18">
        <v>268.52999999999997</v>
      </c>
      <c r="F8722" s="18">
        <v>41879.22</v>
      </c>
      <c r="G8722" s="18">
        <v>103124</v>
      </c>
      <c r="H8722" s="18">
        <f t="shared" si="191"/>
        <v>41869.22</v>
      </c>
    </row>
    <row r="8723" spans="1:8" ht="19.5" customHeight="1" x14ac:dyDescent="0.55000000000000004">
      <c r="A8723" s="18">
        <v>24.804044999999999</v>
      </c>
      <c r="B8723" s="18">
        <v>34.826926299999997</v>
      </c>
      <c r="C8723" s="18">
        <v>684666.34</v>
      </c>
      <c r="D8723" s="18">
        <v>2744485.61</v>
      </c>
      <c r="E8723" s="18">
        <v>268.66000000000003</v>
      </c>
      <c r="F8723" s="18">
        <v>41872.35</v>
      </c>
      <c r="G8723" s="18">
        <v>103126</v>
      </c>
      <c r="H8723" s="18">
        <f t="shared" si="191"/>
        <v>41862.35</v>
      </c>
    </row>
    <row r="8724" spans="1:8" ht="19.5" customHeight="1" x14ac:dyDescent="0.55000000000000004">
      <c r="A8724" s="18">
        <v>24.804064199999999</v>
      </c>
      <c r="B8724" s="18">
        <v>34.826937800000003</v>
      </c>
      <c r="C8724" s="18">
        <v>684667.47</v>
      </c>
      <c r="D8724" s="18">
        <v>2744487.74</v>
      </c>
      <c r="E8724" s="18">
        <v>268.68</v>
      </c>
      <c r="F8724" s="18">
        <v>41872.080000000002</v>
      </c>
      <c r="G8724" s="18">
        <v>103128</v>
      </c>
      <c r="H8724" s="18">
        <f t="shared" si="191"/>
        <v>41862.080000000002</v>
      </c>
    </row>
    <row r="8725" spans="1:8" ht="19.5" customHeight="1" x14ac:dyDescent="0.55000000000000004">
      <c r="A8725" s="18">
        <v>24.804084499999998</v>
      </c>
      <c r="B8725" s="18">
        <v>34.8269479</v>
      </c>
      <c r="C8725" s="18">
        <v>684668.46</v>
      </c>
      <c r="D8725" s="18">
        <v>2744490.01</v>
      </c>
      <c r="E8725" s="18">
        <v>268.73</v>
      </c>
      <c r="F8725" s="18">
        <v>41870.01</v>
      </c>
      <c r="G8725" s="18">
        <v>103130</v>
      </c>
      <c r="H8725" s="18">
        <f t="shared" si="191"/>
        <v>41860.01</v>
      </c>
    </row>
    <row r="8726" spans="1:8" ht="19.5" customHeight="1" x14ac:dyDescent="0.55000000000000004">
      <c r="A8726" s="18">
        <v>24.804108299999999</v>
      </c>
      <c r="B8726" s="18">
        <v>34.826945100000003</v>
      </c>
      <c r="C8726" s="18">
        <v>684668.14</v>
      </c>
      <c r="D8726" s="18">
        <v>2744492.64</v>
      </c>
      <c r="E8726" s="18">
        <v>268.79000000000002</v>
      </c>
      <c r="F8726" s="18">
        <v>41870.58</v>
      </c>
      <c r="G8726" s="18">
        <v>103132</v>
      </c>
      <c r="H8726" s="18">
        <f t="shared" si="191"/>
        <v>41860.58</v>
      </c>
    </row>
    <row r="8727" spans="1:8" ht="19.5" customHeight="1" x14ac:dyDescent="0.55000000000000004">
      <c r="A8727" s="18">
        <v>24.804129799999998</v>
      </c>
      <c r="B8727" s="18">
        <v>34.826939500000002</v>
      </c>
      <c r="C8727" s="18">
        <v>684667.55</v>
      </c>
      <c r="D8727" s="18">
        <v>2744495.02</v>
      </c>
      <c r="E8727" s="18">
        <v>268.75</v>
      </c>
      <c r="F8727" s="18">
        <v>41867.879999999997</v>
      </c>
      <c r="G8727" s="18">
        <v>103134</v>
      </c>
      <c r="H8727" s="18">
        <f t="shared" si="191"/>
        <v>41857.879999999997</v>
      </c>
    </row>
    <row r="8728" spans="1:8" ht="19.5" customHeight="1" x14ac:dyDescent="0.55000000000000004">
      <c r="A8728" s="18">
        <v>24.8041491</v>
      </c>
      <c r="B8728" s="18">
        <v>34.826925699999997</v>
      </c>
      <c r="C8728" s="18">
        <v>684666.12</v>
      </c>
      <c r="D8728" s="18">
        <v>2744497.14</v>
      </c>
      <c r="E8728" s="18">
        <v>268.83</v>
      </c>
      <c r="F8728" s="18">
        <v>41869.370000000003</v>
      </c>
      <c r="G8728" s="18">
        <v>103136</v>
      </c>
      <c r="H8728" s="18">
        <f t="shared" si="191"/>
        <v>41859.370000000003</v>
      </c>
    </row>
    <row r="8729" spans="1:8" ht="19.5" customHeight="1" x14ac:dyDescent="0.55000000000000004">
      <c r="A8729" s="18">
        <v>24.8041737</v>
      </c>
      <c r="B8729" s="18">
        <v>34.8269229</v>
      </c>
      <c r="C8729" s="18">
        <v>684665.8</v>
      </c>
      <c r="D8729" s="18">
        <v>2744499.85</v>
      </c>
      <c r="E8729" s="18">
        <v>268.88</v>
      </c>
      <c r="F8729" s="18">
        <v>41867.760000000002</v>
      </c>
      <c r="G8729" s="18">
        <v>103138</v>
      </c>
      <c r="H8729" s="18">
        <f t="shared" si="191"/>
        <v>41857.760000000002</v>
      </c>
    </row>
    <row r="8730" spans="1:8" ht="19.5" customHeight="1" x14ac:dyDescent="0.55000000000000004">
      <c r="A8730" s="18">
        <v>24.804194500000001</v>
      </c>
      <c r="B8730" s="18">
        <v>34.826917600000002</v>
      </c>
      <c r="C8730" s="18">
        <v>684665.24</v>
      </c>
      <c r="D8730" s="18">
        <v>2744502.15</v>
      </c>
      <c r="E8730" s="18">
        <v>268.93</v>
      </c>
      <c r="F8730" s="18">
        <v>41869.07</v>
      </c>
      <c r="G8730" s="18">
        <v>103140</v>
      </c>
      <c r="H8730" s="18">
        <f t="shared" si="191"/>
        <v>41859.07</v>
      </c>
    </row>
    <row r="8731" spans="1:8" ht="19.5" customHeight="1" x14ac:dyDescent="0.55000000000000004">
      <c r="A8731" s="18">
        <v>24.8042175</v>
      </c>
      <c r="B8731" s="18">
        <v>34.826908000000003</v>
      </c>
      <c r="C8731" s="18">
        <v>684664.23</v>
      </c>
      <c r="D8731" s="18">
        <v>2744504.68</v>
      </c>
      <c r="E8731" s="18">
        <v>268.98</v>
      </c>
      <c r="F8731" s="18">
        <v>41869.360000000001</v>
      </c>
      <c r="G8731" s="18">
        <v>103142</v>
      </c>
      <c r="H8731" s="18">
        <f t="shared" ref="H8731:H8794" si="192">SUM(F8731-10)</f>
        <v>41859.360000000001</v>
      </c>
    </row>
    <row r="8732" spans="1:8" ht="19.5" customHeight="1" x14ac:dyDescent="0.55000000000000004">
      <c r="A8732" s="18">
        <v>24.804239599999999</v>
      </c>
      <c r="B8732" s="18">
        <v>34.826898800000002</v>
      </c>
      <c r="C8732" s="18">
        <v>684663.27</v>
      </c>
      <c r="D8732" s="18">
        <v>2744507.12</v>
      </c>
      <c r="E8732" s="18">
        <v>269.07</v>
      </c>
      <c r="F8732" s="18">
        <v>41866.589999999997</v>
      </c>
      <c r="G8732" s="18">
        <v>103144</v>
      </c>
      <c r="H8732" s="18">
        <f t="shared" si="192"/>
        <v>41856.589999999997</v>
      </c>
    </row>
    <row r="8733" spans="1:8" ht="19.5" customHeight="1" x14ac:dyDescent="0.55000000000000004">
      <c r="A8733" s="18">
        <v>24.804261499999999</v>
      </c>
      <c r="B8733" s="18">
        <v>34.8268883</v>
      </c>
      <c r="C8733" s="18">
        <v>684662.18</v>
      </c>
      <c r="D8733" s="18">
        <v>2744509.54</v>
      </c>
      <c r="E8733" s="18">
        <v>269.11</v>
      </c>
      <c r="F8733" s="18">
        <v>41867.360000000001</v>
      </c>
      <c r="G8733" s="18">
        <v>103146</v>
      </c>
      <c r="H8733" s="18">
        <f t="shared" si="192"/>
        <v>41857.360000000001</v>
      </c>
    </row>
    <row r="8734" spans="1:8" ht="19.5" customHeight="1" x14ac:dyDescent="0.55000000000000004">
      <c r="A8734" s="18">
        <v>24.804284200000001</v>
      </c>
      <c r="B8734" s="18">
        <v>34.826878899999997</v>
      </c>
      <c r="C8734" s="18">
        <v>684661.19</v>
      </c>
      <c r="D8734" s="18">
        <v>2744512.03</v>
      </c>
      <c r="E8734" s="18">
        <v>269.14</v>
      </c>
      <c r="F8734" s="18">
        <v>41866.11</v>
      </c>
      <c r="G8734" s="18">
        <v>103148</v>
      </c>
      <c r="H8734" s="18">
        <f t="shared" si="192"/>
        <v>41856.11</v>
      </c>
    </row>
    <row r="8735" spans="1:8" ht="19.5" customHeight="1" x14ac:dyDescent="0.55000000000000004">
      <c r="A8735" s="18">
        <v>24.804300000000001</v>
      </c>
      <c r="B8735" s="18">
        <v>34.826863199999998</v>
      </c>
      <c r="C8735" s="18">
        <v>684659.58</v>
      </c>
      <c r="D8735" s="18">
        <v>2744513.77</v>
      </c>
      <c r="E8735" s="18">
        <v>269.26</v>
      </c>
      <c r="F8735" s="18">
        <v>41868.129999999997</v>
      </c>
      <c r="G8735" s="18">
        <v>103150</v>
      </c>
      <c r="H8735" s="18">
        <f t="shared" si="192"/>
        <v>41858.129999999997</v>
      </c>
    </row>
    <row r="8736" spans="1:8" ht="19.5" customHeight="1" x14ac:dyDescent="0.55000000000000004">
      <c r="A8736" s="18">
        <v>24.8043209</v>
      </c>
      <c r="B8736" s="18">
        <v>34.826852600000002</v>
      </c>
      <c r="C8736" s="18">
        <v>684658.47</v>
      </c>
      <c r="D8736" s="18">
        <v>2744516.07</v>
      </c>
      <c r="E8736" s="18">
        <v>269.25</v>
      </c>
      <c r="F8736" s="18">
        <v>41866.74</v>
      </c>
      <c r="G8736" s="18">
        <v>103152</v>
      </c>
      <c r="H8736" s="18">
        <f t="shared" si="192"/>
        <v>41856.74</v>
      </c>
    </row>
    <row r="8737" spans="1:8" ht="19.5" customHeight="1" x14ac:dyDescent="0.55000000000000004">
      <c r="A8737" s="18">
        <v>24.804342900000002</v>
      </c>
      <c r="B8737" s="18">
        <v>34.826846699999997</v>
      </c>
      <c r="C8737" s="18">
        <v>684657.84</v>
      </c>
      <c r="D8737" s="18">
        <v>2744518.49</v>
      </c>
      <c r="E8737" s="18">
        <v>269.32</v>
      </c>
      <c r="F8737" s="18">
        <v>41862.58</v>
      </c>
      <c r="G8737" s="18">
        <v>103154</v>
      </c>
      <c r="H8737" s="18">
        <f t="shared" si="192"/>
        <v>41852.58</v>
      </c>
    </row>
    <row r="8738" spans="1:8" ht="19.5" customHeight="1" x14ac:dyDescent="0.55000000000000004">
      <c r="A8738" s="18">
        <v>24.804360800000001</v>
      </c>
      <c r="B8738" s="18">
        <v>34.826832199999998</v>
      </c>
      <c r="C8738" s="18">
        <v>684656.36</v>
      </c>
      <c r="D8738" s="18">
        <v>2744520.46</v>
      </c>
      <c r="E8738" s="18">
        <v>269.39999999999998</v>
      </c>
      <c r="F8738" s="18">
        <v>41861.57</v>
      </c>
      <c r="G8738" s="18">
        <v>103156</v>
      </c>
      <c r="H8738" s="18">
        <f t="shared" si="192"/>
        <v>41851.57</v>
      </c>
    </row>
    <row r="8739" spans="1:8" ht="19.5" customHeight="1" x14ac:dyDescent="0.55000000000000004">
      <c r="A8739" s="18">
        <v>24.8043795</v>
      </c>
      <c r="B8739" s="18">
        <v>34.826819200000003</v>
      </c>
      <c r="C8739" s="18">
        <v>684655.02</v>
      </c>
      <c r="D8739" s="18">
        <v>2744522.51</v>
      </c>
      <c r="E8739" s="18">
        <v>269.31</v>
      </c>
      <c r="F8739" s="18">
        <v>41859.24</v>
      </c>
      <c r="G8739" s="18">
        <v>103158</v>
      </c>
      <c r="H8739" s="18">
        <f t="shared" si="192"/>
        <v>41849.24</v>
      </c>
    </row>
    <row r="8740" spans="1:8" ht="19.5" customHeight="1" x14ac:dyDescent="0.55000000000000004">
      <c r="A8740" s="18">
        <v>24.804399</v>
      </c>
      <c r="B8740" s="18">
        <v>34.8268074</v>
      </c>
      <c r="C8740" s="18">
        <v>684653.79</v>
      </c>
      <c r="D8740" s="18">
        <v>2744524.65</v>
      </c>
      <c r="E8740" s="18">
        <v>269.32</v>
      </c>
      <c r="F8740" s="18">
        <v>41857.83</v>
      </c>
      <c r="G8740" s="18">
        <v>103200</v>
      </c>
      <c r="H8740" s="18">
        <f t="shared" si="192"/>
        <v>41847.83</v>
      </c>
    </row>
    <row r="8741" spans="1:8" ht="19.5" customHeight="1" x14ac:dyDescent="0.55000000000000004">
      <c r="A8741" s="18">
        <v>24.8044191</v>
      </c>
      <c r="B8741" s="18">
        <v>34.826796600000002</v>
      </c>
      <c r="C8741" s="18">
        <v>684652.67</v>
      </c>
      <c r="D8741" s="18">
        <v>2744526.87</v>
      </c>
      <c r="E8741" s="18">
        <v>269.25</v>
      </c>
      <c r="F8741" s="18">
        <v>41861.15</v>
      </c>
      <c r="G8741" s="18">
        <v>103202</v>
      </c>
      <c r="H8741" s="18">
        <f t="shared" si="192"/>
        <v>41851.15</v>
      </c>
    </row>
    <row r="8742" spans="1:8" ht="19.5" customHeight="1" x14ac:dyDescent="0.55000000000000004">
      <c r="A8742" s="18">
        <v>24.8044431</v>
      </c>
      <c r="B8742" s="18">
        <v>34.826791200000002</v>
      </c>
      <c r="C8742" s="18">
        <v>684652.09</v>
      </c>
      <c r="D8742" s="18">
        <v>2744529.51</v>
      </c>
      <c r="E8742" s="18">
        <v>269.3</v>
      </c>
      <c r="F8742" s="18">
        <v>41859.339999999997</v>
      </c>
      <c r="G8742" s="18">
        <v>103204</v>
      </c>
      <c r="H8742" s="18">
        <f t="shared" si="192"/>
        <v>41849.339999999997</v>
      </c>
    </row>
    <row r="8743" spans="1:8" ht="19.5" customHeight="1" x14ac:dyDescent="0.55000000000000004">
      <c r="A8743" s="18">
        <v>24.8044628</v>
      </c>
      <c r="B8743" s="18">
        <v>34.826779799999997</v>
      </c>
      <c r="C8743" s="18">
        <v>684650.9</v>
      </c>
      <c r="D8743" s="18">
        <v>2744531.68</v>
      </c>
      <c r="E8743" s="18">
        <v>269.33999999999997</v>
      </c>
      <c r="F8743" s="18">
        <v>41858.86</v>
      </c>
      <c r="G8743" s="18">
        <v>103206</v>
      </c>
      <c r="H8743" s="18">
        <f t="shared" si="192"/>
        <v>41848.86</v>
      </c>
    </row>
    <row r="8744" spans="1:8" ht="19.5" customHeight="1" x14ac:dyDescent="0.55000000000000004">
      <c r="A8744" s="18">
        <v>24.804482499999999</v>
      </c>
      <c r="B8744" s="18">
        <v>34.826763300000003</v>
      </c>
      <c r="C8744" s="18">
        <v>684649.21</v>
      </c>
      <c r="D8744" s="18">
        <v>2744533.84</v>
      </c>
      <c r="E8744" s="18">
        <v>269.27</v>
      </c>
      <c r="F8744" s="18">
        <v>41857.360000000001</v>
      </c>
      <c r="G8744" s="18">
        <v>103208</v>
      </c>
      <c r="H8744" s="18">
        <f t="shared" si="192"/>
        <v>41847.360000000001</v>
      </c>
    </row>
    <row r="8745" spans="1:8" ht="19.5" customHeight="1" x14ac:dyDescent="0.55000000000000004">
      <c r="A8745" s="18">
        <v>24.8045011</v>
      </c>
      <c r="B8745" s="18">
        <v>34.826749300000003</v>
      </c>
      <c r="C8745" s="18">
        <v>684647.77</v>
      </c>
      <c r="D8745" s="18">
        <v>2744535.88</v>
      </c>
      <c r="E8745" s="18">
        <v>269.48</v>
      </c>
      <c r="F8745" s="18">
        <v>41856.85</v>
      </c>
      <c r="G8745" s="18">
        <v>103210</v>
      </c>
      <c r="H8745" s="18">
        <f t="shared" si="192"/>
        <v>41846.85</v>
      </c>
    </row>
    <row r="8746" spans="1:8" ht="19.5" customHeight="1" x14ac:dyDescent="0.55000000000000004">
      <c r="A8746" s="18">
        <v>24.804517300000001</v>
      </c>
      <c r="B8746" s="18">
        <v>34.826735999999997</v>
      </c>
      <c r="C8746" s="18">
        <v>684646.40000000002</v>
      </c>
      <c r="D8746" s="18">
        <v>2744537.66</v>
      </c>
      <c r="E8746" s="18">
        <v>269.61</v>
      </c>
      <c r="F8746" s="18">
        <v>41852.959999999999</v>
      </c>
      <c r="G8746" s="18">
        <v>103212</v>
      </c>
      <c r="H8746" s="18">
        <f t="shared" si="192"/>
        <v>41842.959999999999</v>
      </c>
    </row>
    <row r="8747" spans="1:8" ht="19.5" customHeight="1" x14ac:dyDescent="0.55000000000000004">
      <c r="A8747" s="18">
        <v>24.804536800000001</v>
      </c>
      <c r="B8747" s="18">
        <v>34.826722799999999</v>
      </c>
      <c r="C8747" s="18">
        <v>684645.03</v>
      </c>
      <c r="D8747" s="18">
        <v>2744539.8</v>
      </c>
      <c r="E8747" s="18">
        <v>269.64999999999998</v>
      </c>
      <c r="F8747" s="18">
        <v>41852.769999999997</v>
      </c>
      <c r="G8747" s="18">
        <v>103214</v>
      </c>
      <c r="H8747" s="18">
        <f t="shared" si="192"/>
        <v>41842.769999999997</v>
      </c>
    </row>
    <row r="8748" spans="1:8" ht="19.5" customHeight="1" x14ac:dyDescent="0.55000000000000004">
      <c r="A8748" s="18">
        <v>24.804555499999999</v>
      </c>
      <c r="B8748" s="18">
        <v>34.8267095</v>
      </c>
      <c r="C8748" s="18">
        <v>684643.66</v>
      </c>
      <c r="D8748" s="18">
        <v>2744541.86</v>
      </c>
      <c r="E8748" s="18">
        <v>269.74</v>
      </c>
      <c r="F8748" s="18">
        <v>41852.49</v>
      </c>
      <c r="G8748" s="18">
        <v>103216</v>
      </c>
      <c r="H8748" s="18">
        <f t="shared" si="192"/>
        <v>41842.49</v>
      </c>
    </row>
    <row r="8749" spans="1:8" ht="19.5" customHeight="1" x14ac:dyDescent="0.55000000000000004">
      <c r="A8749" s="18">
        <v>24.804572799999999</v>
      </c>
      <c r="B8749" s="18">
        <v>34.8266925</v>
      </c>
      <c r="C8749" s="18">
        <v>684641.92</v>
      </c>
      <c r="D8749" s="18">
        <v>2744543.75</v>
      </c>
      <c r="E8749" s="18">
        <v>269.85000000000002</v>
      </c>
      <c r="F8749" s="18">
        <v>41854.269999999997</v>
      </c>
      <c r="G8749" s="18">
        <v>103218</v>
      </c>
      <c r="H8749" s="18">
        <f t="shared" si="192"/>
        <v>41844.269999999997</v>
      </c>
    </row>
    <row r="8750" spans="1:8" ht="19.5" customHeight="1" x14ac:dyDescent="0.55000000000000004">
      <c r="A8750" s="18">
        <v>24.804592400000001</v>
      </c>
      <c r="B8750" s="18">
        <v>34.826680500000002</v>
      </c>
      <c r="C8750" s="18">
        <v>684640.68</v>
      </c>
      <c r="D8750" s="18">
        <v>2744545.9</v>
      </c>
      <c r="E8750" s="18">
        <v>269.83</v>
      </c>
      <c r="F8750" s="18">
        <v>41852.050000000003</v>
      </c>
      <c r="G8750" s="18">
        <v>103220</v>
      </c>
      <c r="H8750" s="18">
        <f t="shared" si="192"/>
        <v>41842.050000000003</v>
      </c>
    </row>
    <row r="8751" spans="1:8" ht="19.5" customHeight="1" x14ac:dyDescent="0.55000000000000004">
      <c r="A8751" s="18">
        <v>24.8046109</v>
      </c>
      <c r="B8751" s="18">
        <v>34.826666799999998</v>
      </c>
      <c r="C8751" s="18">
        <v>684639.26</v>
      </c>
      <c r="D8751" s="18">
        <v>2744547.93</v>
      </c>
      <c r="E8751" s="18">
        <v>269.89</v>
      </c>
      <c r="F8751" s="18">
        <v>41847.54</v>
      </c>
      <c r="G8751" s="18">
        <v>103222</v>
      </c>
      <c r="H8751" s="18">
        <f t="shared" si="192"/>
        <v>41837.54</v>
      </c>
    </row>
    <row r="8752" spans="1:8" ht="19.5" customHeight="1" x14ac:dyDescent="0.55000000000000004">
      <c r="A8752" s="18">
        <v>24.804626299999999</v>
      </c>
      <c r="B8752" s="18">
        <v>34.826647199999996</v>
      </c>
      <c r="C8752" s="18">
        <v>684637.26</v>
      </c>
      <c r="D8752" s="18">
        <v>2744549.61</v>
      </c>
      <c r="E8752" s="18">
        <v>269.97000000000003</v>
      </c>
      <c r="F8752" s="18">
        <v>41847.480000000003</v>
      </c>
      <c r="G8752" s="18">
        <v>103224</v>
      </c>
      <c r="H8752" s="18">
        <f t="shared" si="192"/>
        <v>41837.480000000003</v>
      </c>
    </row>
    <row r="8753" spans="1:8" ht="19.5" customHeight="1" x14ac:dyDescent="0.55000000000000004">
      <c r="A8753" s="18">
        <v>24.804643299999999</v>
      </c>
      <c r="B8753" s="18">
        <v>34.826627799999997</v>
      </c>
      <c r="C8753" s="18">
        <v>684635.27</v>
      </c>
      <c r="D8753" s="18">
        <v>2744551.47</v>
      </c>
      <c r="E8753" s="18">
        <v>269.88</v>
      </c>
      <c r="F8753" s="18">
        <v>41846.82</v>
      </c>
      <c r="G8753" s="18">
        <v>103226</v>
      </c>
      <c r="H8753" s="18">
        <f t="shared" si="192"/>
        <v>41836.82</v>
      </c>
    </row>
    <row r="8754" spans="1:8" ht="19.5" customHeight="1" x14ac:dyDescent="0.55000000000000004">
      <c r="A8754" s="18">
        <v>24.804656600000001</v>
      </c>
      <c r="B8754" s="18">
        <v>34.826606300000002</v>
      </c>
      <c r="C8754" s="18">
        <v>684633.08</v>
      </c>
      <c r="D8754" s="18">
        <v>2744552.91</v>
      </c>
      <c r="E8754" s="18">
        <v>269.97000000000003</v>
      </c>
      <c r="F8754" s="18">
        <v>41845.760000000002</v>
      </c>
      <c r="G8754" s="18">
        <v>103228</v>
      </c>
      <c r="H8754" s="18">
        <f t="shared" si="192"/>
        <v>41835.760000000002</v>
      </c>
    </row>
    <row r="8755" spans="1:8" ht="19.5" customHeight="1" x14ac:dyDescent="0.55000000000000004">
      <c r="A8755" s="18">
        <v>24.804665100000001</v>
      </c>
      <c r="B8755" s="18">
        <v>34.826583900000003</v>
      </c>
      <c r="C8755" s="18">
        <v>684630.8</v>
      </c>
      <c r="D8755" s="18">
        <v>2744553.82</v>
      </c>
      <c r="E8755" s="18">
        <v>270.13</v>
      </c>
      <c r="F8755" s="18">
        <v>41846.629999999997</v>
      </c>
      <c r="G8755" s="18">
        <v>103230</v>
      </c>
      <c r="H8755" s="18">
        <f t="shared" si="192"/>
        <v>41836.629999999997</v>
      </c>
    </row>
    <row r="8756" spans="1:8" ht="19.5" customHeight="1" x14ac:dyDescent="0.55000000000000004">
      <c r="A8756" s="18">
        <v>24.804678200000001</v>
      </c>
      <c r="B8756" s="18">
        <v>34.826561699999999</v>
      </c>
      <c r="C8756" s="18">
        <v>684628.54</v>
      </c>
      <c r="D8756" s="18">
        <v>2744555.24</v>
      </c>
      <c r="E8756" s="18">
        <v>270.13</v>
      </c>
      <c r="F8756" s="18">
        <v>41847.94</v>
      </c>
      <c r="G8756" s="18">
        <v>103232</v>
      </c>
      <c r="H8756" s="18">
        <f t="shared" si="192"/>
        <v>41837.94</v>
      </c>
    </row>
    <row r="8757" spans="1:8" ht="19.5" customHeight="1" x14ac:dyDescent="0.55000000000000004">
      <c r="A8757" s="18">
        <v>24.8046945</v>
      </c>
      <c r="B8757" s="18">
        <v>34.826542000000003</v>
      </c>
      <c r="C8757" s="18">
        <v>684626.52</v>
      </c>
      <c r="D8757" s="18">
        <v>2744557.03</v>
      </c>
      <c r="E8757" s="18">
        <v>270.14</v>
      </c>
      <c r="F8757" s="18">
        <v>41847.449999999997</v>
      </c>
      <c r="G8757" s="18">
        <v>103234</v>
      </c>
      <c r="H8757" s="18">
        <f t="shared" si="192"/>
        <v>41837.449999999997</v>
      </c>
    </row>
    <row r="8758" spans="1:8" ht="19.5" customHeight="1" x14ac:dyDescent="0.55000000000000004">
      <c r="A8758" s="18">
        <v>24.804709200000001</v>
      </c>
      <c r="B8758" s="18">
        <v>34.826521200000002</v>
      </c>
      <c r="C8758" s="18">
        <v>684624.39</v>
      </c>
      <c r="D8758" s="18">
        <v>2744558.62</v>
      </c>
      <c r="E8758" s="18">
        <v>270.16000000000003</v>
      </c>
      <c r="F8758" s="18">
        <v>41846.839999999997</v>
      </c>
      <c r="G8758" s="18">
        <v>103236</v>
      </c>
      <c r="H8758" s="18">
        <f t="shared" si="192"/>
        <v>41836.839999999997</v>
      </c>
    </row>
    <row r="8759" spans="1:8" ht="19.5" customHeight="1" x14ac:dyDescent="0.55000000000000004">
      <c r="A8759" s="18">
        <v>24.804719800000001</v>
      </c>
      <c r="B8759" s="18">
        <v>34.826498399999998</v>
      </c>
      <c r="C8759" s="18">
        <v>684622.07</v>
      </c>
      <c r="D8759" s="18">
        <v>2744559.76</v>
      </c>
      <c r="E8759" s="18">
        <v>270.25</v>
      </c>
      <c r="F8759" s="18">
        <v>41848.76</v>
      </c>
      <c r="G8759" s="18">
        <v>103238</v>
      </c>
      <c r="H8759" s="18">
        <f t="shared" si="192"/>
        <v>41838.76</v>
      </c>
    </row>
    <row r="8760" spans="1:8" ht="19.5" customHeight="1" x14ac:dyDescent="0.55000000000000004">
      <c r="A8760" s="18">
        <v>24.804731199999999</v>
      </c>
      <c r="B8760" s="18">
        <v>34.826476200000002</v>
      </c>
      <c r="C8760" s="18">
        <v>684619.81</v>
      </c>
      <c r="D8760" s="18">
        <v>2744561</v>
      </c>
      <c r="E8760" s="18">
        <v>270.27</v>
      </c>
      <c r="F8760" s="18">
        <v>41847.300000000003</v>
      </c>
      <c r="G8760" s="18">
        <v>103240</v>
      </c>
      <c r="H8760" s="18">
        <f t="shared" si="192"/>
        <v>41837.300000000003</v>
      </c>
    </row>
    <row r="8761" spans="1:8" ht="19.5" customHeight="1" x14ac:dyDescent="0.55000000000000004">
      <c r="A8761" s="18">
        <v>24.804745700000002</v>
      </c>
      <c r="B8761" s="18">
        <v>34.826458600000002</v>
      </c>
      <c r="C8761" s="18">
        <v>684618.01</v>
      </c>
      <c r="D8761" s="18">
        <v>2744562.58</v>
      </c>
      <c r="E8761" s="18">
        <v>270.33999999999997</v>
      </c>
      <c r="F8761" s="18">
        <v>41848.14</v>
      </c>
      <c r="G8761" s="18">
        <v>103242</v>
      </c>
      <c r="H8761" s="18">
        <f t="shared" si="192"/>
        <v>41838.14</v>
      </c>
    </row>
    <row r="8762" spans="1:8" ht="19.5" customHeight="1" x14ac:dyDescent="0.55000000000000004">
      <c r="A8762" s="18">
        <v>24.804761200000002</v>
      </c>
      <c r="B8762" s="18">
        <v>34.826439899999997</v>
      </c>
      <c r="C8762" s="18">
        <v>684616.1</v>
      </c>
      <c r="D8762" s="18">
        <v>2744564.27</v>
      </c>
      <c r="E8762" s="18">
        <v>270.39</v>
      </c>
      <c r="F8762" s="18">
        <v>41849.040000000001</v>
      </c>
      <c r="G8762" s="18">
        <v>103244</v>
      </c>
      <c r="H8762" s="18">
        <f t="shared" si="192"/>
        <v>41839.040000000001</v>
      </c>
    </row>
    <row r="8763" spans="1:8" ht="19.5" customHeight="1" x14ac:dyDescent="0.55000000000000004">
      <c r="A8763" s="18">
        <v>24.804775299999999</v>
      </c>
      <c r="B8763" s="18">
        <v>34.826419700000002</v>
      </c>
      <c r="C8763" s="18">
        <v>684614.04</v>
      </c>
      <c r="D8763" s="18">
        <v>2744565.81</v>
      </c>
      <c r="E8763" s="18">
        <v>270.35000000000002</v>
      </c>
      <c r="F8763" s="18">
        <v>41850.79</v>
      </c>
      <c r="G8763" s="18">
        <v>103246</v>
      </c>
      <c r="H8763" s="18">
        <f t="shared" si="192"/>
        <v>41840.79</v>
      </c>
    </row>
    <row r="8764" spans="1:8" ht="19.5" customHeight="1" x14ac:dyDescent="0.55000000000000004">
      <c r="A8764" s="18">
        <v>24.804790300000001</v>
      </c>
      <c r="B8764" s="18">
        <v>34.826399199999997</v>
      </c>
      <c r="C8764" s="18">
        <v>684611.94</v>
      </c>
      <c r="D8764" s="18">
        <v>2744567.44</v>
      </c>
      <c r="E8764" s="18">
        <v>270.37</v>
      </c>
      <c r="F8764" s="18">
        <v>41849.64</v>
      </c>
      <c r="G8764" s="18">
        <v>103248</v>
      </c>
      <c r="H8764" s="18">
        <f t="shared" si="192"/>
        <v>41839.64</v>
      </c>
    </row>
    <row r="8765" spans="1:8" ht="19.5" customHeight="1" x14ac:dyDescent="0.55000000000000004">
      <c r="A8765" s="18">
        <v>24.804803700000001</v>
      </c>
      <c r="B8765" s="18">
        <v>34.826377600000001</v>
      </c>
      <c r="C8765" s="18">
        <v>684609.74</v>
      </c>
      <c r="D8765" s="18">
        <v>2744568.9</v>
      </c>
      <c r="E8765" s="18">
        <v>270.45999999999998</v>
      </c>
      <c r="F8765" s="18">
        <v>41851.01</v>
      </c>
      <c r="G8765" s="18">
        <v>103250</v>
      </c>
      <c r="H8765" s="18">
        <f t="shared" si="192"/>
        <v>41841.01</v>
      </c>
    </row>
    <row r="8766" spans="1:8" ht="19.5" customHeight="1" x14ac:dyDescent="0.55000000000000004">
      <c r="A8766" s="18">
        <v>24.8048173</v>
      </c>
      <c r="B8766" s="18">
        <v>34.826356599999997</v>
      </c>
      <c r="C8766" s="18">
        <v>684607.59</v>
      </c>
      <c r="D8766" s="18">
        <v>2744570.38</v>
      </c>
      <c r="E8766" s="18">
        <v>270.5</v>
      </c>
      <c r="F8766" s="18">
        <v>41849.99</v>
      </c>
      <c r="G8766" s="18">
        <v>103252</v>
      </c>
      <c r="H8766" s="18">
        <f t="shared" si="192"/>
        <v>41839.99</v>
      </c>
    </row>
    <row r="8767" spans="1:8" ht="19.5" customHeight="1" x14ac:dyDescent="0.55000000000000004">
      <c r="A8767" s="18">
        <v>24.804824499999999</v>
      </c>
      <c r="B8767" s="18">
        <v>34.826334299999999</v>
      </c>
      <c r="C8767" s="18">
        <v>684605.33</v>
      </c>
      <c r="D8767" s="18">
        <v>2744571.14</v>
      </c>
      <c r="E8767" s="18">
        <v>270.48</v>
      </c>
      <c r="F8767" s="18">
        <v>41852.050000000003</v>
      </c>
      <c r="G8767" s="18">
        <v>103254</v>
      </c>
      <c r="H8767" s="18">
        <f t="shared" si="192"/>
        <v>41842.050000000003</v>
      </c>
    </row>
    <row r="8768" spans="1:8" ht="19.5" customHeight="1" x14ac:dyDescent="0.55000000000000004">
      <c r="A8768" s="18">
        <v>24.804829399999999</v>
      </c>
      <c r="B8768" s="18">
        <v>34.826308699999998</v>
      </c>
      <c r="C8768" s="18">
        <v>684602.73</v>
      </c>
      <c r="D8768" s="18">
        <v>2744571.64</v>
      </c>
      <c r="E8768" s="18">
        <v>270.55</v>
      </c>
      <c r="F8768" s="18">
        <v>41854.910000000003</v>
      </c>
      <c r="G8768" s="18">
        <v>103256</v>
      </c>
      <c r="H8768" s="18">
        <f t="shared" si="192"/>
        <v>41844.910000000003</v>
      </c>
    </row>
    <row r="8769" spans="1:8" ht="19.5" customHeight="1" x14ac:dyDescent="0.55000000000000004">
      <c r="A8769" s="18">
        <v>24.8048371</v>
      </c>
      <c r="B8769" s="18">
        <v>34.826285499999997</v>
      </c>
      <c r="C8769" s="18">
        <v>684600.38</v>
      </c>
      <c r="D8769" s="18">
        <v>2744572.48</v>
      </c>
      <c r="E8769" s="18">
        <v>270.57</v>
      </c>
      <c r="F8769" s="18">
        <v>41855.14</v>
      </c>
      <c r="G8769" s="18">
        <v>103258</v>
      </c>
      <c r="H8769" s="18">
        <f t="shared" si="192"/>
        <v>41845.14</v>
      </c>
    </row>
    <row r="8770" spans="1:8" ht="19.5" customHeight="1" x14ac:dyDescent="0.55000000000000004">
      <c r="A8770" s="18">
        <v>24.804846099999999</v>
      </c>
      <c r="B8770" s="18">
        <v>34.826262100000001</v>
      </c>
      <c r="C8770" s="18">
        <v>684597.99</v>
      </c>
      <c r="D8770" s="18">
        <v>2744573.44</v>
      </c>
      <c r="E8770" s="18">
        <v>270.52999999999997</v>
      </c>
      <c r="F8770" s="18">
        <v>41854.79</v>
      </c>
      <c r="G8770" s="18">
        <v>103300</v>
      </c>
      <c r="H8770" s="18">
        <f t="shared" si="192"/>
        <v>41844.79</v>
      </c>
    </row>
    <row r="8771" spans="1:8" ht="19.5" customHeight="1" x14ac:dyDescent="0.55000000000000004">
      <c r="A8771" s="18">
        <v>24.8048571</v>
      </c>
      <c r="B8771" s="18">
        <v>34.826239299999997</v>
      </c>
      <c r="C8771" s="18">
        <v>684595.68</v>
      </c>
      <c r="D8771" s="18">
        <v>2744574.62</v>
      </c>
      <c r="E8771" s="18">
        <v>270.64</v>
      </c>
      <c r="F8771" s="18">
        <v>41856.11</v>
      </c>
      <c r="G8771" s="18">
        <v>103302</v>
      </c>
      <c r="H8771" s="18">
        <f t="shared" si="192"/>
        <v>41846.11</v>
      </c>
    </row>
    <row r="8772" spans="1:8" ht="19.5" customHeight="1" x14ac:dyDescent="0.55000000000000004">
      <c r="A8772" s="18">
        <v>24.804867399999999</v>
      </c>
      <c r="B8772" s="18">
        <v>34.826217</v>
      </c>
      <c r="C8772" s="18">
        <v>684593.41</v>
      </c>
      <c r="D8772" s="18">
        <v>2744575.73</v>
      </c>
      <c r="E8772" s="18">
        <v>270.69</v>
      </c>
      <c r="F8772" s="18">
        <v>41854.800000000003</v>
      </c>
      <c r="G8772" s="18">
        <v>103304</v>
      </c>
      <c r="H8772" s="18">
        <f t="shared" si="192"/>
        <v>41844.800000000003</v>
      </c>
    </row>
    <row r="8773" spans="1:8" ht="19.5" customHeight="1" x14ac:dyDescent="0.55000000000000004">
      <c r="A8773" s="18">
        <v>24.804873000000001</v>
      </c>
      <c r="B8773" s="18">
        <v>34.826191600000001</v>
      </c>
      <c r="C8773" s="18">
        <v>684590.83</v>
      </c>
      <c r="D8773" s="18">
        <v>2744576.32</v>
      </c>
      <c r="E8773" s="18">
        <v>270.73</v>
      </c>
      <c r="F8773" s="18">
        <v>41859.21</v>
      </c>
      <c r="G8773" s="18">
        <v>103306</v>
      </c>
      <c r="H8773" s="18">
        <f t="shared" si="192"/>
        <v>41849.21</v>
      </c>
    </row>
    <row r="8774" spans="1:8" ht="19.5" customHeight="1" x14ac:dyDescent="0.55000000000000004">
      <c r="A8774" s="18">
        <v>24.804885299999999</v>
      </c>
      <c r="B8774" s="18">
        <v>34.826167400000003</v>
      </c>
      <c r="C8774" s="18">
        <v>684588.36</v>
      </c>
      <c r="D8774" s="18">
        <v>2744577.65</v>
      </c>
      <c r="E8774" s="18">
        <v>270.88</v>
      </c>
      <c r="F8774" s="18">
        <v>41859.68</v>
      </c>
      <c r="G8774" s="18">
        <v>103308</v>
      </c>
      <c r="H8774" s="18">
        <f t="shared" si="192"/>
        <v>41849.68</v>
      </c>
    </row>
    <row r="8775" spans="1:8" ht="19.5" customHeight="1" x14ac:dyDescent="0.55000000000000004">
      <c r="A8775" s="18">
        <v>24.804897</v>
      </c>
      <c r="B8775" s="18">
        <v>34.826144300000003</v>
      </c>
      <c r="C8775" s="18">
        <v>684586.01</v>
      </c>
      <c r="D8775" s="18">
        <v>2744578.91</v>
      </c>
      <c r="E8775" s="18">
        <v>270.93</v>
      </c>
      <c r="F8775" s="18">
        <v>41860.03</v>
      </c>
      <c r="G8775" s="18">
        <v>103310</v>
      </c>
      <c r="H8775" s="18">
        <f t="shared" si="192"/>
        <v>41850.03</v>
      </c>
    </row>
    <row r="8776" spans="1:8" ht="19.5" customHeight="1" x14ac:dyDescent="0.55000000000000004">
      <c r="A8776" s="18">
        <v>24.804905300000001</v>
      </c>
      <c r="B8776" s="18">
        <v>34.826119400000003</v>
      </c>
      <c r="C8776" s="18">
        <v>684583.48</v>
      </c>
      <c r="D8776" s="18">
        <v>2744579.8</v>
      </c>
      <c r="E8776" s="18">
        <v>270.91000000000003</v>
      </c>
      <c r="F8776" s="18">
        <v>41861.449999999997</v>
      </c>
      <c r="G8776" s="18">
        <v>103312</v>
      </c>
      <c r="H8776" s="18">
        <f t="shared" si="192"/>
        <v>41851.449999999997</v>
      </c>
    </row>
    <row r="8777" spans="1:8" ht="19.5" customHeight="1" x14ac:dyDescent="0.55000000000000004">
      <c r="A8777" s="18">
        <v>24.804913899999999</v>
      </c>
      <c r="B8777" s="18">
        <v>34.826093999999998</v>
      </c>
      <c r="C8777" s="18">
        <v>684580.9</v>
      </c>
      <c r="D8777" s="18">
        <v>2744580.72</v>
      </c>
      <c r="E8777" s="18">
        <v>271.01</v>
      </c>
      <c r="F8777" s="18">
        <v>41860.959999999999</v>
      </c>
      <c r="G8777" s="18">
        <v>103314</v>
      </c>
      <c r="H8777" s="18">
        <f t="shared" si="192"/>
        <v>41850.959999999999</v>
      </c>
    </row>
    <row r="8778" spans="1:8" ht="19.5" customHeight="1" x14ac:dyDescent="0.55000000000000004">
      <c r="A8778" s="18">
        <v>24.804925099999998</v>
      </c>
      <c r="B8778" s="18">
        <v>34.826070299999998</v>
      </c>
      <c r="C8778" s="18">
        <v>684578.49</v>
      </c>
      <c r="D8778" s="18">
        <v>2744581.93</v>
      </c>
      <c r="E8778" s="18">
        <v>271.11</v>
      </c>
      <c r="F8778" s="18">
        <v>41859.4</v>
      </c>
      <c r="G8778" s="18">
        <v>103316</v>
      </c>
      <c r="H8778" s="18">
        <f t="shared" si="192"/>
        <v>41849.4</v>
      </c>
    </row>
    <row r="8779" spans="1:8" ht="19.5" customHeight="1" x14ac:dyDescent="0.55000000000000004">
      <c r="A8779" s="18">
        <v>24.8049353</v>
      </c>
      <c r="B8779" s="18">
        <v>34.8260456</v>
      </c>
      <c r="C8779" s="18">
        <v>684575.97</v>
      </c>
      <c r="D8779" s="18">
        <v>2744583.03</v>
      </c>
      <c r="E8779" s="18">
        <v>271.11</v>
      </c>
      <c r="F8779" s="18">
        <v>41862.32</v>
      </c>
      <c r="G8779" s="18">
        <v>103318</v>
      </c>
      <c r="H8779" s="18">
        <f t="shared" si="192"/>
        <v>41852.32</v>
      </c>
    </row>
    <row r="8780" spans="1:8" ht="19.5" customHeight="1" x14ac:dyDescent="0.55000000000000004">
      <c r="A8780" s="18">
        <v>24.8049468</v>
      </c>
      <c r="B8780" s="18">
        <v>34.826022299999998</v>
      </c>
      <c r="C8780" s="18">
        <v>684573.6</v>
      </c>
      <c r="D8780" s="18">
        <v>2744584.26</v>
      </c>
      <c r="E8780" s="18">
        <v>271.16000000000003</v>
      </c>
      <c r="F8780" s="18">
        <v>41863.81</v>
      </c>
      <c r="G8780" s="18">
        <v>103320</v>
      </c>
      <c r="H8780" s="18">
        <f t="shared" si="192"/>
        <v>41853.81</v>
      </c>
    </row>
    <row r="8781" spans="1:8" ht="19.5" customHeight="1" x14ac:dyDescent="0.55000000000000004">
      <c r="A8781" s="18">
        <v>24.804958299999999</v>
      </c>
      <c r="B8781" s="18">
        <v>34.8260006</v>
      </c>
      <c r="C8781" s="18">
        <v>684571.39</v>
      </c>
      <c r="D8781" s="18">
        <v>2744585.52</v>
      </c>
      <c r="E8781" s="18">
        <v>271.27999999999997</v>
      </c>
      <c r="F8781" s="18">
        <v>41867.910000000003</v>
      </c>
      <c r="G8781" s="18">
        <v>103322</v>
      </c>
      <c r="H8781" s="18">
        <f t="shared" si="192"/>
        <v>41857.910000000003</v>
      </c>
    </row>
    <row r="8782" spans="1:8" ht="19.5" customHeight="1" x14ac:dyDescent="0.55000000000000004">
      <c r="A8782" s="18">
        <v>24.804967099999999</v>
      </c>
      <c r="B8782" s="18">
        <v>34.825975200000002</v>
      </c>
      <c r="C8782" s="18">
        <v>684568.81</v>
      </c>
      <c r="D8782" s="18">
        <v>2744586.45</v>
      </c>
      <c r="E8782" s="18">
        <v>271.32</v>
      </c>
      <c r="F8782" s="18">
        <v>41864.620000000003</v>
      </c>
      <c r="G8782" s="18">
        <v>103324</v>
      </c>
      <c r="H8782" s="18">
        <f t="shared" si="192"/>
        <v>41854.620000000003</v>
      </c>
    </row>
    <row r="8783" spans="1:8" ht="19.5" customHeight="1" x14ac:dyDescent="0.55000000000000004">
      <c r="A8783" s="18">
        <v>24.804969</v>
      </c>
      <c r="B8783" s="18">
        <v>34.825949799999997</v>
      </c>
      <c r="C8783" s="18">
        <v>684566.24</v>
      </c>
      <c r="D8783" s="18">
        <v>2744586.63</v>
      </c>
      <c r="E8783" s="18">
        <v>271.24</v>
      </c>
      <c r="F8783" s="18">
        <v>41865.050000000003</v>
      </c>
      <c r="G8783" s="18">
        <v>103326</v>
      </c>
      <c r="H8783" s="18">
        <f t="shared" si="192"/>
        <v>41855.050000000003</v>
      </c>
    </row>
    <row r="8784" spans="1:8" ht="19.5" customHeight="1" x14ac:dyDescent="0.55000000000000004">
      <c r="A8784" s="18">
        <v>24.804971599999998</v>
      </c>
      <c r="B8784" s="18">
        <v>34.825924999999998</v>
      </c>
      <c r="C8784" s="18">
        <v>684563.73</v>
      </c>
      <c r="D8784" s="18">
        <v>2744586.89</v>
      </c>
      <c r="E8784" s="18">
        <v>271.33</v>
      </c>
      <c r="F8784" s="18">
        <v>41868.199999999997</v>
      </c>
      <c r="G8784" s="18">
        <v>103328</v>
      </c>
      <c r="H8784" s="18">
        <f t="shared" si="192"/>
        <v>41858.199999999997</v>
      </c>
    </row>
    <row r="8785" spans="1:8" ht="19.5" customHeight="1" x14ac:dyDescent="0.55000000000000004">
      <c r="A8785" s="18">
        <v>24.804979599999999</v>
      </c>
      <c r="B8785" s="18">
        <v>34.825899100000001</v>
      </c>
      <c r="C8785" s="18">
        <v>684561.1</v>
      </c>
      <c r="D8785" s="18">
        <v>2744587.74</v>
      </c>
      <c r="E8785" s="18">
        <v>271.39</v>
      </c>
      <c r="F8785" s="18">
        <v>41866.85</v>
      </c>
      <c r="G8785" s="18">
        <v>103330</v>
      </c>
      <c r="H8785" s="18">
        <f t="shared" si="192"/>
        <v>41856.85</v>
      </c>
    </row>
    <row r="8786" spans="1:8" ht="19.5" customHeight="1" x14ac:dyDescent="0.55000000000000004">
      <c r="A8786" s="18">
        <v>24.8049876</v>
      </c>
      <c r="B8786" s="18">
        <v>34.825873999999999</v>
      </c>
      <c r="C8786" s="18">
        <v>684558.55</v>
      </c>
      <c r="D8786" s="18">
        <v>2744588.58</v>
      </c>
      <c r="E8786" s="18">
        <v>271.35000000000002</v>
      </c>
      <c r="F8786" s="18">
        <v>41867.72</v>
      </c>
      <c r="G8786" s="18">
        <v>103332</v>
      </c>
      <c r="H8786" s="18">
        <f t="shared" si="192"/>
        <v>41857.72</v>
      </c>
    </row>
    <row r="8787" spans="1:8" ht="19.5" customHeight="1" x14ac:dyDescent="0.55000000000000004">
      <c r="A8787" s="18">
        <v>24.804996899999999</v>
      </c>
      <c r="B8787" s="18">
        <v>34.825850000000003</v>
      </c>
      <c r="C8787" s="18">
        <v>684556.11</v>
      </c>
      <c r="D8787" s="18">
        <v>2744589.58</v>
      </c>
      <c r="E8787" s="18">
        <v>271.5</v>
      </c>
      <c r="F8787" s="18">
        <v>41869.550000000003</v>
      </c>
      <c r="G8787" s="18">
        <v>103334</v>
      </c>
      <c r="H8787" s="18">
        <f t="shared" si="192"/>
        <v>41859.550000000003</v>
      </c>
    </row>
    <row r="8788" spans="1:8" ht="19.5" customHeight="1" x14ac:dyDescent="0.55000000000000004">
      <c r="A8788" s="18">
        <v>24.805005699999999</v>
      </c>
      <c r="B8788" s="18">
        <v>34.825826399999997</v>
      </c>
      <c r="C8788" s="18">
        <v>684553.71</v>
      </c>
      <c r="D8788" s="18">
        <v>2744590.53</v>
      </c>
      <c r="E8788" s="18">
        <v>271.60000000000002</v>
      </c>
      <c r="F8788" s="18">
        <v>41868.870000000003</v>
      </c>
      <c r="G8788" s="18">
        <v>103336</v>
      </c>
      <c r="H8788" s="18">
        <f t="shared" si="192"/>
        <v>41858.870000000003</v>
      </c>
    </row>
    <row r="8789" spans="1:8" ht="19.5" customHeight="1" x14ac:dyDescent="0.55000000000000004">
      <c r="A8789" s="18">
        <v>24.805015399999998</v>
      </c>
      <c r="B8789" s="18">
        <v>34.825801300000002</v>
      </c>
      <c r="C8789" s="18">
        <v>684551.15</v>
      </c>
      <c r="D8789" s="18">
        <v>2744591.57</v>
      </c>
      <c r="E8789" s="18">
        <v>271.68</v>
      </c>
      <c r="F8789" s="18">
        <v>41869.230000000003</v>
      </c>
      <c r="G8789" s="18">
        <v>103338</v>
      </c>
      <c r="H8789" s="18">
        <f t="shared" si="192"/>
        <v>41859.230000000003</v>
      </c>
    </row>
    <row r="8790" spans="1:8" ht="19.5" customHeight="1" x14ac:dyDescent="0.55000000000000004">
      <c r="A8790" s="18">
        <v>24.805022300000001</v>
      </c>
      <c r="B8790" s="18">
        <v>34.825775499999999</v>
      </c>
      <c r="C8790" s="18">
        <v>684548.54</v>
      </c>
      <c r="D8790" s="18">
        <v>2744592.3</v>
      </c>
      <c r="E8790" s="18">
        <v>271.69</v>
      </c>
      <c r="F8790" s="18">
        <v>41867.19</v>
      </c>
      <c r="G8790" s="18">
        <v>103340</v>
      </c>
      <c r="H8790" s="18">
        <f t="shared" si="192"/>
        <v>41857.19</v>
      </c>
    </row>
    <row r="8791" spans="1:8" ht="19.5" customHeight="1" x14ac:dyDescent="0.55000000000000004">
      <c r="A8791" s="18">
        <v>24.805031799999998</v>
      </c>
      <c r="B8791" s="18">
        <v>34.825750300000003</v>
      </c>
      <c r="C8791" s="18">
        <v>684545.98</v>
      </c>
      <c r="D8791" s="18">
        <v>2744593.31</v>
      </c>
      <c r="E8791" s="18">
        <v>271.83</v>
      </c>
      <c r="F8791" s="18">
        <v>41867.14</v>
      </c>
      <c r="G8791" s="18">
        <v>103342</v>
      </c>
      <c r="H8791" s="18">
        <f t="shared" si="192"/>
        <v>41857.14</v>
      </c>
    </row>
    <row r="8792" spans="1:8" ht="19.5" customHeight="1" x14ac:dyDescent="0.55000000000000004">
      <c r="A8792" s="18">
        <v>24.805040699999999</v>
      </c>
      <c r="B8792" s="18">
        <v>34.825724800000003</v>
      </c>
      <c r="C8792" s="18">
        <v>684543.39</v>
      </c>
      <c r="D8792" s="18">
        <v>2744594.27</v>
      </c>
      <c r="E8792" s="18">
        <v>271.92</v>
      </c>
      <c r="F8792" s="18">
        <v>41868.400000000001</v>
      </c>
      <c r="G8792" s="18">
        <v>103344</v>
      </c>
      <c r="H8792" s="18">
        <f t="shared" si="192"/>
        <v>41858.400000000001</v>
      </c>
    </row>
    <row r="8793" spans="1:8" ht="19.5" customHeight="1" x14ac:dyDescent="0.55000000000000004">
      <c r="A8793" s="18">
        <v>24.8050499</v>
      </c>
      <c r="B8793" s="18">
        <v>34.825700500000004</v>
      </c>
      <c r="C8793" s="18">
        <v>684540.92</v>
      </c>
      <c r="D8793" s="18">
        <v>2744595.25</v>
      </c>
      <c r="E8793" s="18">
        <v>271.93</v>
      </c>
      <c r="F8793" s="18">
        <v>41867.269999999997</v>
      </c>
      <c r="G8793" s="18">
        <v>103346</v>
      </c>
      <c r="H8793" s="18">
        <f t="shared" si="192"/>
        <v>41857.269999999997</v>
      </c>
    </row>
    <row r="8794" spans="1:8" ht="19.5" customHeight="1" x14ac:dyDescent="0.55000000000000004">
      <c r="A8794" s="18">
        <v>24.8050596</v>
      </c>
      <c r="B8794" s="18">
        <v>34.825675199999999</v>
      </c>
      <c r="C8794" s="18">
        <v>684538.34</v>
      </c>
      <c r="D8794" s="18">
        <v>2744596.29</v>
      </c>
      <c r="E8794" s="18">
        <v>271.98</v>
      </c>
      <c r="F8794" s="18">
        <v>41869.769999999997</v>
      </c>
      <c r="G8794" s="18">
        <v>103348</v>
      </c>
      <c r="H8794" s="18">
        <f t="shared" si="192"/>
        <v>41859.769999999997</v>
      </c>
    </row>
    <row r="8795" spans="1:8" ht="19.5" customHeight="1" x14ac:dyDescent="0.55000000000000004">
      <c r="A8795" s="18">
        <v>24.805069799999998</v>
      </c>
      <c r="B8795" s="18">
        <v>34.825651000000001</v>
      </c>
      <c r="C8795" s="18">
        <v>684535.88</v>
      </c>
      <c r="D8795" s="18">
        <v>2744597.39</v>
      </c>
      <c r="E8795" s="18">
        <v>272.10000000000002</v>
      </c>
      <c r="F8795" s="18">
        <v>41870.36</v>
      </c>
      <c r="G8795" s="18">
        <v>103350</v>
      </c>
      <c r="H8795" s="18">
        <f t="shared" ref="H8795:H8858" si="193">SUM(F8795-10)</f>
        <v>41860.36</v>
      </c>
    </row>
    <row r="8796" spans="1:8" ht="19.5" customHeight="1" x14ac:dyDescent="0.55000000000000004">
      <c r="A8796" s="18">
        <v>24.805079800000001</v>
      </c>
      <c r="B8796" s="18">
        <v>34.825627400000002</v>
      </c>
      <c r="C8796" s="18">
        <v>684533.48</v>
      </c>
      <c r="D8796" s="18">
        <v>2744598.46</v>
      </c>
      <c r="E8796" s="18">
        <v>272.11</v>
      </c>
      <c r="F8796" s="18">
        <v>41869.49</v>
      </c>
      <c r="G8796" s="18">
        <v>103352</v>
      </c>
      <c r="H8796" s="18">
        <f t="shared" si="193"/>
        <v>41859.49</v>
      </c>
    </row>
    <row r="8797" spans="1:8" ht="19.5" customHeight="1" x14ac:dyDescent="0.55000000000000004">
      <c r="A8797" s="18">
        <v>24.805089599999999</v>
      </c>
      <c r="B8797" s="18">
        <v>34.825601200000001</v>
      </c>
      <c r="C8797" s="18">
        <v>684530.82</v>
      </c>
      <c r="D8797" s="18">
        <v>2744599.51</v>
      </c>
      <c r="E8797" s="18">
        <v>272.16000000000003</v>
      </c>
      <c r="F8797" s="18">
        <v>41868.79</v>
      </c>
      <c r="G8797" s="18">
        <v>103354</v>
      </c>
      <c r="H8797" s="18">
        <f t="shared" si="193"/>
        <v>41858.79</v>
      </c>
    </row>
    <row r="8798" spans="1:8" ht="19.5" customHeight="1" x14ac:dyDescent="0.55000000000000004">
      <c r="A8798" s="18">
        <v>24.805098000000001</v>
      </c>
      <c r="B8798" s="18">
        <v>34.825578</v>
      </c>
      <c r="C8798" s="18">
        <v>684528.46</v>
      </c>
      <c r="D8798" s="18">
        <v>2744600.41</v>
      </c>
      <c r="E8798" s="18">
        <v>272.25</v>
      </c>
      <c r="F8798" s="18">
        <v>41869.35</v>
      </c>
      <c r="G8798" s="18">
        <v>103356</v>
      </c>
      <c r="H8798" s="18">
        <f t="shared" si="193"/>
        <v>41859.35</v>
      </c>
    </row>
    <row r="8799" spans="1:8" ht="19.5" customHeight="1" x14ac:dyDescent="0.55000000000000004">
      <c r="A8799" s="18">
        <v>24.805108600000001</v>
      </c>
      <c r="B8799" s="18">
        <v>34.825552999999999</v>
      </c>
      <c r="C8799" s="18">
        <v>684525.92</v>
      </c>
      <c r="D8799" s="18">
        <v>2744601.55</v>
      </c>
      <c r="E8799" s="18">
        <v>272.39</v>
      </c>
      <c r="F8799" s="18">
        <v>41870.5</v>
      </c>
      <c r="G8799" s="18">
        <v>103358</v>
      </c>
      <c r="H8799" s="18">
        <f t="shared" si="193"/>
        <v>41860.5</v>
      </c>
    </row>
    <row r="8800" spans="1:8" ht="19.5" customHeight="1" x14ac:dyDescent="0.55000000000000004">
      <c r="A8800" s="18">
        <v>24.805121700000001</v>
      </c>
      <c r="B8800" s="18">
        <v>34.825532000000003</v>
      </c>
      <c r="C8800" s="18">
        <v>684523.77</v>
      </c>
      <c r="D8800" s="18">
        <v>2744602.97</v>
      </c>
      <c r="E8800" s="18">
        <v>272.41000000000003</v>
      </c>
      <c r="F8800" s="18">
        <v>41869.699999999997</v>
      </c>
      <c r="G8800" s="18">
        <v>103400</v>
      </c>
      <c r="H8800" s="18">
        <f t="shared" si="193"/>
        <v>41859.699999999997</v>
      </c>
    </row>
    <row r="8801" spans="1:8" ht="19.5" customHeight="1" x14ac:dyDescent="0.55000000000000004">
      <c r="A8801" s="18">
        <v>24.805134599999999</v>
      </c>
      <c r="B8801" s="18">
        <v>34.825511400000003</v>
      </c>
      <c r="C8801" s="18">
        <v>684521.67</v>
      </c>
      <c r="D8801" s="18">
        <v>2744604.37</v>
      </c>
      <c r="E8801" s="18">
        <v>272.43</v>
      </c>
      <c r="F8801" s="18">
        <v>41868.49</v>
      </c>
      <c r="G8801" s="18">
        <v>103402</v>
      </c>
      <c r="H8801" s="18">
        <f t="shared" si="193"/>
        <v>41858.49</v>
      </c>
    </row>
    <row r="8802" spans="1:8" ht="19.5" customHeight="1" x14ac:dyDescent="0.55000000000000004">
      <c r="A8802" s="18">
        <v>24.805148599999999</v>
      </c>
      <c r="B8802" s="18">
        <v>34.825489099999999</v>
      </c>
      <c r="C8802" s="18">
        <v>684519.4</v>
      </c>
      <c r="D8802" s="18">
        <v>2744605.89</v>
      </c>
      <c r="E8802" s="18">
        <v>272.45</v>
      </c>
      <c r="F8802" s="18">
        <v>41869.47</v>
      </c>
      <c r="G8802" s="18">
        <v>103404</v>
      </c>
      <c r="H8802" s="18">
        <f t="shared" si="193"/>
        <v>41859.47</v>
      </c>
    </row>
    <row r="8803" spans="1:8" ht="19.5" customHeight="1" x14ac:dyDescent="0.55000000000000004">
      <c r="A8803" s="18">
        <v>24.805161500000001</v>
      </c>
      <c r="B8803" s="18">
        <v>34.825467099999997</v>
      </c>
      <c r="C8803" s="18">
        <v>684517.15</v>
      </c>
      <c r="D8803" s="18">
        <v>2744607.3</v>
      </c>
      <c r="E8803" s="18">
        <v>272.39</v>
      </c>
      <c r="F8803" s="18">
        <v>41868.67</v>
      </c>
      <c r="G8803" s="18">
        <v>103406</v>
      </c>
      <c r="H8803" s="18">
        <f t="shared" si="193"/>
        <v>41858.67</v>
      </c>
    </row>
    <row r="8804" spans="1:8" ht="19.5" customHeight="1" x14ac:dyDescent="0.55000000000000004">
      <c r="A8804" s="18">
        <v>24.805170799999999</v>
      </c>
      <c r="B8804" s="18">
        <v>34.825442799999998</v>
      </c>
      <c r="C8804" s="18">
        <v>684514.68</v>
      </c>
      <c r="D8804" s="18">
        <v>2744608.3</v>
      </c>
      <c r="E8804" s="18">
        <v>272.47000000000003</v>
      </c>
      <c r="F8804" s="18">
        <v>41869.33</v>
      </c>
      <c r="G8804" s="18">
        <v>103408</v>
      </c>
      <c r="H8804" s="18">
        <f t="shared" si="193"/>
        <v>41859.33</v>
      </c>
    </row>
    <row r="8805" spans="1:8" ht="19.5" customHeight="1" x14ac:dyDescent="0.55000000000000004">
      <c r="A8805" s="18">
        <v>24.805181699999999</v>
      </c>
      <c r="B8805" s="18">
        <v>34.825421800000001</v>
      </c>
      <c r="C8805" s="18">
        <v>684512.54</v>
      </c>
      <c r="D8805" s="18">
        <v>2744609.47</v>
      </c>
      <c r="E8805" s="18">
        <v>272.52</v>
      </c>
      <c r="F8805" s="18">
        <v>41868.120000000003</v>
      </c>
      <c r="G8805" s="18">
        <v>103410</v>
      </c>
      <c r="H8805" s="18">
        <f t="shared" si="193"/>
        <v>41858.120000000003</v>
      </c>
    </row>
    <row r="8806" spans="1:8" ht="19.5" customHeight="1" x14ac:dyDescent="0.55000000000000004">
      <c r="A8806" s="18">
        <v>24.8051922</v>
      </c>
      <c r="B8806" s="18">
        <v>34.825402099999998</v>
      </c>
      <c r="C8806" s="18">
        <v>684510.53</v>
      </c>
      <c r="D8806" s="18">
        <v>2744610.61</v>
      </c>
      <c r="E8806" s="18">
        <v>272.43</v>
      </c>
      <c r="F8806" s="18">
        <v>41866.04</v>
      </c>
      <c r="G8806" s="18">
        <v>103412</v>
      </c>
      <c r="H8806" s="18">
        <f t="shared" si="193"/>
        <v>41856.04</v>
      </c>
    </row>
    <row r="8807" spans="1:8" ht="19.5" customHeight="1" x14ac:dyDescent="0.55000000000000004">
      <c r="A8807" s="18">
        <v>24.805199600000002</v>
      </c>
      <c r="B8807" s="18">
        <v>34.825379099999999</v>
      </c>
      <c r="C8807" s="18">
        <v>684508.2</v>
      </c>
      <c r="D8807" s="18">
        <v>2744611.39</v>
      </c>
      <c r="E8807" s="18">
        <v>272.43</v>
      </c>
      <c r="F8807" s="18">
        <v>41868.720000000001</v>
      </c>
      <c r="G8807" s="18">
        <v>103414</v>
      </c>
      <c r="H8807" s="18">
        <f t="shared" si="193"/>
        <v>41858.720000000001</v>
      </c>
    </row>
    <row r="8808" spans="1:8" ht="19.5" customHeight="1" x14ac:dyDescent="0.55000000000000004">
      <c r="A8808" s="18">
        <v>24.805205000000001</v>
      </c>
      <c r="B8808" s="18">
        <v>34.825355000000002</v>
      </c>
      <c r="C8808" s="18">
        <v>684505.76</v>
      </c>
      <c r="D8808" s="18">
        <v>2744611.96</v>
      </c>
      <c r="E8808" s="18">
        <v>272.51</v>
      </c>
      <c r="F8808" s="18">
        <v>41867.730000000003</v>
      </c>
      <c r="G8808" s="18">
        <v>103416</v>
      </c>
      <c r="H8808" s="18">
        <f t="shared" si="193"/>
        <v>41857.730000000003</v>
      </c>
    </row>
    <row r="8809" spans="1:8" ht="19.5" customHeight="1" x14ac:dyDescent="0.55000000000000004">
      <c r="A8809" s="18">
        <v>24.805208</v>
      </c>
      <c r="B8809" s="18">
        <v>34.825329199999999</v>
      </c>
      <c r="C8809" s="18">
        <v>684503.14</v>
      </c>
      <c r="D8809" s="18">
        <v>2744612.26</v>
      </c>
      <c r="E8809" s="18">
        <v>272.58</v>
      </c>
      <c r="F8809" s="18">
        <v>41866.82</v>
      </c>
      <c r="G8809" s="18">
        <v>103418</v>
      </c>
      <c r="H8809" s="18">
        <f t="shared" si="193"/>
        <v>41856.82</v>
      </c>
    </row>
    <row r="8810" spans="1:8" ht="19.5" customHeight="1" x14ac:dyDescent="0.55000000000000004">
      <c r="A8810" s="18">
        <v>24.805212000000001</v>
      </c>
      <c r="B8810" s="18">
        <v>34.825304099999997</v>
      </c>
      <c r="C8810" s="18">
        <v>684500.59</v>
      </c>
      <c r="D8810" s="18">
        <v>2744612.67</v>
      </c>
      <c r="E8810" s="18">
        <v>272.70999999999998</v>
      </c>
      <c r="F8810" s="18">
        <v>41866.300000000003</v>
      </c>
      <c r="G8810" s="18">
        <v>103420</v>
      </c>
      <c r="H8810" s="18">
        <f t="shared" si="193"/>
        <v>41856.300000000003</v>
      </c>
    </row>
    <row r="8811" spans="1:8" ht="19.5" customHeight="1" x14ac:dyDescent="0.55000000000000004">
      <c r="A8811" s="18">
        <v>24.805214800000002</v>
      </c>
      <c r="B8811" s="18">
        <v>34.825279000000002</v>
      </c>
      <c r="C8811" s="18">
        <v>684498.06</v>
      </c>
      <c r="D8811" s="18">
        <v>2744612.95</v>
      </c>
      <c r="E8811" s="18">
        <v>272.81</v>
      </c>
      <c r="F8811" s="18">
        <v>41865.769999999997</v>
      </c>
      <c r="G8811" s="18">
        <v>103422</v>
      </c>
      <c r="H8811" s="18">
        <f t="shared" si="193"/>
        <v>41855.769999999997</v>
      </c>
    </row>
    <row r="8812" spans="1:8" ht="19.5" customHeight="1" x14ac:dyDescent="0.55000000000000004">
      <c r="A8812" s="18">
        <v>24.805220200000001</v>
      </c>
      <c r="B8812" s="18">
        <v>34.825255200000001</v>
      </c>
      <c r="C8812" s="18">
        <v>684495.65</v>
      </c>
      <c r="D8812" s="18">
        <v>2744613.51</v>
      </c>
      <c r="E8812" s="18">
        <v>272.77999999999997</v>
      </c>
      <c r="F8812" s="18">
        <v>41867.24</v>
      </c>
      <c r="G8812" s="18">
        <v>103424</v>
      </c>
      <c r="H8812" s="18">
        <f t="shared" si="193"/>
        <v>41857.24</v>
      </c>
    </row>
    <row r="8813" spans="1:8" ht="19.5" customHeight="1" x14ac:dyDescent="0.55000000000000004">
      <c r="A8813" s="18">
        <v>24.805224899999999</v>
      </c>
      <c r="B8813" s="18">
        <v>34.825230699999999</v>
      </c>
      <c r="C8813" s="18">
        <v>684493.16</v>
      </c>
      <c r="D8813" s="18">
        <v>2744613.99</v>
      </c>
      <c r="E8813" s="18">
        <v>272.76</v>
      </c>
      <c r="F8813" s="18">
        <v>41867.43</v>
      </c>
      <c r="G8813" s="18">
        <v>103426</v>
      </c>
      <c r="H8813" s="18">
        <f t="shared" si="193"/>
        <v>41857.43</v>
      </c>
    </row>
    <row r="8814" spans="1:8" ht="19.5" customHeight="1" x14ac:dyDescent="0.55000000000000004">
      <c r="A8814" s="18">
        <v>24.8052302</v>
      </c>
      <c r="B8814" s="18">
        <v>34.825206000000001</v>
      </c>
      <c r="C8814" s="18">
        <v>684490.65</v>
      </c>
      <c r="D8814" s="18">
        <v>2744614.55</v>
      </c>
      <c r="E8814" s="18">
        <v>272.99</v>
      </c>
      <c r="F8814" s="18">
        <v>41866.67</v>
      </c>
      <c r="G8814" s="18">
        <v>103428</v>
      </c>
      <c r="H8814" s="18">
        <f t="shared" si="193"/>
        <v>41856.67</v>
      </c>
    </row>
    <row r="8815" spans="1:8" ht="19.5" customHeight="1" x14ac:dyDescent="0.55000000000000004">
      <c r="A8815" s="18">
        <v>24.805225700000001</v>
      </c>
      <c r="B8815" s="18">
        <v>34.825182400000003</v>
      </c>
      <c r="C8815" s="18">
        <v>684488.28</v>
      </c>
      <c r="D8815" s="18">
        <v>2744614.02</v>
      </c>
      <c r="E8815" s="18">
        <v>273</v>
      </c>
      <c r="F8815" s="18">
        <v>41869.18</v>
      </c>
      <c r="G8815" s="18">
        <v>103430</v>
      </c>
      <c r="H8815" s="18">
        <f t="shared" si="193"/>
        <v>41859.18</v>
      </c>
    </row>
    <row r="8816" spans="1:8" ht="19.5" customHeight="1" x14ac:dyDescent="0.55000000000000004">
      <c r="A8816" s="18">
        <v>24.805224500000001</v>
      </c>
      <c r="B8816" s="18">
        <v>34.825159800000002</v>
      </c>
      <c r="C8816" s="18">
        <v>684485.99</v>
      </c>
      <c r="D8816" s="18">
        <v>2744613.86</v>
      </c>
      <c r="E8816" s="18">
        <v>273.14999999999998</v>
      </c>
      <c r="F8816" s="18">
        <v>41869.160000000003</v>
      </c>
      <c r="G8816" s="18">
        <v>103432</v>
      </c>
      <c r="H8816" s="18">
        <f t="shared" si="193"/>
        <v>41859.160000000003</v>
      </c>
    </row>
    <row r="8817" spans="1:8" ht="19.5" customHeight="1" x14ac:dyDescent="0.55000000000000004">
      <c r="A8817" s="18">
        <v>24.805224899999999</v>
      </c>
      <c r="B8817" s="18">
        <v>34.825134800000001</v>
      </c>
      <c r="C8817" s="18">
        <v>684483.46</v>
      </c>
      <c r="D8817" s="18">
        <v>2744613.86</v>
      </c>
      <c r="E8817" s="18">
        <v>273.14</v>
      </c>
      <c r="F8817" s="18">
        <v>41868.620000000003</v>
      </c>
      <c r="G8817" s="18">
        <v>103434</v>
      </c>
      <c r="H8817" s="18">
        <f t="shared" si="193"/>
        <v>41858.620000000003</v>
      </c>
    </row>
    <row r="8818" spans="1:8" ht="19.5" customHeight="1" x14ac:dyDescent="0.55000000000000004">
      <c r="A8818" s="18">
        <v>24.805232</v>
      </c>
      <c r="B8818" s="18">
        <v>34.825111499999998</v>
      </c>
      <c r="C8818" s="18">
        <v>684481.09</v>
      </c>
      <c r="D8818" s="18">
        <v>2744614.62</v>
      </c>
      <c r="E8818" s="18">
        <v>273.26</v>
      </c>
      <c r="F8818" s="18">
        <v>41868.910000000003</v>
      </c>
      <c r="G8818" s="18">
        <v>103436</v>
      </c>
      <c r="H8818" s="18">
        <f t="shared" si="193"/>
        <v>41858.910000000003</v>
      </c>
    </row>
    <row r="8819" spans="1:8" ht="19.5" customHeight="1" x14ac:dyDescent="0.55000000000000004">
      <c r="A8819" s="18">
        <v>24.805241200000001</v>
      </c>
      <c r="B8819" s="18">
        <v>34.825091200000003</v>
      </c>
      <c r="C8819" s="18">
        <v>684479.03</v>
      </c>
      <c r="D8819" s="18">
        <v>2744615.61</v>
      </c>
      <c r="E8819" s="18">
        <v>273.22000000000003</v>
      </c>
      <c r="F8819" s="18">
        <v>41867.08</v>
      </c>
      <c r="G8819" s="18">
        <v>103438</v>
      </c>
      <c r="H8819" s="18">
        <f t="shared" si="193"/>
        <v>41857.08</v>
      </c>
    </row>
    <row r="8820" spans="1:8" ht="19.5" customHeight="1" x14ac:dyDescent="0.55000000000000004">
      <c r="A8820" s="18">
        <v>24.805245200000002</v>
      </c>
      <c r="B8820" s="18">
        <v>34.825068100000003</v>
      </c>
      <c r="C8820" s="18">
        <v>684476.69</v>
      </c>
      <c r="D8820" s="18">
        <v>2744616.03</v>
      </c>
      <c r="E8820" s="18">
        <v>273.20999999999998</v>
      </c>
      <c r="F8820" s="18">
        <v>41869.54</v>
      </c>
      <c r="G8820" s="18">
        <v>103440</v>
      </c>
      <c r="H8820" s="18">
        <f t="shared" si="193"/>
        <v>41859.54</v>
      </c>
    </row>
    <row r="8821" spans="1:8" ht="19.5" customHeight="1" x14ac:dyDescent="0.55000000000000004">
      <c r="A8821" s="18">
        <v>24.805245200000002</v>
      </c>
      <c r="B8821" s="18">
        <v>34.825043600000001</v>
      </c>
      <c r="C8821" s="18">
        <v>684474.21</v>
      </c>
      <c r="D8821" s="18">
        <v>2744615.99</v>
      </c>
      <c r="E8821" s="18">
        <v>273.23</v>
      </c>
      <c r="F8821" s="18">
        <v>41870.9</v>
      </c>
      <c r="G8821" s="18">
        <v>103442</v>
      </c>
      <c r="H8821" s="18">
        <f t="shared" si="193"/>
        <v>41860.9</v>
      </c>
    </row>
    <row r="8822" spans="1:8" ht="19.5" customHeight="1" x14ac:dyDescent="0.55000000000000004">
      <c r="A8822" s="18">
        <v>24.805248899999999</v>
      </c>
      <c r="B8822" s="18">
        <v>34.825020700000003</v>
      </c>
      <c r="C8822" s="18">
        <v>684471.9</v>
      </c>
      <c r="D8822" s="18">
        <v>2744616.37</v>
      </c>
      <c r="E8822" s="18">
        <v>273.29000000000002</v>
      </c>
      <c r="F8822" s="18">
        <v>41869</v>
      </c>
      <c r="G8822" s="18">
        <v>103444</v>
      </c>
      <c r="H8822" s="18">
        <f t="shared" si="193"/>
        <v>41859</v>
      </c>
    </row>
    <row r="8823" spans="1:8" ht="19.5" customHeight="1" x14ac:dyDescent="0.55000000000000004">
      <c r="A8823" s="18">
        <v>24.8052566</v>
      </c>
      <c r="B8823" s="18">
        <v>34.824998600000001</v>
      </c>
      <c r="C8823" s="18">
        <v>684469.64</v>
      </c>
      <c r="D8823" s="18">
        <v>2744617.19</v>
      </c>
      <c r="E8823" s="18">
        <v>273.3</v>
      </c>
      <c r="F8823" s="18">
        <v>41872.089999999997</v>
      </c>
      <c r="G8823" s="18">
        <v>103446</v>
      </c>
      <c r="H8823" s="18">
        <f t="shared" si="193"/>
        <v>41862.089999999997</v>
      </c>
    </row>
    <row r="8824" spans="1:8" ht="19.5" customHeight="1" x14ac:dyDescent="0.55000000000000004">
      <c r="A8824" s="18">
        <v>24.805270199999999</v>
      </c>
      <c r="B8824" s="18">
        <v>34.824974699999999</v>
      </c>
      <c r="C8824" s="18">
        <v>684467.21</v>
      </c>
      <c r="D8824" s="18">
        <v>2744618.67</v>
      </c>
      <c r="E8824" s="18">
        <v>273.33999999999997</v>
      </c>
      <c r="F8824" s="18">
        <v>41872.19</v>
      </c>
      <c r="G8824" s="18">
        <v>103448</v>
      </c>
      <c r="H8824" s="18">
        <f t="shared" si="193"/>
        <v>41862.19</v>
      </c>
    </row>
    <row r="8825" spans="1:8" ht="19.5" customHeight="1" x14ac:dyDescent="0.55000000000000004">
      <c r="A8825" s="18">
        <v>24.8052767</v>
      </c>
      <c r="B8825" s="18">
        <v>34.824952000000003</v>
      </c>
      <c r="C8825" s="18">
        <v>684464.91</v>
      </c>
      <c r="D8825" s="18">
        <v>2744619.36</v>
      </c>
      <c r="E8825" s="18">
        <v>273.5</v>
      </c>
      <c r="F8825" s="18">
        <v>41873.19</v>
      </c>
      <c r="G8825" s="18">
        <v>103450</v>
      </c>
      <c r="H8825" s="18">
        <f t="shared" si="193"/>
        <v>41863.19</v>
      </c>
    </row>
    <row r="8826" spans="1:8" ht="19.5" customHeight="1" x14ac:dyDescent="0.55000000000000004">
      <c r="A8826" s="18">
        <v>24.805281600000001</v>
      </c>
      <c r="B8826" s="18">
        <v>34.824927099999996</v>
      </c>
      <c r="C8826" s="18">
        <v>684462.38</v>
      </c>
      <c r="D8826" s="18">
        <v>2744619.87</v>
      </c>
      <c r="E8826" s="18">
        <v>273.52999999999997</v>
      </c>
      <c r="F8826" s="18">
        <v>41873.58</v>
      </c>
      <c r="G8826" s="18">
        <v>103452</v>
      </c>
      <c r="H8826" s="18">
        <f t="shared" si="193"/>
        <v>41863.58</v>
      </c>
    </row>
    <row r="8827" spans="1:8" ht="19.5" customHeight="1" x14ac:dyDescent="0.55000000000000004">
      <c r="A8827" s="18">
        <v>24.805284700000001</v>
      </c>
      <c r="B8827" s="18">
        <v>34.824902100000003</v>
      </c>
      <c r="C8827" s="18">
        <v>684459.85</v>
      </c>
      <c r="D8827" s="18">
        <v>2744620.18</v>
      </c>
      <c r="E8827" s="18">
        <v>273.52999999999997</v>
      </c>
      <c r="F8827" s="18">
        <v>41876.379999999997</v>
      </c>
      <c r="G8827" s="18">
        <v>103454</v>
      </c>
      <c r="H8827" s="18">
        <f t="shared" si="193"/>
        <v>41866.379999999997</v>
      </c>
    </row>
    <row r="8828" spans="1:8" ht="19.5" customHeight="1" x14ac:dyDescent="0.55000000000000004">
      <c r="A8828" s="18">
        <v>24.8052907</v>
      </c>
      <c r="B8828" s="18">
        <v>34.824877299999997</v>
      </c>
      <c r="C8828" s="18">
        <v>684457.33</v>
      </c>
      <c r="D8828" s="18">
        <v>2744620.81</v>
      </c>
      <c r="E8828" s="18">
        <v>273.61</v>
      </c>
      <c r="F8828" s="18">
        <v>41873.69</v>
      </c>
      <c r="G8828" s="18">
        <v>103456</v>
      </c>
      <c r="H8828" s="18">
        <f t="shared" si="193"/>
        <v>41863.69</v>
      </c>
    </row>
    <row r="8829" spans="1:8" ht="19.5" customHeight="1" x14ac:dyDescent="0.55000000000000004">
      <c r="A8829" s="18">
        <v>24.805295000000001</v>
      </c>
      <c r="B8829" s="18">
        <v>34.8248514</v>
      </c>
      <c r="C8829" s="18">
        <v>684454.71</v>
      </c>
      <c r="D8829" s="18">
        <v>2744621.26</v>
      </c>
      <c r="E8829" s="18">
        <v>273.70999999999998</v>
      </c>
      <c r="F8829" s="18">
        <v>41873.18</v>
      </c>
      <c r="G8829" s="18">
        <v>103458</v>
      </c>
      <c r="H8829" s="18">
        <f t="shared" si="193"/>
        <v>41863.18</v>
      </c>
    </row>
    <row r="8830" spans="1:8" ht="19.5" customHeight="1" x14ac:dyDescent="0.55000000000000004">
      <c r="A8830" s="18">
        <v>24.805299300000001</v>
      </c>
      <c r="B8830" s="18">
        <v>34.824826399999999</v>
      </c>
      <c r="C8830" s="18">
        <v>684452.17</v>
      </c>
      <c r="D8830" s="18">
        <v>2744621.69</v>
      </c>
      <c r="E8830" s="18">
        <v>273.72000000000003</v>
      </c>
      <c r="F8830" s="18">
        <v>41872.35</v>
      </c>
      <c r="G8830" s="18">
        <v>103500</v>
      </c>
      <c r="H8830" s="18">
        <f t="shared" si="193"/>
        <v>41862.35</v>
      </c>
    </row>
    <row r="8831" spans="1:8" ht="19.5" customHeight="1" x14ac:dyDescent="0.55000000000000004">
      <c r="A8831" s="18">
        <v>24.805306099999999</v>
      </c>
      <c r="B8831" s="18">
        <v>34.824801800000003</v>
      </c>
      <c r="C8831" s="18">
        <v>684449.68</v>
      </c>
      <c r="D8831" s="18">
        <v>2744622.41</v>
      </c>
      <c r="E8831" s="18">
        <v>273.73</v>
      </c>
      <c r="F8831" s="18">
        <v>41873.17</v>
      </c>
      <c r="G8831" s="18">
        <v>103502</v>
      </c>
      <c r="H8831" s="18">
        <f t="shared" si="193"/>
        <v>41863.17</v>
      </c>
    </row>
    <row r="8832" spans="1:8" ht="19.5" customHeight="1" x14ac:dyDescent="0.55000000000000004">
      <c r="A8832" s="18">
        <v>24.805315400000001</v>
      </c>
      <c r="B8832" s="18">
        <v>34.824777099999999</v>
      </c>
      <c r="C8832" s="18">
        <v>684447.17</v>
      </c>
      <c r="D8832" s="18">
        <v>2744623.41</v>
      </c>
      <c r="E8832" s="18">
        <v>273.74</v>
      </c>
      <c r="F8832" s="18">
        <v>41873.46</v>
      </c>
      <c r="G8832" s="18">
        <v>103504</v>
      </c>
      <c r="H8832" s="18">
        <f t="shared" si="193"/>
        <v>41863.46</v>
      </c>
    </row>
    <row r="8833" spans="1:8" ht="19.5" customHeight="1" x14ac:dyDescent="0.55000000000000004">
      <c r="A8833" s="18">
        <v>24.805326399999998</v>
      </c>
      <c r="B8833" s="18">
        <v>34.824753299999998</v>
      </c>
      <c r="C8833" s="18">
        <v>684444.74</v>
      </c>
      <c r="D8833" s="18">
        <v>2744624.6</v>
      </c>
      <c r="E8833" s="18">
        <v>273.73</v>
      </c>
      <c r="F8833" s="18">
        <v>41876.300000000003</v>
      </c>
      <c r="G8833" s="18">
        <v>103506</v>
      </c>
      <c r="H8833" s="18">
        <f t="shared" si="193"/>
        <v>41866.300000000003</v>
      </c>
    </row>
    <row r="8834" spans="1:8" ht="19.5" customHeight="1" x14ac:dyDescent="0.55000000000000004">
      <c r="A8834" s="18">
        <v>24.805335800000002</v>
      </c>
      <c r="B8834" s="18">
        <v>34.824730600000002</v>
      </c>
      <c r="C8834" s="18">
        <v>684442.43</v>
      </c>
      <c r="D8834" s="18">
        <v>2744625.61</v>
      </c>
      <c r="E8834" s="18">
        <v>273.75</v>
      </c>
      <c r="F8834" s="18">
        <v>41874.14</v>
      </c>
      <c r="G8834" s="18">
        <v>103508</v>
      </c>
      <c r="H8834" s="18">
        <f t="shared" si="193"/>
        <v>41864.14</v>
      </c>
    </row>
    <row r="8835" spans="1:8" ht="19.5" customHeight="1" x14ac:dyDescent="0.55000000000000004">
      <c r="A8835" s="18">
        <v>24.805346</v>
      </c>
      <c r="B8835" s="18">
        <v>34.824708600000001</v>
      </c>
      <c r="C8835" s="18">
        <v>684440.19</v>
      </c>
      <c r="D8835" s="18">
        <v>2744626.7</v>
      </c>
      <c r="E8835" s="18">
        <v>273.86</v>
      </c>
      <c r="F8835" s="18">
        <v>41874.99</v>
      </c>
      <c r="G8835" s="18">
        <v>103510</v>
      </c>
      <c r="H8835" s="18">
        <f t="shared" si="193"/>
        <v>41864.99</v>
      </c>
    </row>
    <row r="8836" spans="1:8" ht="19.5" customHeight="1" x14ac:dyDescent="0.55000000000000004">
      <c r="A8836" s="18">
        <v>24.805361600000001</v>
      </c>
      <c r="B8836" s="18">
        <v>34.8246915</v>
      </c>
      <c r="C8836" s="18">
        <v>684438.45</v>
      </c>
      <c r="D8836" s="18">
        <v>2744628.41</v>
      </c>
      <c r="E8836" s="18">
        <v>273.99</v>
      </c>
      <c r="F8836" s="18">
        <v>41875.07</v>
      </c>
      <c r="G8836" s="18">
        <v>103512</v>
      </c>
      <c r="H8836" s="18">
        <f t="shared" si="193"/>
        <v>41865.07</v>
      </c>
    </row>
    <row r="8837" spans="1:8" ht="19.5" customHeight="1" x14ac:dyDescent="0.55000000000000004">
      <c r="A8837" s="18">
        <v>24.8053755</v>
      </c>
      <c r="B8837" s="18">
        <v>34.824672100000001</v>
      </c>
      <c r="C8837" s="18">
        <v>684436.46</v>
      </c>
      <c r="D8837" s="18">
        <v>2744629.92</v>
      </c>
      <c r="E8837" s="18">
        <v>274.05</v>
      </c>
      <c r="F8837" s="18">
        <v>41875.72</v>
      </c>
      <c r="G8837" s="18">
        <v>103514</v>
      </c>
      <c r="H8837" s="18">
        <f t="shared" si="193"/>
        <v>41865.72</v>
      </c>
    </row>
    <row r="8838" spans="1:8" ht="19.5" customHeight="1" x14ac:dyDescent="0.55000000000000004">
      <c r="A8838" s="18">
        <v>24.805386599999999</v>
      </c>
      <c r="B8838" s="18">
        <v>34.824649299999997</v>
      </c>
      <c r="C8838" s="18">
        <v>684434.14</v>
      </c>
      <c r="D8838" s="18">
        <v>2744631.12</v>
      </c>
      <c r="E8838" s="18">
        <v>274.17</v>
      </c>
      <c r="F8838" s="18">
        <v>41876.35</v>
      </c>
      <c r="G8838" s="18">
        <v>103516</v>
      </c>
      <c r="H8838" s="18">
        <f t="shared" si="193"/>
        <v>41866.35</v>
      </c>
    </row>
    <row r="8839" spans="1:8" ht="19.5" customHeight="1" x14ac:dyDescent="0.55000000000000004">
      <c r="A8839" s="18">
        <v>24.805392999999999</v>
      </c>
      <c r="B8839" s="18">
        <v>34.824624</v>
      </c>
      <c r="C8839" s="18">
        <v>684431.58</v>
      </c>
      <c r="D8839" s="18">
        <v>2744631.8</v>
      </c>
      <c r="E8839" s="18">
        <v>274.13</v>
      </c>
      <c r="F8839" s="18">
        <v>41876.879999999997</v>
      </c>
      <c r="G8839" s="18">
        <v>103518</v>
      </c>
      <c r="H8839" s="18">
        <f t="shared" si="193"/>
        <v>41866.879999999997</v>
      </c>
    </row>
    <row r="8840" spans="1:8" ht="19.5" customHeight="1" x14ac:dyDescent="0.55000000000000004">
      <c r="A8840" s="18">
        <v>24.805396099999999</v>
      </c>
      <c r="B8840" s="18">
        <v>34.824597900000001</v>
      </c>
      <c r="C8840" s="18">
        <v>684428.93</v>
      </c>
      <c r="D8840" s="18">
        <v>2744632.11</v>
      </c>
      <c r="E8840" s="18">
        <v>274.11</v>
      </c>
      <c r="F8840" s="18">
        <v>41876.51</v>
      </c>
      <c r="G8840" s="18">
        <v>103520</v>
      </c>
      <c r="H8840" s="18">
        <f t="shared" si="193"/>
        <v>41866.51</v>
      </c>
    </row>
    <row r="8841" spans="1:8" ht="19.5" customHeight="1" x14ac:dyDescent="0.55000000000000004">
      <c r="A8841" s="18">
        <v>24.805402600000001</v>
      </c>
      <c r="B8841" s="18">
        <v>34.824573700000002</v>
      </c>
      <c r="C8841" s="18">
        <v>684426.47</v>
      </c>
      <c r="D8841" s="18">
        <v>2744632.79</v>
      </c>
      <c r="E8841" s="18">
        <v>274.23</v>
      </c>
      <c r="F8841" s="18">
        <v>41877.42</v>
      </c>
      <c r="G8841" s="18">
        <v>103522</v>
      </c>
      <c r="H8841" s="18">
        <f t="shared" si="193"/>
        <v>41867.42</v>
      </c>
    </row>
    <row r="8842" spans="1:8" ht="19.5" customHeight="1" x14ac:dyDescent="0.55000000000000004">
      <c r="A8842" s="18">
        <v>24.8054138</v>
      </c>
      <c r="B8842" s="18">
        <v>34.824551399999997</v>
      </c>
      <c r="C8842" s="18">
        <v>684424.2</v>
      </c>
      <c r="D8842" s="18">
        <v>2744634.01</v>
      </c>
      <c r="E8842" s="18">
        <v>274.3</v>
      </c>
      <c r="F8842" s="18">
        <v>41875.25</v>
      </c>
      <c r="G8842" s="18">
        <v>103524</v>
      </c>
      <c r="H8842" s="18">
        <f t="shared" si="193"/>
        <v>41865.25</v>
      </c>
    </row>
    <row r="8843" spans="1:8" ht="19.5" customHeight="1" x14ac:dyDescent="0.55000000000000004">
      <c r="A8843" s="18">
        <v>24.805423399999999</v>
      </c>
      <c r="B8843" s="18">
        <v>34.824527000000003</v>
      </c>
      <c r="C8843" s="18">
        <v>684421.72</v>
      </c>
      <c r="D8843" s="18">
        <v>2744635.03</v>
      </c>
      <c r="E8843" s="18">
        <v>274.31</v>
      </c>
      <c r="F8843" s="18">
        <v>41877.14</v>
      </c>
      <c r="G8843" s="18">
        <v>103526</v>
      </c>
      <c r="H8843" s="18">
        <f t="shared" si="193"/>
        <v>41867.14</v>
      </c>
    </row>
    <row r="8844" spans="1:8" ht="19.5" customHeight="1" x14ac:dyDescent="0.55000000000000004">
      <c r="A8844" s="18">
        <v>24.805431200000001</v>
      </c>
      <c r="B8844" s="18">
        <v>34.824502699999996</v>
      </c>
      <c r="C8844" s="18">
        <v>684419.26</v>
      </c>
      <c r="D8844" s="18">
        <v>2744635.86</v>
      </c>
      <c r="E8844" s="18">
        <v>274.39999999999998</v>
      </c>
      <c r="F8844" s="18">
        <v>41878</v>
      </c>
      <c r="G8844" s="18">
        <v>103528</v>
      </c>
      <c r="H8844" s="18">
        <f t="shared" si="193"/>
        <v>41868</v>
      </c>
    </row>
    <row r="8845" spans="1:8" ht="19.5" customHeight="1" x14ac:dyDescent="0.55000000000000004">
      <c r="A8845" s="18">
        <v>24.805440000000001</v>
      </c>
      <c r="B8845" s="18">
        <v>34.824477600000002</v>
      </c>
      <c r="C8845" s="18">
        <v>684416.7</v>
      </c>
      <c r="D8845" s="18">
        <v>2744636.81</v>
      </c>
      <c r="E8845" s="18">
        <v>274.48</v>
      </c>
      <c r="F8845" s="18">
        <v>41879.14</v>
      </c>
      <c r="G8845" s="18">
        <v>103530</v>
      </c>
      <c r="H8845" s="18">
        <f t="shared" si="193"/>
        <v>41869.14</v>
      </c>
    </row>
    <row r="8846" spans="1:8" ht="19.5" customHeight="1" x14ac:dyDescent="0.55000000000000004">
      <c r="A8846" s="18">
        <v>24.805446799999999</v>
      </c>
      <c r="B8846" s="18">
        <v>34.824452700000002</v>
      </c>
      <c r="C8846" s="18">
        <v>684414.17</v>
      </c>
      <c r="D8846" s="18">
        <v>2744637.52</v>
      </c>
      <c r="E8846" s="18">
        <v>274.45999999999998</v>
      </c>
      <c r="F8846" s="18">
        <v>41875.29</v>
      </c>
      <c r="G8846" s="18">
        <v>103532</v>
      </c>
      <c r="H8846" s="18">
        <f t="shared" si="193"/>
        <v>41865.29</v>
      </c>
    </row>
    <row r="8847" spans="1:8" ht="19.5" customHeight="1" x14ac:dyDescent="0.55000000000000004">
      <c r="A8847" s="18">
        <v>24.805450700000002</v>
      </c>
      <c r="B8847" s="18">
        <v>34.824427700000001</v>
      </c>
      <c r="C8847" s="18">
        <v>684411.64</v>
      </c>
      <c r="D8847" s="18">
        <v>2744637.92</v>
      </c>
      <c r="E8847" s="18">
        <v>274.41000000000003</v>
      </c>
      <c r="F8847" s="18">
        <v>41878.04</v>
      </c>
      <c r="G8847" s="18">
        <v>103534</v>
      </c>
      <c r="H8847" s="18">
        <f t="shared" si="193"/>
        <v>41868.04</v>
      </c>
    </row>
    <row r="8848" spans="1:8" ht="19.5" customHeight="1" x14ac:dyDescent="0.55000000000000004">
      <c r="A8848" s="18">
        <v>24.805460400000001</v>
      </c>
      <c r="B8848" s="18">
        <v>34.824404700000002</v>
      </c>
      <c r="C8848" s="18">
        <v>684409.3</v>
      </c>
      <c r="D8848" s="18">
        <v>2744638.97</v>
      </c>
      <c r="E8848" s="18">
        <v>274.51</v>
      </c>
      <c r="F8848" s="18">
        <v>41877.01</v>
      </c>
      <c r="G8848" s="18">
        <v>103536</v>
      </c>
      <c r="H8848" s="18">
        <f t="shared" si="193"/>
        <v>41867.01</v>
      </c>
    </row>
    <row r="8849" spans="1:8" ht="19.5" customHeight="1" x14ac:dyDescent="0.55000000000000004">
      <c r="A8849" s="18">
        <v>24.805470700000001</v>
      </c>
      <c r="B8849" s="18">
        <v>34.824380599999998</v>
      </c>
      <c r="C8849" s="18">
        <v>684406.85</v>
      </c>
      <c r="D8849" s="18">
        <v>2744640.08</v>
      </c>
      <c r="E8849" s="18">
        <v>274.48</v>
      </c>
      <c r="F8849" s="18">
        <v>41876.18</v>
      </c>
      <c r="G8849" s="18">
        <v>103538</v>
      </c>
      <c r="H8849" s="18">
        <f t="shared" si="193"/>
        <v>41866.18</v>
      </c>
    </row>
    <row r="8850" spans="1:8" ht="19.5" customHeight="1" x14ac:dyDescent="0.55000000000000004">
      <c r="A8850" s="18">
        <v>24.805482699999999</v>
      </c>
      <c r="B8850" s="18">
        <v>34.824357900000003</v>
      </c>
      <c r="C8850" s="18">
        <v>684404.53</v>
      </c>
      <c r="D8850" s="18">
        <v>2744641.37</v>
      </c>
      <c r="E8850" s="18">
        <v>274.44</v>
      </c>
      <c r="F8850" s="18">
        <v>41879.129999999997</v>
      </c>
      <c r="G8850" s="18">
        <v>103540</v>
      </c>
      <c r="H8850" s="18">
        <f t="shared" si="193"/>
        <v>41869.129999999997</v>
      </c>
    </row>
    <row r="8851" spans="1:8" ht="19.5" customHeight="1" x14ac:dyDescent="0.55000000000000004">
      <c r="A8851" s="18">
        <v>24.8054956</v>
      </c>
      <c r="B8851" s="18">
        <v>34.824336899999999</v>
      </c>
      <c r="C8851" s="18">
        <v>684402.39</v>
      </c>
      <c r="D8851" s="18">
        <v>2744642.78</v>
      </c>
      <c r="E8851" s="18">
        <v>274.55</v>
      </c>
      <c r="F8851" s="18">
        <v>41879.410000000003</v>
      </c>
      <c r="G8851" s="18">
        <v>103542</v>
      </c>
      <c r="H8851" s="18">
        <f t="shared" si="193"/>
        <v>41869.410000000003</v>
      </c>
    </row>
    <row r="8852" spans="1:8" ht="19.5" customHeight="1" x14ac:dyDescent="0.55000000000000004">
      <c r="A8852" s="18">
        <v>24.8055083</v>
      </c>
      <c r="B8852" s="18">
        <v>34.824312900000002</v>
      </c>
      <c r="C8852" s="18">
        <v>684399.95</v>
      </c>
      <c r="D8852" s="18">
        <v>2744644.15</v>
      </c>
      <c r="E8852" s="18">
        <v>274.54000000000002</v>
      </c>
      <c r="F8852" s="18">
        <v>41879.449999999997</v>
      </c>
      <c r="G8852" s="18">
        <v>103544</v>
      </c>
      <c r="H8852" s="18">
        <f t="shared" si="193"/>
        <v>41869.449999999997</v>
      </c>
    </row>
    <row r="8853" spans="1:8" ht="19.5" customHeight="1" x14ac:dyDescent="0.55000000000000004">
      <c r="A8853" s="18">
        <v>24.805519</v>
      </c>
      <c r="B8853" s="18">
        <v>34.824287900000002</v>
      </c>
      <c r="C8853" s="18">
        <v>684397.41</v>
      </c>
      <c r="D8853" s="18">
        <v>2744645.3</v>
      </c>
      <c r="E8853" s="18">
        <v>274.55</v>
      </c>
      <c r="F8853" s="18">
        <v>41878.129999999997</v>
      </c>
      <c r="G8853" s="18">
        <v>103546</v>
      </c>
      <c r="H8853" s="18">
        <f t="shared" si="193"/>
        <v>41868.129999999997</v>
      </c>
    </row>
    <row r="8854" spans="1:8" ht="19.5" customHeight="1" x14ac:dyDescent="0.55000000000000004">
      <c r="A8854" s="18">
        <v>24.8055296</v>
      </c>
      <c r="B8854" s="18">
        <v>34.824264999999997</v>
      </c>
      <c r="C8854" s="18">
        <v>684395.07</v>
      </c>
      <c r="D8854" s="18">
        <v>2744646.44</v>
      </c>
      <c r="E8854" s="18">
        <v>274.63</v>
      </c>
      <c r="F8854" s="18">
        <v>41875.629999999997</v>
      </c>
      <c r="G8854" s="18">
        <v>103548</v>
      </c>
      <c r="H8854" s="18">
        <f t="shared" si="193"/>
        <v>41865.629999999997</v>
      </c>
    </row>
    <row r="8855" spans="1:8" ht="19.5" customHeight="1" x14ac:dyDescent="0.55000000000000004">
      <c r="A8855" s="18">
        <v>24.805540000000001</v>
      </c>
      <c r="B8855" s="18">
        <v>34.824241600000001</v>
      </c>
      <c r="C8855" s="18">
        <v>684392.7</v>
      </c>
      <c r="D8855" s="18">
        <v>2744647.57</v>
      </c>
      <c r="E8855" s="18">
        <v>274.68</v>
      </c>
      <c r="F8855" s="18">
        <v>41878.03</v>
      </c>
      <c r="G8855" s="18">
        <v>103550</v>
      </c>
      <c r="H8855" s="18">
        <f t="shared" si="193"/>
        <v>41868.03</v>
      </c>
    </row>
    <row r="8856" spans="1:8" ht="19.5" customHeight="1" x14ac:dyDescent="0.55000000000000004">
      <c r="A8856" s="18">
        <v>24.805553400000001</v>
      </c>
      <c r="B8856" s="18">
        <v>34.824219499999998</v>
      </c>
      <c r="C8856" s="18">
        <v>684390.44</v>
      </c>
      <c r="D8856" s="18">
        <v>2744649.01</v>
      </c>
      <c r="E8856" s="18">
        <v>274.63</v>
      </c>
      <c r="F8856" s="18">
        <v>41877.85</v>
      </c>
      <c r="G8856" s="18">
        <v>103552</v>
      </c>
      <c r="H8856" s="18">
        <f t="shared" si="193"/>
        <v>41867.85</v>
      </c>
    </row>
    <row r="8857" spans="1:8" ht="19.5" customHeight="1" x14ac:dyDescent="0.55000000000000004">
      <c r="A8857" s="18">
        <v>24.805566299999999</v>
      </c>
      <c r="B8857" s="18">
        <v>34.824196800000003</v>
      </c>
      <c r="C8857" s="18">
        <v>684388.13</v>
      </c>
      <c r="D8857" s="18">
        <v>2744650.42</v>
      </c>
      <c r="E8857" s="18">
        <v>274.64999999999998</v>
      </c>
      <c r="F8857" s="18">
        <v>41878.550000000003</v>
      </c>
      <c r="G8857" s="18">
        <v>103554</v>
      </c>
      <c r="H8857" s="18">
        <f t="shared" si="193"/>
        <v>41868.550000000003</v>
      </c>
    </row>
    <row r="8858" spans="1:8" ht="19.5" customHeight="1" x14ac:dyDescent="0.55000000000000004">
      <c r="A8858" s="18">
        <v>24.805577700000001</v>
      </c>
      <c r="B8858" s="18">
        <v>34.824173600000002</v>
      </c>
      <c r="C8858" s="18">
        <v>684385.76</v>
      </c>
      <c r="D8858" s="18">
        <v>2744651.65</v>
      </c>
      <c r="E8858" s="18">
        <v>274.76</v>
      </c>
      <c r="F8858" s="18">
        <v>41877.35</v>
      </c>
      <c r="G8858" s="18">
        <v>103556</v>
      </c>
      <c r="H8858" s="18">
        <f t="shared" si="193"/>
        <v>41867.35</v>
      </c>
    </row>
    <row r="8859" spans="1:8" ht="19.5" customHeight="1" x14ac:dyDescent="0.55000000000000004">
      <c r="A8859" s="18">
        <v>24.805586099999999</v>
      </c>
      <c r="B8859" s="18">
        <v>34.824148100000002</v>
      </c>
      <c r="C8859" s="18">
        <v>684383.17</v>
      </c>
      <c r="D8859" s="18">
        <v>2744652.55</v>
      </c>
      <c r="E8859" s="18">
        <v>274.8</v>
      </c>
      <c r="F8859" s="18">
        <v>41878.400000000001</v>
      </c>
      <c r="G8859" s="18">
        <v>103558</v>
      </c>
      <c r="H8859" s="18">
        <f t="shared" ref="H8859:H8922" si="194">SUM(F8859-10)</f>
        <v>41868.400000000001</v>
      </c>
    </row>
    <row r="8860" spans="1:8" ht="19.5" customHeight="1" x14ac:dyDescent="0.55000000000000004">
      <c r="A8860" s="18">
        <v>24.805593200000001</v>
      </c>
      <c r="B8860" s="18">
        <v>34.8241218</v>
      </c>
      <c r="C8860" s="18">
        <v>684380.51</v>
      </c>
      <c r="D8860" s="18">
        <v>2744653.3</v>
      </c>
      <c r="E8860" s="18">
        <v>274.77999999999997</v>
      </c>
      <c r="F8860" s="18">
        <v>41878.480000000003</v>
      </c>
      <c r="G8860" s="18">
        <v>103600</v>
      </c>
      <c r="H8860" s="18">
        <f t="shared" si="194"/>
        <v>41868.480000000003</v>
      </c>
    </row>
    <row r="8861" spans="1:8" ht="19.5" customHeight="1" x14ac:dyDescent="0.55000000000000004">
      <c r="A8861" s="18">
        <v>24.805602199999999</v>
      </c>
      <c r="B8861" s="18">
        <v>34.824096699999998</v>
      </c>
      <c r="C8861" s="18">
        <v>684377.96</v>
      </c>
      <c r="D8861" s="18">
        <v>2744654.25</v>
      </c>
      <c r="E8861" s="18">
        <v>274.83</v>
      </c>
      <c r="F8861" s="18">
        <v>41878.03</v>
      </c>
      <c r="G8861" s="18">
        <v>103602</v>
      </c>
      <c r="H8861" s="18">
        <f t="shared" si="194"/>
        <v>41868.03</v>
      </c>
    </row>
    <row r="8862" spans="1:8" ht="19.5" customHeight="1" x14ac:dyDescent="0.55000000000000004">
      <c r="A8862" s="18">
        <v>24.805611599999999</v>
      </c>
      <c r="B8862" s="18">
        <v>34.8240725</v>
      </c>
      <c r="C8862" s="18">
        <v>684375.49</v>
      </c>
      <c r="D8862" s="18">
        <v>2744655.27</v>
      </c>
      <c r="E8862" s="18">
        <v>274.92</v>
      </c>
      <c r="F8862" s="18">
        <v>41878.589999999997</v>
      </c>
      <c r="G8862" s="18">
        <v>103604</v>
      </c>
      <c r="H8862" s="18">
        <f t="shared" si="194"/>
        <v>41868.589999999997</v>
      </c>
    </row>
    <row r="8863" spans="1:8" ht="19.5" customHeight="1" x14ac:dyDescent="0.55000000000000004">
      <c r="A8863" s="18">
        <v>24.805619400000001</v>
      </c>
      <c r="B8863" s="18">
        <v>34.824047899999997</v>
      </c>
      <c r="C8863" s="18">
        <v>684372.99</v>
      </c>
      <c r="D8863" s="18">
        <v>2744656.1</v>
      </c>
      <c r="E8863" s="18">
        <v>274.93</v>
      </c>
      <c r="F8863" s="18">
        <v>41879.870000000003</v>
      </c>
      <c r="G8863" s="18">
        <v>103606</v>
      </c>
      <c r="H8863" s="18">
        <f t="shared" si="194"/>
        <v>41869.870000000003</v>
      </c>
    </row>
    <row r="8864" spans="1:8" ht="19.5" customHeight="1" x14ac:dyDescent="0.55000000000000004">
      <c r="A8864" s="18">
        <v>24.805625800000001</v>
      </c>
      <c r="B8864" s="18">
        <v>34.824022999999997</v>
      </c>
      <c r="C8864" s="18">
        <v>684370.47</v>
      </c>
      <c r="D8864" s="18">
        <v>2744656.77</v>
      </c>
      <c r="E8864" s="18">
        <v>274.89999999999998</v>
      </c>
      <c r="F8864" s="18">
        <v>41878.68</v>
      </c>
      <c r="G8864" s="18">
        <v>103608</v>
      </c>
      <c r="H8864" s="18">
        <f t="shared" si="194"/>
        <v>41868.68</v>
      </c>
    </row>
    <row r="8865" spans="1:8" ht="19.5" customHeight="1" x14ac:dyDescent="0.55000000000000004">
      <c r="A8865" s="18">
        <v>24.805632899999999</v>
      </c>
      <c r="B8865" s="18">
        <v>34.823997599999998</v>
      </c>
      <c r="C8865" s="18">
        <v>684367.89</v>
      </c>
      <c r="D8865" s="18">
        <v>2744657.52</v>
      </c>
      <c r="E8865" s="18">
        <v>274.97000000000003</v>
      </c>
      <c r="F8865" s="18">
        <v>41878.43</v>
      </c>
      <c r="G8865" s="18">
        <v>103610</v>
      </c>
      <c r="H8865" s="18">
        <f t="shared" si="194"/>
        <v>41868.43</v>
      </c>
    </row>
    <row r="8866" spans="1:8" ht="19.5" customHeight="1" x14ac:dyDescent="0.55000000000000004">
      <c r="A8866" s="18">
        <v>24.805640499999999</v>
      </c>
      <c r="B8866" s="18">
        <v>34.823971999999998</v>
      </c>
      <c r="C8866" s="18">
        <v>684365.29</v>
      </c>
      <c r="D8866" s="18">
        <v>2744658.33</v>
      </c>
      <c r="E8866" s="18">
        <v>275.05</v>
      </c>
      <c r="F8866" s="18">
        <v>41880.050000000003</v>
      </c>
      <c r="G8866" s="18">
        <v>103612</v>
      </c>
      <c r="H8866" s="18">
        <f t="shared" si="194"/>
        <v>41870.050000000003</v>
      </c>
    </row>
    <row r="8867" spans="1:8" ht="19.5" customHeight="1" x14ac:dyDescent="0.55000000000000004">
      <c r="A8867" s="18">
        <v>24.805648000000001</v>
      </c>
      <c r="B8867" s="18">
        <v>34.823947699999998</v>
      </c>
      <c r="C8867" s="18">
        <v>684362.82</v>
      </c>
      <c r="D8867" s="18">
        <v>2744659.13</v>
      </c>
      <c r="E8867" s="18">
        <v>275.05</v>
      </c>
      <c r="F8867" s="18">
        <v>41879.07</v>
      </c>
      <c r="G8867" s="18">
        <v>103614</v>
      </c>
      <c r="H8867" s="18">
        <f t="shared" si="194"/>
        <v>41869.07</v>
      </c>
    </row>
    <row r="8868" spans="1:8" ht="19.5" customHeight="1" x14ac:dyDescent="0.55000000000000004">
      <c r="A8868" s="18">
        <v>24.805653199999998</v>
      </c>
      <c r="B8868" s="18">
        <v>34.823922400000001</v>
      </c>
      <c r="C8868" s="18">
        <v>684360.25</v>
      </c>
      <c r="D8868" s="18">
        <v>2744659.67</v>
      </c>
      <c r="E8868" s="18">
        <v>275.02999999999997</v>
      </c>
      <c r="F8868" s="18">
        <v>41878.629999999997</v>
      </c>
      <c r="G8868" s="18">
        <v>103616</v>
      </c>
      <c r="H8868" s="18">
        <f t="shared" si="194"/>
        <v>41868.629999999997</v>
      </c>
    </row>
    <row r="8869" spans="1:8" ht="19.5" customHeight="1" x14ac:dyDescent="0.55000000000000004">
      <c r="A8869" s="18">
        <v>24.8056579</v>
      </c>
      <c r="B8869" s="18">
        <v>34.823897799999997</v>
      </c>
      <c r="C8869" s="18">
        <v>684357.76</v>
      </c>
      <c r="D8869" s="18">
        <v>2744660.16</v>
      </c>
      <c r="E8869" s="18">
        <v>275.14999999999998</v>
      </c>
      <c r="F8869" s="18">
        <v>41880.58</v>
      </c>
      <c r="G8869" s="18">
        <v>103618</v>
      </c>
      <c r="H8869" s="18">
        <f t="shared" si="194"/>
        <v>41870.58</v>
      </c>
    </row>
    <row r="8870" spans="1:8" ht="19.5" customHeight="1" x14ac:dyDescent="0.55000000000000004">
      <c r="A8870" s="18">
        <v>24.805666899999999</v>
      </c>
      <c r="B8870" s="18">
        <v>34.8238737</v>
      </c>
      <c r="C8870" s="18">
        <v>684355.31</v>
      </c>
      <c r="D8870" s="18">
        <v>2744661.12</v>
      </c>
      <c r="E8870" s="18">
        <v>275.14</v>
      </c>
      <c r="F8870" s="18">
        <v>41879.870000000003</v>
      </c>
      <c r="G8870" s="18">
        <v>103620</v>
      </c>
      <c r="H8870" s="18">
        <f t="shared" si="194"/>
        <v>41869.870000000003</v>
      </c>
    </row>
    <row r="8871" spans="1:8" ht="19.5" customHeight="1" x14ac:dyDescent="0.55000000000000004">
      <c r="A8871" s="18">
        <v>24.805680299999999</v>
      </c>
      <c r="B8871" s="18">
        <v>34.823851500000004</v>
      </c>
      <c r="C8871" s="18">
        <v>684353.04</v>
      </c>
      <c r="D8871" s="18">
        <v>2744662.58</v>
      </c>
      <c r="E8871" s="18">
        <v>275.12</v>
      </c>
      <c r="F8871" s="18">
        <v>41878.959999999999</v>
      </c>
      <c r="G8871" s="18">
        <v>103622</v>
      </c>
      <c r="H8871" s="18">
        <f t="shared" si="194"/>
        <v>41868.959999999999</v>
      </c>
    </row>
    <row r="8872" spans="1:8" ht="19.5" customHeight="1" x14ac:dyDescent="0.55000000000000004">
      <c r="A8872" s="18">
        <v>24.805693300000001</v>
      </c>
      <c r="B8872" s="18">
        <v>34.823828800000001</v>
      </c>
      <c r="C8872" s="18">
        <v>684350.73</v>
      </c>
      <c r="D8872" s="18">
        <v>2744663.99</v>
      </c>
      <c r="E8872" s="18">
        <v>275.22000000000003</v>
      </c>
      <c r="F8872" s="18">
        <v>41878.89</v>
      </c>
      <c r="G8872" s="18">
        <v>103624</v>
      </c>
      <c r="H8872" s="18">
        <f t="shared" si="194"/>
        <v>41868.89</v>
      </c>
    </row>
    <row r="8873" spans="1:8" ht="19.5" customHeight="1" x14ac:dyDescent="0.55000000000000004">
      <c r="A8873" s="18">
        <v>24.805702499999999</v>
      </c>
      <c r="B8873" s="18">
        <v>34.823803599999998</v>
      </c>
      <c r="C8873" s="18">
        <v>684348.17</v>
      </c>
      <c r="D8873" s="18">
        <v>2744664.97</v>
      </c>
      <c r="E8873" s="18">
        <v>275.23</v>
      </c>
      <c r="F8873" s="18">
        <v>41879.379999999997</v>
      </c>
      <c r="G8873" s="18">
        <v>103626</v>
      </c>
      <c r="H8873" s="18">
        <f t="shared" si="194"/>
        <v>41869.379999999997</v>
      </c>
    </row>
    <row r="8874" spans="1:8" ht="19.5" customHeight="1" x14ac:dyDescent="0.55000000000000004">
      <c r="A8874" s="18">
        <v>24.805709700000001</v>
      </c>
      <c r="B8874" s="18">
        <v>34.823779000000002</v>
      </c>
      <c r="C8874" s="18">
        <v>684345.67</v>
      </c>
      <c r="D8874" s="18">
        <v>2744665.74</v>
      </c>
      <c r="E8874" s="18">
        <v>275.2</v>
      </c>
      <c r="F8874" s="18">
        <v>41880.85</v>
      </c>
      <c r="G8874" s="18">
        <v>103628</v>
      </c>
      <c r="H8874" s="18">
        <f t="shared" si="194"/>
        <v>41870.85</v>
      </c>
    </row>
    <row r="8875" spans="1:8" ht="19.5" customHeight="1" x14ac:dyDescent="0.55000000000000004">
      <c r="A8875" s="18">
        <v>24.8057196</v>
      </c>
      <c r="B8875" s="18">
        <v>34.8237551</v>
      </c>
      <c r="C8875" s="18">
        <v>684343.24</v>
      </c>
      <c r="D8875" s="18">
        <v>2744666.8</v>
      </c>
      <c r="E8875" s="18">
        <v>275.27</v>
      </c>
      <c r="F8875" s="18">
        <v>41878.620000000003</v>
      </c>
      <c r="G8875" s="18">
        <v>103630</v>
      </c>
      <c r="H8875" s="18">
        <f t="shared" si="194"/>
        <v>41868.620000000003</v>
      </c>
    </row>
    <row r="8876" spans="1:8" ht="19.5" customHeight="1" x14ac:dyDescent="0.55000000000000004">
      <c r="A8876" s="18">
        <v>24.805728800000001</v>
      </c>
      <c r="B8876" s="18">
        <v>34.823731199999997</v>
      </c>
      <c r="C8876" s="18">
        <v>684340.82</v>
      </c>
      <c r="D8876" s="18">
        <v>2744667.79</v>
      </c>
      <c r="E8876" s="18">
        <v>275.3</v>
      </c>
      <c r="F8876" s="18">
        <v>41878.230000000003</v>
      </c>
      <c r="G8876" s="18">
        <v>103632</v>
      </c>
      <c r="H8876" s="18">
        <f t="shared" si="194"/>
        <v>41868.230000000003</v>
      </c>
    </row>
    <row r="8877" spans="1:8" ht="19.5" customHeight="1" x14ac:dyDescent="0.55000000000000004">
      <c r="A8877" s="18">
        <v>24.805739800000001</v>
      </c>
      <c r="B8877" s="18">
        <v>34.823708099999998</v>
      </c>
      <c r="C8877" s="18">
        <v>684338.46</v>
      </c>
      <c r="D8877" s="18">
        <v>2744668.97</v>
      </c>
      <c r="E8877" s="18">
        <v>275.27999999999997</v>
      </c>
      <c r="F8877" s="18">
        <v>41877.74</v>
      </c>
      <c r="G8877" s="18">
        <v>103634</v>
      </c>
      <c r="H8877" s="18">
        <f t="shared" si="194"/>
        <v>41867.74</v>
      </c>
    </row>
    <row r="8878" spans="1:8" ht="19.5" customHeight="1" x14ac:dyDescent="0.55000000000000004">
      <c r="A8878" s="18">
        <v>24.805753800000002</v>
      </c>
      <c r="B8878" s="18">
        <v>34.823686000000002</v>
      </c>
      <c r="C8878" s="18">
        <v>684336.2</v>
      </c>
      <c r="D8878" s="18">
        <v>2744670.5</v>
      </c>
      <c r="E8878" s="18">
        <v>275.37</v>
      </c>
      <c r="F8878" s="18">
        <v>41879.46</v>
      </c>
      <c r="G8878" s="18">
        <v>103636</v>
      </c>
      <c r="H8878" s="18">
        <f t="shared" si="194"/>
        <v>41869.46</v>
      </c>
    </row>
    <row r="8879" spans="1:8" ht="19.5" customHeight="1" x14ac:dyDescent="0.55000000000000004">
      <c r="A8879" s="18">
        <v>24.805766999999999</v>
      </c>
      <c r="B8879" s="18">
        <v>34.8236645</v>
      </c>
      <c r="C8879" s="18">
        <v>684334.01</v>
      </c>
      <c r="D8879" s="18">
        <v>2744671.93</v>
      </c>
      <c r="E8879" s="18">
        <v>275.38</v>
      </c>
      <c r="F8879" s="18">
        <v>41876.94</v>
      </c>
      <c r="G8879" s="18">
        <v>103638</v>
      </c>
      <c r="H8879" s="18">
        <f t="shared" si="194"/>
        <v>41866.94</v>
      </c>
    </row>
    <row r="8880" spans="1:8" ht="19.5" customHeight="1" x14ac:dyDescent="0.55000000000000004">
      <c r="A8880" s="18">
        <v>24.8057756</v>
      </c>
      <c r="B8880" s="18">
        <v>34.823639999999997</v>
      </c>
      <c r="C8880" s="18">
        <v>684331.52000000002</v>
      </c>
      <c r="D8880" s="18">
        <v>2744672.84</v>
      </c>
      <c r="E8880" s="18">
        <v>275.31</v>
      </c>
      <c r="F8880" s="18">
        <v>41880.33</v>
      </c>
      <c r="G8880" s="18">
        <v>103640</v>
      </c>
      <c r="H8880" s="18">
        <f t="shared" si="194"/>
        <v>41870.33</v>
      </c>
    </row>
    <row r="8881" spans="1:8" ht="19.5" customHeight="1" x14ac:dyDescent="0.55000000000000004">
      <c r="A8881" s="18">
        <v>24.805787200000001</v>
      </c>
      <c r="B8881" s="18">
        <v>34.823616700000002</v>
      </c>
      <c r="C8881" s="18">
        <v>684329.15</v>
      </c>
      <c r="D8881" s="18">
        <v>2744674.1</v>
      </c>
      <c r="E8881" s="18">
        <v>275.35000000000002</v>
      </c>
      <c r="F8881" s="18">
        <v>41879.56</v>
      </c>
      <c r="G8881" s="18">
        <v>103642</v>
      </c>
      <c r="H8881" s="18">
        <f t="shared" si="194"/>
        <v>41869.56</v>
      </c>
    </row>
    <row r="8882" spans="1:8" ht="19.5" customHeight="1" x14ac:dyDescent="0.55000000000000004">
      <c r="A8882" s="18">
        <v>24.805798500000002</v>
      </c>
      <c r="B8882" s="18">
        <v>34.823595300000001</v>
      </c>
      <c r="C8882" s="18">
        <v>684326.97</v>
      </c>
      <c r="D8882" s="18">
        <v>2744675.32</v>
      </c>
      <c r="E8882" s="18">
        <v>275.43</v>
      </c>
      <c r="F8882" s="18">
        <v>41879.65</v>
      </c>
      <c r="G8882" s="18">
        <v>103644</v>
      </c>
      <c r="H8882" s="18">
        <f t="shared" si="194"/>
        <v>41869.65</v>
      </c>
    </row>
    <row r="8883" spans="1:8" ht="19.5" customHeight="1" x14ac:dyDescent="0.55000000000000004">
      <c r="A8883" s="18">
        <v>24.805805400000001</v>
      </c>
      <c r="B8883" s="18">
        <v>34.823571399999999</v>
      </c>
      <c r="C8883" s="18">
        <v>684324.54</v>
      </c>
      <c r="D8883" s="18">
        <v>2744676.06</v>
      </c>
      <c r="E8883" s="18">
        <v>275.39999999999998</v>
      </c>
      <c r="F8883" s="18">
        <v>41878.980000000003</v>
      </c>
      <c r="G8883" s="18">
        <v>103646</v>
      </c>
      <c r="H8883" s="18">
        <f t="shared" si="194"/>
        <v>41868.980000000003</v>
      </c>
    </row>
    <row r="8884" spans="1:8" ht="19.5" customHeight="1" x14ac:dyDescent="0.55000000000000004">
      <c r="A8884" s="18">
        <v>24.805813000000001</v>
      </c>
      <c r="B8884" s="18">
        <v>34.823548099999996</v>
      </c>
      <c r="C8884" s="18">
        <v>684322.18</v>
      </c>
      <c r="D8884" s="18">
        <v>2744676.87</v>
      </c>
      <c r="E8884" s="18">
        <v>275.38</v>
      </c>
      <c r="F8884" s="18">
        <v>41881.39</v>
      </c>
      <c r="G8884" s="18">
        <v>103648</v>
      </c>
      <c r="H8884" s="18">
        <f t="shared" si="194"/>
        <v>41871.39</v>
      </c>
    </row>
    <row r="8885" spans="1:8" ht="19.5" customHeight="1" x14ac:dyDescent="0.55000000000000004">
      <c r="A8885" s="18">
        <v>24.8058215</v>
      </c>
      <c r="B8885" s="18">
        <v>34.8235241</v>
      </c>
      <c r="C8885" s="18">
        <v>684319.74</v>
      </c>
      <c r="D8885" s="18">
        <v>2744677.78</v>
      </c>
      <c r="E8885" s="18">
        <v>275.39999999999998</v>
      </c>
      <c r="F8885" s="18">
        <v>41878.43</v>
      </c>
      <c r="G8885" s="18">
        <v>103650</v>
      </c>
      <c r="H8885" s="18">
        <f t="shared" si="194"/>
        <v>41868.43</v>
      </c>
    </row>
    <row r="8886" spans="1:8" ht="19.5" customHeight="1" x14ac:dyDescent="0.55000000000000004">
      <c r="A8886" s="18">
        <v>24.805833499999999</v>
      </c>
      <c r="B8886" s="18">
        <v>34.823501399999998</v>
      </c>
      <c r="C8886" s="18">
        <v>684317.42</v>
      </c>
      <c r="D8886" s="18">
        <v>2744679.07</v>
      </c>
      <c r="E8886" s="18">
        <v>275.35000000000002</v>
      </c>
      <c r="F8886" s="18">
        <v>41879.14</v>
      </c>
      <c r="G8886" s="18">
        <v>103652</v>
      </c>
      <c r="H8886" s="18">
        <f t="shared" si="194"/>
        <v>41869.14</v>
      </c>
    </row>
    <row r="8887" spans="1:8" ht="19.5" customHeight="1" x14ac:dyDescent="0.55000000000000004">
      <c r="A8887" s="18">
        <v>24.805845300000001</v>
      </c>
      <c r="B8887" s="18">
        <v>34.823478600000001</v>
      </c>
      <c r="C8887" s="18">
        <v>684315.11</v>
      </c>
      <c r="D8887" s="18">
        <v>2744680.35</v>
      </c>
      <c r="E8887" s="18">
        <v>275.38</v>
      </c>
      <c r="F8887" s="18">
        <v>41879.129999999997</v>
      </c>
      <c r="G8887" s="18">
        <v>103654</v>
      </c>
      <c r="H8887" s="18">
        <f t="shared" si="194"/>
        <v>41869.129999999997</v>
      </c>
    </row>
    <row r="8888" spans="1:8" ht="19.5" customHeight="1" x14ac:dyDescent="0.55000000000000004">
      <c r="A8888" s="18">
        <v>24.805857100000001</v>
      </c>
      <c r="B8888" s="18">
        <v>34.823456899999996</v>
      </c>
      <c r="C8888" s="18">
        <v>684312.89</v>
      </c>
      <c r="D8888" s="18">
        <v>2744681.62</v>
      </c>
      <c r="E8888" s="18">
        <v>275.51</v>
      </c>
      <c r="F8888" s="18">
        <v>41881.33</v>
      </c>
      <c r="G8888" s="18">
        <v>103656</v>
      </c>
      <c r="H8888" s="18">
        <f t="shared" si="194"/>
        <v>41871.33</v>
      </c>
    </row>
    <row r="8889" spans="1:8" ht="19.5" customHeight="1" x14ac:dyDescent="0.55000000000000004">
      <c r="A8889" s="18">
        <v>24.805867899999999</v>
      </c>
      <c r="B8889" s="18">
        <v>34.823436399999999</v>
      </c>
      <c r="C8889" s="18">
        <v>684310.8</v>
      </c>
      <c r="D8889" s="18">
        <v>2744682.8</v>
      </c>
      <c r="E8889" s="18">
        <v>275.45999999999998</v>
      </c>
      <c r="F8889" s="18">
        <v>41878.400000000001</v>
      </c>
      <c r="G8889" s="18">
        <v>103658</v>
      </c>
      <c r="H8889" s="18">
        <f t="shared" si="194"/>
        <v>41868.400000000001</v>
      </c>
    </row>
    <row r="8890" spans="1:8" ht="19.5" customHeight="1" x14ac:dyDescent="0.55000000000000004">
      <c r="A8890" s="18">
        <v>24.805882799999999</v>
      </c>
      <c r="B8890" s="18">
        <v>34.823415900000001</v>
      </c>
      <c r="C8890" s="18">
        <v>684308.71</v>
      </c>
      <c r="D8890" s="18">
        <v>2744684.41</v>
      </c>
      <c r="E8890" s="18">
        <v>275.56</v>
      </c>
      <c r="F8890" s="18">
        <v>41880.660000000003</v>
      </c>
      <c r="G8890" s="18">
        <v>103700</v>
      </c>
      <c r="H8890" s="18">
        <f t="shared" si="194"/>
        <v>41870.660000000003</v>
      </c>
    </row>
    <row r="8891" spans="1:8" ht="19.5" customHeight="1" x14ac:dyDescent="0.55000000000000004">
      <c r="A8891" s="18">
        <v>24.805896400000002</v>
      </c>
      <c r="B8891" s="18">
        <v>34.823396899999999</v>
      </c>
      <c r="C8891" s="18">
        <v>684306.76</v>
      </c>
      <c r="D8891" s="18">
        <v>2744685.9</v>
      </c>
      <c r="E8891" s="18">
        <v>275.64</v>
      </c>
      <c r="F8891" s="18">
        <v>41879.47</v>
      </c>
      <c r="G8891" s="18">
        <v>103702</v>
      </c>
      <c r="H8891" s="18">
        <f t="shared" si="194"/>
        <v>41869.47</v>
      </c>
    </row>
    <row r="8892" spans="1:8" ht="19.5" customHeight="1" x14ac:dyDescent="0.55000000000000004">
      <c r="A8892" s="18">
        <v>24.805907000000001</v>
      </c>
      <c r="B8892" s="18">
        <v>34.823376099999997</v>
      </c>
      <c r="C8892" s="18">
        <v>684304.65</v>
      </c>
      <c r="D8892" s="18">
        <v>2744687.04</v>
      </c>
      <c r="E8892" s="18">
        <v>275.64999999999998</v>
      </c>
      <c r="F8892" s="18">
        <v>41877.800000000003</v>
      </c>
      <c r="G8892" s="18">
        <v>103704</v>
      </c>
      <c r="H8892" s="18">
        <f t="shared" si="194"/>
        <v>41867.800000000003</v>
      </c>
    </row>
    <row r="8893" spans="1:8" ht="19.5" customHeight="1" x14ac:dyDescent="0.55000000000000004">
      <c r="A8893" s="18">
        <v>24.805915599999999</v>
      </c>
      <c r="B8893" s="18">
        <v>34.823352999999997</v>
      </c>
      <c r="C8893" s="18">
        <v>684302.3</v>
      </c>
      <c r="D8893" s="18">
        <v>2744687.97</v>
      </c>
      <c r="E8893" s="18">
        <v>275.75</v>
      </c>
      <c r="F8893" s="18">
        <v>41878.89</v>
      </c>
      <c r="G8893" s="18">
        <v>103706</v>
      </c>
      <c r="H8893" s="18">
        <f t="shared" si="194"/>
        <v>41868.89</v>
      </c>
    </row>
    <row r="8894" spans="1:8" ht="19.5" customHeight="1" x14ac:dyDescent="0.55000000000000004">
      <c r="A8894" s="18">
        <v>24.805924600000001</v>
      </c>
      <c r="B8894" s="18">
        <v>34.823330499999997</v>
      </c>
      <c r="C8894" s="18">
        <v>684300.01</v>
      </c>
      <c r="D8894" s="18">
        <v>2744688.93</v>
      </c>
      <c r="E8894" s="18">
        <v>275.81</v>
      </c>
      <c r="F8894" s="18">
        <v>41879.54</v>
      </c>
      <c r="G8894" s="18">
        <v>103708</v>
      </c>
      <c r="H8894" s="18">
        <f t="shared" si="194"/>
        <v>41869.54</v>
      </c>
    </row>
    <row r="8895" spans="1:8" ht="19.5" customHeight="1" x14ac:dyDescent="0.55000000000000004">
      <c r="A8895" s="18">
        <v>24.8059294</v>
      </c>
      <c r="B8895" s="18">
        <v>34.823305900000001</v>
      </c>
      <c r="C8895" s="18">
        <v>684297.52</v>
      </c>
      <c r="D8895" s="18">
        <v>2744689.43</v>
      </c>
      <c r="E8895" s="18">
        <v>275.81</v>
      </c>
      <c r="F8895" s="18">
        <v>41882.370000000003</v>
      </c>
      <c r="G8895" s="18">
        <v>103710</v>
      </c>
      <c r="H8895" s="18">
        <f t="shared" si="194"/>
        <v>41872.370000000003</v>
      </c>
    </row>
    <row r="8896" spans="1:8" ht="19.5" customHeight="1" x14ac:dyDescent="0.55000000000000004">
      <c r="A8896" s="18">
        <v>24.805942000000002</v>
      </c>
      <c r="B8896" s="18">
        <v>34.823284299999997</v>
      </c>
      <c r="C8896" s="18">
        <v>684295.31</v>
      </c>
      <c r="D8896" s="18">
        <v>2744690.8</v>
      </c>
      <c r="E8896" s="18">
        <v>275.95</v>
      </c>
      <c r="F8896" s="18">
        <v>41880.69</v>
      </c>
      <c r="G8896" s="18">
        <v>103712</v>
      </c>
      <c r="H8896" s="18">
        <f t="shared" si="194"/>
        <v>41870.69</v>
      </c>
    </row>
    <row r="8897" spans="1:8" ht="19.5" customHeight="1" x14ac:dyDescent="0.55000000000000004">
      <c r="A8897" s="18">
        <v>24.805956800000001</v>
      </c>
      <c r="B8897" s="18">
        <v>34.823264799999997</v>
      </c>
      <c r="C8897" s="18">
        <v>684293.32</v>
      </c>
      <c r="D8897" s="18">
        <v>2744692.41</v>
      </c>
      <c r="E8897" s="18">
        <v>275.92</v>
      </c>
      <c r="F8897" s="18">
        <v>41877.69</v>
      </c>
      <c r="G8897" s="18">
        <v>103714</v>
      </c>
      <c r="H8897" s="18">
        <f t="shared" si="194"/>
        <v>41867.69</v>
      </c>
    </row>
    <row r="8898" spans="1:8" ht="19.5" customHeight="1" x14ac:dyDescent="0.55000000000000004">
      <c r="A8898" s="18">
        <v>24.8059683</v>
      </c>
      <c r="B8898" s="18">
        <v>34.823244000000003</v>
      </c>
      <c r="C8898" s="18">
        <v>684291.2</v>
      </c>
      <c r="D8898" s="18">
        <v>2744693.65</v>
      </c>
      <c r="E8898" s="18">
        <v>275.95999999999998</v>
      </c>
      <c r="F8898" s="18">
        <v>41878.85</v>
      </c>
      <c r="G8898" s="18">
        <v>103716</v>
      </c>
      <c r="H8898" s="18">
        <f t="shared" si="194"/>
        <v>41868.85</v>
      </c>
    </row>
    <row r="8899" spans="1:8" ht="19.5" customHeight="1" x14ac:dyDescent="0.55000000000000004">
      <c r="A8899" s="18">
        <v>24.8059777</v>
      </c>
      <c r="B8899" s="18">
        <v>34.823222000000001</v>
      </c>
      <c r="C8899" s="18">
        <v>684288.96</v>
      </c>
      <c r="D8899" s="18">
        <v>2744694.67</v>
      </c>
      <c r="E8899" s="18">
        <v>276.04000000000002</v>
      </c>
      <c r="F8899" s="18">
        <v>41879.230000000003</v>
      </c>
      <c r="G8899" s="18">
        <v>103718</v>
      </c>
      <c r="H8899" s="18">
        <f t="shared" si="194"/>
        <v>41869.230000000003</v>
      </c>
    </row>
    <row r="8900" spans="1:8" ht="19.5" customHeight="1" x14ac:dyDescent="0.55000000000000004">
      <c r="A8900" s="18">
        <v>24.805989499999999</v>
      </c>
      <c r="B8900" s="18">
        <v>34.8232012</v>
      </c>
      <c r="C8900" s="18">
        <v>684286.85</v>
      </c>
      <c r="D8900" s="18">
        <v>2744695.95</v>
      </c>
      <c r="E8900" s="18">
        <v>276.05</v>
      </c>
      <c r="F8900" s="18">
        <v>41879.050000000003</v>
      </c>
      <c r="G8900" s="18">
        <v>103720</v>
      </c>
      <c r="H8900" s="18">
        <f t="shared" si="194"/>
        <v>41869.050000000003</v>
      </c>
    </row>
    <row r="8901" spans="1:8" ht="19.5" customHeight="1" x14ac:dyDescent="0.55000000000000004">
      <c r="A8901" s="18">
        <v>24.806000600000001</v>
      </c>
      <c r="B8901" s="18">
        <v>34.823180600000001</v>
      </c>
      <c r="C8901" s="18">
        <v>684284.75</v>
      </c>
      <c r="D8901" s="18">
        <v>2744697.15</v>
      </c>
      <c r="E8901" s="18">
        <v>276.11</v>
      </c>
      <c r="F8901" s="18">
        <v>41879.19</v>
      </c>
      <c r="G8901" s="18">
        <v>103722</v>
      </c>
      <c r="H8901" s="18">
        <f t="shared" si="194"/>
        <v>41869.19</v>
      </c>
    </row>
    <row r="8902" spans="1:8" ht="19.5" customHeight="1" x14ac:dyDescent="0.55000000000000004">
      <c r="A8902" s="18">
        <v>24.806017499999999</v>
      </c>
      <c r="B8902" s="18">
        <v>34.823160600000001</v>
      </c>
      <c r="C8902" s="18">
        <v>684282.7</v>
      </c>
      <c r="D8902" s="18">
        <v>2744699</v>
      </c>
      <c r="E8902" s="18">
        <v>276.16000000000003</v>
      </c>
      <c r="F8902" s="18">
        <v>41878.04</v>
      </c>
      <c r="G8902" s="18">
        <v>103724</v>
      </c>
      <c r="H8902" s="18">
        <f t="shared" si="194"/>
        <v>41868.04</v>
      </c>
    </row>
    <row r="8903" spans="1:8" ht="19.5" customHeight="1" x14ac:dyDescent="0.55000000000000004">
      <c r="A8903" s="18">
        <v>24.8060355</v>
      </c>
      <c r="B8903" s="18">
        <v>34.823146199999996</v>
      </c>
      <c r="C8903" s="18">
        <v>684281.21</v>
      </c>
      <c r="D8903" s="18">
        <v>2744700.96</v>
      </c>
      <c r="E8903" s="18">
        <v>276.19</v>
      </c>
      <c r="F8903" s="18">
        <v>41878.400000000001</v>
      </c>
      <c r="G8903" s="18">
        <v>103726</v>
      </c>
      <c r="H8903" s="18">
        <f t="shared" si="194"/>
        <v>41868.400000000001</v>
      </c>
    </row>
    <row r="8904" spans="1:8" ht="19.5" customHeight="1" x14ac:dyDescent="0.55000000000000004">
      <c r="A8904" s="18">
        <v>24.8060483</v>
      </c>
      <c r="B8904" s="18">
        <v>34.823126700000003</v>
      </c>
      <c r="C8904" s="18">
        <v>684279.22</v>
      </c>
      <c r="D8904" s="18">
        <v>2744702.36</v>
      </c>
      <c r="E8904" s="18">
        <v>276.25</v>
      </c>
      <c r="F8904" s="18">
        <v>41878.25</v>
      </c>
      <c r="G8904" s="18">
        <v>103728</v>
      </c>
      <c r="H8904" s="18">
        <f t="shared" si="194"/>
        <v>41868.25</v>
      </c>
    </row>
    <row r="8905" spans="1:8" ht="19.5" customHeight="1" x14ac:dyDescent="0.55000000000000004">
      <c r="A8905" s="18">
        <v>24.806059099999999</v>
      </c>
      <c r="B8905" s="18">
        <v>34.823104999999998</v>
      </c>
      <c r="C8905" s="18">
        <v>684277.01</v>
      </c>
      <c r="D8905" s="18">
        <v>2744703.53</v>
      </c>
      <c r="E8905" s="18">
        <v>276.27</v>
      </c>
      <c r="F8905" s="18">
        <v>41878.089999999997</v>
      </c>
      <c r="G8905" s="18">
        <v>103730</v>
      </c>
      <c r="H8905" s="18">
        <f t="shared" si="194"/>
        <v>41868.089999999997</v>
      </c>
    </row>
    <row r="8906" spans="1:8" ht="19.5" customHeight="1" x14ac:dyDescent="0.55000000000000004">
      <c r="A8906" s="18">
        <v>24.8060729</v>
      </c>
      <c r="B8906" s="18">
        <v>34.823086400000001</v>
      </c>
      <c r="C8906" s="18">
        <v>684275.12</v>
      </c>
      <c r="D8906" s="18">
        <v>2744705.03</v>
      </c>
      <c r="E8906" s="18">
        <v>276.24</v>
      </c>
      <c r="F8906" s="18">
        <v>41878.5</v>
      </c>
      <c r="G8906" s="18">
        <v>103732</v>
      </c>
      <c r="H8906" s="18">
        <f t="shared" si="194"/>
        <v>41868.5</v>
      </c>
    </row>
    <row r="8907" spans="1:8" ht="19.5" customHeight="1" x14ac:dyDescent="0.55000000000000004">
      <c r="A8907" s="18">
        <v>24.806087600000001</v>
      </c>
      <c r="B8907" s="18">
        <v>34.823068300000003</v>
      </c>
      <c r="C8907" s="18">
        <v>684273.27</v>
      </c>
      <c r="D8907" s="18">
        <v>2744706.63</v>
      </c>
      <c r="E8907" s="18">
        <v>276.25</v>
      </c>
      <c r="F8907" s="18">
        <v>41880.97</v>
      </c>
      <c r="G8907" s="18">
        <v>103734</v>
      </c>
      <c r="H8907" s="18">
        <f t="shared" si="194"/>
        <v>41870.97</v>
      </c>
    </row>
    <row r="8908" spans="1:8" ht="19.5" customHeight="1" x14ac:dyDescent="0.55000000000000004">
      <c r="A8908" s="18">
        <v>24.806096400000001</v>
      </c>
      <c r="B8908" s="18">
        <v>34.823046900000001</v>
      </c>
      <c r="C8908" s="18">
        <v>684271.08</v>
      </c>
      <c r="D8908" s="18">
        <v>2744707.58</v>
      </c>
      <c r="E8908" s="18">
        <v>276.33999999999997</v>
      </c>
      <c r="F8908" s="18">
        <v>41880.21</v>
      </c>
      <c r="G8908" s="18">
        <v>103736</v>
      </c>
      <c r="H8908" s="18">
        <f t="shared" si="194"/>
        <v>41870.21</v>
      </c>
    </row>
    <row r="8909" spans="1:8" ht="19.5" customHeight="1" x14ac:dyDescent="0.55000000000000004">
      <c r="A8909" s="18">
        <v>24.806097300000001</v>
      </c>
      <c r="B8909" s="18">
        <v>34.823027600000003</v>
      </c>
      <c r="C8909" s="18">
        <v>684269.13</v>
      </c>
      <c r="D8909" s="18">
        <v>2744707.65</v>
      </c>
      <c r="E8909" s="18">
        <v>276.39</v>
      </c>
      <c r="F8909" s="18">
        <v>41882.720000000001</v>
      </c>
      <c r="G8909" s="18">
        <v>103738</v>
      </c>
      <c r="H8909" s="18">
        <f t="shared" si="194"/>
        <v>41872.720000000001</v>
      </c>
    </row>
    <row r="8910" spans="1:8" ht="19.5" customHeight="1" x14ac:dyDescent="0.55000000000000004">
      <c r="A8910" s="18">
        <v>24.8060999</v>
      </c>
      <c r="B8910" s="18">
        <v>34.823007599999997</v>
      </c>
      <c r="C8910" s="18">
        <v>684267.11</v>
      </c>
      <c r="D8910" s="18">
        <v>2744707.91</v>
      </c>
      <c r="E8910" s="18">
        <v>276.5</v>
      </c>
      <c r="F8910" s="18">
        <v>41881.730000000003</v>
      </c>
      <c r="G8910" s="18">
        <v>103740</v>
      </c>
      <c r="H8910" s="18">
        <f t="shared" si="194"/>
        <v>41871.730000000003</v>
      </c>
    </row>
    <row r="8911" spans="1:8" ht="19.5" customHeight="1" x14ac:dyDescent="0.55000000000000004">
      <c r="A8911" s="18">
        <v>24.806108999999999</v>
      </c>
      <c r="B8911" s="18">
        <v>34.8229902</v>
      </c>
      <c r="C8911" s="18">
        <v>684265.34</v>
      </c>
      <c r="D8911" s="18">
        <v>2744708.89</v>
      </c>
      <c r="E8911" s="18">
        <v>276.63</v>
      </c>
      <c r="F8911" s="18">
        <v>41881.589999999997</v>
      </c>
      <c r="G8911" s="18">
        <v>103742</v>
      </c>
      <c r="H8911" s="18">
        <f t="shared" si="194"/>
        <v>41871.589999999997</v>
      </c>
    </row>
    <row r="8912" spans="1:8" ht="19.5" customHeight="1" x14ac:dyDescent="0.55000000000000004">
      <c r="A8912" s="18">
        <v>24.8061218</v>
      </c>
      <c r="B8912" s="18">
        <v>34.822973699999999</v>
      </c>
      <c r="C8912" s="18">
        <v>684263.65</v>
      </c>
      <c r="D8912" s="18">
        <v>2744710.29</v>
      </c>
      <c r="E8912" s="18">
        <v>276.64</v>
      </c>
      <c r="F8912" s="18">
        <v>41881.07</v>
      </c>
      <c r="G8912" s="18">
        <v>103744</v>
      </c>
      <c r="H8912" s="18">
        <f t="shared" si="194"/>
        <v>41871.07</v>
      </c>
    </row>
    <row r="8913" spans="1:8" ht="19.5" customHeight="1" x14ac:dyDescent="0.55000000000000004">
      <c r="A8913" s="18">
        <v>24.806129800000001</v>
      </c>
      <c r="B8913" s="18">
        <v>34.8229544</v>
      </c>
      <c r="C8913" s="18">
        <v>684261.68</v>
      </c>
      <c r="D8913" s="18">
        <v>2744711.15</v>
      </c>
      <c r="E8913" s="18">
        <v>276.7</v>
      </c>
      <c r="F8913" s="18">
        <v>41878.99</v>
      </c>
      <c r="G8913" s="18">
        <v>103746</v>
      </c>
      <c r="H8913" s="18">
        <f t="shared" si="194"/>
        <v>41868.99</v>
      </c>
    </row>
    <row r="8914" spans="1:8" ht="19.5" customHeight="1" x14ac:dyDescent="0.55000000000000004">
      <c r="A8914" s="18">
        <v>24.806139099999999</v>
      </c>
      <c r="B8914" s="18">
        <v>34.822931799999999</v>
      </c>
      <c r="C8914" s="18">
        <v>684259.39</v>
      </c>
      <c r="D8914" s="18">
        <v>2744712.15</v>
      </c>
      <c r="E8914" s="18">
        <v>276.64</v>
      </c>
      <c r="F8914" s="18">
        <v>41880.79</v>
      </c>
      <c r="G8914" s="18">
        <v>103748</v>
      </c>
      <c r="H8914" s="18">
        <f t="shared" si="194"/>
        <v>41870.79</v>
      </c>
    </row>
    <row r="8915" spans="1:8" ht="19.5" customHeight="1" x14ac:dyDescent="0.55000000000000004">
      <c r="A8915" s="18">
        <v>24.806149300000001</v>
      </c>
      <c r="B8915" s="18">
        <v>34.82291</v>
      </c>
      <c r="C8915" s="18">
        <v>684257.16</v>
      </c>
      <c r="D8915" s="18">
        <v>2744713.25</v>
      </c>
      <c r="E8915" s="18">
        <v>276.74</v>
      </c>
      <c r="F8915" s="18">
        <v>41883.46</v>
      </c>
      <c r="G8915" s="18">
        <v>103750</v>
      </c>
      <c r="H8915" s="18">
        <f t="shared" si="194"/>
        <v>41873.46</v>
      </c>
    </row>
    <row r="8916" spans="1:8" ht="19.5" customHeight="1" x14ac:dyDescent="0.55000000000000004">
      <c r="A8916" s="18">
        <v>24.806160999999999</v>
      </c>
      <c r="B8916" s="18">
        <v>34.822888300000002</v>
      </c>
      <c r="C8916" s="18">
        <v>684254.95</v>
      </c>
      <c r="D8916" s="18">
        <v>2744714.52</v>
      </c>
      <c r="E8916" s="18">
        <v>276.72000000000003</v>
      </c>
      <c r="F8916" s="18">
        <v>41881.730000000003</v>
      </c>
      <c r="G8916" s="18">
        <v>103752</v>
      </c>
      <c r="H8916" s="18">
        <f t="shared" si="194"/>
        <v>41871.730000000003</v>
      </c>
    </row>
    <row r="8917" spans="1:8" ht="19.5" customHeight="1" x14ac:dyDescent="0.55000000000000004">
      <c r="A8917" s="18">
        <v>24.806174800000001</v>
      </c>
      <c r="B8917" s="18">
        <v>34.822869900000001</v>
      </c>
      <c r="C8917" s="18">
        <v>684253.07</v>
      </c>
      <c r="D8917" s="18">
        <v>2744716.02</v>
      </c>
      <c r="E8917" s="18">
        <v>276.76</v>
      </c>
      <c r="F8917" s="18">
        <v>41880.26</v>
      </c>
      <c r="G8917" s="18">
        <v>103754</v>
      </c>
      <c r="H8917" s="18">
        <f t="shared" si="194"/>
        <v>41870.26</v>
      </c>
    </row>
    <row r="8918" spans="1:8" ht="19.5" customHeight="1" x14ac:dyDescent="0.55000000000000004">
      <c r="A8918" s="18">
        <v>24.806186400000001</v>
      </c>
      <c r="B8918" s="18">
        <v>34.822848499999999</v>
      </c>
      <c r="C8918" s="18">
        <v>684250.89</v>
      </c>
      <c r="D8918" s="18">
        <v>2744717.28</v>
      </c>
      <c r="E8918" s="18">
        <v>276.88</v>
      </c>
      <c r="F8918" s="18">
        <v>41879.43</v>
      </c>
      <c r="G8918" s="18">
        <v>103756</v>
      </c>
      <c r="H8918" s="18">
        <f t="shared" si="194"/>
        <v>41869.43</v>
      </c>
    </row>
    <row r="8919" spans="1:8" ht="19.5" customHeight="1" x14ac:dyDescent="0.55000000000000004">
      <c r="A8919" s="18">
        <v>24.806198699999999</v>
      </c>
      <c r="B8919" s="18">
        <v>34.822828199999996</v>
      </c>
      <c r="C8919" s="18">
        <v>684248.83</v>
      </c>
      <c r="D8919" s="18">
        <v>2744718.61</v>
      </c>
      <c r="E8919" s="18">
        <v>276.91000000000003</v>
      </c>
      <c r="F8919" s="18">
        <v>41880.949999999997</v>
      </c>
      <c r="G8919" s="18">
        <v>103758</v>
      </c>
      <c r="H8919" s="18">
        <f t="shared" si="194"/>
        <v>41870.949999999997</v>
      </c>
    </row>
    <row r="8920" spans="1:8" ht="19.5" customHeight="1" x14ac:dyDescent="0.55000000000000004">
      <c r="A8920" s="18">
        <v>24.806211099999999</v>
      </c>
      <c r="B8920" s="18">
        <v>34.822806300000003</v>
      </c>
      <c r="C8920" s="18">
        <v>684246.59</v>
      </c>
      <c r="D8920" s="18">
        <v>2744719.96</v>
      </c>
      <c r="E8920" s="18">
        <v>277.02</v>
      </c>
      <c r="F8920" s="18">
        <v>41880.519999999997</v>
      </c>
      <c r="G8920" s="18">
        <v>103800</v>
      </c>
      <c r="H8920" s="18">
        <f t="shared" si="194"/>
        <v>41870.519999999997</v>
      </c>
    </row>
    <row r="8921" spans="1:8" ht="19.5" customHeight="1" x14ac:dyDescent="0.55000000000000004">
      <c r="A8921" s="18">
        <v>24.806226299999999</v>
      </c>
      <c r="B8921" s="18">
        <v>34.822787499999997</v>
      </c>
      <c r="C8921" s="18">
        <v>684244.66</v>
      </c>
      <c r="D8921" s="18">
        <v>2744721.61</v>
      </c>
      <c r="E8921" s="18">
        <v>277.11</v>
      </c>
      <c r="F8921" s="18">
        <v>41881.089999999997</v>
      </c>
      <c r="G8921" s="18">
        <v>103802</v>
      </c>
      <c r="H8921" s="18">
        <f t="shared" si="194"/>
        <v>41871.089999999997</v>
      </c>
    </row>
    <row r="8922" spans="1:8" ht="19.5" customHeight="1" x14ac:dyDescent="0.55000000000000004">
      <c r="A8922" s="18">
        <v>24.806237299999999</v>
      </c>
      <c r="B8922" s="18">
        <v>34.822764999999997</v>
      </c>
      <c r="C8922" s="18">
        <v>684242.38</v>
      </c>
      <c r="D8922" s="18">
        <v>2744722.8</v>
      </c>
      <c r="E8922" s="18">
        <v>277.10000000000002</v>
      </c>
      <c r="F8922" s="18">
        <v>41881.79</v>
      </c>
      <c r="G8922" s="18">
        <v>103804</v>
      </c>
      <c r="H8922" s="18">
        <f t="shared" si="194"/>
        <v>41871.79</v>
      </c>
    </row>
    <row r="8923" spans="1:8" ht="19.5" customHeight="1" x14ac:dyDescent="0.55000000000000004">
      <c r="A8923" s="18">
        <v>24.806244499999998</v>
      </c>
      <c r="B8923" s="18">
        <v>34.822743600000003</v>
      </c>
      <c r="C8923" s="18">
        <v>684240.2</v>
      </c>
      <c r="D8923" s="18">
        <v>2744723.57</v>
      </c>
      <c r="E8923" s="18">
        <v>277.24</v>
      </c>
      <c r="F8923" s="18">
        <v>41881.11</v>
      </c>
      <c r="G8923" s="18">
        <v>103806</v>
      </c>
      <c r="H8923" s="18">
        <f t="shared" ref="H8923:H8986" si="195">SUM(F8923-10)</f>
        <v>41871.11</v>
      </c>
    </row>
    <row r="8924" spans="1:8" ht="19.5" customHeight="1" x14ac:dyDescent="0.55000000000000004">
      <c r="A8924" s="18">
        <v>24.8062504</v>
      </c>
      <c r="B8924" s="18">
        <v>34.822721899999998</v>
      </c>
      <c r="C8924" s="18">
        <v>684238</v>
      </c>
      <c r="D8924" s="18">
        <v>2744724.2</v>
      </c>
      <c r="E8924" s="18">
        <v>277.22000000000003</v>
      </c>
      <c r="F8924" s="18">
        <v>41878.07</v>
      </c>
      <c r="G8924" s="18">
        <v>103808</v>
      </c>
      <c r="H8924" s="18">
        <f t="shared" si="195"/>
        <v>41868.07</v>
      </c>
    </row>
    <row r="8925" spans="1:8" ht="19.5" customHeight="1" x14ac:dyDescent="0.55000000000000004">
      <c r="A8925" s="18">
        <v>24.806256000000001</v>
      </c>
      <c r="B8925" s="18">
        <v>34.822697099999999</v>
      </c>
      <c r="C8925" s="18">
        <v>684235.48</v>
      </c>
      <c r="D8925" s="18">
        <v>2744724.79</v>
      </c>
      <c r="E8925" s="18">
        <v>277.20999999999998</v>
      </c>
      <c r="F8925" s="18">
        <v>41882.559999999998</v>
      </c>
      <c r="G8925" s="18">
        <v>103810</v>
      </c>
      <c r="H8925" s="18">
        <f t="shared" si="195"/>
        <v>41872.559999999998</v>
      </c>
    </row>
    <row r="8926" spans="1:8" ht="19.5" customHeight="1" x14ac:dyDescent="0.55000000000000004">
      <c r="A8926" s="18">
        <v>24.806263099999999</v>
      </c>
      <c r="B8926" s="18">
        <v>34.822674399999997</v>
      </c>
      <c r="C8926" s="18">
        <v>684233.18</v>
      </c>
      <c r="D8926" s="18">
        <v>2744725.54</v>
      </c>
      <c r="E8926" s="18">
        <v>277.3</v>
      </c>
      <c r="F8926" s="18">
        <v>41881.42</v>
      </c>
      <c r="G8926" s="18">
        <v>103812</v>
      </c>
      <c r="H8926" s="18">
        <f t="shared" si="195"/>
        <v>41871.42</v>
      </c>
    </row>
    <row r="8927" spans="1:8" ht="19.5" customHeight="1" x14ac:dyDescent="0.55000000000000004">
      <c r="A8927" s="18">
        <v>24.806269499999999</v>
      </c>
      <c r="B8927" s="18">
        <v>34.822651899999997</v>
      </c>
      <c r="C8927" s="18">
        <v>684230.9</v>
      </c>
      <c r="D8927" s="18">
        <v>2744726.21</v>
      </c>
      <c r="E8927" s="18">
        <v>277.32</v>
      </c>
      <c r="F8927" s="18">
        <v>41881.769999999997</v>
      </c>
      <c r="G8927" s="18">
        <v>103814</v>
      </c>
      <c r="H8927" s="18">
        <f t="shared" si="195"/>
        <v>41871.769999999997</v>
      </c>
    </row>
    <row r="8928" spans="1:8" ht="19.5" customHeight="1" x14ac:dyDescent="0.55000000000000004">
      <c r="A8928" s="18">
        <v>24.806278899999999</v>
      </c>
      <c r="B8928" s="18">
        <v>34.822631800000003</v>
      </c>
      <c r="C8928" s="18">
        <v>684228.85</v>
      </c>
      <c r="D8928" s="18">
        <v>2744727.23</v>
      </c>
      <c r="E8928" s="18">
        <v>277.52</v>
      </c>
      <c r="F8928" s="18">
        <v>41878.519999999997</v>
      </c>
      <c r="G8928" s="18">
        <v>103816</v>
      </c>
      <c r="H8928" s="18">
        <f t="shared" si="195"/>
        <v>41868.519999999997</v>
      </c>
    </row>
    <row r="8929" spans="1:8" ht="19.5" customHeight="1" x14ac:dyDescent="0.55000000000000004">
      <c r="A8929" s="18">
        <v>24.806290300000001</v>
      </c>
      <c r="B8929" s="18">
        <v>34.822611600000002</v>
      </c>
      <c r="C8929" s="18">
        <v>684226.79</v>
      </c>
      <c r="D8929" s="18">
        <v>2744728.47</v>
      </c>
      <c r="E8929" s="18">
        <v>277.57</v>
      </c>
      <c r="F8929" s="18">
        <v>41878.400000000001</v>
      </c>
      <c r="G8929" s="18">
        <v>103818</v>
      </c>
      <c r="H8929" s="18">
        <f t="shared" si="195"/>
        <v>41868.400000000001</v>
      </c>
    </row>
    <row r="8930" spans="1:8" ht="19.5" customHeight="1" x14ac:dyDescent="0.55000000000000004">
      <c r="A8930" s="18">
        <v>24.806299599999999</v>
      </c>
      <c r="B8930" s="18">
        <v>34.822588600000003</v>
      </c>
      <c r="C8930" s="18">
        <v>684224.45</v>
      </c>
      <c r="D8930" s="18">
        <v>2744729.47</v>
      </c>
      <c r="E8930" s="18">
        <v>277.72000000000003</v>
      </c>
      <c r="F8930" s="18">
        <v>41879.620000000003</v>
      </c>
      <c r="G8930" s="18">
        <v>103820</v>
      </c>
      <c r="H8930" s="18">
        <f t="shared" si="195"/>
        <v>41869.620000000003</v>
      </c>
    </row>
    <row r="8931" spans="1:8" ht="19.5" customHeight="1" x14ac:dyDescent="0.55000000000000004">
      <c r="A8931" s="18">
        <v>24.8063088</v>
      </c>
      <c r="B8931" s="18">
        <v>34.822564</v>
      </c>
      <c r="C8931" s="18">
        <v>684221.95</v>
      </c>
      <c r="D8931" s="18">
        <v>2744730.45</v>
      </c>
      <c r="E8931" s="18">
        <v>277.70999999999998</v>
      </c>
      <c r="F8931" s="18">
        <v>41883.339999999997</v>
      </c>
      <c r="G8931" s="18">
        <v>103822</v>
      </c>
      <c r="H8931" s="18">
        <f t="shared" si="195"/>
        <v>41873.339999999997</v>
      </c>
    </row>
    <row r="8932" spans="1:8" ht="19.5" customHeight="1" x14ac:dyDescent="0.55000000000000004">
      <c r="A8932" s="18">
        <v>24.806319599999998</v>
      </c>
      <c r="B8932" s="18">
        <v>34.822541600000001</v>
      </c>
      <c r="C8932" s="18">
        <v>684219.67</v>
      </c>
      <c r="D8932" s="18">
        <v>2744731.62</v>
      </c>
      <c r="E8932" s="18">
        <v>277.74</v>
      </c>
      <c r="F8932" s="18">
        <v>41881.71</v>
      </c>
      <c r="G8932" s="18">
        <v>103824</v>
      </c>
      <c r="H8932" s="18">
        <f t="shared" si="195"/>
        <v>41871.71</v>
      </c>
    </row>
    <row r="8933" spans="1:8" ht="19.5" customHeight="1" x14ac:dyDescent="0.55000000000000004">
      <c r="A8933" s="18">
        <v>24.806331</v>
      </c>
      <c r="B8933" s="18">
        <v>34.822522599999999</v>
      </c>
      <c r="C8933" s="18">
        <v>684217.73</v>
      </c>
      <c r="D8933" s="18">
        <v>2744732.85</v>
      </c>
      <c r="E8933" s="18">
        <v>277.83999999999997</v>
      </c>
      <c r="F8933" s="18">
        <v>41878.9</v>
      </c>
      <c r="G8933" s="18">
        <v>103826</v>
      </c>
      <c r="H8933" s="18">
        <f t="shared" si="195"/>
        <v>41868.9</v>
      </c>
    </row>
    <row r="8934" spans="1:8" ht="19.5" customHeight="1" x14ac:dyDescent="0.55000000000000004">
      <c r="A8934" s="18">
        <v>24.806335300000001</v>
      </c>
      <c r="B8934" s="18">
        <v>34.822499499999999</v>
      </c>
      <c r="C8934" s="18">
        <v>684215.39</v>
      </c>
      <c r="D8934" s="18">
        <v>2744733.31</v>
      </c>
      <c r="E8934" s="18">
        <v>277.81</v>
      </c>
      <c r="F8934" s="18">
        <v>41879.9</v>
      </c>
      <c r="G8934" s="18">
        <v>103828</v>
      </c>
      <c r="H8934" s="18">
        <f t="shared" si="195"/>
        <v>41869.9</v>
      </c>
    </row>
    <row r="8935" spans="1:8" ht="19.5" customHeight="1" x14ac:dyDescent="0.55000000000000004">
      <c r="A8935" s="18">
        <v>24.8063401</v>
      </c>
      <c r="B8935" s="18">
        <v>34.822473500000001</v>
      </c>
      <c r="C8935" s="18">
        <v>684212.75</v>
      </c>
      <c r="D8935" s="18">
        <v>2744733.79</v>
      </c>
      <c r="E8935" s="18">
        <v>277.95</v>
      </c>
      <c r="F8935" s="18">
        <v>41883.21</v>
      </c>
      <c r="G8935" s="18">
        <v>103830</v>
      </c>
      <c r="H8935" s="18">
        <f t="shared" si="195"/>
        <v>41873.21</v>
      </c>
    </row>
    <row r="8936" spans="1:8" ht="19.5" customHeight="1" x14ac:dyDescent="0.55000000000000004">
      <c r="A8936" s="18">
        <v>24.806347299999999</v>
      </c>
      <c r="B8936" s="18">
        <v>34.822449300000002</v>
      </c>
      <c r="C8936" s="18">
        <v>684210.3</v>
      </c>
      <c r="D8936" s="18">
        <v>2744734.57</v>
      </c>
      <c r="E8936" s="18">
        <v>278.05</v>
      </c>
      <c r="F8936" s="18">
        <v>41883.839999999997</v>
      </c>
      <c r="G8936" s="18">
        <v>103832</v>
      </c>
      <c r="H8936" s="18">
        <f t="shared" si="195"/>
        <v>41873.839999999997</v>
      </c>
    </row>
    <row r="8937" spans="1:8" ht="19.5" customHeight="1" x14ac:dyDescent="0.55000000000000004">
      <c r="A8937" s="18">
        <v>24.806355199999999</v>
      </c>
      <c r="B8937" s="18">
        <v>34.822425500000001</v>
      </c>
      <c r="C8937" s="18">
        <v>684207.87</v>
      </c>
      <c r="D8937" s="18">
        <v>2744735.41</v>
      </c>
      <c r="E8937" s="18">
        <v>278.11</v>
      </c>
      <c r="F8937" s="18">
        <v>41880.42</v>
      </c>
      <c r="G8937" s="18">
        <v>103834</v>
      </c>
      <c r="H8937" s="18">
        <f t="shared" si="195"/>
        <v>41870.42</v>
      </c>
    </row>
    <row r="8938" spans="1:8" ht="19.5" customHeight="1" x14ac:dyDescent="0.55000000000000004">
      <c r="A8938" s="18">
        <v>24.8063626</v>
      </c>
      <c r="B8938" s="18">
        <v>34.822402500000003</v>
      </c>
      <c r="C8938" s="18">
        <v>684205.54</v>
      </c>
      <c r="D8938" s="18">
        <v>2744736.19</v>
      </c>
      <c r="E8938" s="18">
        <v>278.23</v>
      </c>
      <c r="F8938" s="18">
        <v>41880.800000000003</v>
      </c>
      <c r="G8938" s="18">
        <v>103836</v>
      </c>
      <c r="H8938" s="18">
        <f t="shared" si="195"/>
        <v>41870.800000000003</v>
      </c>
    </row>
    <row r="8939" spans="1:8" ht="19.5" customHeight="1" x14ac:dyDescent="0.55000000000000004">
      <c r="A8939" s="18">
        <v>24.8063708</v>
      </c>
      <c r="B8939" s="18">
        <v>34.822379499999997</v>
      </c>
      <c r="C8939" s="18">
        <v>684203.21</v>
      </c>
      <c r="D8939" s="18">
        <v>2744737.07</v>
      </c>
      <c r="E8939" s="18">
        <v>278.20999999999998</v>
      </c>
      <c r="F8939" s="18">
        <v>41882.39</v>
      </c>
      <c r="G8939" s="18">
        <v>103838</v>
      </c>
      <c r="H8939" s="18">
        <f t="shared" si="195"/>
        <v>41872.39</v>
      </c>
    </row>
    <row r="8940" spans="1:8" ht="19.5" customHeight="1" x14ac:dyDescent="0.55000000000000004">
      <c r="A8940" s="18">
        <v>24.806384699999999</v>
      </c>
      <c r="B8940" s="18">
        <v>34.822358700000002</v>
      </c>
      <c r="C8940" s="18">
        <v>684201.08</v>
      </c>
      <c r="D8940" s="18">
        <v>2744738.59</v>
      </c>
      <c r="E8940" s="18">
        <v>278.27999999999997</v>
      </c>
      <c r="F8940" s="18">
        <v>41880.35</v>
      </c>
      <c r="G8940" s="18">
        <v>103840</v>
      </c>
      <c r="H8940" s="18">
        <f t="shared" si="195"/>
        <v>41870.35</v>
      </c>
    </row>
    <row r="8941" spans="1:8" ht="19.5" customHeight="1" x14ac:dyDescent="0.55000000000000004">
      <c r="A8941" s="18">
        <v>24.8063976</v>
      </c>
      <c r="B8941" s="18">
        <v>34.8223378</v>
      </c>
      <c r="C8941" s="18">
        <v>684198.95</v>
      </c>
      <c r="D8941" s="18">
        <v>2744739.99</v>
      </c>
      <c r="E8941" s="18">
        <v>278.42</v>
      </c>
      <c r="F8941" s="18">
        <v>41879.800000000003</v>
      </c>
      <c r="G8941" s="18">
        <v>103842</v>
      </c>
      <c r="H8941" s="18">
        <f t="shared" si="195"/>
        <v>41869.800000000003</v>
      </c>
    </row>
    <row r="8942" spans="1:8" ht="19.5" customHeight="1" x14ac:dyDescent="0.55000000000000004">
      <c r="A8942" s="18">
        <v>24.806412999999999</v>
      </c>
      <c r="B8942" s="18">
        <v>34.8223178</v>
      </c>
      <c r="C8942" s="18">
        <v>684196.9</v>
      </c>
      <c r="D8942" s="18">
        <v>2744741.66</v>
      </c>
      <c r="E8942" s="18">
        <v>278.44</v>
      </c>
      <c r="F8942" s="18">
        <v>41880.68</v>
      </c>
      <c r="G8942" s="18">
        <v>103844</v>
      </c>
      <c r="H8942" s="18">
        <f t="shared" si="195"/>
        <v>41870.68</v>
      </c>
    </row>
    <row r="8943" spans="1:8" ht="19.5" customHeight="1" x14ac:dyDescent="0.55000000000000004">
      <c r="A8943" s="18">
        <v>24.806427299999999</v>
      </c>
      <c r="B8943" s="18">
        <v>34.822298400000001</v>
      </c>
      <c r="C8943" s="18">
        <v>684194.92</v>
      </c>
      <c r="D8943" s="18">
        <v>2744743.22</v>
      </c>
      <c r="E8943" s="18">
        <v>278.52999999999997</v>
      </c>
      <c r="F8943" s="18">
        <v>41881.449999999997</v>
      </c>
      <c r="G8943" s="18">
        <v>103846</v>
      </c>
      <c r="H8943" s="18">
        <f t="shared" si="195"/>
        <v>41871.449999999997</v>
      </c>
    </row>
    <row r="8944" spans="1:8" ht="19.5" customHeight="1" x14ac:dyDescent="0.55000000000000004">
      <c r="A8944" s="18">
        <v>24.8064395</v>
      </c>
      <c r="B8944" s="18">
        <v>34.8222764</v>
      </c>
      <c r="C8944" s="18">
        <v>684192.68</v>
      </c>
      <c r="D8944" s="18">
        <v>2744744.54</v>
      </c>
      <c r="E8944" s="18">
        <v>278.68</v>
      </c>
      <c r="F8944" s="18">
        <v>41878.660000000003</v>
      </c>
      <c r="G8944" s="18">
        <v>103848</v>
      </c>
      <c r="H8944" s="18">
        <f t="shared" si="195"/>
        <v>41868.660000000003</v>
      </c>
    </row>
    <row r="8945" spans="1:8" ht="19.5" customHeight="1" x14ac:dyDescent="0.55000000000000004">
      <c r="A8945" s="18">
        <v>24.8064541</v>
      </c>
      <c r="B8945" s="18">
        <v>34.822255699999999</v>
      </c>
      <c r="C8945" s="18">
        <v>684190.57</v>
      </c>
      <c r="D8945" s="18">
        <v>2744746.13</v>
      </c>
      <c r="E8945" s="18">
        <v>278.69</v>
      </c>
      <c r="F8945" s="18">
        <v>41879.279999999999</v>
      </c>
      <c r="G8945" s="18">
        <v>103850</v>
      </c>
      <c r="H8945" s="18">
        <f t="shared" si="195"/>
        <v>41869.279999999999</v>
      </c>
    </row>
    <row r="8946" spans="1:8" ht="19.5" customHeight="1" x14ac:dyDescent="0.55000000000000004">
      <c r="A8946" s="18">
        <v>24.806467300000001</v>
      </c>
      <c r="B8946" s="18">
        <v>34.822234899999998</v>
      </c>
      <c r="C8946" s="18">
        <v>684188.44</v>
      </c>
      <c r="D8946" s="18">
        <v>2744747.56</v>
      </c>
      <c r="E8946" s="18">
        <v>278.74</v>
      </c>
      <c r="F8946" s="18">
        <v>41878.980000000003</v>
      </c>
      <c r="G8946" s="18">
        <v>103852</v>
      </c>
      <c r="H8946" s="18">
        <f t="shared" si="195"/>
        <v>41868.980000000003</v>
      </c>
    </row>
    <row r="8947" spans="1:8" ht="19.5" customHeight="1" x14ac:dyDescent="0.55000000000000004">
      <c r="A8947" s="18">
        <v>24.806478500000001</v>
      </c>
      <c r="B8947" s="18">
        <v>34.822212700000001</v>
      </c>
      <c r="C8947" s="18">
        <v>684186.19</v>
      </c>
      <c r="D8947" s="18">
        <v>2744748.78</v>
      </c>
      <c r="E8947" s="18">
        <v>278.89</v>
      </c>
      <c r="F8947" s="18">
        <v>41880.980000000003</v>
      </c>
      <c r="G8947" s="18">
        <v>103854</v>
      </c>
      <c r="H8947" s="18">
        <f t="shared" si="195"/>
        <v>41870.980000000003</v>
      </c>
    </row>
    <row r="8948" spans="1:8" ht="19.5" customHeight="1" x14ac:dyDescent="0.55000000000000004">
      <c r="A8948" s="18">
        <v>24.806494199999999</v>
      </c>
      <c r="B8948" s="18">
        <v>34.8221937</v>
      </c>
      <c r="C8948" s="18">
        <v>684184.24</v>
      </c>
      <c r="D8948" s="18">
        <v>2744750.49</v>
      </c>
      <c r="E8948" s="18">
        <v>278.92</v>
      </c>
      <c r="F8948" s="18">
        <v>41882.120000000003</v>
      </c>
      <c r="G8948" s="18">
        <v>103856</v>
      </c>
      <c r="H8948" s="18">
        <f t="shared" si="195"/>
        <v>41872.120000000003</v>
      </c>
    </row>
    <row r="8949" spans="1:8" ht="19.5" customHeight="1" x14ac:dyDescent="0.55000000000000004">
      <c r="A8949" s="18">
        <v>24.806509200000001</v>
      </c>
      <c r="B8949" s="18">
        <v>34.822175999999999</v>
      </c>
      <c r="C8949" s="18">
        <v>684182.42</v>
      </c>
      <c r="D8949" s="18">
        <v>2744752.12</v>
      </c>
      <c r="E8949" s="18">
        <v>278.95</v>
      </c>
      <c r="F8949" s="18">
        <v>41880.67</v>
      </c>
      <c r="G8949" s="18">
        <v>103858</v>
      </c>
      <c r="H8949" s="18">
        <f t="shared" si="195"/>
        <v>41870.67</v>
      </c>
    </row>
    <row r="8950" spans="1:8" ht="19.5" customHeight="1" x14ac:dyDescent="0.55000000000000004">
      <c r="A8950" s="18">
        <v>24.806521400000001</v>
      </c>
      <c r="B8950" s="18">
        <v>34.822155600000002</v>
      </c>
      <c r="C8950" s="18">
        <v>684180.34</v>
      </c>
      <c r="D8950" s="18">
        <v>2744753.45</v>
      </c>
      <c r="E8950" s="18">
        <v>279</v>
      </c>
      <c r="F8950" s="18">
        <v>41880.910000000003</v>
      </c>
      <c r="G8950" s="18">
        <v>103900</v>
      </c>
      <c r="H8950" s="18">
        <f t="shared" si="195"/>
        <v>41870.910000000003</v>
      </c>
    </row>
    <row r="8951" spans="1:8" ht="19.5" customHeight="1" x14ac:dyDescent="0.55000000000000004">
      <c r="A8951" s="18">
        <v>24.806536900000001</v>
      </c>
      <c r="B8951" s="18">
        <v>34.822136800000003</v>
      </c>
      <c r="C8951" s="18">
        <v>684178.42</v>
      </c>
      <c r="D8951" s="18">
        <v>2744755.14</v>
      </c>
      <c r="E8951" s="18">
        <v>278.95999999999998</v>
      </c>
      <c r="F8951" s="18">
        <v>41881.96</v>
      </c>
      <c r="G8951" s="18">
        <v>103902</v>
      </c>
      <c r="H8951" s="18">
        <f t="shared" si="195"/>
        <v>41871.96</v>
      </c>
    </row>
    <row r="8952" spans="1:8" ht="19.5" customHeight="1" x14ac:dyDescent="0.55000000000000004">
      <c r="A8952" s="18">
        <v>24.806554899999998</v>
      </c>
      <c r="B8952" s="18">
        <v>34.822122100000001</v>
      </c>
      <c r="C8952" s="18">
        <v>684176.91</v>
      </c>
      <c r="D8952" s="18">
        <v>2744757.12</v>
      </c>
      <c r="E8952" s="18">
        <v>279.01</v>
      </c>
      <c r="F8952" s="18">
        <v>41888.15</v>
      </c>
      <c r="G8952" s="18">
        <v>103904</v>
      </c>
      <c r="H8952" s="18">
        <f t="shared" si="195"/>
        <v>41878.15</v>
      </c>
    </row>
    <row r="8953" spans="1:8" ht="19.5" customHeight="1" x14ac:dyDescent="0.55000000000000004">
      <c r="A8953" s="18">
        <v>24.806570700000002</v>
      </c>
      <c r="B8953" s="18">
        <v>34.822106300000002</v>
      </c>
      <c r="C8953" s="18">
        <v>684175.29</v>
      </c>
      <c r="D8953" s="18">
        <v>2744758.84</v>
      </c>
      <c r="E8953" s="18">
        <v>279.02999999999997</v>
      </c>
      <c r="F8953" s="18">
        <v>41888.269999999997</v>
      </c>
      <c r="G8953" s="18">
        <v>103906</v>
      </c>
      <c r="H8953" s="18">
        <f t="shared" si="195"/>
        <v>41878.269999999997</v>
      </c>
    </row>
    <row r="8954" spans="1:8" ht="19.5" customHeight="1" x14ac:dyDescent="0.55000000000000004">
      <c r="A8954" s="18">
        <v>24.806588000000001</v>
      </c>
      <c r="B8954" s="18">
        <v>34.8220904</v>
      </c>
      <c r="C8954" s="18">
        <v>684173.65</v>
      </c>
      <c r="D8954" s="18">
        <v>2744760.74</v>
      </c>
      <c r="E8954" s="18">
        <v>278.95</v>
      </c>
      <c r="F8954" s="18">
        <v>41883.550000000003</v>
      </c>
      <c r="G8954" s="18">
        <v>103908</v>
      </c>
      <c r="H8954" s="18">
        <f t="shared" si="195"/>
        <v>41873.550000000003</v>
      </c>
    </row>
    <row r="8955" spans="1:8" ht="19.5" customHeight="1" x14ac:dyDescent="0.55000000000000004">
      <c r="A8955" s="18">
        <v>24.806605600000001</v>
      </c>
      <c r="B8955" s="18">
        <v>34.822076500000001</v>
      </c>
      <c r="C8955" s="18">
        <v>684172.22</v>
      </c>
      <c r="D8955" s="18">
        <v>2744762.67</v>
      </c>
      <c r="E8955" s="18">
        <v>279.06</v>
      </c>
      <c r="F8955" s="18">
        <v>41881.08</v>
      </c>
      <c r="G8955" s="18">
        <v>103910</v>
      </c>
      <c r="H8955" s="18">
        <f t="shared" si="195"/>
        <v>41871.08</v>
      </c>
    </row>
    <row r="8956" spans="1:8" ht="19.5" customHeight="1" x14ac:dyDescent="0.55000000000000004">
      <c r="A8956" s="18">
        <v>24.806622999999998</v>
      </c>
      <c r="B8956" s="18">
        <v>34.822062500000001</v>
      </c>
      <c r="C8956" s="18">
        <v>684170.79</v>
      </c>
      <c r="D8956" s="18">
        <v>2744764.58</v>
      </c>
      <c r="E8956" s="18">
        <v>279.04000000000002</v>
      </c>
      <c r="F8956" s="18">
        <v>41881.440000000002</v>
      </c>
      <c r="G8956" s="18">
        <v>103912</v>
      </c>
      <c r="H8956" s="18">
        <f t="shared" si="195"/>
        <v>41871.440000000002</v>
      </c>
    </row>
    <row r="8957" spans="1:8" ht="19.5" customHeight="1" x14ac:dyDescent="0.55000000000000004">
      <c r="A8957" s="18">
        <v>24.806641899999999</v>
      </c>
      <c r="B8957" s="18">
        <v>34.822049800000002</v>
      </c>
      <c r="C8957" s="18">
        <v>684169.47</v>
      </c>
      <c r="D8957" s="18">
        <v>2744766.65</v>
      </c>
      <c r="E8957" s="18">
        <v>279.14</v>
      </c>
      <c r="F8957" s="18">
        <v>41882.550000000003</v>
      </c>
      <c r="G8957" s="18">
        <v>103914</v>
      </c>
      <c r="H8957" s="18">
        <f t="shared" si="195"/>
        <v>41872.550000000003</v>
      </c>
    </row>
    <row r="8958" spans="1:8" ht="19.5" customHeight="1" x14ac:dyDescent="0.55000000000000004">
      <c r="A8958" s="18">
        <v>24.806658200000001</v>
      </c>
      <c r="B8958" s="18">
        <v>34.822034299999999</v>
      </c>
      <c r="C8958" s="18">
        <v>684167.88</v>
      </c>
      <c r="D8958" s="18">
        <v>2744768.44</v>
      </c>
      <c r="E8958" s="18">
        <v>279.13</v>
      </c>
      <c r="F8958" s="18">
        <v>41881.53</v>
      </c>
      <c r="G8958" s="18">
        <v>103916</v>
      </c>
      <c r="H8958" s="18">
        <f t="shared" si="195"/>
        <v>41871.53</v>
      </c>
    </row>
    <row r="8959" spans="1:8" ht="19.5" customHeight="1" x14ac:dyDescent="0.55000000000000004">
      <c r="A8959" s="18">
        <v>24.806675299999998</v>
      </c>
      <c r="B8959" s="18">
        <v>34.822019599999997</v>
      </c>
      <c r="C8959" s="18">
        <v>684166.37</v>
      </c>
      <c r="D8959" s="18">
        <v>2744770.31</v>
      </c>
      <c r="E8959" s="18">
        <v>279.27999999999997</v>
      </c>
      <c r="F8959" s="18">
        <v>41881.47</v>
      </c>
      <c r="G8959" s="18">
        <v>103918</v>
      </c>
      <c r="H8959" s="18">
        <f t="shared" si="195"/>
        <v>41871.47</v>
      </c>
    </row>
    <row r="8960" spans="1:8" ht="19.5" customHeight="1" x14ac:dyDescent="0.55000000000000004">
      <c r="A8960" s="18">
        <v>24.806692200000001</v>
      </c>
      <c r="B8960" s="18">
        <v>34.822005300000001</v>
      </c>
      <c r="C8960" s="18">
        <v>684164.9</v>
      </c>
      <c r="D8960" s="18">
        <v>2744772.17</v>
      </c>
      <c r="E8960" s="18">
        <v>279.3</v>
      </c>
      <c r="F8960" s="18">
        <v>41882.129999999997</v>
      </c>
      <c r="G8960" s="18">
        <v>103920</v>
      </c>
      <c r="H8960" s="18">
        <f t="shared" si="195"/>
        <v>41872.129999999997</v>
      </c>
    </row>
    <row r="8961" spans="1:8" ht="19.5" customHeight="1" x14ac:dyDescent="0.55000000000000004">
      <c r="A8961" s="18">
        <v>24.806711499999999</v>
      </c>
      <c r="B8961" s="18">
        <v>34.8219937</v>
      </c>
      <c r="C8961" s="18">
        <v>684163.7</v>
      </c>
      <c r="D8961" s="18">
        <v>2744774.29</v>
      </c>
      <c r="E8961" s="18">
        <v>279.41000000000003</v>
      </c>
      <c r="F8961" s="18">
        <v>41882.83</v>
      </c>
      <c r="G8961" s="18">
        <v>103922</v>
      </c>
      <c r="H8961" s="18">
        <f t="shared" si="195"/>
        <v>41872.83</v>
      </c>
    </row>
    <row r="8962" spans="1:8" ht="19.5" customHeight="1" x14ac:dyDescent="0.55000000000000004">
      <c r="A8962" s="18">
        <v>24.806729300000001</v>
      </c>
      <c r="B8962" s="18">
        <v>34.821982300000002</v>
      </c>
      <c r="C8962" s="18">
        <v>684162.52</v>
      </c>
      <c r="D8962" s="18">
        <v>2744776.24</v>
      </c>
      <c r="E8962" s="18">
        <v>279.43</v>
      </c>
      <c r="F8962" s="18">
        <v>41882.449999999997</v>
      </c>
      <c r="G8962" s="18">
        <v>103924</v>
      </c>
      <c r="H8962" s="18">
        <f t="shared" si="195"/>
        <v>41872.449999999997</v>
      </c>
    </row>
    <row r="8963" spans="1:8" ht="19.5" customHeight="1" x14ac:dyDescent="0.55000000000000004">
      <c r="A8963" s="18">
        <v>24.806749700000001</v>
      </c>
      <c r="B8963" s="18">
        <v>34.821972299999999</v>
      </c>
      <c r="C8963" s="18">
        <v>684161.48</v>
      </c>
      <c r="D8963" s="18">
        <v>2744778.49</v>
      </c>
      <c r="E8963" s="18">
        <v>279.48</v>
      </c>
      <c r="F8963" s="18">
        <v>41881.339999999997</v>
      </c>
      <c r="G8963" s="18">
        <v>103926</v>
      </c>
      <c r="H8963" s="18">
        <f t="shared" si="195"/>
        <v>41871.339999999997</v>
      </c>
    </row>
    <row r="8964" spans="1:8" ht="19.5" customHeight="1" x14ac:dyDescent="0.55000000000000004">
      <c r="A8964" s="18">
        <v>24.806767700000002</v>
      </c>
      <c r="B8964" s="18">
        <v>34.821961700000003</v>
      </c>
      <c r="C8964" s="18">
        <v>684160.38</v>
      </c>
      <c r="D8964" s="18">
        <v>2744780.47</v>
      </c>
      <c r="E8964" s="18">
        <v>279.58999999999997</v>
      </c>
      <c r="F8964" s="18">
        <v>41880.5</v>
      </c>
      <c r="G8964" s="18">
        <v>103928</v>
      </c>
      <c r="H8964" s="18">
        <f t="shared" si="195"/>
        <v>41870.5</v>
      </c>
    </row>
    <row r="8965" spans="1:8" ht="19.5" customHeight="1" x14ac:dyDescent="0.55000000000000004">
      <c r="A8965" s="18">
        <v>24.8067885</v>
      </c>
      <c r="B8965" s="18">
        <v>34.821954599999998</v>
      </c>
      <c r="C8965" s="18">
        <v>684159.63</v>
      </c>
      <c r="D8965" s="18">
        <v>2744782.77</v>
      </c>
      <c r="E8965" s="18">
        <v>279.62</v>
      </c>
      <c r="F8965" s="18">
        <v>41881.589999999997</v>
      </c>
      <c r="G8965" s="18">
        <v>103930</v>
      </c>
      <c r="H8965" s="18">
        <f t="shared" si="195"/>
        <v>41871.589999999997</v>
      </c>
    </row>
    <row r="8966" spans="1:8" ht="19.5" customHeight="1" x14ac:dyDescent="0.55000000000000004">
      <c r="A8966" s="18">
        <v>24.806809300000001</v>
      </c>
      <c r="B8966" s="18">
        <v>34.821946199999999</v>
      </c>
      <c r="C8966" s="18">
        <v>684158.75</v>
      </c>
      <c r="D8966" s="18">
        <v>2744785.06</v>
      </c>
      <c r="E8966" s="18">
        <v>279.73</v>
      </c>
      <c r="F8966" s="18">
        <v>41882.39</v>
      </c>
      <c r="G8966" s="18">
        <v>103932</v>
      </c>
      <c r="H8966" s="18">
        <f t="shared" si="195"/>
        <v>41872.39</v>
      </c>
    </row>
    <row r="8967" spans="1:8" ht="19.5" customHeight="1" x14ac:dyDescent="0.55000000000000004">
      <c r="A8967" s="18">
        <v>24.806829499999999</v>
      </c>
      <c r="B8967" s="18">
        <v>34.821939800000003</v>
      </c>
      <c r="C8967" s="18">
        <v>684158.07</v>
      </c>
      <c r="D8967" s="18">
        <v>2744787.28</v>
      </c>
      <c r="E8967" s="18">
        <v>279.70999999999998</v>
      </c>
      <c r="F8967" s="18">
        <v>41881.93</v>
      </c>
      <c r="G8967" s="18">
        <v>103934</v>
      </c>
      <c r="H8967" s="18">
        <f t="shared" si="195"/>
        <v>41871.93</v>
      </c>
    </row>
    <row r="8968" spans="1:8" ht="19.5" customHeight="1" x14ac:dyDescent="0.55000000000000004">
      <c r="A8968" s="18">
        <v>24.806844900000002</v>
      </c>
      <c r="B8968" s="18">
        <v>34.821933899999998</v>
      </c>
      <c r="C8968" s="18">
        <v>684157.45</v>
      </c>
      <c r="D8968" s="18">
        <v>2744788.98</v>
      </c>
      <c r="E8968" s="18">
        <v>279.8</v>
      </c>
      <c r="F8968" s="18">
        <v>41881.42</v>
      </c>
      <c r="G8968" s="18">
        <v>103936</v>
      </c>
      <c r="H8968" s="18">
        <f t="shared" si="195"/>
        <v>41871.42</v>
      </c>
    </row>
    <row r="8969" spans="1:8" ht="19.5" customHeight="1" x14ac:dyDescent="0.55000000000000004">
      <c r="A8969" s="18">
        <v>24.806850399999998</v>
      </c>
      <c r="B8969" s="18">
        <v>34.821930000000002</v>
      </c>
      <c r="C8969" s="18">
        <v>684157.05</v>
      </c>
      <c r="D8969" s="18">
        <v>2744789.58</v>
      </c>
      <c r="E8969" s="18">
        <v>279.83</v>
      </c>
      <c r="F8969" s="18">
        <v>41882.550000000003</v>
      </c>
      <c r="G8969" s="18">
        <v>103938</v>
      </c>
      <c r="H8969" s="18">
        <f t="shared" si="195"/>
        <v>41872.550000000003</v>
      </c>
    </row>
    <row r="8970" spans="1:8" ht="19.5" customHeight="1" x14ac:dyDescent="0.55000000000000004">
      <c r="A8970" s="18">
        <v>24.806850499999999</v>
      </c>
      <c r="B8970" s="18">
        <v>34.821930899999998</v>
      </c>
      <c r="C8970" s="18">
        <v>684157.14</v>
      </c>
      <c r="D8970" s="18">
        <v>2744789.6</v>
      </c>
      <c r="E8970" s="18">
        <v>279.83999999999997</v>
      </c>
      <c r="F8970" s="18">
        <v>41882.04</v>
      </c>
      <c r="G8970" s="18">
        <v>103940</v>
      </c>
      <c r="H8970" s="18">
        <f t="shared" si="195"/>
        <v>41872.04</v>
      </c>
    </row>
    <row r="8971" spans="1:8" ht="19.5" customHeight="1" x14ac:dyDescent="0.55000000000000004">
      <c r="A8971" s="18">
        <v>24.806850699999998</v>
      </c>
      <c r="B8971" s="18">
        <v>34.821930600000002</v>
      </c>
      <c r="C8971" s="18">
        <v>684157.12</v>
      </c>
      <c r="D8971" s="18">
        <v>2744789.62</v>
      </c>
      <c r="E8971" s="18">
        <v>279.86</v>
      </c>
      <c r="F8971" s="18">
        <v>41881.9</v>
      </c>
      <c r="G8971" s="18">
        <v>103942</v>
      </c>
      <c r="H8971" s="18">
        <f t="shared" si="195"/>
        <v>41871.9</v>
      </c>
    </row>
    <row r="8972" spans="1:8" ht="19.5" customHeight="1" x14ac:dyDescent="0.55000000000000004">
      <c r="A8972" s="18">
        <v>24.806850499999999</v>
      </c>
      <c r="B8972" s="18">
        <v>34.821930999999999</v>
      </c>
      <c r="C8972" s="18">
        <v>684157.15</v>
      </c>
      <c r="D8972" s="18">
        <v>2744789.6</v>
      </c>
      <c r="E8972" s="18">
        <v>279.86</v>
      </c>
      <c r="F8972" s="18">
        <v>41881.24</v>
      </c>
      <c r="G8972" s="18">
        <v>103944</v>
      </c>
      <c r="H8972" s="18">
        <f t="shared" si="195"/>
        <v>41871.24</v>
      </c>
    </row>
    <row r="8973" spans="1:8" ht="19.5" customHeight="1" x14ac:dyDescent="0.55000000000000004">
      <c r="A8973" s="18">
        <v>24.806853400000001</v>
      </c>
      <c r="B8973" s="18">
        <v>34.821928499999999</v>
      </c>
      <c r="C8973" s="18">
        <v>684156.9</v>
      </c>
      <c r="D8973" s="18">
        <v>2744789.91</v>
      </c>
      <c r="E8973" s="18">
        <v>279.87</v>
      </c>
      <c r="F8973" s="18">
        <v>41875.360000000001</v>
      </c>
      <c r="G8973" s="18">
        <v>103946</v>
      </c>
      <c r="H8973" s="18">
        <f t="shared" si="195"/>
        <v>41865.360000000001</v>
      </c>
    </row>
    <row r="8974" spans="1:8" ht="19.5" customHeight="1" x14ac:dyDescent="0.55000000000000004">
      <c r="A8974" s="18">
        <v>24.8068548</v>
      </c>
      <c r="B8974" s="18">
        <v>34.821930399999999</v>
      </c>
      <c r="C8974" s="18">
        <v>684157.09</v>
      </c>
      <c r="D8974" s="18">
        <v>2744790.07</v>
      </c>
      <c r="E8974" s="18">
        <v>279.91000000000003</v>
      </c>
      <c r="F8974" s="18">
        <v>41863.01</v>
      </c>
      <c r="G8974" s="18">
        <v>103948</v>
      </c>
      <c r="H8974" s="18">
        <f t="shared" si="195"/>
        <v>41853.01</v>
      </c>
    </row>
    <row r="8975" spans="1:8" ht="19.5" customHeight="1" x14ac:dyDescent="0.55000000000000004">
      <c r="A8975" s="18">
        <v>24.806854600000001</v>
      </c>
      <c r="B8975" s="18">
        <v>34.821930100000003</v>
      </c>
      <c r="C8975" s="18">
        <v>684157.06</v>
      </c>
      <c r="D8975" s="18">
        <v>2744790.05</v>
      </c>
      <c r="E8975" s="18">
        <v>279.92</v>
      </c>
      <c r="F8975" s="18">
        <v>41859.03</v>
      </c>
      <c r="G8975" s="18">
        <v>103950</v>
      </c>
      <c r="H8975" s="18">
        <f t="shared" si="195"/>
        <v>41849.03</v>
      </c>
    </row>
    <row r="8976" spans="1:8" ht="19.5" customHeight="1" x14ac:dyDescent="0.55000000000000004">
      <c r="A8976" s="18">
        <v>24.806854099999999</v>
      </c>
      <c r="B8976" s="18">
        <v>34.821930199999997</v>
      </c>
      <c r="C8976" s="18">
        <v>684157.06</v>
      </c>
      <c r="D8976" s="18">
        <v>2744790</v>
      </c>
      <c r="E8976" s="18">
        <v>279.92</v>
      </c>
      <c r="F8976" s="18">
        <v>41834.199999999997</v>
      </c>
      <c r="G8976" s="18">
        <v>103952</v>
      </c>
      <c r="H8976" s="18">
        <f t="shared" si="195"/>
        <v>41824.199999999997</v>
      </c>
    </row>
    <row r="8977" spans="1:8" ht="19.5" customHeight="1" x14ac:dyDescent="0.55000000000000004">
      <c r="A8977" s="18">
        <v>24.806854000000001</v>
      </c>
      <c r="B8977" s="18">
        <v>34.821930199999997</v>
      </c>
      <c r="C8977" s="18">
        <v>684157.06</v>
      </c>
      <c r="D8977" s="18">
        <v>2744789.98</v>
      </c>
      <c r="E8977" s="18">
        <v>279.93</v>
      </c>
      <c r="F8977" s="18">
        <v>41827.56</v>
      </c>
      <c r="G8977" s="18">
        <v>103954</v>
      </c>
      <c r="H8977" s="18">
        <f t="shared" si="195"/>
        <v>41817.56</v>
      </c>
    </row>
    <row r="8978" spans="1:8" ht="19.5" customHeight="1" x14ac:dyDescent="0.55000000000000004">
      <c r="A8978" s="18">
        <v>24.8068542</v>
      </c>
      <c r="B8978" s="18">
        <v>34.821928399999997</v>
      </c>
      <c r="C8978" s="18">
        <v>684156.88</v>
      </c>
      <c r="D8978" s="18">
        <v>2744790.01</v>
      </c>
      <c r="E8978" s="18">
        <v>279.91000000000003</v>
      </c>
      <c r="F8978" s="18">
        <v>41830.04</v>
      </c>
      <c r="G8978" s="18">
        <v>103956</v>
      </c>
      <c r="H8978" s="18">
        <f t="shared" si="195"/>
        <v>41820.04</v>
      </c>
    </row>
    <row r="8979" spans="1:8" ht="19.5" customHeight="1" x14ac:dyDescent="0.55000000000000004">
      <c r="A8979" s="18">
        <v>24.806854399999999</v>
      </c>
      <c r="B8979" s="18">
        <v>34.821927000000002</v>
      </c>
      <c r="C8979" s="18">
        <v>684156.74</v>
      </c>
      <c r="D8979" s="18">
        <v>2744790.03</v>
      </c>
      <c r="E8979" s="18">
        <v>279.92</v>
      </c>
      <c r="F8979" s="18">
        <v>41845.89</v>
      </c>
      <c r="G8979" s="18">
        <v>103958</v>
      </c>
      <c r="H8979" s="18">
        <f t="shared" si="195"/>
        <v>41835.89</v>
      </c>
    </row>
    <row r="8980" spans="1:8" ht="19.5" customHeight="1" x14ac:dyDescent="0.55000000000000004">
      <c r="A8980" s="18">
        <v>24.806854399999999</v>
      </c>
      <c r="B8980" s="18">
        <v>34.821928499999999</v>
      </c>
      <c r="C8980" s="18">
        <v>684156.89</v>
      </c>
      <c r="D8980" s="18">
        <v>2744790.03</v>
      </c>
      <c r="E8980" s="18">
        <v>279.94</v>
      </c>
      <c r="F8980" s="18">
        <v>41839.160000000003</v>
      </c>
      <c r="G8980" s="18">
        <v>104000</v>
      </c>
      <c r="H8980" s="18">
        <f t="shared" si="195"/>
        <v>41829.160000000003</v>
      </c>
    </row>
    <row r="8981" spans="1:8" ht="19.5" customHeight="1" x14ac:dyDescent="0.55000000000000004">
      <c r="A8981" s="18">
        <v>24.806853700000001</v>
      </c>
      <c r="B8981" s="18">
        <v>34.821928700000001</v>
      </c>
      <c r="C8981" s="18">
        <v>684156.91</v>
      </c>
      <c r="D8981" s="18">
        <v>2744789.95</v>
      </c>
      <c r="E8981" s="18">
        <v>279.97000000000003</v>
      </c>
      <c r="F8981" s="18">
        <v>41826.74</v>
      </c>
      <c r="G8981" s="18">
        <v>104002</v>
      </c>
      <c r="H8981" s="18">
        <f t="shared" si="195"/>
        <v>41816.74</v>
      </c>
    </row>
    <row r="8982" spans="1:8" ht="19.5" customHeight="1" x14ac:dyDescent="0.55000000000000004">
      <c r="A8982" s="18">
        <v>24.8068536</v>
      </c>
      <c r="B8982" s="18">
        <v>34.821928800000002</v>
      </c>
      <c r="C8982" s="18">
        <v>684156.93</v>
      </c>
      <c r="D8982" s="18">
        <v>2744789.93</v>
      </c>
      <c r="E8982" s="18">
        <v>279.98</v>
      </c>
      <c r="F8982" s="18">
        <v>41831.25</v>
      </c>
      <c r="G8982" s="18">
        <v>104004</v>
      </c>
      <c r="H8982" s="18">
        <f t="shared" si="195"/>
        <v>41821.25</v>
      </c>
    </row>
    <row r="8983" spans="1:8" ht="19.5" customHeight="1" x14ac:dyDescent="0.55000000000000004">
      <c r="A8983" s="18">
        <v>24.8068536</v>
      </c>
      <c r="B8983" s="18">
        <v>34.821928800000002</v>
      </c>
      <c r="C8983" s="18">
        <v>684156.92</v>
      </c>
      <c r="D8983" s="18">
        <v>2744789.94</v>
      </c>
      <c r="E8983" s="18">
        <v>279.98</v>
      </c>
      <c r="F8983" s="18">
        <v>41832.019999999997</v>
      </c>
      <c r="G8983" s="18">
        <v>104006</v>
      </c>
      <c r="H8983" s="18">
        <f t="shared" si="195"/>
        <v>41822.019999999997</v>
      </c>
    </row>
    <row r="8984" spans="1:8" ht="19.5" customHeight="1" x14ac:dyDescent="0.55000000000000004">
      <c r="A8984" s="18">
        <v>24.806853799999999</v>
      </c>
      <c r="B8984" s="18">
        <v>34.821928700000001</v>
      </c>
      <c r="C8984" s="18">
        <v>684156.92</v>
      </c>
      <c r="D8984" s="18">
        <v>2744789.96</v>
      </c>
      <c r="E8984" s="18">
        <v>280</v>
      </c>
      <c r="F8984" s="18">
        <v>41827.39</v>
      </c>
      <c r="G8984" s="18">
        <v>104008</v>
      </c>
      <c r="H8984" s="18">
        <f t="shared" si="195"/>
        <v>41817.39</v>
      </c>
    </row>
    <row r="8985" spans="1:8" ht="19.5" customHeight="1" x14ac:dyDescent="0.55000000000000004">
      <c r="A8985" s="18">
        <v>24.806853799999999</v>
      </c>
      <c r="B8985" s="18">
        <v>34.821928700000001</v>
      </c>
      <c r="C8985" s="18">
        <v>684156.92</v>
      </c>
      <c r="D8985" s="18">
        <v>2744789.96</v>
      </c>
      <c r="E8985" s="18">
        <v>280.01</v>
      </c>
      <c r="F8985" s="18">
        <v>41829.440000000002</v>
      </c>
      <c r="G8985" s="18">
        <v>104010</v>
      </c>
      <c r="H8985" s="18">
        <f t="shared" si="195"/>
        <v>41819.440000000002</v>
      </c>
    </row>
    <row r="8986" spans="1:8" ht="19.5" customHeight="1" x14ac:dyDescent="0.55000000000000004">
      <c r="A8986" s="18">
        <v>24.806853700000001</v>
      </c>
      <c r="B8986" s="18">
        <v>34.821928700000001</v>
      </c>
      <c r="C8986" s="18">
        <v>684156.91</v>
      </c>
      <c r="D8986" s="18">
        <v>2744789.94</v>
      </c>
      <c r="E8986" s="18">
        <v>280.02</v>
      </c>
      <c r="F8986" s="18">
        <v>41836.089999999997</v>
      </c>
      <c r="G8986" s="18">
        <v>104012</v>
      </c>
      <c r="H8986" s="18">
        <f t="shared" si="195"/>
        <v>41826.089999999997</v>
      </c>
    </row>
    <row r="8987" spans="1:8" ht="19.5" customHeight="1" x14ac:dyDescent="0.55000000000000004">
      <c r="A8987" s="18">
        <v>24.806854399999999</v>
      </c>
      <c r="B8987" s="18">
        <v>34.821927299999999</v>
      </c>
      <c r="C8987" s="18">
        <v>684156.77</v>
      </c>
      <c r="D8987" s="18">
        <v>2744790.03</v>
      </c>
      <c r="E8987" s="18">
        <v>280.01</v>
      </c>
      <c r="F8987" s="18">
        <v>41836.400000000001</v>
      </c>
      <c r="G8987" s="18">
        <v>104014</v>
      </c>
      <c r="H8987" s="18">
        <f t="shared" ref="H8987:H9009" si="196">SUM(F8987-10)</f>
        <v>41826.400000000001</v>
      </c>
    </row>
    <row r="8988" spans="1:8" ht="19.5" customHeight="1" x14ac:dyDescent="0.55000000000000004">
      <c r="A8988" s="18">
        <v>24.806866500000002</v>
      </c>
      <c r="B8988" s="18">
        <v>34.821918599999997</v>
      </c>
      <c r="C8988" s="18">
        <v>684155.87</v>
      </c>
      <c r="D8988" s="18">
        <v>2744791.36</v>
      </c>
      <c r="E8988" s="18">
        <v>280</v>
      </c>
      <c r="F8988" s="18">
        <v>41875.46</v>
      </c>
      <c r="G8988" s="18">
        <v>104016</v>
      </c>
      <c r="H8988" s="18">
        <f t="shared" si="196"/>
        <v>41865.46</v>
      </c>
    </row>
    <row r="8989" spans="1:8" ht="19.5" customHeight="1" x14ac:dyDescent="0.55000000000000004">
      <c r="A8989" s="18">
        <v>24.806883299999999</v>
      </c>
      <c r="B8989" s="18">
        <v>34.821911</v>
      </c>
      <c r="C8989" s="18">
        <v>684155.08</v>
      </c>
      <c r="D8989" s="18">
        <v>2744793.2</v>
      </c>
      <c r="E8989" s="18">
        <v>280.12</v>
      </c>
      <c r="F8989" s="18">
        <v>41890.11</v>
      </c>
      <c r="G8989" s="18">
        <v>104018</v>
      </c>
      <c r="H8989" s="18">
        <f t="shared" si="196"/>
        <v>41880.11</v>
      </c>
    </row>
    <row r="8990" spans="1:8" ht="19.5" customHeight="1" x14ac:dyDescent="0.55000000000000004">
      <c r="A8990" s="18">
        <v>24.806903299999998</v>
      </c>
      <c r="B8990" s="18">
        <v>34.8219049</v>
      </c>
      <c r="C8990" s="18">
        <v>684154.43</v>
      </c>
      <c r="D8990" s="18">
        <v>2744795.42</v>
      </c>
      <c r="E8990" s="18">
        <v>280.13</v>
      </c>
      <c r="F8990" s="18">
        <v>41886.39</v>
      </c>
      <c r="G8990" s="18">
        <v>104020</v>
      </c>
      <c r="H8990" s="18">
        <f t="shared" si="196"/>
        <v>41876.39</v>
      </c>
    </row>
    <row r="8991" spans="1:8" ht="19.5" customHeight="1" x14ac:dyDescent="0.55000000000000004">
      <c r="A8991" s="18">
        <v>24.8069259</v>
      </c>
      <c r="B8991" s="18">
        <v>34.821896600000002</v>
      </c>
      <c r="C8991" s="18">
        <v>684153.56</v>
      </c>
      <c r="D8991" s="18">
        <v>2744797.9</v>
      </c>
      <c r="E8991" s="18">
        <v>280.24</v>
      </c>
      <c r="F8991" s="18">
        <v>41883.93</v>
      </c>
      <c r="G8991" s="18">
        <v>104022</v>
      </c>
      <c r="H8991" s="18">
        <f t="shared" si="196"/>
        <v>41873.93</v>
      </c>
    </row>
    <row r="8992" spans="1:8" ht="19.5" customHeight="1" x14ac:dyDescent="0.55000000000000004">
      <c r="A8992" s="18">
        <v>24.8069484</v>
      </c>
      <c r="B8992" s="18">
        <v>34.821887799999999</v>
      </c>
      <c r="C8992" s="18">
        <v>684152.64</v>
      </c>
      <c r="D8992" s="18">
        <v>2744800.39</v>
      </c>
      <c r="E8992" s="18">
        <v>280.23</v>
      </c>
      <c r="F8992" s="18">
        <v>41882.339999999997</v>
      </c>
      <c r="G8992" s="18">
        <v>104024</v>
      </c>
      <c r="H8992" s="18">
        <f t="shared" si="196"/>
        <v>41872.339999999997</v>
      </c>
    </row>
    <row r="8993" spans="1:8" ht="19.5" customHeight="1" x14ac:dyDescent="0.55000000000000004">
      <c r="A8993" s="18">
        <v>24.80697</v>
      </c>
      <c r="B8993" s="18">
        <v>34.821878099999999</v>
      </c>
      <c r="C8993" s="18">
        <v>684151.62</v>
      </c>
      <c r="D8993" s="18">
        <v>2744802.76</v>
      </c>
      <c r="E8993" s="18">
        <v>280.27999999999997</v>
      </c>
      <c r="F8993" s="18">
        <v>41881.120000000003</v>
      </c>
      <c r="G8993" s="18">
        <v>104026</v>
      </c>
      <c r="H8993" s="18">
        <f t="shared" si="196"/>
        <v>41871.120000000003</v>
      </c>
    </row>
    <row r="8994" spans="1:8" ht="19.5" customHeight="1" x14ac:dyDescent="0.55000000000000004">
      <c r="A8994" s="18">
        <v>24.806989999999999</v>
      </c>
      <c r="B8994" s="18">
        <v>34.821866399999998</v>
      </c>
      <c r="C8994" s="18">
        <v>684150.41</v>
      </c>
      <c r="D8994" s="18">
        <v>2744804.96</v>
      </c>
      <c r="E8994" s="18">
        <v>280.39999999999998</v>
      </c>
      <c r="F8994" s="18">
        <v>41880.949999999997</v>
      </c>
      <c r="G8994" s="18">
        <v>104028</v>
      </c>
      <c r="H8994" s="18">
        <f t="shared" si="196"/>
        <v>41870.949999999997</v>
      </c>
    </row>
    <row r="8995" spans="1:8" ht="19.5" customHeight="1" x14ac:dyDescent="0.55000000000000004">
      <c r="A8995" s="18">
        <v>24.807013000000001</v>
      </c>
      <c r="B8995" s="18">
        <v>34.821859799999999</v>
      </c>
      <c r="C8995" s="18">
        <v>684149.71</v>
      </c>
      <c r="D8995" s="18">
        <v>2744807.5</v>
      </c>
      <c r="E8995" s="18">
        <v>280.38</v>
      </c>
      <c r="F8995" s="18">
        <v>41877.85</v>
      </c>
      <c r="G8995" s="18">
        <v>104030</v>
      </c>
      <c r="H8995" s="18">
        <f t="shared" si="196"/>
        <v>41867.85</v>
      </c>
    </row>
    <row r="8996" spans="1:8" ht="19.5" customHeight="1" x14ac:dyDescent="0.55000000000000004">
      <c r="A8996" s="18">
        <v>24.807035500000001</v>
      </c>
      <c r="B8996" s="18">
        <v>34.821849999999998</v>
      </c>
      <c r="C8996" s="18">
        <v>684148.69</v>
      </c>
      <c r="D8996" s="18">
        <v>2744809.98</v>
      </c>
      <c r="E8996" s="18">
        <v>280.44</v>
      </c>
      <c r="F8996" s="18">
        <v>41878.89</v>
      </c>
      <c r="G8996" s="18">
        <v>104032</v>
      </c>
      <c r="H8996" s="18">
        <f t="shared" si="196"/>
        <v>41868.89</v>
      </c>
    </row>
    <row r="8997" spans="1:8" ht="19.5" customHeight="1" x14ac:dyDescent="0.55000000000000004">
      <c r="A8997" s="18">
        <v>24.807057499999999</v>
      </c>
      <c r="B8997" s="18">
        <v>34.821840799999997</v>
      </c>
      <c r="C8997" s="18">
        <v>684147.73</v>
      </c>
      <c r="D8997" s="18">
        <v>2744812.4</v>
      </c>
      <c r="E8997" s="18">
        <v>280.52999999999997</v>
      </c>
      <c r="F8997" s="18">
        <v>41880.54</v>
      </c>
      <c r="G8997" s="18">
        <v>104034</v>
      </c>
      <c r="H8997" s="18">
        <f t="shared" si="196"/>
        <v>41870.54</v>
      </c>
    </row>
    <row r="8998" spans="1:8" ht="19.5" customHeight="1" x14ac:dyDescent="0.55000000000000004">
      <c r="A8998" s="18">
        <v>24.807079099999999</v>
      </c>
      <c r="B8998" s="18">
        <v>34.821831099999997</v>
      </c>
      <c r="C8998" s="18">
        <v>684146.71</v>
      </c>
      <c r="D8998" s="18">
        <v>2744814.78</v>
      </c>
      <c r="E8998" s="18">
        <v>280.57</v>
      </c>
      <c r="F8998" s="18">
        <v>41880.9</v>
      </c>
      <c r="G8998" s="18">
        <v>104036</v>
      </c>
      <c r="H8998" s="18">
        <f t="shared" si="196"/>
        <v>41870.9</v>
      </c>
    </row>
    <row r="8999" spans="1:8" ht="19.5" customHeight="1" x14ac:dyDescent="0.55000000000000004">
      <c r="A8999" s="18">
        <v>24.807100800000001</v>
      </c>
      <c r="B8999" s="18">
        <v>34.8218253</v>
      </c>
      <c r="C8999" s="18">
        <v>684146.1</v>
      </c>
      <c r="D8999" s="18">
        <v>2744817.17</v>
      </c>
      <c r="E8999" s="18">
        <v>280.68</v>
      </c>
      <c r="F8999" s="18">
        <v>41881.22</v>
      </c>
      <c r="G8999" s="18">
        <v>104038</v>
      </c>
      <c r="H8999" s="18">
        <f t="shared" si="196"/>
        <v>41871.22</v>
      </c>
    </row>
    <row r="9000" spans="1:8" ht="19.5" customHeight="1" x14ac:dyDescent="0.55000000000000004">
      <c r="A9000" s="18">
        <v>24.807122100000001</v>
      </c>
      <c r="B9000" s="18">
        <v>34.821814799999999</v>
      </c>
      <c r="C9000" s="18">
        <v>684145</v>
      </c>
      <c r="D9000" s="18">
        <v>2744819.52</v>
      </c>
      <c r="E9000" s="18">
        <v>280.74</v>
      </c>
      <c r="F9000" s="18">
        <v>41880.410000000003</v>
      </c>
      <c r="G9000" s="18">
        <v>104040</v>
      </c>
      <c r="H9000" s="18">
        <f t="shared" si="196"/>
        <v>41870.410000000003</v>
      </c>
    </row>
    <row r="9001" spans="1:8" ht="19.5" customHeight="1" x14ac:dyDescent="0.55000000000000004">
      <c r="A9001" s="18">
        <v>24.807145800000001</v>
      </c>
      <c r="B9001" s="18">
        <v>34.821808900000001</v>
      </c>
      <c r="C9001" s="18">
        <v>684144.37</v>
      </c>
      <c r="D9001" s="18">
        <v>2744822.14</v>
      </c>
      <c r="E9001" s="18">
        <v>280.77</v>
      </c>
      <c r="F9001" s="18">
        <v>41881.47</v>
      </c>
      <c r="G9001" s="18">
        <v>104042</v>
      </c>
      <c r="H9001" s="18">
        <f t="shared" si="196"/>
        <v>41871.47</v>
      </c>
    </row>
    <row r="9002" spans="1:8" ht="19.5" customHeight="1" x14ac:dyDescent="0.55000000000000004">
      <c r="A9002" s="18">
        <v>24.807168900000001</v>
      </c>
      <c r="B9002" s="18">
        <v>34.821801800000003</v>
      </c>
      <c r="C9002" s="18">
        <v>684143.62</v>
      </c>
      <c r="D9002" s="18">
        <v>2744824.69</v>
      </c>
      <c r="E9002" s="18">
        <v>280.88</v>
      </c>
      <c r="F9002" s="18">
        <v>41883.54</v>
      </c>
      <c r="G9002" s="18">
        <v>104044</v>
      </c>
      <c r="H9002" s="18">
        <f t="shared" si="196"/>
        <v>41873.54</v>
      </c>
    </row>
    <row r="9003" spans="1:8" ht="19.5" customHeight="1" x14ac:dyDescent="0.55000000000000004">
      <c r="A9003" s="18">
        <v>24.8071913</v>
      </c>
      <c r="B9003" s="18">
        <v>34.821791099999999</v>
      </c>
      <c r="C9003" s="18">
        <v>684142.5</v>
      </c>
      <c r="D9003" s="18">
        <v>2744827.16</v>
      </c>
      <c r="E9003" s="18">
        <v>280.97000000000003</v>
      </c>
      <c r="F9003" s="18">
        <v>41883.410000000003</v>
      </c>
      <c r="G9003" s="18">
        <v>104046</v>
      </c>
      <c r="H9003" s="18">
        <f t="shared" si="196"/>
        <v>41873.410000000003</v>
      </c>
    </row>
    <row r="9004" spans="1:8" ht="19.5" customHeight="1" x14ac:dyDescent="0.55000000000000004">
      <c r="A9004" s="18">
        <v>24.807214399999999</v>
      </c>
      <c r="B9004" s="18">
        <v>34.821781999999999</v>
      </c>
      <c r="C9004" s="18">
        <v>684141.55</v>
      </c>
      <c r="D9004" s="18">
        <v>2744829.7</v>
      </c>
      <c r="E9004" s="18">
        <v>280.95999999999998</v>
      </c>
      <c r="F9004" s="18">
        <v>41880.269999999997</v>
      </c>
      <c r="G9004" s="18">
        <v>104048</v>
      </c>
      <c r="H9004" s="18">
        <f t="shared" si="196"/>
        <v>41870.269999999997</v>
      </c>
    </row>
    <row r="9005" spans="1:8" ht="19.5" customHeight="1" x14ac:dyDescent="0.55000000000000004">
      <c r="A9005" s="18">
        <v>24.807237000000001</v>
      </c>
      <c r="B9005" s="18">
        <v>34.821778500000001</v>
      </c>
      <c r="C9005" s="18">
        <v>684141.16</v>
      </c>
      <c r="D9005" s="18">
        <v>2744832.2</v>
      </c>
      <c r="E9005" s="18">
        <v>281</v>
      </c>
      <c r="F9005" s="18">
        <v>41880.019999999997</v>
      </c>
      <c r="G9005" s="18">
        <v>104050</v>
      </c>
      <c r="H9005" s="18">
        <f t="shared" si="196"/>
        <v>41870.019999999997</v>
      </c>
    </row>
    <row r="9006" spans="1:8" ht="19.5" customHeight="1" x14ac:dyDescent="0.55000000000000004">
      <c r="A9006" s="18">
        <v>24.807259699999999</v>
      </c>
      <c r="B9006" s="18">
        <v>34.8217772</v>
      </c>
      <c r="C9006" s="18">
        <v>684141</v>
      </c>
      <c r="D9006" s="18">
        <v>2744834.71</v>
      </c>
      <c r="E9006" s="18">
        <v>281.08</v>
      </c>
      <c r="F9006" s="18">
        <v>41878.97</v>
      </c>
      <c r="G9006" s="18">
        <v>104052</v>
      </c>
      <c r="H9006" s="18">
        <f t="shared" si="196"/>
        <v>41868.97</v>
      </c>
    </row>
    <row r="9007" spans="1:8" ht="19.5" customHeight="1" x14ac:dyDescent="0.55000000000000004">
      <c r="A9007" s="18">
        <v>24.807282600000001</v>
      </c>
      <c r="B9007" s="18">
        <v>34.821770200000003</v>
      </c>
      <c r="C9007" s="18">
        <v>684140.25</v>
      </c>
      <c r="D9007" s="18">
        <v>2744837.24</v>
      </c>
      <c r="E9007" s="18">
        <v>281.12</v>
      </c>
      <c r="F9007" s="18">
        <v>41879.75</v>
      </c>
      <c r="G9007" s="18">
        <v>104054</v>
      </c>
      <c r="H9007" s="18">
        <f t="shared" si="196"/>
        <v>41869.75</v>
      </c>
    </row>
    <row r="9008" spans="1:8" ht="19.5" customHeight="1" x14ac:dyDescent="0.55000000000000004">
      <c r="A9008" s="18">
        <v>24.807303999999998</v>
      </c>
      <c r="B9008" s="18">
        <v>34.821760300000001</v>
      </c>
      <c r="C9008" s="18">
        <v>684139.23</v>
      </c>
      <c r="D9008" s="18">
        <v>2744839.6</v>
      </c>
      <c r="E9008" s="18">
        <v>281.27</v>
      </c>
      <c r="F9008" s="18">
        <v>41880.92</v>
      </c>
      <c r="G9008" s="18">
        <v>104056</v>
      </c>
      <c r="H9008" s="18">
        <f t="shared" si="196"/>
        <v>41870.92</v>
      </c>
    </row>
    <row r="9009" spans="1:8" ht="19.5" customHeight="1" x14ac:dyDescent="0.55000000000000004">
      <c r="A9009" s="18">
        <v>24.807326700000001</v>
      </c>
      <c r="B9009" s="18">
        <v>34.821750000000002</v>
      </c>
      <c r="C9009" s="18">
        <v>684138.15</v>
      </c>
      <c r="D9009" s="18">
        <v>2744842.1</v>
      </c>
      <c r="E9009" s="18">
        <v>281.27</v>
      </c>
      <c r="F9009" s="18">
        <v>41882.04</v>
      </c>
      <c r="G9009" s="18">
        <v>104058</v>
      </c>
      <c r="H9009" s="18">
        <f t="shared" si="196"/>
        <v>41872.04</v>
      </c>
    </row>
    <row r="9010" spans="1:8" ht="19.5" customHeight="1" x14ac:dyDescent="0.55000000000000004">
      <c r="A9010" s="18">
        <v>24.8073476</v>
      </c>
      <c r="B9010" s="18">
        <v>34.821740200000001</v>
      </c>
      <c r="C9010" s="18">
        <v>684137.12</v>
      </c>
      <c r="D9010" s="18">
        <v>2744844.4</v>
      </c>
      <c r="E9010" s="18">
        <v>281.24</v>
      </c>
      <c r="F9010" s="18">
        <v>41882.01</v>
      </c>
      <c r="G9010" s="18">
        <v>104100</v>
      </c>
      <c r="H9010" s="18">
        <f>SUM(F9010-19)</f>
        <v>41863.01</v>
      </c>
    </row>
    <row r="9011" spans="1:8" ht="19.5" customHeight="1" x14ac:dyDescent="0.55000000000000004">
      <c r="A9011" s="18">
        <v>24.8073692</v>
      </c>
      <c r="B9011" s="18">
        <v>34.821732099999998</v>
      </c>
      <c r="C9011" s="18">
        <v>684136.28</v>
      </c>
      <c r="D9011" s="18">
        <v>2744846.78</v>
      </c>
      <c r="E9011" s="18">
        <v>281.23</v>
      </c>
      <c r="F9011" s="18">
        <v>41881.29</v>
      </c>
      <c r="G9011" s="18">
        <v>104102</v>
      </c>
      <c r="H9011" s="18">
        <f t="shared" ref="H9011:H9074" si="197">SUM(F9011-19)</f>
        <v>41862.29</v>
      </c>
    </row>
    <row r="9012" spans="1:8" ht="19.5" customHeight="1" x14ac:dyDescent="0.55000000000000004">
      <c r="A9012" s="18">
        <v>24.807390399999999</v>
      </c>
      <c r="B9012" s="18">
        <v>34.821722800000003</v>
      </c>
      <c r="C9012" s="18">
        <v>684135.3</v>
      </c>
      <c r="D9012" s="18">
        <v>2744849.12</v>
      </c>
      <c r="E9012" s="18">
        <v>281.3</v>
      </c>
      <c r="F9012" s="18">
        <v>41881.07</v>
      </c>
      <c r="G9012" s="18">
        <v>104104</v>
      </c>
      <c r="H9012" s="18">
        <f t="shared" si="197"/>
        <v>41862.07</v>
      </c>
    </row>
    <row r="9013" spans="1:8" ht="19.5" customHeight="1" x14ac:dyDescent="0.55000000000000004">
      <c r="A9013" s="18">
        <v>24.807412599999999</v>
      </c>
      <c r="B9013" s="18">
        <v>34.821716700000003</v>
      </c>
      <c r="C9013" s="18">
        <v>684134.65</v>
      </c>
      <c r="D9013" s="18">
        <v>2744851.57</v>
      </c>
      <c r="E9013" s="18">
        <v>281.12</v>
      </c>
      <c r="F9013" s="18">
        <v>41884.76</v>
      </c>
      <c r="G9013" s="18">
        <v>104106</v>
      </c>
      <c r="H9013" s="18">
        <f t="shared" si="197"/>
        <v>41865.760000000002</v>
      </c>
    </row>
    <row r="9014" spans="1:8" ht="19.5" customHeight="1" x14ac:dyDescent="0.55000000000000004">
      <c r="A9014" s="18">
        <v>24.807433100000001</v>
      </c>
      <c r="B9014" s="18">
        <v>34.8217067</v>
      </c>
      <c r="C9014" s="18">
        <v>684133.61</v>
      </c>
      <c r="D9014" s="18">
        <v>2744853.83</v>
      </c>
      <c r="E9014" s="18">
        <v>281.16000000000003</v>
      </c>
      <c r="F9014" s="18">
        <v>41883.65</v>
      </c>
      <c r="G9014" s="18">
        <v>104108</v>
      </c>
      <c r="H9014" s="18">
        <f t="shared" si="197"/>
        <v>41864.65</v>
      </c>
    </row>
    <row r="9015" spans="1:8" ht="19.5" customHeight="1" x14ac:dyDescent="0.55000000000000004">
      <c r="A9015" s="18">
        <v>24.807455000000001</v>
      </c>
      <c r="B9015" s="18">
        <v>34.8217</v>
      </c>
      <c r="C9015" s="18">
        <v>684132.9</v>
      </c>
      <c r="D9015" s="18">
        <v>2744856.24</v>
      </c>
      <c r="E9015" s="18">
        <v>281.27</v>
      </c>
      <c r="F9015" s="18">
        <v>41882.410000000003</v>
      </c>
      <c r="G9015" s="18">
        <v>104110</v>
      </c>
      <c r="H9015" s="18">
        <f t="shared" si="197"/>
        <v>41863.410000000003</v>
      </c>
    </row>
    <row r="9016" spans="1:8" ht="19.5" customHeight="1" x14ac:dyDescent="0.55000000000000004">
      <c r="A9016" s="18">
        <v>24.807476699999999</v>
      </c>
      <c r="B9016" s="18">
        <v>34.821690799999999</v>
      </c>
      <c r="C9016" s="18">
        <v>684131.94</v>
      </c>
      <c r="D9016" s="18">
        <v>2744858.63</v>
      </c>
      <c r="E9016" s="18">
        <v>281.27</v>
      </c>
      <c r="F9016" s="18">
        <v>41882.449999999997</v>
      </c>
      <c r="G9016" s="18">
        <v>104112</v>
      </c>
      <c r="H9016" s="18">
        <f t="shared" si="197"/>
        <v>41863.449999999997</v>
      </c>
    </row>
    <row r="9017" spans="1:8" ht="19.5" customHeight="1" x14ac:dyDescent="0.55000000000000004">
      <c r="A9017" s="18">
        <v>24.807499100000001</v>
      </c>
      <c r="B9017" s="18">
        <v>34.8216848</v>
      </c>
      <c r="C9017" s="18">
        <v>684131.3</v>
      </c>
      <c r="D9017" s="18">
        <v>2744861.11</v>
      </c>
      <c r="E9017" s="18">
        <v>281.27</v>
      </c>
      <c r="F9017" s="18">
        <v>41881.78</v>
      </c>
      <c r="G9017" s="18">
        <v>104114</v>
      </c>
      <c r="H9017" s="18">
        <f t="shared" si="197"/>
        <v>41862.78</v>
      </c>
    </row>
    <row r="9018" spans="1:8" ht="19.5" customHeight="1" x14ac:dyDescent="0.55000000000000004">
      <c r="A9018" s="18">
        <v>24.807521999999999</v>
      </c>
      <c r="B9018" s="18">
        <v>34.821677100000002</v>
      </c>
      <c r="C9018" s="18">
        <v>684130.49</v>
      </c>
      <c r="D9018" s="18">
        <v>2744863.63</v>
      </c>
      <c r="E9018" s="18">
        <v>281.36</v>
      </c>
      <c r="F9018" s="18">
        <v>41882.18</v>
      </c>
      <c r="G9018" s="18">
        <v>104116</v>
      </c>
      <c r="H9018" s="18">
        <f t="shared" si="197"/>
        <v>41863.18</v>
      </c>
    </row>
    <row r="9019" spans="1:8" ht="19.5" customHeight="1" x14ac:dyDescent="0.55000000000000004">
      <c r="A9019" s="18">
        <v>24.807544</v>
      </c>
      <c r="B9019" s="18">
        <v>34.821668899999999</v>
      </c>
      <c r="C9019" s="18">
        <v>684129.63</v>
      </c>
      <c r="D9019" s="18">
        <v>2744866.06</v>
      </c>
      <c r="E9019" s="18">
        <v>281.36</v>
      </c>
      <c r="F9019" s="18">
        <v>41882.959999999999</v>
      </c>
      <c r="G9019" s="18">
        <v>104118</v>
      </c>
      <c r="H9019" s="18">
        <f t="shared" si="197"/>
        <v>41863.96</v>
      </c>
    </row>
    <row r="9020" spans="1:8" ht="19.5" customHeight="1" x14ac:dyDescent="0.55000000000000004">
      <c r="A9020" s="18">
        <v>24.807567200000001</v>
      </c>
      <c r="B9020" s="18">
        <v>34.821663700000002</v>
      </c>
      <c r="C9020" s="18">
        <v>684129.07</v>
      </c>
      <c r="D9020" s="18">
        <v>2744868.62</v>
      </c>
      <c r="E9020" s="18">
        <v>281.38</v>
      </c>
      <c r="F9020" s="18">
        <v>41883.94</v>
      </c>
      <c r="G9020" s="18">
        <v>104120</v>
      </c>
      <c r="H9020" s="18">
        <f t="shared" si="197"/>
        <v>41864.94</v>
      </c>
    </row>
    <row r="9021" spans="1:8" ht="19.5" customHeight="1" x14ac:dyDescent="0.55000000000000004">
      <c r="A9021" s="18">
        <v>24.8075869</v>
      </c>
      <c r="B9021" s="18">
        <v>34.821650099999999</v>
      </c>
      <c r="C9021" s="18">
        <v>684127.66</v>
      </c>
      <c r="D9021" s="18">
        <v>2744870.78</v>
      </c>
      <c r="E9021" s="18">
        <v>281.47000000000003</v>
      </c>
      <c r="F9021" s="18">
        <v>41885.96</v>
      </c>
      <c r="G9021" s="18">
        <v>104122</v>
      </c>
      <c r="H9021" s="18">
        <f t="shared" si="197"/>
        <v>41866.959999999999</v>
      </c>
    </row>
    <row r="9022" spans="1:8" ht="19.5" customHeight="1" x14ac:dyDescent="0.55000000000000004">
      <c r="A9022" s="18">
        <v>24.807608599999998</v>
      </c>
      <c r="B9022" s="18">
        <v>34.821643399999999</v>
      </c>
      <c r="C9022" s="18">
        <v>684126.96</v>
      </c>
      <c r="D9022" s="18">
        <v>2744873.18</v>
      </c>
      <c r="E9022" s="18">
        <v>281.45999999999998</v>
      </c>
      <c r="F9022" s="18">
        <v>41882.61</v>
      </c>
      <c r="G9022" s="18">
        <v>104124</v>
      </c>
      <c r="H9022" s="18">
        <f t="shared" si="197"/>
        <v>41863.61</v>
      </c>
    </row>
    <row r="9023" spans="1:8" ht="19.5" customHeight="1" x14ac:dyDescent="0.55000000000000004">
      <c r="A9023" s="18">
        <v>24.807630100000001</v>
      </c>
      <c r="B9023" s="18">
        <v>34.8216331</v>
      </c>
      <c r="C9023" s="18">
        <v>684125.88</v>
      </c>
      <c r="D9023" s="18">
        <v>2744875.54</v>
      </c>
      <c r="E9023" s="18">
        <v>281.51</v>
      </c>
      <c r="F9023" s="18">
        <v>41883.21</v>
      </c>
      <c r="G9023" s="18">
        <v>104126</v>
      </c>
      <c r="H9023" s="18">
        <f t="shared" si="197"/>
        <v>41864.21</v>
      </c>
    </row>
    <row r="9024" spans="1:8" ht="19.5" customHeight="1" x14ac:dyDescent="0.55000000000000004">
      <c r="A9024" s="18">
        <v>24.807652300000001</v>
      </c>
      <c r="B9024" s="18">
        <v>34.821624800000002</v>
      </c>
      <c r="C9024" s="18">
        <v>684125.01</v>
      </c>
      <c r="D9024" s="18">
        <v>2744877.99</v>
      </c>
      <c r="E9024" s="18">
        <v>281.64</v>
      </c>
      <c r="F9024" s="18">
        <v>41882.57</v>
      </c>
      <c r="G9024" s="18">
        <v>104128</v>
      </c>
      <c r="H9024" s="18">
        <f t="shared" si="197"/>
        <v>41863.57</v>
      </c>
    </row>
    <row r="9025" spans="1:8" ht="19.5" customHeight="1" x14ac:dyDescent="0.55000000000000004">
      <c r="A9025" s="18">
        <v>24.807674599999999</v>
      </c>
      <c r="B9025" s="18">
        <v>34.821617199999999</v>
      </c>
      <c r="C9025" s="18">
        <v>684124.21</v>
      </c>
      <c r="D9025" s="18">
        <v>2744880.45</v>
      </c>
      <c r="E9025" s="18">
        <v>281.66000000000003</v>
      </c>
      <c r="F9025" s="18">
        <v>41883.56</v>
      </c>
      <c r="G9025" s="18">
        <v>104130</v>
      </c>
      <c r="H9025" s="18">
        <f t="shared" si="197"/>
        <v>41864.559999999998</v>
      </c>
    </row>
    <row r="9026" spans="1:8" ht="19.5" customHeight="1" x14ac:dyDescent="0.55000000000000004">
      <c r="A9026" s="18">
        <v>24.807695800000001</v>
      </c>
      <c r="B9026" s="18">
        <v>34.8216076</v>
      </c>
      <c r="C9026" s="18">
        <v>684123.2</v>
      </c>
      <c r="D9026" s="18">
        <v>2744882.78</v>
      </c>
      <c r="E9026" s="18">
        <v>281.75</v>
      </c>
      <c r="F9026" s="18">
        <v>41883.81</v>
      </c>
      <c r="G9026" s="18">
        <v>104132</v>
      </c>
      <c r="H9026" s="18">
        <f t="shared" si="197"/>
        <v>41864.81</v>
      </c>
    </row>
    <row r="9027" spans="1:8" ht="19.5" customHeight="1" x14ac:dyDescent="0.55000000000000004">
      <c r="A9027" s="18">
        <v>24.807718999999999</v>
      </c>
      <c r="B9027" s="18">
        <v>34.821600099999998</v>
      </c>
      <c r="C9027" s="18">
        <v>684122.41</v>
      </c>
      <c r="D9027" s="18">
        <v>2744885.35</v>
      </c>
      <c r="E9027" s="18">
        <v>281.86</v>
      </c>
      <c r="F9027" s="18">
        <v>41881.99</v>
      </c>
      <c r="G9027" s="18">
        <v>104134</v>
      </c>
      <c r="H9027" s="18">
        <f t="shared" si="197"/>
        <v>41862.99</v>
      </c>
    </row>
    <row r="9028" spans="1:8" ht="19.5" customHeight="1" x14ac:dyDescent="0.55000000000000004">
      <c r="A9028" s="18">
        <v>24.807742900000001</v>
      </c>
      <c r="B9028" s="18">
        <v>34.821595500000001</v>
      </c>
      <c r="C9028" s="18">
        <v>684121.91</v>
      </c>
      <c r="D9028" s="18">
        <v>2744887.99</v>
      </c>
      <c r="E9028" s="18">
        <v>281.89</v>
      </c>
      <c r="F9028" s="18">
        <v>41882.39</v>
      </c>
      <c r="G9028" s="18">
        <v>104136</v>
      </c>
      <c r="H9028" s="18">
        <f t="shared" si="197"/>
        <v>41863.39</v>
      </c>
    </row>
    <row r="9029" spans="1:8" ht="19.5" customHeight="1" x14ac:dyDescent="0.55000000000000004">
      <c r="A9029" s="18">
        <v>24.8077635</v>
      </c>
      <c r="B9029" s="18">
        <v>34.8215845</v>
      </c>
      <c r="C9029" s="18">
        <v>684120.77</v>
      </c>
      <c r="D9029" s="18">
        <v>2744890.26</v>
      </c>
      <c r="E9029" s="18">
        <v>281.93</v>
      </c>
      <c r="F9029" s="18">
        <v>41882.89</v>
      </c>
      <c r="G9029" s="18">
        <v>104138</v>
      </c>
      <c r="H9029" s="18">
        <f t="shared" si="197"/>
        <v>41863.89</v>
      </c>
    </row>
    <row r="9030" spans="1:8" ht="19.5" customHeight="1" x14ac:dyDescent="0.55000000000000004">
      <c r="A9030" s="18">
        <v>24.8077848</v>
      </c>
      <c r="B9030" s="18">
        <v>34.821572600000003</v>
      </c>
      <c r="C9030" s="18">
        <v>684119.53</v>
      </c>
      <c r="D9030" s="18">
        <v>2744892.6</v>
      </c>
      <c r="E9030" s="18">
        <v>282.08999999999997</v>
      </c>
      <c r="F9030" s="18">
        <v>41882.32</v>
      </c>
      <c r="G9030" s="18">
        <v>104140</v>
      </c>
      <c r="H9030" s="18">
        <f t="shared" si="197"/>
        <v>41863.32</v>
      </c>
    </row>
    <row r="9031" spans="1:8" ht="19.5" customHeight="1" x14ac:dyDescent="0.55000000000000004">
      <c r="A9031" s="18">
        <v>24.8078079</v>
      </c>
      <c r="B9031" s="18">
        <v>34.821565800000002</v>
      </c>
      <c r="C9031" s="18">
        <v>684118.81</v>
      </c>
      <c r="D9031" s="18">
        <v>2744895.15</v>
      </c>
      <c r="E9031" s="18">
        <v>282.10000000000002</v>
      </c>
      <c r="F9031" s="18">
        <v>41884.43</v>
      </c>
      <c r="G9031" s="18">
        <v>104142</v>
      </c>
      <c r="H9031" s="18">
        <f t="shared" si="197"/>
        <v>41865.43</v>
      </c>
    </row>
    <row r="9032" spans="1:8" ht="19.5" customHeight="1" x14ac:dyDescent="0.55000000000000004">
      <c r="A9032" s="18">
        <v>24.807828600000001</v>
      </c>
      <c r="B9032" s="18">
        <v>34.821555199999999</v>
      </c>
      <c r="C9032" s="18">
        <v>684117.71</v>
      </c>
      <c r="D9032" s="18">
        <v>2744897.43</v>
      </c>
      <c r="E9032" s="18">
        <v>282.14</v>
      </c>
      <c r="F9032" s="18">
        <v>41887.07</v>
      </c>
      <c r="G9032" s="18">
        <v>104144</v>
      </c>
      <c r="H9032" s="18">
        <f t="shared" si="197"/>
        <v>41868.07</v>
      </c>
    </row>
    <row r="9033" spans="1:8" ht="19.5" customHeight="1" x14ac:dyDescent="0.55000000000000004">
      <c r="A9033" s="18">
        <v>24.807850999999999</v>
      </c>
      <c r="B9033" s="18">
        <v>34.821547700000004</v>
      </c>
      <c r="C9033" s="18">
        <v>684116.92</v>
      </c>
      <c r="D9033" s="18">
        <v>2744899.9</v>
      </c>
      <c r="E9033" s="18">
        <v>282.26</v>
      </c>
      <c r="F9033" s="18">
        <v>41885.19</v>
      </c>
      <c r="G9033" s="18">
        <v>104146</v>
      </c>
      <c r="H9033" s="18">
        <f t="shared" si="197"/>
        <v>41866.19</v>
      </c>
    </row>
    <row r="9034" spans="1:8" ht="19.5" customHeight="1" x14ac:dyDescent="0.55000000000000004">
      <c r="A9034" s="18">
        <v>24.807874300000002</v>
      </c>
      <c r="B9034" s="18">
        <v>34.821540800000001</v>
      </c>
      <c r="C9034" s="18">
        <v>684116.19</v>
      </c>
      <c r="D9034" s="18">
        <v>2744902.47</v>
      </c>
      <c r="E9034" s="18">
        <v>282.23</v>
      </c>
      <c r="F9034" s="18">
        <v>41881.449999999997</v>
      </c>
      <c r="G9034" s="18">
        <v>104148</v>
      </c>
      <c r="H9034" s="18">
        <f t="shared" si="197"/>
        <v>41862.449999999997</v>
      </c>
    </row>
    <row r="9035" spans="1:8" ht="19.5" customHeight="1" x14ac:dyDescent="0.55000000000000004">
      <c r="A9035" s="18">
        <v>24.807898399999999</v>
      </c>
      <c r="B9035" s="18">
        <v>34.8215371</v>
      </c>
      <c r="C9035" s="18">
        <v>684115.78</v>
      </c>
      <c r="D9035" s="18">
        <v>2744905.14</v>
      </c>
      <c r="E9035" s="18">
        <v>282.22000000000003</v>
      </c>
      <c r="F9035" s="18">
        <v>41882.019999999997</v>
      </c>
      <c r="G9035" s="18">
        <v>104150</v>
      </c>
      <c r="H9035" s="18">
        <f t="shared" si="197"/>
        <v>41863.019999999997</v>
      </c>
    </row>
    <row r="9036" spans="1:8" ht="19.5" customHeight="1" x14ac:dyDescent="0.55000000000000004">
      <c r="A9036" s="18">
        <v>24.807919900000002</v>
      </c>
      <c r="B9036" s="18">
        <v>34.821530099999997</v>
      </c>
      <c r="C9036" s="18">
        <v>684115.04</v>
      </c>
      <c r="D9036" s="18">
        <v>2744907.51</v>
      </c>
      <c r="E9036" s="18">
        <v>282.38</v>
      </c>
      <c r="F9036" s="18">
        <v>41880.79</v>
      </c>
      <c r="G9036" s="18">
        <v>104152</v>
      </c>
      <c r="H9036" s="18">
        <f t="shared" si="197"/>
        <v>41861.79</v>
      </c>
    </row>
    <row r="9037" spans="1:8" ht="19.5" customHeight="1" x14ac:dyDescent="0.55000000000000004">
      <c r="A9037" s="18">
        <v>24.807939699999999</v>
      </c>
      <c r="B9037" s="18">
        <v>34.821519000000002</v>
      </c>
      <c r="C9037" s="18">
        <v>684113.89</v>
      </c>
      <c r="D9037" s="18">
        <v>2744909.68</v>
      </c>
      <c r="E9037" s="18">
        <v>282.35000000000002</v>
      </c>
      <c r="F9037" s="18">
        <v>41881.760000000002</v>
      </c>
      <c r="G9037" s="18">
        <v>104154</v>
      </c>
      <c r="H9037" s="18">
        <f t="shared" si="197"/>
        <v>41862.76</v>
      </c>
    </row>
    <row r="9038" spans="1:8" ht="19.5" customHeight="1" x14ac:dyDescent="0.55000000000000004">
      <c r="A9038" s="18">
        <v>24.807960600000001</v>
      </c>
      <c r="B9038" s="18">
        <v>34.821506800000002</v>
      </c>
      <c r="C9038" s="18">
        <v>684112.62</v>
      </c>
      <c r="D9038" s="18">
        <v>2744911.99</v>
      </c>
      <c r="E9038" s="18">
        <v>282.38</v>
      </c>
      <c r="F9038" s="18">
        <v>41885.75</v>
      </c>
      <c r="G9038" s="18">
        <v>104156</v>
      </c>
      <c r="H9038" s="18">
        <f t="shared" si="197"/>
        <v>41866.75</v>
      </c>
    </row>
    <row r="9039" spans="1:8" ht="19.5" customHeight="1" x14ac:dyDescent="0.55000000000000004">
      <c r="A9039" s="18">
        <v>24.807983799999999</v>
      </c>
      <c r="B9039" s="18">
        <v>34.821500299999997</v>
      </c>
      <c r="C9039" s="18">
        <v>684111.94</v>
      </c>
      <c r="D9039" s="18">
        <v>2744914.55</v>
      </c>
      <c r="E9039" s="18">
        <v>282.45</v>
      </c>
      <c r="F9039" s="18">
        <v>41885.089999999997</v>
      </c>
      <c r="G9039" s="18">
        <v>104158</v>
      </c>
      <c r="H9039" s="18">
        <f t="shared" si="197"/>
        <v>41866.089999999997</v>
      </c>
    </row>
    <row r="9040" spans="1:8" ht="19.5" customHeight="1" x14ac:dyDescent="0.55000000000000004">
      <c r="A9040" s="18">
        <v>24.808006299999999</v>
      </c>
      <c r="B9040" s="18">
        <v>34.821493699999998</v>
      </c>
      <c r="C9040" s="18">
        <v>684111.23</v>
      </c>
      <c r="D9040" s="18">
        <v>2744917.02</v>
      </c>
      <c r="E9040" s="18">
        <v>282.48</v>
      </c>
      <c r="F9040" s="18">
        <v>41882.959999999999</v>
      </c>
      <c r="G9040" s="18">
        <v>104200</v>
      </c>
      <c r="H9040" s="18">
        <f t="shared" si="197"/>
        <v>41863.96</v>
      </c>
    </row>
    <row r="9041" spans="1:8" ht="19.5" customHeight="1" x14ac:dyDescent="0.55000000000000004">
      <c r="A9041" s="18">
        <v>24.8080283</v>
      </c>
      <c r="B9041" s="18">
        <v>34.821487400000002</v>
      </c>
      <c r="C9041" s="18">
        <v>684110.57</v>
      </c>
      <c r="D9041" s="18">
        <v>2744919.46</v>
      </c>
      <c r="E9041" s="18">
        <v>282.5</v>
      </c>
      <c r="F9041" s="18">
        <v>41882.06</v>
      </c>
      <c r="G9041" s="18">
        <v>104202</v>
      </c>
      <c r="H9041" s="18">
        <f t="shared" si="197"/>
        <v>41863.06</v>
      </c>
    </row>
    <row r="9042" spans="1:8" ht="19.5" customHeight="1" x14ac:dyDescent="0.55000000000000004">
      <c r="A9042" s="18">
        <v>24.808050699999999</v>
      </c>
      <c r="B9042" s="18">
        <v>34.821480800000003</v>
      </c>
      <c r="C9042" s="18">
        <v>684109.86</v>
      </c>
      <c r="D9042" s="18">
        <v>2744921.92</v>
      </c>
      <c r="E9042" s="18">
        <v>282.58999999999997</v>
      </c>
      <c r="F9042" s="18">
        <v>41884.129999999997</v>
      </c>
      <c r="G9042" s="18">
        <v>104204</v>
      </c>
      <c r="H9042" s="18">
        <f t="shared" si="197"/>
        <v>41865.129999999997</v>
      </c>
    </row>
    <row r="9043" spans="1:8" ht="19.5" customHeight="1" x14ac:dyDescent="0.55000000000000004">
      <c r="A9043" s="18">
        <v>24.808074999999999</v>
      </c>
      <c r="B9043" s="18">
        <v>34.821480999999999</v>
      </c>
      <c r="C9043" s="18">
        <v>684109.85</v>
      </c>
      <c r="D9043" s="18">
        <v>2744924.62</v>
      </c>
      <c r="E9043" s="18">
        <v>282.58</v>
      </c>
      <c r="F9043" s="18">
        <v>41883.589999999997</v>
      </c>
      <c r="G9043" s="18">
        <v>104206</v>
      </c>
      <c r="H9043" s="18">
        <f t="shared" si="197"/>
        <v>41864.589999999997</v>
      </c>
    </row>
    <row r="9044" spans="1:8" ht="19.5" customHeight="1" x14ac:dyDescent="0.55000000000000004">
      <c r="A9044" s="18">
        <v>24.808096599999999</v>
      </c>
      <c r="B9044" s="18">
        <v>34.821477299999998</v>
      </c>
      <c r="C9044" s="18">
        <v>684109.44</v>
      </c>
      <c r="D9044" s="18">
        <v>2744927.01</v>
      </c>
      <c r="E9044" s="18">
        <v>282.58</v>
      </c>
      <c r="F9044" s="18">
        <v>41882.79</v>
      </c>
      <c r="G9044" s="18">
        <v>104208</v>
      </c>
      <c r="H9044" s="18">
        <f t="shared" si="197"/>
        <v>41863.79</v>
      </c>
    </row>
    <row r="9045" spans="1:8" ht="19.5" customHeight="1" x14ac:dyDescent="0.55000000000000004">
      <c r="A9045" s="18">
        <v>24.808116299999998</v>
      </c>
      <c r="B9045" s="18">
        <v>34.821464300000002</v>
      </c>
      <c r="C9045" s="18">
        <v>684108.1</v>
      </c>
      <c r="D9045" s="18">
        <v>2744929.17</v>
      </c>
      <c r="E9045" s="18">
        <v>282.63</v>
      </c>
      <c r="F9045" s="18">
        <v>41883.99</v>
      </c>
      <c r="G9045" s="18">
        <v>104210</v>
      </c>
      <c r="H9045" s="18">
        <f t="shared" si="197"/>
        <v>41864.99</v>
      </c>
    </row>
    <row r="9046" spans="1:8" ht="19.5" customHeight="1" x14ac:dyDescent="0.55000000000000004">
      <c r="A9046" s="18">
        <v>24.808134500000001</v>
      </c>
      <c r="B9046" s="18">
        <v>34.821450800000001</v>
      </c>
      <c r="C9046" s="18">
        <v>684106.7</v>
      </c>
      <c r="D9046" s="18">
        <v>2744931.17</v>
      </c>
      <c r="E9046" s="18">
        <v>282.55</v>
      </c>
      <c r="F9046" s="18">
        <v>41885.08</v>
      </c>
      <c r="G9046" s="18">
        <v>104212</v>
      </c>
      <c r="H9046" s="18">
        <f t="shared" si="197"/>
        <v>41866.080000000002</v>
      </c>
    </row>
    <row r="9047" spans="1:8" ht="19.5" customHeight="1" x14ac:dyDescent="0.55000000000000004">
      <c r="A9047" s="18">
        <v>24.8081554</v>
      </c>
      <c r="B9047" s="18">
        <v>34.821439499999997</v>
      </c>
      <c r="C9047" s="18">
        <v>684105.53</v>
      </c>
      <c r="D9047" s="18">
        <v>2744933.46</v>
      </c>
      <c r="E9047" s="18">
        <v>282.60000000000002</v>
      </c>
      <c r="F9047" s="18">
        <v>41885.480000000003</v>
      </c>
      <c r="G9047" s="18">
        <v>104214</v>
      </c>
      <c r="H9047" s="18">
        <f t="shared" si="197"/>
        <v>41866.480000000003</v>
      </c>
    </row>
    <row r="9048" spans="1:8" ht="19.5" customHeight="1" x14ac:dyDescent="0.55000000000000004">
      <c r="A9048" s="18">
        <v>24.808175200000001</v>
      </c>
      <c r="B9048" s="18">
        <v>34.821426299999999</v>
      </c>
      <c r="C9048" s="18">
        <v>684104.16</v>
      </c>
      <c r="D9048" s="18">
        <v>2744935.64</v>
      </c>
      <c r="E9048" s="18">
        <v>282.64999999999998</v>
      </c>
      <c r="F9048" s="18">
        <v>41883.78</v>
      </c>
      <c r="G9048" s="18">
        <v>104216</v>
      </c>
      <c r="H9048" s="18">
        <f t="shared" si="197"/>
        <v>41864.78</v>
      </c>
    </row>
    <row r="9049" spans="1:8" ht="19.5" customHeight="1" x14ac:dyDescent="0.55000000000000004">
      <c r="A9049" s="18">
        <v>24.8081964</v>
      </c>
      <c r="B9049" s="18">
        <v>34.821415100000003</v>
      </c>
      <c r="C9049" s="18">
        <v>684103</v>
      </c>
      <c r="D9049" s="18">
        <v>2744937.98</v>
      </c>
      <c r="E9049" s="18">
        <v>282.61</v>
      </c>
      <c r="F9049" s="18">
        <v>41882.5</v>
      </c>
      <c r="G9049" s="18">
        <v>104218</v>
      </c>
      <c r="H9049" s="18">
        <f t="shared" si="197"/>
        <v>41863.5</v>
      </c>
    </row>
    <row r="9050" spans="1:8" ht="19.5" customHeight="1" x14ac:dyDescent="0.55000000000000004">
      <c r="A9050" s="18">
        <v>24.808217200000001</v>
      </c>
      <c r="B9050" s="18">
        <v>34.821404100000002</v>
      </c>
      <c r="C9050" s="18">
        <v>684101.86</v>
      </c>
      <c r="D9050" s="18">
        <v>2744940.27</v>
      </c>
      <c r="E9050" s="18">
        <v>282.67</v>
      </c>
      <c r="F9050" s="18">
        <v>41882.65</v>
      </c>
      <c r="G9050" s="18">
        <v>104220</v>
      </c>
      <c r="H9050" s="18">
        <f t="shared" si="197"/>
        <v>41863.65</v>
      </c>
    </row>
    <row r="9051" spans="1:8" ht="19.5" customHeight="1" x14ac:dyDescent="0.55000000000000004">
      <c r="A9051" s="18">
        <v>24.808238500000002</v>
      </c>
      <c r="B9051" s="18">
        <v>34.821394099999999</v>
      </c>
      <c r="C9051" s="18">
        <v>684100.82</v>
      </c>
      <c r="D9051" s="18">
        <v>2744942.62</v>
      </c>
      <c r="E9051" s="18">
        <v>282.68</v>
      </c>
      <c r="F9051" s="18">
        <v>41882.67</v>
      </c>
      <c r="G9051" s="18">
        <v>104222</v>
      </c>
      <c r="H9051" s="18">
        <f t="shared" si="197"/>
        <v>41863.67</v>
      </c>
    </row>
    <row r="9052" spans="1:8" ht="19.5" customHeight="1" x14ac:dyDescent="0.55000000000000004">
      <c r="A9052" s="18">
        <v>24.8082587</v>
      </c>
      <c r="B9052" s="18">
        <v>34.821380300000001</v>
      </c>
      <c r="C9052" s="18">
        <v>684099.39</v>
      </c>
      <c r="D9052" s="18">
        <v>2744944.82</v>
      </c>
      <c r="E9052" s="18">
        <v>282.7</v>
      </c>
      <c r="F9052" s="18">
        <v>41882.61</v>
      </c>
      <c r="G9052" s="18">
        <v>104224</v>
      </c>
      <c r="H9052" s="18">
        <f t="shared" si="197"/>
        <v>41863.61</v>
      </c>
    </row>
    <row r="9053" spans="1:8" ht="19.5" customHeight="1" x14ac:dyDescent="0.55000000000000004">
      <c r="A9053" s="18">
        <v>24.8082764</v>
      </c>
      <c r="B9053" s="18">
        <v>34.821364699999997</v>
      </c>
      <c r="C9053" s="18">
        <v>684097.79</v>
      </c>
      <c r="D9053" s="18">
        <v>2744946.77</v>
      </c>
      <c r="E9053" s="18">
        <v>282.77</v>
      </c>
      <c r="F9053" s="18">
        <v>41882.870000000003</v>
      </c>
      <c r="G9053" s="18">
        <v>104226</v>
      </c>
      <c r="H9053" s="18">
        <f t="shared" si="197"/>
        <v>41863.870000000003</v>
      </c>
    </row>
    <row r="9054" spans="1:8" ht="19.5" customHeight="1" x14ac:dyDescent="0.55000000000000004">
      <c r="A9054" s="18">
        <v>24.808296500000001</v>
      </c>
      <c r="B9054" s="18">
        <v>34.821352300000001</v>
      </c>
      <c r="C9054" s="18">
        <v>684096.51</v>
      </c>
      <c r="D9054" s="18">
        <v>2744948.97</v>
      </c>
      <c r="E9054" s="18">
        <v>282.72000000000003</v>
      </c>
      <c r="F9054" s="18">
        <v>41882.71</v>
      </c>
      <c r="G9054" s="18">
        <v>104228</v>
      </c>
      <c r="H9054" s="18">
        <f t="shared" si="197"/>
        <v>41863.71</v>
      </c>
    </row>
    <row r="9055" spans="1:8" ht="19.5" customHeight="1" x14ac:dyDescent="0.55000000000000004">
      <c r="A9055" s="18">
        <v>24.8083171</v>
      </c>
      <c r="B9055" s="18">
        <v>34.821343499999998</v>
      </c>
      <c r="C9055" s="18">
        <v>684095.59</v>
      </c>
      <c r="D9055" s="18">
        <v>2744951.25</v>
      </c>
      <c r="E9055" s="18">
        <v>282.75</v>
      </c>
      <c r="F9055" s="18">
        <v>41882.129999999997</v>
      </c>
      <c r="G9055" s="18">
        <v>104230</v>
      </c>
      <c r="H9055" s="18">
        <f t="shared" si="197"/>
        <v>41863.129999999997</v>
      </c>
    </row>
    <row r="9056" spans="1:8" ht="19.5" customHeight="1" x14ac:dyDescent="0.55000000000000004">
      <c r="A9056" s="18">
        <v>24.808338800000001</v>
      </c>
      <c r="B9056" s="18">
        <v>34.821331600000001</v>
      </c>
      <c r="C9056" s="18">
        <v>684094.35</v>
      </c>
      <c r="D9056" s="18">
        <v>2744953.64</v>
      </c>
      <c r="E9056" s="18">
        <v>282.72000000000003</v>
      </c>
      <c r="F9056" s="18">
        <v>41882.699999999997</v>
      </c>
      <c r="G9056" s="18">
        <v>104232</v>
      </c>
      <c r="H9056" s="18">
        <f t="shared" si="197"/>
        <v>41863.699999999997</v>
      </c>
    </row>
    <row r="9057" spans="1:8" ht="19.5" customHeight="1" x14ac:dyDescent="0.55000000000000004">
      <c r="A9057" s="18">
        <v>24.808357699999998</v>
      </c>
      <c r="B9057" s="18">
        <v>34.821317200000003</v>
      </c>
      <c r="C9057" s="18">
        <v>684092.87</v>
      </c>
      <c r="D9057" s="18">
        <v>2744955.71</v>
      </c>
      <c r="E9057" s="18">
        <v>282.67</v>
      </c>
      <c r="F9057" s="18">
        <v>41882.68</v>
      </c>
      <c r="G9057" s="18">
        <v>104234</v>
      </c>
      <c r="H9057" s="18">
        <f t="shared" si="197"/>
        <v>41863.68</v>
      </c>
    </row>
    <row r="9058" spans="1:8" ht="19.5" customHeight="1" x14ac:dyDescent="0.55000000000000004">
      <c r="A9058" s="18">
        <v>24.808375000000002</v>
      </c>
      <c r="B9058" s="18">
        <v>34.821300100000002</v>
      </c>
      <c r="C9058" s="18">
        <v>684091.11</v>
      </c>
      <c r="D9058" s="18">
        <v>2744957.6</v>
      </c>
      <c r="E9058" s="18">
        <v>282.77</v>
      </c>
      <c r="F9058" s="18">
        <v>41882.019999999997</v>
      </c>
      <c r="G9058" s="18">
        <v>104236</v>
      </c>
      <c r="H9058" s="18">
        <f t="shared" si="197"/>
        <v>41863.019999999997</v>
      </c>
    </row>
    <row r="9059" spans="1:8" ht="19.5" customHeight="1" x14ac:dyDescent="0.55000000000000004">
      <c r="A9059" s="18">
        <v>24.808392999999999</v>
      </c>
      <c r="B9059" s="18">
        <v>34.821283800000003</v>
      </c>
      <c r="C9059" s="18">
        <v>684089.44</v>
      </c>
      <c r="D9059" s="18">
        <v>2744959.58</v>
      </c>
      <c r="E9059" s="18">
        <v>282.73</v>
      </c>
      <c r="F9059" s="18">
        <v>41882.6</v>
      </c>
      <c r="G9059" s="18">
        <v>104238</v>
      </c>
      <c r="H9059" s="18">
        <f t="shared" si="197"/>
        <v>41863.599999999999</v>
      </c>
    </row>
    <row r="9060" spans="1:8" ht="19.5" customHeight="1" x14ac:dyDescent="0.55000000000000004">
      <c r="A9060" s="18">
        <v>24.808407899999999</v>
      </c>
      <c r="B9060" s="18">
        <v>34.821265400000001</v>
      </c>
      <c r="C9060" s="18">
        <v>684087.55</v>
      </c>
      <c r="D9060" s="18">
        <v>2744961.2</v>
      </c>
      <c r="E9060" s="18">
        <v>282.75</v>
      </c>
      <c r="F9060" s="18">
        <v>41884.089999999997</v>
      </c>
      <c r="G9060" s="18">
        <v>104240</v>
      </c>
      <c r="H9060" s="18">
        <f t="shared" si="197"/>
        <v>41865.089999999997</v>
      </c>
    </row>
    <row r="9061" spans="1:8" ht="19.5" customHeight="1" x14ac:dyDescent="0.55000000000000004">
      <c r="A9061" s="18">
        <v>24.808422499999999</v>
      </c>
      <c r="B9061" s="18">
        <v>34.8212446</v>
      </c>
      <c r="C9061" s="18">
        <v>684085.44</v>
      </c>
      <c r="D9061" s="18">
        <v>2744962.79</v>
      </c>
      <c r="E9061" s="18">
        <v>282.75</v>
      </c>
      <c r="F9061" s="18">
        <v>41883.39</v>
      </c>
      <c r="G9061" s="18">
        <v>104242</v>
      </c>
      <c r="H9061" s="18">
        <f t="shared" si="197"/>
        <v>41864.39</v>
      </c>
    </row>
    <row r="9062" spans="1:8" ht="19.5" customHeight="1" x14ac:dyDescent="0.55000000000000004">
      <c r="A9062" s="18">
        <v>24.808436100000002</v>
      </c>
      <c r="B9062" s="18">
        <v>34.8212239</v>
      </c>
      <c r="C9062" s="18">
        <v>684083.32</v>
      </c>
      <c r="D9062" s="18">
        <v>2744964.27</v>
      </c>
      <c r="E9062" s="18">
        <v>282.66000000000003</v>
      </c>
      <c r="F9062" s="18">
        <v>41883.29</v>
      </c>
      <c r="G9062" s="18">
        <v>104244</v>
      </c>
      <c r="H9062" s="18">
        <f t="shared" si="197"/>
        <v>41864.29</v>
      </c>
    </row>
    <row r="9063" spans="1:8" ht="19.5" customHeight="1" x14ac:dyDescent="0.55000000000000004">
      <c r="A9063" s="18">
        <v>24.808452899999999</v>
      </c>
      <c r="B9063" s="18">
        <v>34.821204700000003</v>
      </c>
      <c r="C9063" s="18">
        <v>684081.36</v>
      </c>
      <c r="D9063" s="18">
        <v>2744966.11</v>
      </c>
      <c r="E9063" s="18">
        <v>282.60000000000002</v>
      </c>
      <c r="F9063" s="18">
        <v>41883.730000000003</v>
      </c>
      <c r="G9063" s="18">
        <v>104246</v>
      </c>
      <c r="H9063" s="18">
        <f t="shared" si="197"/>
        <v>41864.730000000003</v>
      </c>
    </row>
    <row r="9064" spans="1:8" ht="19.5" customHeight="1" x14ac:dyDescent="0.55000000000000004">
      <c r="A9064" s="18">
        <v>24.808465699999999</v>
      </c>
      <c r="B9064" s="18">
        <v>34.821186900000001</v>
      </c>
      <c r="C9064" s="18">
        <v>684079.54</v>
      </c>
      <c r="D9064" s="18">
        <v>2744967.5</v>
      </c>
      <c r="E9064" s="18">
        <v>282.66000000000003</v>
      </c>
      <c r="F9064" s="18">
        <v>41883.410000000003</v>
      </c>
      <c r="G9064" s="18">
        <v>104248</v>
      </c>
      <c r="H9064" s="18">
        <f t="shared" si="197"/>
        <v>41864.410000000003</v>
      </c>
    </row>
    <row r="9065" spans="1:8" ht="19.5" customHeight="1" x14ac:dyDescent="0.55000000000000004">
      <c r="A9065" s="18">
        <v>24.8084767</v>
      </c>
      <c r="B9065" s="18">
        <v>34.821163200000001</v>
      </c>
      <c r="C9065" s="18">
        <v>684077.12</v>
      </c>
      <c r="D9065" s="18">
        <v>2744968.68</v>
      </c>
      <c r="E9065" s="18">
        <v>282.66000000000003</v>
      </c>
      <c r="F9065" s="18">
        <v>41885.120000000003</v>
      </c>
      <c r="G9065" s="18">
        <v>104250</v>
      </c>
      <c r="H9065" s="18">
        <f t="shared" si="197"/>
        <v>41866.120000000003</v>
      </c>
    </row>
    <row r="9066" spans="1:8" ht="19.5" customHeight="1" x14ac:dyDescent="0.55000000000000004">
      <c r="A9066" s="18">
        <v>24.808489399999999</v>
      </c>
      <c r="B9066" s="18">
        <v>34.821140100000001</v>
      </c>
      <c r="C9066" s="18">
        <v>684074.77</v>
      </c>
      <c r="D9066" s="18">
        <v>2744970.06</v>
      </c>
      <c r="E9066" s="18">
        <v>282.76</v>
      </c>
      <c r="F9066" s="18">
        <v>41884.54</v>
      </c>
      <c r="G9066" s="18">
        <v>104252</v>
      </c>
      <c r="H9066" s="18">
        <f t="shared" si="197"/>
        <v>41865.54</v>
      </c>
    </row>
    <row r="9067" spans="1:8" ht="19.5" customHeight="1" x14ac:dyDescent="0.55000000000000004">
      <c r="A9067" s="18">
        <v>24.8084992</v>
      </c>
      <c r="B9067" s="18">
        <v>34.821116400000001</v>
      </c>
      <c r="C9067" s="18">
        <v>684072.36</v>
      </c>
      <c r="D9067" s="18">
        <v>2744971.11</v>
      </c>
      <c r="E9067" s="18">
        <v>282.77</v>
      </c>
      <c r="F9067" s="18">
        <v>41883.07</v>
      </c>
      <c r="G9067" s="18">
        <v>104254</v>
      </c>
      <c r="H9067" s="18">
        <f t="shared" si="197"/>
        <v>41864.07</v>
      </c>
    </row>
    <row r="9068" spans="1:8" ht="19.5" customHeight="1" x14ac:dyDescent="0.55000000000000004">
      <c r="A9068" s="18">
        <v>24.808509600000001</v>
      </c>
      <c r="B9068" s="18">
        <v>34.821094100000003</v>
      </c>
      <c r="C9068" s="18">
        <v>684070.09</v>
      </c>
      <c r="D9068" s="18">
        <v>2744972.23</v>
      </c>
      <c r="E9068" s="18">
        <v>282.8</v>
      </c>
      <c r="F9068" s="18">
        <v>41884.03</v>
      </c>
      <c r="G9068" s="18">
        <v>104256</v>
      </c>
      <c r="H9068" s="18">
        <f t="shared" si="197"/>
        <v>41865.03</v>
      </c>
    </row>
    <row r="9069" spans="1:8" ht="19.5" customHeight="1" x14ac:dyDescent="0.55000000000000004">
      <c r="A9069" s="18">
        <v>24.8085232</v>
      </c>
      <c r="B9069" s="18">
        <v>34.821075</v>
      </c>
      <c r="C9069" s="18">
        <v>684068.14</v>
      </c>
      <c r="D9069" s="18">
        <v>2744973.71</v>
      </c>
      <c r="E9069" s="18">
        <v>282.85000000000002</v>
      </c>
      <c r="F9069" s="18">
        <v>41885.050000000003</v>
      </c>
      <c r="G9069" s="18">
        <v>104258</v>
      </c>
      <c r="H9069" s="18">
        <f t="shared" si="197"/>
        <v>41866.050000000003</v>
      </c>
    </row>
    <row r="9070" spans="1:8" ht="19.5" customHeight="1" x14ac:dyDescent="0.55000000000000004">
      <c r="A9070" s="18">
        <v>24.808542299999999</v>
      </c>
      <c r="B9070" s="18">
        <v>34.8210573</v>
      </c>
      <c r="C9070" s="18">
        <v>684066.32</v>
      </c>
      <c r="D9070" s="18">
        <v>2744975.81</v>
      </c>
      <c r="E9070" s="18">
        <v>282.98</v>
      </c>
      <c r="F9070" s="18">
        <v>41885.040000000001</v>
      </c>
      <c r="G9070" s="18">
        <v>104300</v>
      </c>
      <c r="H9070" s="18">
        <f t="shared" si="197"/>
        <v>41866.04</v>
      </c>
    </row>
    <row r="9071" spans="1:8" ht="19.5" customHeight="1" x14ac:dyDescent="0.55000000000000004">
      <c r="A9071" s="18">
        <v>24.808561399999999</v>
      </c>
      <c r="B9071" s="18">
        <v>34.821043500000002</v>
      </c>
      <c r="C9071" s="18">
        <v>684064.9</v>
      </c>
      <c r="D9071" s="18">
        <v>2744977.9</v>
      </c>
      <c r="E9071" s="18">
        <v>283.18</v>
      </c>
      <c r="F9071" s="18">
        <v>41886.19</v>
      </c>
      <c r="G9071" s="18">
        <v>104302</v>
      </c>
      <c r="H9071" s="18">
        <f t="shared" si="197"/>
        <v>41867.19</v>
      </c>
    </row>
    <row r="9072" spans="1:8" ht="19.5" customHeight="1" x14ac:dyDescent="0.55000000000000004">
      <c r="A9072" s="18">
        <v>24.808578099999998</v>
      </c>
      <c r="B9072" s="18">
        <v>34.821024800000004</v>
      </c>
      <c r="C9072" s="18">
        <v>684062.99</v>
      </c>
      <c r="D9072" s="18">
        <v>2744979.73</v>
      </c>
      <c r="E9072" s="18">
        <v>283.16000000000003</v>
      </c>
      <c r="F9072" s="18">
        <v>41884.879999999997</v>
      </c>
      <c r="G9072" s="18">
        <v>104304</v>
      </c>
      <c r="H9072" s="18">
        <f t="shared" si="197"/>
        <v>41865.879999999997</v>
      </c>
    </row>
    <row r="9073" spans="1:8" ht="19.5" customHeight="1" x14ac:dyDescent="0.55000000000000004">
      <c r="A9073" s="18">
        <v>24.808593900000002</v>
      </c>
      <c r="B9073" s="18">
        <v>34.821005999999997</v>
      </c>
      <c r="C9073" s="18">
        <v>684061.06</v>
      </c>
      <c r="D9073" s="18">
        <v>2744981.46</v>
      </c>
      <c r="E9073" s="18">
        <v>283.29000000000002</v>
      </c>
      <c r="F9073" s="18">
        <v>41884.68</v>
      </c>
      <c r="G9073" s="18">
        <v>104306</v>
      </c>
      <c r="H9073" s="18">
        <f t="shared" si="197"/>
        <v>41865.68</v>
      </c>
    </row>
    <row r="9074" spans="1:8" ht="19.5" customHeight="1" x14ac:dyDescent="0.55000000000000004">
      <c r="A9074" s="18">
        <v>24.8086126</v>
      </c>
      <c r="B9074" s="18">
        <v>34.820989699999998</v>
      </c>
      <c r="C9074" s="18">
        <v>684059.38</v>
      </c>
      <c r="D9074" s="18">
        <v>2744983.5</v>
      </c>
      <c r="E9074" s="18">
        <v>283.44</v>
      </c>
      <c r="F9074" s="18">
        <v>41882.239999999998</v>
      </c>
      <c r="G9074" s="18">
        <v>104308</v>
      </c>
      <c r="H9074" s="18">
        <f t="shared" si="197"/>
        <v>41863.24</v>
      </c>
    </row>
    <row r="9075" spans="1:8" ht="19.5" customHeight="1" x14ac:dyDescent="0.55000000000000004">
      <c r="A9075" s="18">
        <v>24.808625899999999</v>
      </c>
      <c r="B9075" s="18">
        <v>34.820970000000003</v>
      </c>
      <c r="C9075" s="18">
        <v>684057.37</v>
      </c>
      <c r="D9075" s="18">
        <v>2744984.95</v>
      </c>
      <c r="E9075" s="18">
        <v>283.48</v>
      </c>
      <c r="F9075" s="18">
        <v>41879.870000000003</v>
      </c>
      <c r="G9075" s="18">
        <v>104310</v>
      </c>
      <c r="H9075" s="18">
        <f t="shared" ref="H9075:H9138" si="198">SUM(F9075-19)</f>
        <v>41860.870000000003</v>
      </c>
    </row>
    <row r="9076" spans="1:8" ht="19.5" customHeight="1" x14ac:dyDescent="0.55000000000000004">
      <c r="A9076" s="18">
        <v>24.808635200000001</v>
      </c>
      <c r="B9076" s="18">
        <v>34.820946800000002</v>
      </c>
      <c r="C9076" s="18">
        <v>684055.01</v>
      </c>
      <c r="D9076" s="18">
        <v>2744985.95</v>
      </c>
      <c r="E9076" s="18">
        <v>283.54000000000002</v>
      </c>
      <c r="F9076" s="18">
        <v>41882.22</v>
      </c>
      <c r="G9076" s="18">
        <v>104312</v>
      </c>
      <c r="H9076" s="18">
        <f t="shared" si="198"/>
        <v>41863.22</v>
      </c>
    </row>
    <row r="9077" spans="1:8" ht="19.5" customHeight="1" x14ac:dyDescent="0.55000000000000004">
      <c r="A9077" s="18">
        <v>24.808646899999999</v>
      </c>
      <c r="B9077" s="18">
        <v>34.820923499999999</v>
      </c>
      <c r="C9077" s="18">
        <v>684052.63</v>
      </c>
      <c r="D9077" s="18">
        <v>2744987.21</v>
      </c>
      <c r="E9077" s="18">
        <v>283.60000000000002</v>
      </c>
      <c r="F9077" s="18">
        <v>41884.01</v>
      </c>
      <c r="G9077" s="18">
        <v>104314</v>
      </c>
      <c r="H9077" s="18">
        <f t="shared" si="198"/>
        <v>41865.01</v>
      </c>
    </row>
    <row r="9078" spans="1:8" ht="19.5" customHeight="1" x14ac:dyDescent="0.55000000000000004">
      <c r="A9078" s="18">
        <v>24.8086637</v>
      </c>
      <c r="B9078" s="18">
        <v>34.8209047</v>
      </c>
      <c r="C9078" s="18">
        <v>684050.72</v>
      </c>
      <c r="D9078" s="18">
        <v>2744989.04</v>
      </c>
      <c r="E9078" s="18">
        <v>283.70999999999998</v>
      </c>
      <c r="F9078" s="18">
        <v>41882.629999999997</v>
      </c>
      <c r="G9078" s="18">
        <v>104316</v>
      </c>
      <c r="H9078" s="18">
        <f t="shared" si="198"/>
        <v>41863.629999999997</v>
      </c>
    </row>
    <row r="9079" spans="1:8" ht="19.5" customHeight="1" x14ac:dyDescent="0.55000000000000004">
      <c r="A9079" s="18">
        <v>24.808675600000001</v>
      </c>
      <c r="B9079" s="18">
        <v>34.820884800000002</v>
      </c>
      <c r="C9079" s="18">
        <v>684048.68</v>
      </c>
      <c r="D9079" s="18">
        <v>2744990.34</v>
      </c>
      <c r="E9079" s="18">
        <v>283.85000000000002</v>
      </c>
      <c r="F9079" s="18">
        <v>41880.97</v>
      </c>
      <c r="G9079" s="18">
        <v>104318</v>
      </c>
      <c r="H9079" s="18">
        <f t="shared" si="198"/>
        <v>41861.97</v>
      </c>
    </row>
    <row r="9080" spans="1:8" ht="19.5" customHeight="1" x14ac:dyDescent="0.55000000000000004">
      <c r="A9080" s="18">
        <v>24.808684299999999</v>
      </c>
      <c r="B9080" s="18">
        <v>34.820862400000003</v>
      </c>
      <c r="C9080" s="18">
        <v>684046.41</v>
      </c>
      <c r="D9080" s="18">
        <v>2744991.27</v>
      </c>
      <c r="E9080" s="18">
        <v>283.83999999999997</v>
      </c>
      <c r="F9080" s="18">
        <v>41882.42</v>
      </c>
      <c r="G9080" s="18">
        <v>104320</v>
      </c>
      <c r="H9080" s="18">
        <f t="shared" si="198"/>
        <v>41863.42</v>
      </c>
    </row>
    <row r="9081" spans="1:8" ht="19.5" customHeight="1" x14ac:dyDescent="0.55000000000000004">
      <c r="A9081" s="18">
        <v>24.808693999999999</v>
      </c>
      <c r="B9081" s="18">
        <v>34.820839599999999</v>
      </c>
      <c r="C9081" s="18">
        <v>684044.09</v>
      </c>
      <c r="D9081" s="18">
        <v>2744992.32</v>
      </c>
      <c r="E9081" s="18">
        <v>283.94</v>
      </c>
      <c r="F9081" s="18">
        <v>41883.43</v>
      </c>
      <c r="G9081" s="18">
        <v>104322</v>
      </c>
      <c r="H9081" s="18">
        <f t="shared" si="198"/>
        <v>41864.43</v>
      </c>
    </row>
    <row r="9082" spans="1:8" ht="19.5" customHeight="1" x14ac:dyDescent="0.55000000000000004">
      <c r="A9082" s="18">
        <v>24.8087035</v>
      </c>
      <c r="B9082" s="18">
        <v>34.820817900000002</v>
      </c>
      <c r="C9082" s="18">
        <v>684041.88</v>
      </c>
      <c r="D9082" s="18">
        <v>2744993.34</v>
      </c>
      <c r="E9082" s="18">
        <v>283.99</v>
      </c>
      <c r="F9082" s="18">
        <v>41883.360000000001</v>
      </c>
      <c r="G9082" s="18">
        <v>104324</v>
      </c>
      <c r="H9082" s="18">
        <f t="shared" si="198"/>
        <v>41864.36</v>
      </c>
    </row>
    <row r="9083" spans="1:8" ht="19.5" customHeight="1" x14ac:dyDescent="0.55000000000000004">
      <c r="A9083" s="18">
        <v>24.8087138</v>
      </c>
      <c r="B9083" s="18">
        <v>34.8207947</v>
      </c>
      <c r="C9083" s="18">
        <v>684039.52</v>
      </c>
      <c r="D9083" s="18">
        <v>2744994.45</v>
      </c>
      <c r="E9083" s="18">
        <v>283.92</v>
      </c>
      <c r="F9083" s="18">
        <v>41882.1</v>
      </c>
      <c r="G9083" s="18">
        <v>104326</v>
      </c>
      <c r="H9083" s="18">
        <f t="shared" si="198"/>
        <v>41863.1</v>
      </c>
    </row>
    <row r="9084" spans="1:8" ht="19.5" customHeight="1" x14ac:dyDescent="0.55000000000000004">
      <c r="A9084" s="18">
        <v>24.808718899999999</v>
      </c>
      <c r="B9084" s="18">
        <v>34.820773299999999</v>
      </c>
      <c r="C9084" s="18">
        <v>684037.35</v>
      </c>
      <c r="D9084" s="18">
        <v>2744994.98</v>
      </c>
      <c r="E9084" s="18">
        <v>283.98</v>
      </c>
      <c r="F9084" s="18">
        <v>41879.800000000003</v>
      </c>
      <c r="G9084" s="18">
        <v>104328</v>
      </c>
      <c r="H9084" s="18">
        <f t="shared" si="198"/>
        <v>41860.800000000003</v>
      </c>
    </row>
    <row r="9085" spans="1:8" ht="19.5" customHeight="1" x14ac:dyDescent="0.55000000000000004">
      <c r="A9085" s="18">
        <v>24.8087169</v>
      </c>
      <c r="B9085" s="18">
        <v>34.820748000000002</v>
      </c>
      <c r="C9085" s="18">
        <v>684034.79</v>
      </c>
      <c r="D9085" s="18">
        <v>2744994.73</v>
      </c>
      <c r="E9085" s="18">
        <v>283.99</v>
      </c>
      <c r="F9085" s="18">
        <v>41879.26</v>
      </c>
      <c r="G9085" s="18">
        <v>104330</v>
      </c>
      <c r="H9085" s="18">
        <f t="shared" si="198"/>
        <v>41860.26</v>
      </c>
    </row>
    <row r="9086" spans="1:8" ht="19.5" customHeight="1" x14ac:dyDescent="0.55000000000000004">
      <c r="A9086" s="18">
        <v>24.8087287</v>
      </c>
      <c r="B9086" s="18">
        <v>34.8207284</v>
      </c>
      <c r="C9086" s="18">
        <v>684032.79</v>
      </c>
      <c r="D9086" s="18">
        <v>2744996</v>
      </c>
      <c r="E9086" s="18">
        <v>284.08999999999997</v>
      </c>
      <c r="F9086" s="18">
        <v>41880.11</v>
      </c>
      <c r="G9086" s="18">
        <v>104332</v>
      </c>
      <c r="H9086" s="18">
        <f t="shared" si="198"/>
        <v>41861.11</v>
      </c>
    </row>
    <row r="9087" spans="1:8" ht="19.5" customHeight="1" x14ac:dyDescent="0.55000000000000004">
      <c r="A9087" s="18">
        <v>24.808744000000001</v>
      </c>
      <c r="B9087" s="18">
        <v>34.820707599999999</v>
      </c>
      <c r="C9087" s="18">
        <v>684030.67</v>
      </c>
      <c r="D9087" s="18">
        <v>2744997.68</v>
      </c>
      <c r="E9087" s="18">
        <v>284.16000000000003</v>
      </c>
      <c r="F9087" s="18">
        <v>41880.53</v>
      </c>
      <c r="G9087" s="18">
        <v>104334</v>
      </c>
      <c r="H9087" s="18">
        <f t="shared" si="198"/>
        <v>41861.53</v>
      </c>
    </row>
    <row r="9088" spans="1:8" ht="19.5" customHeight="1" x14ac:dyDescent="0.55000000000000004">
      <c r="A9088" s="18">
        <v>24.808757700000001</v>
      </c>
      <c r="B9088" s="18">
        <v>34.820686700000003</v>
      </c>
      <c r="C9088" s="18">
        <v>684028.53</v>
      </c>
      <c r="D9088" s="18">
        <v>2744999.17</v>
      </c>
      <c r="E9088" s="18">
        <v>284.14</v>
      </c>
      <c r="F9088" s="18">
        <v>41878.47</v>
      </c>
      <c r="G9088" s="18">
        <v>104336</v>
      </c>
      <c r="H9088" s="18">
        <f t="shared" si="198"/>
        <v>41859.47</v>
      </c>
    </row>
    <row r="9089" spans="1:8" ht="19.5" customHeight="1" x14ac:dyDescent="0.55000000000000004">
      <c r="A9089" s="18">
        <v>24.808769399999999</v>
      </c>
      <c r="B9089" s="18">
        <v>34.820665099999999</v>
      </c>
      <c r="C9089" s="18">
        <v>684026.33</v>
      </c>
      <c r="D9089" s="18">
        <v>2745000.43</v>
      </c>
      <c r="E9089" s="18">
        <v>284.18</v>
      </c>
      <c r="F9089" s="18">
        <v>41879.58</v>
      </c>
      <c r="G9089" s="18">
        <v>104338</v>
      </c>
      <c r="H9089" s="18">
        <f t="shared" si="198"/>
        <v>41860.58</v>
      </c>
    </row>
    <row r="9090" spans="1:8" ht="19.5" customHeight="1" x14ac:dyDescent="0.55000000000000004">
      <c r="A9090" s="18">
        <v>24.808780200000001</v>
      </c>
      <c r="B9090" s="18">
        <v>34.820641999999999</v>
      </c>
      <c r="C9090" s="18">
        <v>684023.98</v>
      </c>
      <c r="D9090" s="18">
        <v>2745001.59</v>
      </c>
      <c r="E9090" s="18">
        <v>284.11</v>
      </c>
      <c r="F9090" s="18">
        <v>41879.39</v>
      </c>
      <c r="G9090" s="18">
        <v>104340</v>
      </c>
      <c r="H9090" s="18">
        <f t="shared" si="198"/>
        <v>41860.39</v>
      </c>
    </row>
    <row r="9091" spans="1:8" ht="19.5" customHeight="1" x14ac:dyDescent="0.55000000000000004">
      <c r="A9091" s="18">
        <v>24.808792799999999</v>
      </c>
      <c r="B9091" s="18">
        <v>34.820619899999997</v>
      </c>
      <c r="C9091" s="18">
        <v>684021.73</v>
      </c>
      <c r="D9091" s="18">
        <v>2745002.96</v>
      </c>
      <c r="E9091" s="18">
        <v>284.18</v>
      </c>
      <c r="F9091" s="18">
        <v>41879.910000000003</v>
      </c>
      <c r="G9091" s="18">
        <v>104342</v>
      </c>
      <c r="H9091" s="18">
        <f t="shared" si="198"/>
        <v>41860.910000000003</v>
      </c>
    </row>
    <row r="9092" spans="1:8" ht="19.5" customHeight="1" x14ac:dyDescent="0.55000000000000004">
      <c r="A9092" s="18">
        <v>24.808808599999999</v>
      </c>
      <c r="B9092" s="18">
        <v>34.8205989</v>
      </c>
      <c r="C9092" s="18">
        <v>684019.59</v>
      </c>
      <c r="D9092" s="18">
        <v>2745004.68</v>
      </c>
      <c r="E9092" s="18">
        <v>284.22000000000003</v>
      </c>
      <c r="F9092" s="18">
        <v>41880.07</v>
      </c>
      <c r="G9092" s="18">
        <v>104344</v>
      </c>
      <c r="H9092" s="18">
        <f t="shared" si="198"/>
        <v>41861.07</v>
      </c>
    </row>
    <row r="9093" spans="1:8" ht="19.5" customHeight="1" x14ac:dyDescent="0.55000000000000004">
      <c r="A9093" s="18">
        <v>24.8088254</v>
      </c>
      <c r="B9093" s="18">
        <v>34.820578500000003</v>
      </c>
      <c r="C9093" s="18">
        <v>684017.5</v>
      </c>
      <c r="D9093" s="18">
        <v>2745006.52</v>
      </c>
      <c r="E9093" s="18">
        <v>284.16000000000003</v>
      </c>
      <c r="F9093" s="18">
        <v>41878.410000000003</v>
      </c>
      <c r="G9093" s="18">
        <v>104346</v>
      </c>
      <c r="H9093" s="18">
        <f t="shared" si="198"/>
        <v>41859.410000000003</v>
      </c>
    </row>
    <row r="9094" spans="1:8" ht="19.5" customHeight="1" x14ac:dyDescent="0.55000000000000004">
      <c r="A9094" s="18">
        <v>24.8088391</v>
      </c>
      <c r="B9094" s="18">
        <v>34.820557299999997</v>
      </c>
      <c r="C9094" s="18">
        <v>684015.33</v>
      </c>
      <c r="D9094" s="18">
        <v>2745008.01</v>
      </c>
      <c r="E9094" s="18">
        <v>284.16000000000003</v>
      </c>
      <c r="F9094" s="18">
        <v>41876.730000000003</v>
      </c>
      <c r="G9094" s="18">
        <v>104348</v>
      </c>
      <c r="H9094" s="18">
        <f t="shared" si="198"/>
        <v>41857.730000000003</v>
      </c>
    </row>
    <row r="9095" spans="1:8" ht="19.5" customHeight="1" x14ac:dyDescent="0.55000000000000004">
      <c r="A9095" s="18">
        <v>24.808852600000002</v>
      </c>
      <c r="B9095" s="18">
        <v>34.820537399999999</v>
      </c>
      <c r="C9095" s="18">
        <v>684013.31</v>
      </c>
      <c r="D9095" s="18">
        <v>2745009.47</v>
      </c>
      <c r="E9095" s="18">
        <v>284.13</v>
      </c>
      <c r="F9095" s="18">
        <v>41874.730000000003</v>
      </c>
      <c r="G9095" s="18">
        <v>104350</v>
      </c>
      <c r="H9095" s="18">
        <f t="shared" si="198"/>
        <v>41855.730000000003</v>
      </c>
    </row>
    <row r="9096" spans="1:8" ht="19.5" customHeight="1" x14ac:dyDescent="0.55000000000000004">
      <c r="A9096" s="18">
        <v>24.808863599999999</v>
      </c>
      <c r="B9096" s="18">
        <v>34.820513900000002</v>
      </c>
      <c r="C9096" s="18">
        <v>684010.91</v>
      </c>
      <c r="D9096" s="18">
        <v>2745010.66</v>
      </c>
      <c r="E9096" s="18">
        <v>284.11</v>
      </c>
      <c r="F9096" s="18">
        <v>41874.75</v>
      </c>
      <c r="G9096" s="18">
        <v>104352</v>
      </c>
      <c r="H9096" s="18">
        <f t="shared" si="198"/>
        <v>41855.75</v>
      </c>
    </row>
    <row r="9097" spans="1:8" ht="19.5" customHeight="1" x14ac:dyDescent="0.55000000000000004">
      <c r="A9097" s="18">
        <v>24.808872300000001</v>
      </c>
      <c r="B9097" s="18">
        <v>34.820489100000003</v>
      </c>
      <c r="C9097" s="18">
        <v>684008.39</v>
      </c>
      <c r="D9097" s="18">
        <v>2745011.59</v>
      </c>
      <c r="E9097" s="18">
        <v>284.39</v>
      </c>
      <c r="F9097" s="18">
        <v>41876.839999999997</v>
      </c>
      <c r="G9097" s="18">
        <v>104354</v>
      </c>
      <c r="H9097" s="18">
        <f t="shared" si="198"/>
        <v>41857.839999999997</v>
      </c>
    </row>
    <row r="9098" spans="1:8" ht="19.5" customHeight="1" x14ac:dyDescent="0.55000000000000004">
      <c r="A9098" s="18">
        <v>24.8088795</v>
      </c>
      <c r="B9098" s="18">
        <v>34.820465800000001</v>
      </c>
      <c r="C9098" s="18">
        <v>684006.02</v>
      </c>
      <c r="D9098" s="18">
        <v>2745012.35</v>
      </c>
      <c r="E9098" s="18">
        <v>284.56</v>
      </c>
      <c r="F9098" s="18">
        <v>41876.82</v>
      </c>
      <c r="G9098" s="18">
        <v>104356</v>
      </c>
      <c r="H9098" s="18">
        <f t="shared" si="198"/>
        <v>41857.82</v>
      </c>
    </row>
    <row r="9099" spans="1:8" ht="19.5" customHeight="1" x14ac:dyDescent="0.55000000000000004">
      <c r="A9099" s="18">
        <v>24.808885400000001</v>
      </c>
      <c r="B9099" s="18">
        <v>34.820443099999999</v>
      </c>
      <c r="C9099" s="18">
        <v>684003.72</v>
      </c>
      <c r="D9099" s="18">
        <v>2745012.98</v>
      </c>
      <c r="E9099" s="18">
        <v>284.74</v>
      </c>
      <c r="F9099" s="18">
        <v>41880.949999999997</v>
      </c>
      <c r="G9099" s="18">
        <v>104358</v>
      </c>
      <c r="H9099" s="18">
        <f t="shared" si="198"/>
        <v>41861.949999999997</v>
      </c>
    </row>
    <row r="9100" spans="1:8" ht="19.5" customHeight="1" x14ac:dyDescent="0.55000000000000004">
      <c r="A9100" s="18">
        <v>24.808894500000001</v>
      </c>
      <c r="B9100" s="18">
        <v>34.820423400000003</v>
      </c>
      <c r="C9100" s="18">
        <v>684001.71</v>
      </c>
      <c r="D9100" s="18">
        <v>2745013.96</v>
      </c>
      <c r="E9100" s="18">
        <v>284.70999999999998</v>
      </c>
      <c r="F9100" s="18">
        <v>41874.239999999998</v>
      </c>
      <c r="G9100" s="18">
        <v>104400</v>
      </c>
      <c r="H9100" s="18">
        <f t="shared" si="198"/>
        <v>41855.24</v>
      </c>
    </row>
    <row r="9101" spans="1:8" ht="19.5" customHeight="1" x14ac:dyDescent="0.55000000000000004">
      <c r="A9101" s="18">
        <v>24.8089005</v>
      </c>
      <c r="B9101" s="18">
        <v>34.820398400000002</v>
      </c>
      <c r="C9101" s="18">
        <v>683999.18</v>
      </c>
      <c r="D9101" s="18">
        <v>2745014.6</v>
      </c>
      <c r="E9101" s="18">
        <v>284.76</v>
      </c>
      <c r="F9101" s="18">
        <v>41875.480000000003</v>
      </c>
      <c r="G9101" s="18">
        <v>104402</v>
      </c>
      <c r="H9101" s="18">
        <f t="shared" si="198"/>
        <v>41856.480000000003</v>
      </c>
    </row>
    <row r="9102" spans="1:8" ht="19.5" customHeight="1" x14ac:dyDescent="0.55000000000000004">
      <c r="A9102" s="18">
        <v>24.808909700000001</v>
      </c>
      <c r="B9102" s="18">
        <v>34.820378900000001</v>
      </c>
      <c r="C9102" s="18">
        <v>683997.19</v>
      </c>
      <c r="D9102" s="18">
        <v>2745015.59</v>
      </c>
      <c r="E9102" s="18">
        <v>284.79000000000002</v>
      </c>
      <c r="F9102" s="18">
        <v>41878.980000000003</v>
      </c>
      <c r="G9102" s="18">
        <v>104404</v>
      </c>
      <c r="H9102" s="18">
        <f t="shared" si="198"/>
        <v>41859.980000000003</v>
      </c>
    </row>
    <row r="9103" spans="1:8" ht="19.5" customHeight="1" x14ac:dyDescent="0.55000000000000004">
      <c r="A9103" s="18">
        <v>24.808925200000001</v>
      </c>
      <c r="B9103" s="18">
        <v>34.8203605</v>
      </c>
      <c r="C9103" s="18">
        <v>683995.31</v>
      </c>
      <c r="D9103" s="18">
        <v>2745017.28</v>
      </c>
      <c r="E9103" s="18">
        <v>284.83</v>
      </c>
      <c r="F9103" s="18">
        <v>41879.199999999997</v>
      </c>
      <c r="G9103" s="18">
        <v>104406</v>
      </c>
      <c r="H9103" s="18">
        <f t="shared" si="198"/>
        <v>41860.199999999997</v>
      </c>
    </row>
    <row r="9104" spans="1:8" ht="19.5" customHeight="1" x14ac:dyDescent="0.55000000000000004">
      <c r="A9104" s="18">
        <v>24.808935099999999</v>
      </c>
      <c r="B9104" s="18">
        <v>34.820338800000002</v>
      </c>
      <c r="C9104" s="18">
        <v>683993.1</v>
      </c>
      <c r="D9104" s="18">
        <v>2745018.34</v>
      </c>
      <c r="E9104" s="18">
        <v>284.89</v>
      </c>
      <c r="F9104" s="18">
        <v>41879.32</v>
      </c>
      <c r="G9104" s="18">
        <v>104408</v>
      </c>
      <c r="H9104" s="18">
        <f t="shared" si="198"/>
        <v>41860.32</v>
      </c>
    </row>
    <row r="9105" spans="1:8" ht="19.5" customHeight="1" x14ac:dyDescent="0.55000000000000004">
      <c r="A9105" s="18">
        <v>24.808939800000001</v>
      </c>
      <c r="B9105" s="18">
        <v>34.8203143</v>
      </c>
      <c r="C9105" s="18">
        <v>683990.62</v>
      </c>
      <c r="D9105" s="18">
        <v>2745018.83</v>
      </c>
      <c r="E9105" s="18">
        <v>284.86</v>
      </c>
      <c r="F9105" s="18">
        <v>41878.51</v>
      </c>
      <c r="G9105" s="18">
        <v>104410</v>
      </c>
      <c r="H9105" s="18">
        <f t="shared" si="198"/>
        <v>41859.51</v>
      </c>
    </row>
    <row r="9106" spans="1:8" ht="19.5" customHeight="1" x14ac:dyDescent="0.55000000000000004">
      <c r="A9106" s="18">
        <v>24.808946299999999</v>
      </c>
      <c r="B9106" s="18">
        <v>34.820289000000002</v>
      </c>
      <c r="C9106" s="18">
        <v>683988.05</v>
      </c>
      <c r="D9106" s="18">
        <v>2745019.51</v>
      </c>
      <c r="E9106" s="18">
        <v>284.94</v>
      </c>
      <c r="F9106" s="18">
        <v>41881.11</v>
      </c>
      <c r="G9106" s="18">
        <v>104412</v>
      </c>
      <c r="H9106" s="18">
        <f t="shared" si="198"/>
        <v>41862.11</v>
      </c>
    </row>
    <row r="9107" spans="1:8" ht="19.5" customHeight="1" x14ac:dyDescent="0.55000000000000004">
      <c r="A9107" s="18">
        <v>24.8089595</v>
      </c>
      <c r="B9107" s="18">
        <v>34.820268300000002</v>
      </c>
      <c r="C9107" s="18">
        <v>683985.94</v>
      </c>
      <c r="D9107" s="18">
        <v>2745020.96</v>
      </c>
      <c r="E9107" s="18">
        <v>285.18</v>
      </c>
      <c r="F9107" s="18">
        <v>41878.44</v>
      </c>
      <c r="G9107" s="18">
        <v>104414</v>
      </c>
      <c r="H9107" s="18">
        <f t="shared" si="198"/>
        <v>41859.440000000002</v>
      </c>
    </row>
    <row r="9108" spans="1:8" ht="19.5" customHeight="1" x14ac:dyDescent="0.55000000000000004">
      <c r="A9108" s="18">
        <v>24.8089719</v>
      </c>
      <c r="B9108" s="18">
        <v>34.8202493</v>
      </c>
      <c r="C9108" s="18">
        <v>683984</v>
      </c>
      <c r="D9108" s="18">
        <v>2745022.3</v>
      </c>
      <c r="E9108" s="18">
        <v>285.22000000000003</v>
      </c>
      <c r="F9108" s="18">
        <v>41881.96</v>
      </c>
      <c r="G9108" s="18">
        <v>104416</v>
      </c>
      <c r="H9108" s="18">
        <f t="shared" si="198"/>
        <v>41862.959999999999</v>
      </c>
    </row>
    <row r="9109" spans="1:8" ht="19.5" customHeight="1" x14ac:dyDescent="0.55000000000000004">
      <c r="A9109" s="18">
        <v>24.808982199999999</v>
      </c>
      <c r="B9109" s="18">
        <v>34.820227600000003</v>
      </c>
      <c r="C9109" s="18">
        <v>683981.79</v>
      </c>
      <c r="D9109" s="18">
        <v>2745023.41</v>
      </c>
      <c r="E9109" s="18">
        <v>285.26</v>
      </c>
      <c r="F9109" s="18">
        <v>41880.519999999997</v>
      </c>
      <c r="G9109" s="18">
        <v>104418</v>
      </c>
      <c r="H9109" s="18">
        <f t="shared" si="198"/>
        <v>41861.519999999997</v>
      </c>
    </row>
    <row r="9110" spans="1:8" ht="19.5" customHeight="1" x14ac:dyDescent="0.55000000000000004">
      <c r="A9110" s="18">
        <v>24.808986600000001</v>
      </c>
      <c r="B9110" s="18">
        <v>34.820201699999998</v>
      </c>
      <c r="C9110" s="18">
        <v>683979.17</v>
      </c>
      <c r="D9110" s="18">
        <v>2745023.87</v>
      </c>
      <c r="E9110" s="18">
        <v>285.36</v>
      </c>
      <c r="F9110" s="18">
        <v>41877.97</v>
      </c>
      <c r="G9110" s="18">
        <v>104420</v>
      </c>
      <c r="H9110" s="18">
        <f t="shared" si="198"/>
        <v>41858.97</v>
      </c>
    </row>
    <row r="9111" spans="1:8" ht="19.5" customHeight="1" x14ac:dyDescent="0.55000000000000004">
      <c r="A9111" s="18">
        <v>24.808993900000001</v>
      </c>
      <c r="B9111" s="18">
        <v>34.820176600000003</v>
      </c>
      <c r="C9111" s="18">
        <v>683976.61</v>
      </c>
      <c r="D9111" s="18">
        <v>2745024.64</v>
      </c>
      <c r="E9111" s="18">
        <v>285.36</v>
      </c>
      <c r="F9111" s="18">
        <v>41877.269999999997</v>
      </c>
      <c r="G9111" s="18">
        <v>104422</v>
      </c>
      <c r="H9111" s="18">
        <f t="shared" si="198"/>
        <v>41858.269999999997</v>
      </c>
    </row>
    <row r="9112" spans="1:8" ht="19.5" customHeight="1" x14ac:dyDescent="0.55000000000000004">
      <c r="A9112" s="18">
        <v>24.809004099999999</v>
      </c>
      <c r="B9112" s="18">
        <v>34.820152</v>
      </c>
      <c r="C9112" s="18">
        <v>683974.12</v>
      </c>
      <c r="D9112" s="18">
        <v>2745025.74</v>
      </c>
      <c r="E9112" s="18">
        <v>285.41000000000003</v>
      </c>
      <c r="F9112" s="18">
        <v>41877.120000000003</v>
      </c>
      <c r="G9112" s="18">
        <v>104424</v>
      </c>
      <c r="H9112" s="18">
        <f t="shared" si="198"/>
        <v>41858.120000000003</v>
      </c>
    </row>
    <row r="9113" spans="1:8" ht="19.5" customHeight="1" x14ac:dyDescent="0.55000000000000004">
      <c r="A9113" s="18">
        <v>24.809016400000001</v>
      </c>
      <c r="B9113" s="18">
        <v>34.820126999999999</v>
      </c>
      <c r="C9113" s="18">
        <v>683971.57</v>
      </c>
      <c r="D9113" s="18">
        <v>2745027.06</v>
      </c>
      <c r="E9113" s="18">
        <v>285.41000000000003</v>
      </c>
      <c r="F9113" s="18">
        <v>41877.61</v>
      </c>
      <c r="G9113" s="18">
        <v>104426</v>
      </c>
      <c r="H9113" s="18">
        <f t="shared" si="198"/>
        <v>41858.61</v>
      </c>
    </row>
    <row r="9114" spans="1:8" ht="19.5" customHeight="1" x14ac:dyDescent="0.55000000000000004">
      <c r="A9114" s="18">
        <v>24.809027</v>
      </c>
      <c r="B9114" s="18">
        <v>34.8201033</v>
      </c>
      <c r="C9114" s="18">
        <v>683969.15</v>
      </c>
      <c r="D9114" s="18">
        <v>2745028.21</v>
      </c>
      <c r="E9114" s="18">
        <v>285.35000000000002</v>
      </c>
      <c r="F9114" s="18">
        <v>41876.519999999997</v>
      </c>
      <c r="G9114" s="18">
        <v>104428</v>
      </c>
      <c r="H9114" s="18">
        <f t="shared" si="198"/>
        <v>41857.519999999997</v>
      </c>
    </row>
    <row r="9115" spans="1:8" ht="19.5" customHeight="1" x14ac:dyDescent="0.55000000000000004">
      <c r="A9115" s="18">
        <v>24.809032200000001</v>
      </c>
      <c r="B9115" s="18">
        <v>34.820077900000001</v>
      </c>
      <c r="C9115" s="18">
        <v>683966.58</v>
      </c>
      <c r="D9115" s="18">
        <v>2745028.75</v>
      </c>
      <c r="E9115" s="18">
        <v>285.39</v>
      </c>
      <c r="F9115" s="18">
        <v>41879.01</v>
      </c>
      <c r="G9115" s="18">
        <v>104430</v>
      </c>
      <c r="H9115" s="18">
        <f t="shared" si="198"/>
        <v>41860.01</v>
      </c>
    </row>
    <row r="9116" spans="1:8" ht="19.5" customHeight="1" x14ac:dyDescent="0.55000000000000004">
      <c r="A9116" s="18">
        <v>24.809041700000002</v>
      </c>
      <c r="B9116" s="18">
        <v>34.8200541</v>
      </c>
      <c r="C9116" s="18">
        <v>683964.16</v>
      </c>
      <c r="D9116" s="18">
        <v>2745029.77</v>
      </c>
      <c r="E9116" s="18">
        <v>285.48</v>
      </c>
      <c r="F9116" s="18">
        <v>41881.33</v>
      </c>
      <c r="G9116" s="18">
        <v>104432</v>
      </c>
      <c r="H9116" s="18">
        <f t="shared" si="198"/>
        <v>41862.33</v>
      </c>
    </row>
    <row r="9117" spans="1:8" ht="19.5" customHeight="1" x14ac:dyDescent="0.55000000000000004">
      <c r="A9117" s="18">
        <v>24.8090492</v>
      </c>
      <c r="B9117" s="18">
        <v>34.8200304</v>
      </c>
      <c r="C9117" s="18">
        <v>683961.76</v>
      </c>
      <c r="D9117" s="18">
        <v>2745030.57</v>
      </c>
      <c r="E9117" s="18">
        <v>285.52999999999997</v>
      </c>
      <c r="F9117" s="18">
        <v>41880.19</v>
      </c>
      <c r="G9117" s="18">
        <v>104434</v>
      </c>
      <c r="H9117" s="18">
        <f t="shared" si="198"/>
        <v>41861.19</v>
      </c>
    </row>
    <row r="9118" spans="1:8" ht="19.5" customHeight="1" x14ac:dyDescent="0.55000000000000004">
      <c r="A9118" s="18">
        <v>24.809065199999999</v>
      </c>
      <c r="B9118" s="18">
        <v>34.820017</v>
      </c>
      <c r="C9118" s="18">
        <v>683960.37</v>
      </c>
      <c r="D9118" s="18">
        <v>2745032.32</v>
      </c>
      <c r="E9118" s="18">
        <v>285.8</v>
      </c>
      <c r="F9118" s="18">
        <v>41879.360000000001</v>
      </c>
      <c r="G9118" s="18">
        <v>104436</v>
      </c>
      <c r="H9118" s="18">
        <f t="shared" si="198"/>
        <v>41860.36</v>
      </c>
    </row>
    <row r="9119" spans="1:8" ht="19.5" customHeight="1" x14ac:dyDescent="0.55000000000000004">
      <c r="A9119" s="18">
        <v>24.809083999999999</v>
      </c>
      <c r="B9119" s="18">
        <v>34.820005700000003</v>
      </c>
      <c r="C9119" s="18">
        <v>683959.2</v>
      </c>
      <c r="D9119" s="18">
        <v>2745034.39</v>
      </c>
      <c r="E9119" s="18">
        <v>285.92</v>
      </c>
      <c r="F9119" s="18">
        <v>41878.35</v>
      </c>
      <c r="G9119" s="18">
        <v>104438</v>
      </c>
      <c r="H9119" s="18">
        <f t="shared" si="198"/>
        <v>41859.35</v>
      </c>
    </row>
    <row r="9120" spans="1:8" ht="19.5" customHeight="1" x14ac:dyDescent="0.55000000000000004">
      <c r="A9120" s="18">
        <v>24.809098899999999</v>
      </c>
      <c r="B9120" s="18">
        <v>34.819991000000002</v>
      </c>
      <c r="C9120" s="18">
        <v>683957.7</v>
      </c>
      <c r="D9120" s="18">
        <v>2745036.02</v>
      </c>
      <c r="E9120" s="18">
        <v>285.99</v>
      </c>
      <c r="F9120" s="18">
        <v>41880.050000000003</v>
      </c>
      <c r="G9120" s="18">
        <v>104440</v>
      </c>
      <c r="H9120" s="18">
        <f t="shared" si="198"/>
        <v>41861.050000000003</v>
      </c>
    </row>
    <row r="9121" spans="1:8" ht="19.5" customHeight="1" x14ac:dyDescent="0.55000000000000004">
      <c r="A9121" s="18">
        <v>24.809111999999999</v>
      </c>
      <c r="B9121" s="18">
        <v>34.819971899999999</v>
      </c>
      <c r="C9121" s="18">
        <v>683955.74</v>
      </c>
      <c r="D9121" s="18">
        <v>2745037.44</v>
      </c>
      <c r="E9121" s="18">
        <v>286.13</v>
      </c>
      <c r="F9121" s="18">
        <v>41879.94</v>
      </c>
      <c r="G9121" s="18">
        <v>104442</v>
      </c>
      <c r="H9121" s="18">
        <f t="shared" si="198"/>
        <v>41860.94</v>
      </c>
    </row>
    <row r="9122" spans="1:8" ht="19.5" customHeight="1" x14ac:dyDescent="0.55000000000000004">
      <c r="A9122" s="18">
        <v>24.809129800000001</v>
      </c>
      <c r="B9122" s="18">
        <v>34.819956300000001</v>
      </c>
      <c r="C9122" s="18">
        <v>683954.15</v>
      </c>
      <c r="D9122" s="18">
        <v>2745039.39</v>
      </c>
      <c r="E9122" s="18">
        <v>286.04000000000002</v>
      </c>
      <c r="F9122" s="18">
        <v>41876.82</v>
      </c>
      <c r="G9122" s="18">
        <v>104444</v>
      </c>
      <c r="H9122" s="18">
        <f t="shared" si="198"/>
        <v>41857.82</v>
      </c>
    </row>
    <row r="9123" spans="1:8" ht="19.5" customHeight="1" x14ac:dyDescent="0.55000000000000004">
      <c r="A9123" s="18">
        <v>24.8091443</v>
      </c>
      <c r="B9123" s="18">
        <v>34.819936400000003</v>
      </c>
      <c r="C9123" s="18">
        <v>683952.11</v>
      </c>
      <c r="D9123" s="18">
        <v>2745040.98</v>
      </c>
      <c r="E9123" s="18">
        <v>286.08999999999997</v>
      </c>
      <c r="F9123" s="18">
        <v>41877.97</v>
      </c>
      <c r="G9123" s="18">
        <v>104446</v>
      </c>
      <c r="H9123" s="18">
        <f t="shared" si="198"/>
        <v>41858.97</v>
      </c>
    </row>
    <row r="9124" spans="1:8" ht="19.5" customHeight="1" x14ac:dyDescent="0.55000000000000004">
      <c r="A9124" s="18">
        <v>24.809159000000001</v>
      </c>
      <c r="B9124" s="18">
        <v>34.8199173</v>
      </c>
      <c r="C9124" s="18">
        <v>683950.15</v>
      </c>
      <c r="D9124" s="18">
        <v>2745042.57</v>
      </c>
      <c r="E9124" s="18">
        <v>286.12</v>
      </c>
      <c r="F9124" s="18">
        <v>41879.29</v>
      </c>
      <c r="G9124" s="18">
        <v>104448</v>
      </c>
      <c r="H9124" s="18">
        <f t="shared" si="198"/>
        <v>41860.29</v>
      </c>
    </row>
    <row r="9125" spans="1:8" ht="19.5" customHeight="1" x14ac:dyDescent="0.55000000000000004">
      <c r="A9125" s="18">
        <v>24.8091781</v>
      </c>
      <c r="B9125" s="18">
        <v>34.819899200000002</v>
      </c>
      <c r="C9125" s="18">
        <v>683948.3</v>
      </c>
      <c r="D9125" s="18">
        <v>2745044.66</v>
      </c>
      <c r="E9125" s="18">
        <v>286.02</v>
      </c>
      <c r="F9125" s="18">
        <v>41880.57</v>
      </c>
      <c r="G9125" s="18">
        <v>104450</v>
      </c>
      <c r="H9125" s="18">
        <f t="shared" si="198"/>
        <v>41861.57</v>
      </c>
    </row>
    <row r="9126" spans="1:8" ht="19.5" customHeight="1" x14ac:dyDescent="0.55000000000000004">
      <c r="A9126" s="18">
        <v>24.809194699999999</v>
      </c>
      <c r="B9126" s="18">
        <v>34.819882300000003</v>
      </c>
      <c r="C9126" s="18">
        <v>683946.57</v>
      </c>
      <c r="D9126" s="18">
        <v>2745046.48</v>
      </c>
      <c r="E9126" s="18">
        <v>286.24</v>
      </c>
      <c r="F9126" s="18">
        <v>41879.33</v>
      </c>
      <c r="G9126" s="18">
        <v>104452</v>
      </c>
      <c r="H9126" s="18">
        <f t="shared" si="198"/>
        <v>41860.33</v>
      </c>
    </row>
    <row r="9127" spans="1:8" ht="19.5" customHeight="1" x14ac:dyDescent="0.55000000000000004">
      <c r="A9127" s="18">
        <v>24.809210100000001</v>
      </c>
      <c r="B9127" s="18">
        <v>34.8198626</v>
      </c>
      <c r="C9127" s="18">
        <v>683944.55</v>
      </c>
      <c r="D9127" s="18">
        <v>2745048.17</v>
      </c>
      <c r="E9127" s="18">
        <v>286.3</v>
      </c>
      <c r="F9127" s="18">
        <v>41879.35</v>
      </c>
      <c r="G9127" s="18">
        <v>104454</v>
      </c>
      <c r="H9127" s="18">
        <f t="shared" si="198"/>
        <v>41860.35</v>
      </c>
    </row>
    <row r="9128" spans="1:8" ht="19.5" customHeight="1" x14ac:dyDescent="0.55000000000000004">
      <c r="A9128" s="18">
        <v>24.809224700000001</v>
      </c>
      <c r="B9128" s="18">
        <v>34.819841599999997</v>
      </c>
      <c r="C9128" s="18">
        <v>683942.40000000002</v>
      </c>
      <c r="D9128" s="18">
        <v>2745049.76</v>
      </c>
      <c r="E9128" s="18">
        <v>286.31</v>
      </c>
      <c r="F9128" s="18">
        <v>41878.26</v>
      </c>
      <c r="G9128" s="18">
        <v>104456</v>
      </c>
      <c r="H9128" s="18">
        <f t="shared" si="198"/>
        <v>41859.26</v>
      </c>
    </row>
    <row r="9129" spans="1:8" ht="19.5" customHeight="1" x14ac:dyDescent="0.55000000000000004">
      <c r="A9129" s="18">
        <v>24.809242399999999</v>
      </c>
      <c r="B9129" s="18">
        <v>34.819821400000002</v>
      </c>
      <c r="C9129" s="18">
        <v>683940.33</v>
      </c>
      <c r="D9129" s="18">
        <v>2745051.68</v>
      </c>
      <c r="E9129" s="18">
        <v>286.38</v>
      </c>
      <c r="F9129" s="18">
        <v>41879.050000000003</v>
      </c>
      <c r="G9129" s="18">
        <v>104458</v>
      </c>
      <c r="H9129" s="18">
        <f t="shared" si="198"/>
        <v>41860.050000000003</v>
      </c>
    </row>
    <row r="9130" spans="1:8" ht="19.5" customHeight="1" x14ac:dyDescent="0.55000000000000004">
      <c r="A9130" s="18">
        <v>24.809257599999999</v>
      </c>
      <c r="B9130" s="18">
        <v>34.819805799999997</v>
      </c>
      <c r="C9130" s="18">
        <v>683938.74</v>
      </c>
      <c r="D9130" s="18">
        <v>2745053.34</v>
      </c>
      <c r="E9130" s="18">
        <v>286.41000000000003</v>
      </c>
      <c r="F9130" s="18">
        <v>41878</v>
      </c>
      <c r="G9130" s="18">
        <v>104500</v>
      </c>
      <c r="H9130" s="18">
        <f t="shared" si="198"/>
        <v>41859</v>
      </c>
    </row>
    <row r="9131" spans="1:8" ht="19.5" customHeight="1" x14ac:dyDescent="0.55000000000000004">
      <c r="A9131" s="18">
        <v>24.809270699999999</v>
      </c>
      <c r="B9131" s="18">
        <v>34.819788799999998</v>
      </c>
      <c r="C9131" s="18">
        <v>683937</v>
      </c>
      <c r="D9131" s="18">
        <v>2745054.77</v>
      </c>
      <c r="E9131" s="18">
        <v>286.52999999999997</v>
      </c>
      <c r="F9131" s="18">
        <v>41880.14</v>
      </c>
      <c r="G9131" s="18">
        <v>104502</v>
      </c>
      <c r="H9131" s="18">
        <f t="shared" si="198"/>
        <v>41861.14</v>
      </c>
    </row>
    <row r="9132" spans="1:8" ht="19.5" customHeight="1" x14ac:dyDescent="0.55000000000000004">
      <c r="A9132" s="18">
        <v>24.809288200000001</v>
      </c>
      <c r="B9132" s="18">
        <v>34.819779400000002</v>
      </c>
      <c r="C9132" s="18">
        <v>683936.02</v>
      </c>
      <c r="D9132" s="18">
        <v>2745056.7</v>
      </c>
      <c r="E9132" s="18">
        <v>286.36</v>
      </c>
      <c r="F9132" s="18">
        <v>41879.97</v>
      </c>
      <c r="G9132" s="18">
        <v>104504</v>
      </c>
      <c r="H9132" s="18">
        <f t="shared" si="198"/>
        <v>41860.97</v>
      </c>
    </row>
    <row r="9133" spans="1:8" ht="19.5" customHeight="1" x14ac:dyDescent="0.55000000000000004">
      <c r="A9133" s="18">
        <v>24.8093054</v>
      </c>
      <c r="B9133" s="18">
        <v>34.8197653</v>
      </c>
      <c r="C9133" s="18">
        <v>683934.57</v>
      </c>
      <c r="D9133" s="18">
        <v>2745058.59</v>
      </c>
      <c r="E9133" s="18">
        <v>286.42</v>
      </c>
      <c r="F9133" s="18">
        <v>41879.910000000003</v>
      </c>
      <c r="G9133" s="18">
        <v>104506</v>
      </c>
      <c r="H9133" s="18">
        <f t="shared" si="198"/>
        <v>41860.910000000003</v>
      </c>
    </row>
    <row r="9134" spans="1:8" ht="19.5" customHeight="1" x14ac:dyDescent="0.55000000000000004">
      <c r="A9134" s="18">
        <v>24.809322600000002</v>
      </c>
      <c r="B9134" s="18">
        <v>34.819751099999998</v>
      </c>
      <c r="C9134" s="18">
        <v>683933.11</v>
      </c>
      <c r="D9134" s="18">
        <v>2745060.47</v>
      </c>
      <c r="E9134" s="18">
        <v>286.44</v>
      </c>
      <c r="F9134" s="18">
        <v>41881.35</v>
      </c>
      <c r="G9134" s="18">
        <v>104508</v>
      </c>
      <c r="H9134" s="18">
        <f t="shared" si="198"/>
        <v>41862.35</v>
      </c>
    </row>
    <row r="9135" spans="1:8" ht="19.5" customHeight="1" x14ac:dyDescent="0.55000000000000004">
      <c r="A9135" s="18">
        <v>24.809334</v>
      </c>
      <c r="B9135" s="18">
        <v>34.8197361</v>
      </c>
      <c r="C9135" s="18">
        <v>683931.58</v>
      </c>
      <c r="D9135" s="18">
        <v>2745061.71</v>
      </c>
      <c r="E9135" s="18">
        <v>286.56</v>
      </c>
      <c r="F9135" s="18">
        <v>41878.75</v>
      </c>
      <c r="G9135" s="18">
        <v>104510</v>
      </c>
      <c r="H9135" s="18">
        <f t="shared" si="198"/>
        <v>41859.75</v>
      </c>
    </row>
    <row r="9136" spans="1:8" ht="19.5" customHeight="1" x14ac:dyDescent="0.55000000000000004">
      <c r="A9136" s="18">
        <v>24.8093465</v>
      </c>
      <c r="B9136" s="18">
        <v>34.819722800000001</v>
      </c>
      <c r="C9136" s="18">
        <v>683930.22</v>
      </c>
      <c r="D9136" s="18">
        <v>2745063.08</v>
      </c>
      <c r="E9136" s="18">
        <v>286.60000000000002</v>
      </c>
      <c r="F9136" s="18">
        <v>41878.839999999997</v>
      </c>
      <c r="G9136" s="18">
        <v>104512</v>
      </c>
      <c r="H9136" s="18">
        <f t="shared" si="198"/>
        <v>41859.839999999997</v>
      </c>
    </row>
    <row r="9137" spans="1:8" ht="19.5" customHeight="1" x14ac:dyDescent="0.55000000000000004">
      <c r="A9137" s="18">
        <v>24.809358599999999</v>
      </c>
      <c r="B9137" s="18">
        <v>34.819711499999997</v>
      </c>
      <c r="C9137" s="18">
        <v>683929.06</v>
      </c>
      <c r="D9137" s="18">
        <v>2745064.4</v>
      </c>
      <c r="E9137" s="18">
        <v>286.68</v>
      </c>
      <c r="F9137" s="18">
        <v>41879.230000000003</v>
      </c>
      <c r="G9137" s="18">
        <v>104514</v>
      </c>
      <c r="H9137" s="18">
        <f t="shared" si="198"/>
        <v>41860.230000000003</v>
      </c>
    </row>
    <row r="9138" spans="1:8" ht="19.5" customHeight="1" x14ac:dyDescent="0.55000000000000004">
      <c r="A9138" s="18">
        <v>24.809373000000001</v>
      </c>
      <c r="B9138" s="18">
        <v>34.819701500000001</v>
      </c>
      <c r="C9138" s="18">
        <v>683928.02</v>
      </c>
      <c r="D9138" s="18">
        <v>2745065.99</v>
      </c>
      <c r="E9138" s="18">
        <v>286.75</v>
      </c>
      <c r="F9138" s="18">
        <v>41882.39</v>
      </c>
      <c r="G9138" s="18">
        <v>104516</v>
      </c>
      <c r="H9138" s="18">
        <f t="shared" si="198"/>
        <v>41863.39</v>
      </c>
    </row>
    <row r="9139" spans="1:8" ht="19.5" customHeight="1" x14ac:dyDescent="0.55000000000000004">
      <c r="A9139" s="18">
        <v>24.809383</v>
      </c>
      <c r="B9139" s="18">
        <v>34.819690600000001</v>
      </c>
      <c r="C9139" s="18">
        <v>683926.9</v>
      </c>
      <c r="D9139" s="18">
        <v>2745067.08</v>
      </c>
      <c r="E9139" s="18">
        <v>286.77999999999997</v>
      </c>
      <c r="F9139" s="18">
        <v>41884.400000000001</v>
      </c>
      <c r="G9139" s="18">
        <v>104518</v>
      </c>
      <c r="H9139" s="18">
        <f t="shared" ref="H9139:H9202" si="199">SUM(F9139-19)</f>
        <v>41865.4</v>
      </c>
    </row>
    <row r="9140" spans="1:8" ht="19.5" customHeight="1" x14ac:dyDescent="0.55000000000000004">
      <c r="A9140" s="18">
        <v>24.809388299999998</v>
      </c>
      <c r="B9140" s="18">
        <v>34.819680300000002</v>
      </c>
      <c r="C9140" s="18">
        <v>683925.86</v>
      </c>
      <c r="D9140" s="18">
        <v>2745067.65</v>
      </c>
      <c r="E9140" s="18">
        <v>286.82</v>
      </c>
      <c r="F9140" s="18">
        <v>41880.86</v>
      </c>
      <c r="G9140" s="18">
        <v>104520</v>
      </c>
      <c r="H9140" s="18">
        <f t="shared" si="199"/>
        <v>41861.86</v>
      </c>
    </row>
    <row r="9141" spans="1:8" ht="19.5" customHeight="1" x14ac:dyDescent="0.55000000000000004">
      <c r="A9141" s="18">
        <v>24.809395599999998</v>
      </c>
      <c r="B9141" s="18">
        <v>34.819671300000003</v>
      </c>
      <c r="C9141" s="18">
        <v>683924.94</v>
      </c>
      <c r="D9141" s="18">
        <v>2745068.45</v>
      </c>
      <c r="E9141" s="18">
        <v>286.81</v>
      </c>
      <c r="F9141" s="18">
        <v>41878.25</v>
      </c>
      <c r="G9141" s="18">
        <v>104522</v>
      </c>
      <c r="H9141" s="18">
        <f t="shared" si="199"/>
        <v>41859.25</v>
      </c>
    </row>
    <row r="9142" spans="1:8" ht="19.5" customHeight="1" x14ac:dyDescent="0.55000000000000004">
      <c r="A9142" s="18">
        <v>24.809400799999999</v>
      </c>
      <c r="B9142" s="18">
        <v>34.8196631</v>
      </c>
      <c r="C9142" s="18">
        <v>683924.1</v>
      </c>
      <c r="D9142" s="18">
        <v>2745069.01</v>
      </c>
      <c r="E9142" s="18">
        <v>286.81</v>
      </c>
      <c r="F9142" s="18">
        <v>41879.81</v>
      </c>
      <c r="G9142" s="18">
        <v>104524</v>
      </c>
      <c r="H9142" s="18">
        <f t="shared" si="199"/>
        <v>41860.81</v>
      </c>
    </row>
    <row r="9143" spans="1:8" ht="19.5" customHeight="1" x14ac:dyDescent="0.55000000000000004">
      <c r="A9143" s="18">
        <v>24.809402899999998</v>
      </c>
      <c r="B9143" s="18">
        <v>34.819654</v>
      </c>
      <c r="C9143" s="18">
        <v>683923.18</v>
      </c>
      <c r="D9143" s="18">
        <v>2745069.24</v>
      </c>
      <c r="E9143" s="18">
        <v>286.88</v>
      </c>
      <c r="F9143" s="18">
        <v>41881.040000000001</v>
      </c>
      <c r="G9143" s="18">
        <v>104526</v>
      </c>
      <c r="H9143" s="18">
        <f t="shared" si="199"/>
        <v>41862.04</v>
      </c>
    </row>
    <row r="9144" spans="1:8" ht="19.5" customHeight="1" x14ac:dyDescent="0.55000000000000004">
      <c r="A9144" s="18">
        <v>24.809401999999999</v>
      </c>
      <c r="B9144" s="18">
        <v>34.819647099999997</v>
      </c>
      <c r="C9144" s="18">
        <v>683922.48</v>
      </c>
      <c r="D9144" s="18">
        <v>2745069.12</v>
      </c>
      <c r="E9144" s="18">
        <v>286.85000000000002</v>
      </c>
      <c r="F9144" s="18">
        <v>41880.75</v>
      </c>
      <c r="G9144" s="18">
        <v>104528</v>
      </c>
      <c r="H9144" s="18">
        <f t="shared" si="199"/>
        <v>41861.75</v>
      </c>
    </row>
    <row r="9145" spans="1:8" ht="19.5" customHeight="1" x14ac:dyDescent="0.55000000000000004">
      <c r="A9145" s="18">
        <v>24.8094021</v>
      </c>
      <c r="B9145" s="18">
        <v>34.819638099999999</v>
      </c>
      <c r="C9145" s="18">
        <v>683921.57</v>
      </c>
      <c r="D9145" s="18">
        <v>2745069.12</v>
      </c>
      <c r="E9145" s="18">
        <v>286.91000000000003</v>
      </c>
      <c r="F9145" s="18">
        <v>41878.910000000003</v>
      </c>
      <c r="G9145" s="18">
        <v>104530</v>
      </c>
      <c r="H9145" s="18">
        <f t="shared" si="199"/>
        <v>41859.910000000003</v>
      </c>
    </row>
    <row r="9146" spans="1:8" ht="19.5" customHeight="1" x14ac:dyDescent="0.55000000000000004">
      <c r="A9146" s="18">
        <v>24.809401099999999</v>
      </c>
      <c r="B9146" s="18">
        <v>34.819628199999997</v>
      </c>
      <c r="C9146" s="18">
        <v>683920.58</v>
      </c>
      <c r="D9146" s="18">
        <v>2745069.01</v>
      </c>
      <c r="E9146" s="18">
        <v>286.92</v>
      </c>
      <c r="F9146" s="18">
        <v>41876.93</v>
      </c>
      <c r="G9146" s="18">
        <v>104532</v>
      </c>
      <c r="H9146" s="18">
        <f t="shared" si="199"/>
        <v>41857.93</v>
      </c>
    </row>
    <row r="9147" spans="1:8" ht="19.5" customHeight="1" x14ac:dyDescent="0.55000000000000004">
      <c r="A9147" s="18">
        <v>24.809400100000001</v>
      </c>
      <c r="B9147" s="18">
        <v>34.8196139</v>
      </c>
      <c r="C9147" s="18">
        <v>683919.13</v>
      </c>
      <c r="D9147" s="18">
        <v>2745068.88</v>
      </c>
      <c r="E9147" s="18">
        <v>286.91000000000003</v>
      </c>
      <c r="F9147" s="18">
        <v>41882.629999999997</v>
      </c>
      <c r="G9147" s="18">
        <v>104534</v>
      </c>
      <c r="H9147" s="18">
        <f t="shared" si="199"/>
        <v>41863.629999999997</v>
      </c>
    </row>
    <row r="9148" spans="1:8" ht="19.5" customHeight="1" x14ac:dyDescent="0.55000000000000004">
      <c r="A9148" s="18">
        <v>24.809405000000002</v>
      </c>
      <c r="B9148" s="18">
        <v>34.819595499999998</v>
      </c>
      <c r="C9148" s="18">
        <v>683917.26</v>
      </c>
      <c r="D9148" s="18">
        <v>2745069.39</v>
      </c>
      <c r="E9148" s="18">
        <v>286.98</v>
      </c>
      <c r="F9148" s="18">
        <v>41880.1</v>
      </c>
      <c r="G9148" s="18">
        <v>104536</v>
      </c>
      <c r="H9148" s="18">
        <f t="shared" si="199"/>
        <v>41861.1</v>
      </c>
    </row>
    <row r="9149" spans="1:8" ht="19.5" customHeight="1" x14ac:dyDescent="0.55000000000000004">
      <c r="A9149" s="18">
        <v>24.8094158</v>
      </c>
      <c r="B9149" s="18">
        <v>34.819578399999997</v>
      </c>
      <c r="C9149" s="18">
        <v>683915.51</v>
      </c>
      <c r="D9149" s="18">
        <v>2745070.56</v>
      </c>
      <c r="E9149" s="18">
        <v>287.07</v>
      </c>
      <c r="F9149" s="18">
        <v>41885.18</v>
      </c>
      <c r="G9149" s="18">
        <v>104538</v>
      </c>
      <c r="H9149" s="18">
        <f t="shared" si="199"/>
        <v>41866.18</v>
      </c>
    </row>
    <row r="9150" spans="1:8" ht="19.5" customHeight="1" x14ac:dyDescent="0.55000000000000004">
      <c r="A9150" s="18">
        <v>24.809424700000001</v>
      </c>
      <c r="B9150" s="18">
        <v>34.819562400000002</v>
      </c>
      <c r="C9150" s="18">
        <v>683913.89</v>
      </c>
      <c r="D9150" s="18">
        <v>2745071.53</v>
      </c>
      <c r="E9150" s="18">
        <v>287.11</v>
      </c>
      <c r="F9150" s="18">
        <v>41881.17</v>
      </c>
      <c r="G9150" s="18">
        <v>104540</v>
      </c>
      <c r="H9150" s="18">
        <f t="shared" si="199"/>
        <v>41862.17</v>
      </c>
    </row>
    <row r="9151" spans="1:8" ht="19.5" customHeight="1" x14ac:dyDescent="0.55000000000000004">
      <c r="A9151" s="18">
        <v>24.809436000000002</v>
      </c>
      <c r="B9151" s="18">
        <v>34.8195421</v>
      </c>
      <c r="C9151" s="18">
        <v>683911.82</v>
      </c>
      <c r="D9151" s="18">
        <v>2745072.75</v>
      </c>
      <c r="E9151" s="18">
        <v>287.14</v>
      </c>
      <c r="F9151" s="18">
        <v>41882.44</v>
      </c>
      <c r="G9151" s="18">
        <v>104542</v>
      </c>
      <c r="H9151" s="18">
        <f t="shared" si="199"/>
        <v>41863.440000000002</v>
      </c>
    </row>
    <row r="9152" spans="1:8" ht="19.5" customHeight="1" x14ac:dyDescent="0.55000000000000004">
      <c r="A9152" s="18">
        <v>24.809448400000001</v>
      </c>
      <c r="B9152" s="18">
        <v>34.819523400000001</v>
      </c>
      <c r="C9152" s="18">
        <v>683909.9</v>
      </c>
      <c r="D9152" s="18">
        <v>2745074.1</v>
      </c>
      <c r="E9152" s="18">
        <v>287.26</v>
      </c>
      <c r="F9152" s="18">
        <v>41879.379999999997</v>
      </c>
      <c r="G9152" s="18">
        <v>104544</v>
      </c>
      <c r="H9152" s="18">
        <f t="shared" si="199"/>
        <v>41860.379999999997</v>
      </c>
    </row>
    <row r="9153" spans="1:8" ht="19.5" customHeight="1" x14ac:dyDescent="0.55000000000000004">
      <c r="A9153" s="18">
        <v>24.809450600000002</v>
      </c>
      <c r="B9153" s="18">
        <v>34.819502300000003</v>
      </c>
      <c r="C9153" s="18">
        <v>683907.77</v>
      </c>
      <c r="D9153" s="18">
        <v>2745074.31</v>
      </c>
      <c r="E9153" s="18">
        <v>287.23</v>
      </c>
      <c r="F9153" s="18">
        <v>41881</v>
      </c>
      <c r="G9153" s="18">
        <v>104546</v>
      </c>
      <c r="H9153" s="18">
        <f t="shared" si="199"/>
        <v>41862</v>
      </c>
    </row>
    <row r="9154" spans="1:8" ht="19.5" customHeight="1" x14ac:dyDescent="0.55000000000000004">
      <c r="A9154" s="18">
        <v>24.809448199999999</v>
      </c>
      <c r="B9154" s="18">
        <v>34.819488900000003</v>
      </c>
      <c r="C9154" s="18">
        <v>683906.42</v>
      </c>
      <c r="D9154" s="18">
        <v>2745074.04</v>
      </c>
      <c r="E9154" s="18">
        <v>287.29000000000002</v>
      </c>
      <c r="F9154" s="18">
        <v>41876.92</v>
      </c>
      <c r="G9154" s="18">
        <v>104548</v>
      </c>
      <c r="H9154" s="18">
        <f t="shared" si="199"/>
        <v>41857.919999999998</v>
      </c>
    </row>
    <row r="9155" spans="1:8" ht="19.5" customHeight="1" x14ac:dyDescent="0.55000000000000004">
      <c r="A9155" s="18">
        <v>24.809446300000001</v>
      </c>
      <c r="B9155" s="18">
        <v>34.819483300000002</v>
      </c>
      <c r="C9155" s="18">
        <v>683905.86</v>
      </c>
      <c r="D9155" s="18">
        <v>2745073.81</v>
      </c>
      <c r="E9155" s="18">
        <v>287.33999999999997</v>
      </c>
      <c r="F9155" s="18">
        <v>41878.660000000003</v>
      </c>
      <c r="G9155" s="18">
        <v>104550</v>
      </c>
      <c r="H9155" s="18">
        <f t="shared" si="199"/>
        <v>41859.660000000003</v>
      </c>
    </row>
    <row r="9156" spans="1:8" ht="19.5" customHeight="1" x14ac:dyDescent="0.55000000000000004">
      <c r="A9156" s="18">
        <v>24.8094456</v>
      </c>
      <c r="B9156" s="18">
        <v>34.819483599999998</v>
      </c>
      <c r="C9156" s="18">
        <v>683905.88</v>
      </c>
      <c r="D9156" s="18">
        <v>2745073.73</v>
      </c>
      <c r="E9156" s="18">
        <v>287.36</v>
      </c>
      <c r="F9156" s="18">
        <v>41880.9</v>
      </c>
      <c r="G9156" s="18">
        <v>104552</v>
      </c>
      <c r="H9156" s="18">
        <f t="shared" si="199"/>
        <v>41861.9</v>
      </c>
    </row>
    <row r="9157" spans="1:8" ht="19.5" customHeight="1" x14ac:dyDescent="0.55000000000000004">
      <c r="A9157" s="18">
        <v>24.809440500000001</v>
      </c>
      <c r="B9157" s="18">
        <v>34.819472900000001</v>
      </c>
      <c r="C9157" s="18">
        <v>683904.81</v>
      </c>
      <c r="D9157" s="18">
        <v>2745073.16</v>
      </c>
      <c r="E9157" s="18">
        <v>287.39</v>
      </c>
      <c r="F9157" s="18">
        <v>41886.089999999997</v>
      </c>
      <c r="G9157" s="18">
        <v>104554</v>
      </c>
      <c r="H9157" s="18">
        <f t="shared" si="199"/>
        <v>41867.089999999997</v>
      </c>
    </row>
    <row r="9158" spans="1:8" ht="19.5" customHeight="1" x14ac:dyDescent="0.55000000000000004">
      <c r="A9158" s="18">
        <v>24.809450900000002</v>
      </c>
      <c r="B9158" s="18">
        <v>34.819451299999997</v>
      </c>
      <c r="C9158" s="18">
        <v>683902.61</v>
      </c>
      <c r="D9158" s="18">
        <v>2745074.28</v>
      </c>
      <c r="E9158" s="18">
        <v>287.43</v>
      </c>
      <c r="F9158" s="18">
        <v>41881.949999999997</v>
      </c>
      <c r="G9158" s="18">
        <v>104556</v>
      </c>
      <c r="H9158" s="18">
        <f t="shared" si="199"/>
        <v>41862.949999999997</v>
      </c>
    </row>
    <row r="9159" spans="1:8" ht="19.5" customHeight="1" x14ac:dyDescent="0.55000000000000004">
      <c r="A9159" s="18">
        <v>24.809465500000002</v>
      </c>
      <c r="B9159" s="18">
        <v>34.819429</v>
      </c>
      <c r="C9159" s="18">
        <v>683900.34</v>
      </c>
      <c r="D9159" s="18">
        <v>2745075.86</v>
      </c>
      <c r="E9159" s="18">
        <v>287.57</v>
      </c>
      <c r="F9159" s="18">
        <v>41882.870000000003</v>
      </c>
      <c r="G9159" s="18">
        <v>104558</v>
      </c>
      <c r="H9159" s="18">
        <f t="shared" si="199"/>
        <v>41863.870000000003</v>
      </c>
    </row>
    <row r="9160" spans="1:8" ht="19.5" customHeight="1" x14ac:dyDescent="0.55000000000000004">
      <c r="A9160" s="18">
        <v>24.809481399999999</v>
      </c>
      <c r="B9160" s="18">
        <v>34.819406700000002</v>
      </c>
      <c r="C9160" s="18">
        <v>683898.06</v>
      </c>
      <c r="D9160" s="18">
        <v>2745077.6</v>
      </c>
      <c r="E9160" s="18">
        <v>287.7</v>
      </c>
      <c r="F9160" s="18">
        <v>41882.19</v>
      </c>
      <c r="G9160" s="18">
        <v>104600</v>
      </c>
      <c r="H9160" s="18">
        <f t="shared" si="199"/>
        <v>41863.19</v>
      </c>
    </row>
    <row r="9161" spans="1:8" ht="19.5" customHeight="1" x14ac:dyDescent="0.55000000000000004">
      <c r="A9161" s="18">
        <v>24.8094967</v>
      </c>
      <c r="B9161" s="18">
        <v>34.819383999999999</v>
      </c>
      <c r="C9161" s="18">
        <v>683895.74</v>
      </c>
      <c r="D9161" s="18">
        <v>2745079.26</v>
      </c>
      <c r="E9161" s="18">
        <v>287.7</v>
      </c>
      <c r="F9161" s="18">
        <v>41884.769999999997</v>
      </c>
      <c r="G9161" s="18">
        <v>104602</v>
      </c>
      <c r="H9161" s="18">
        <f t="shared" si="199"/>
        <v>41865.769999999997</v>
      </c>
    </row>
    <row r="9162" spans="1:8" ht="19.5" customHeight="1" x14ac:dyDescent="0.55000000000000004">
      <c r="A9162" s="18">
        <v>24.8095085</v>
      </c>
      <c r="B9162" s="18">
        <v>34.819356399999997</v>
      </c>
      <c r="C9162" s="18">
        <v>683892.94</v>
      </c>
      <c r="D9162" s="18">
        <v>2745080.54</v>
      </c>
      <c r="E9162" s="18">
        <v>287.76</v>
      </c>
      <c r="F9162" s="18">
        <v>41881.32</v>
      </c>
      <c r="G9162" s="18">
        <v>104604</v>
      </c>
      <c r="H9162" s="18">
        <f t="shared" si="199"/>
        <v>41862.32</v>
      </c>
    </row>
    <row r="9163" spans="1:8" ht="19.5" customHeight="1" x14ac:dyDescent="0.55000000000000004">
      <c r="A9163" s="18">
        <v>24.8095201</v>
      </c>
      <c r="B9163" s="18">
        <v>34.819330999999998</v>
      </c>
      <c r="C9163" s="18">
        <v>683890.35</v>
      </c>
      <c r="D9163" s="18">
        <v>2745081.79</v>
      </c>
      <c r="E9163" s="18">
        <v>287.85000000000002</v>
      </c>
      <c r="F9163" s="18">
        <v>41881.58</v>
      </c>
      <c r="G9163" s="18">
        <v>104606</v>
      </c>
      <c r="H9163" s="18">
        <f t="shared" si="199"/>
        <v>41862.58</v>
      </c>
    </row>
    <row r="9164" spans="1:8" ht="19.5" customHeight="1" x14ac:dyDescent="0.55000000000000004">
      <c r="A9164" s="18">
        <v>24.809530599999999</v>
      </c>
      <c r="B9164" s="18">
        <v>34.819304899999999</v>
      </c>
      <c r="C9164" s="18">
        <v>683887.7</v>
      </c>
      <c r="D9164" s="18">
        <v>2745082.91</v>
      </c>
      <c r="E9164" s="18">
        <v>288</v>
      </c>
      <c r="F9164" s="18">
        <v>41882.74</v>
      </c>
      <c r="G9164" s="18">
        <v>104608</v>
      </c>
      <c r="H9164" s="18">
        <f t="shared" si="199"/>
        <v>41863.74</v>
      </c>
    </row>
    <row r="9165" spans="1:8" ht="19.5" customHeight="1" x14ac:dyDescent="0.55000000000000004">
      <c r="A9165" s="18">
        <v>24.809536600000001</v>
      </c>
      <c r="B9165" s="18">
        <v>34.819277900000003</v>
      </c>
      <c r="C9165" s="18">
        <v>683884.95</v>
      </c>
      <c r="D9165" s="18">
        <v>2745083.54</v>
      </c>
      <c r="E9165" s="18">
        <v>288.13</v>
      </c>
      <c r="F9165" s="18">
        <v>41880.49</v>
      </c>
      <c r="G9165" s="18">
        <v>104610</v>
      </c>
      <c r="H9165" s="18">
        <f t="shared" si="199"/>
        <v>41861.49</v>
      </c>
    </row>
    <row r="9166" spans="1:8" ht="19.5" customHeight="1" x14ac:dyDescent="0.55000000000000004">
      <c r="A9166" s="18">
        <v>24.8095474</v>
      </c>
      <c r="B9166" s="18">
        <v>34.819253199999999</v>
      </c>
      <c r="C9166" s="18">
        <v>683882.45</v>
      </c>
      <c r="D9166" s="18">
        <v>2745084.7</v>
      </c>
      <c r="E9166" s="18">
        <v>288.14999999999998</v>
      </c>
      <c r="F9166" s="18">
        <v>41880.160000000003</v>
      </c>
      <c r="G9166" s="18">
        <v>104612</v>
      </c>
      <c r="H9166" s="18">
        <f t="shared" si="199"/>
        <v>41861.160000000003</v>
      </c>
    </row>
    <row r="9167" spans="1:8" ht="19.5" customHeight="1" x14ac:dyDescent="0.55000000000000004">
      <c r="A9167" s="18">
        <v>24.8095657</v>
      </c>
      <c r="B9167" s="18">
        <v>34.819232700000001</v>
      </c>
      <c r="C9167" s="18">
        <v>683880.35</v>
      </c>
      <c r="D9167" s="18">
        <v>2745086.7</v>
      </c>
      <c r="E9167" s="18">
        <v>288.14999999999998</v>
      </c>
      <c r="F9167" s="18">
        <v>41882.46</v>
      </c>
      <c r="G9167" s="18">
        <v>104614</v>
      </c>
      <c r="H9167" s="18">
        <f t="shared" si="199"/>
        <v>41863.46</v>
      </c>
    </row>
    <row r="9168" spans="1:8" ht="19.5" customHeight="1" x14ac:dyDescent="0.55000000000000004">
      <c r="A9168" s="18">
        <v>24.809585500000001</v>
      </c>
      <c r="B9168" s="18">
        <v>34.819213599999998</v>
      </c>
      <c r="C9168" s="18">
        <v>683878.38</v>
      </c>
      <c r="D9168" s="18">
        <v>2745088.87</v>
      </c>
      <c r="E9168" s="18">
        <v>288.31</v>
      </c>
      <c r="F9168" s="18">
        <v>41883.22</v>
      </c>
      <c r="G9168" s="18">
        <v>104616</v>
      </c>
      <c r="H9168" s="18">
        <f t="shared" si="199"/>
        <v>41864.22</v>
      </c>
    </row>
    <row r="9169" spans="1:8" ht="19.5" customHeight="1" x14ac:dyDescent="0.55000000000000004">
      <c r="A9169" s="18">
        <v>24.809602300000002</v>
      </c>
      <c r="B9169" s="18">
        <v>34.819192200000003</v>
      </c>
      <c r="C9169" s="18">
        <v>683876.19</v>
      </c>
      <c r="D9169" s="18">
        <v>2745090.7</v>
      </c>
      <c r="E9169" s="18">
        <v>288.35000000000002</v>
      </c>
      <c r="F9169" s="18">
        <v>41882.79</v>
      </c>
      <c r="G9169" s="18">
        <v>104618</v>
      </c>
      <c r="H9169" s="18">
        <f t="shared" si="199"/>
        <v>41863.79</v>
      </c>
    </row>
    <row r="9170" spans="1:8" ht="19.5" customHeight="1" x14ac:dyDescent="0.55000000000000004">
      <c r="A9170" s="18">
        <v>24.809616699999999</v>
      </c>
      <c r="B9170" s="18">
        <v>34.819168099999999</v>
      </c>
      <c r="C9170" s="18">
        <v>683873.74</v>
      </c>
      <c r="D9170" s="18">
        <v>2745092.26</v>
      </c>
      <c r="E9170" s="18">
        <v>288.37</v>
      </c>
      <c r="F9170" s="18">
        <v>41884.239999999998</v>
      </c>
      <c r="G9170" s="18">
        <v>104620</v>
      </c>
      <c r="H9170" s="18">
        <f t="shared" si="199"/>
        <v>41865.24</v>
      </c>
    </row>
    <row r="9171" spans="1:8" ht="19.5" customHeight="1" x14ac:dyDescent="0.55000000000000004">
      <c r="A9171" s="18">
        <v>24.8096286</v>
      </c>
      <c r="B9171" s="18">
        <v>34.819144000000001</v>
      </c>
      <c r="C9171" s="18">
        <v>683871.28</v>
      </c>
      <c r="D9171" s="18">
        <v>2745093.55</v>
      </c>
      <c r="E9171" s="18">
        <v>288.44</v>
      </c>
      <c r="F9171" s="18">
        <v>41882.22</v>
      </c>
      <c r="G9171" s="18">
        <v>104622</v>
      </c>
      <c r="H9171" s="18">
        <f t="shared" si="199"/>
        <v>41863.22</v>
      </c>
    </row>
    <row r="9172" spans="1:8" ht="19.5" customHeight="1" x14ac:dyDescent="0.55000000000000004">
      <c r="A9172" s="18">
        <v>24.8096423</v>
      </c>
      <c r="B9172" s="18">
        <v>34.8191202</v>
      </c>
      <c r="C9172" s="18">
        <v>683868.86</v>
      </c>
      <c r="D9172" s="18">
        <v>2745095.03</v>
      </c>
      <c r="E9172" s="18">
        <v>288.51</v>
      </c>
      <c r="F9172" s="18">
        <v>41883.24</v>
      </c>
      <c r="G9172" s="18">
        <v>104624</v>
      </c>
      <c r="H9172" s="18">
        <f t="shared" si="199"/>
        <v>41864.239999999998</v>
      </c>
    </row>
    <row r="9173" spans="1:8" ht="19.5" customHeight="1" x14ac:dyDescent="0.55000000000000004">
      <c r="A9173" s="18">
        <v>24.809659400000001</v>
      </c>
      <c r="B9173" s="18">
        <v>34.819099600000001</v>
      </c>
      <c r="C9173" s="18">
        <v>683866.75</v>
      </c>
      <c r="D9173" s="18">
        <v>2745096.9</v>
      </c>
      <c r="E9173" s="18">
        <v>288.45999999999998</v>
      </c>
      <c r="F9173" s="18">
        <v>41882.639999999999</v>
      </c>
      <c r="G9173" s="18">
        <v>104626</v>
      </c>
      <c r="H9173" s="18">
        <f t="shared" si="199"/>
        <v>41863.64</v>
      </c>
    </row>
    <row r="9174" spans="1:8" ht="19.5" customHeight="1" x14ac:dyDescent="0.55000000000000004">
      <c r="A9174" s="18">
        <v>24.809672299999999</v>
      </c>
      <c r="B9174" s="18">
        <v>34.819075900000001</v>
      </c>
      <c r="C9174" s="18">
        <v>683864.33</v>
      </c>
      <c r="D9174" s="18">
        <v>2745098.3</v>
      </c>
      <c r="E9174" s="18">
        <v>288.49</v>
      </c>
      <c r="F9174" s="18">
        <v>41882.949999999997</v>
      </c>
      <c r="G9174" s="18">
        <v>104628</v>
      </c>
      <c r="H9174" s="18">
        <f t="shared" si="199"/>
        <v>41863.949999999997</v>
      </c>
    </row>
    <row r="9175" spans="1:8" ht="19.5" customHeight="1" x14ac:dyDescent="0.55000000000000004">
      <c r="A9175" s="18">
        <v>24.809686599999999</v>
      </c>
      <c r="B9175" s="18">
        <v>34.819053699999998</v>
      </c>
      <c r="C9175" s="18">
        <v>683862.07</v>
      </c>
      <c r="D9175" s="18">
        <v>2745099.85</v>
      </c>
      <c r="E9175" s="18">
        <v>288.57</v>
      </c>
      <c r="F9175" s="18">
        <v>41886.31</v>
      </c>
      <c r="G9175" s="18">
        <v>104630</v>
      </c>
      <c r="H9175" s="18">
        <f t="shared" si="199"/>
        <v>41867.31</v>
      </c>
    </row>
    <row r="9176" spans="1:8" ht="19.5" customHeight="1" x14ac:dyDescent="0.55000000000000004">
      <c r="A9176" s="18">
        <v>24.809700500000002</v>
      </c>
      <c r="B9176" s="18">
        <v>34.819030599999998</v>
      </c>
      <c r="C9176" s="18">
        <v>683859.71</v>
      </c>
      <c r="D9176" s="18">
        <v>2745101.36</v>
      </c>
      <c r="E9176" s="18">
        <v>288.60000000000002</v>
      </c>
      <c r="F9176" s="18">
        <v>41883.919999999998</v>
      </c>
      <c r="G9176" s="18">
        <v>104632</v>
      </c>
      <c r="H9176" s="18">
        <f t="shared" si="199"/>
        <v>41864.92</v>
      </c>
    </row>
    <row r="9177" spans="1:8" ht="19.5" customHeight="1" x14ac:dyDescent="0.55000000000000004">
      <c r="A9177" s="18">
        <v>24.8097131</v>
      </c>
      <c r="B9177" s="18">
        <v>34.819005500000003</v>
      </c>
      <c r="C9177" s="18">
        <v>683857.16</v>
      </c>
      <c r="D9177" s="18">
        <v>2745102.72</v>
      </c>
      <c r="E9177" s="18">
        <v>288.56</v>
      </c>
      <c r="F9177" s="18">
        <v>41884.959999999999</v>
      </c>
      <c r="G9177" s="18">
        <v>104634</v>
      </c>
      <c r="H9177" s="18">
        <f t="shared" si="199"/>
        <v>41865.96</v>
      </c>
    </row>
    <row r="9178" spans="1:8" ht="19.5" customHeight="1" x14ac:dyDescent="0.55000000000000004">
      <c r="A9178" s="18">
        <v>24.8097286</v>
      </c>
      <c r="B9178" s="18">
        <v>34.818982599999998</v>
      </c>
      <c r="C9178" s="18">
        <v>683854.82</v>
      </c>
      <c r="D9178" s="18">
        <v>2745104.41</v>
      </c>
      <c r="E9178" s="18">
        <v>288.57</v>
      </c>
      <c r="F9178" s="18">
        <v>41883.269999999997</v>
      </c>
      <c r="G9178" s="18">
        <v>104636</v>
      </c>
      <c r="H9178" s="18">
        <f t="shared" si="199"/>
        <v>41864.269999999997</v>
      </c>
    </row>
    <row r="9179" spans="1:8" ht="19.5" customHeight="1" x14ac:dyDescent="0.55000000000000004">
      <c r="A9179" s="18">
        <v>24.809742499999999</v>
      </c>
      <c r="B9179" s="18">
        <v>34.818959300000003</v>
      </c>
      <c r="C9179" s="18">
        <v>683852.44</v>
      </c>
      <c r="D9179" s="18">
        <v>2745105.91</v>
      </c>
      <c r="E9179" s="18">
        <v>288.58</v>
      </c>
      <c r="F9179" s="18">
        <v>41883.9</v>
      </c>
      <c r="G9179" s="18">
        <v>104638</v>
      </c>
      <c r="H9179" s="18">
        <f t="shared" si="199"/>
        <v>41864.9</v>
      </c>
    </row>
    <row r="9180" spans="1:8" ht="19.5" customHeight="1" x14ac:dyDescent="0.55000000000000004">
      <c r="A9180" s="18">
        <v>24.8097575</v>
      </c>
      <c r="B9180" s="18">
        <v>34.818936299999997</v>
      </c>
      <c r="C9180" s="18">
        <v>683850.09</v>
      </c>
      <c r="D9180" s="18">
        <v>2745107.54</v>
      </c>
      <c r="E9180" s="18">
        <v>288.69</v>
      </c>
      <c r="F9180" s="18">
        <v>41881.019999999997</v>
      </c>
      <c r="G9180" s="18">
        <v>104640</v>
      </c>
      <c r="H9180" s="18">
        <f t="shared" si="199"/>
        <v>41862.019999999997</v>
      </c>
    </row>
    <row r="9181" spans="1:8" ht="19.5" customHeight="1" x14ac:dyDescent="0.55000000000000004">
      <c r="A9181" s="18">
        <v>24.809775500000001</v>
      </c>
      <c r="B9181" s="18">
        <v>34.818916799999997</v>
      </c>
      <c r="C9181" s="18">
        <v>683848.1</v>
      </c>
      <c r="D9181" s="18">
        <v>2745109.52</v>
      </c>
      <c r="E9181" s="18">
        <v>288.70999999999998</v>
      </c>
      <c r="F9181" s="18">
        <v>41880.71</v>
      </c>
      <c r="G9181" s="18">
        <v>104642</v>
      </c>
      <c r="H9181" s="18">
        <f t="shared" si="199"/>
        <v>41861.71</v>
      </c>
    </row>
    <row r="9182" spans="1:8" ht="19.5" customHeight="1" x14ac:dyDescent="0.55000000000000004">
      <c r="A9182" s="18">
        <v>24.809791199999999</v>
      </c>
      <c r="B9182" s="18">
        <v>34.818894999999998</v>
      </c>
      <c r="C9182" s="18">
        <v>683845.87</v>
      </c>
      <c r="D9182" s="18">
        <v>2745111.23</v>
      </c>
      <c r="E9182" s="18">
        <v>288.74</v>
      </c>
      <c r="F9182" s="18">
        <v>41886.379999999997</v>
      </c>
      <c r="G9182" s="18">
        <v>104644</v>
      </c>
      <c r="H9182" s="18">
        <f t="shared" si="199"/>
        <v>41867.379999999997</v>
      </c>
    </row>
    <row r="9183" spans="1:8" ht="19.5" customHeight="1" x14ac:dyDescent="0.55000000000000004">
      <c r="A9183" s="18">
        <v>24.8098086</v>
      </c>
      <c r="B9183" s="18">
        <v>34.818874700000002</v>
      </c>
      <c r="C9183" s="18">
        <v>683843.79</v>
      </c>
      <c r="D9183" s="18">
        <v>2745113.12</v>
      </c>
      <c r="E9183" s="18">
        <v>288.82</v>
      </c>
      <c r="F9183" s="18">
        <v>41884.85</v>
      </c>
      <c r="G9183" s="18">
        <v>104646</v>
      </c>
      <c r="H9183" s="18">
        <f t="shared" si="199"/>
        <v>41865.85</v>
      </c>
    </row>
    <row r="9184" spans="1:8" ht="19.5" customHeight="1" x14ac:dyDescent="0.55000000000000004">
      <c r="A9184" s="18">
        <v>24.809820999999999</v>
      </c>
      <c r="B9184" s="18">
        <v>34.818850500000003</v>
      </c>
      <c r="C9184" s="18">
        <v>683841.33</v>
      </c>
      <c r="D9184" s="18">
        <v>2745114.46</v>
      </c>
      <c r="E9184" s="18">
        <v>288.89999999999998</v>
      </c>
      <c r="F9184" s="18">
        <v>41882.230000000003</v>
      </c>
      <c r="G9184" s="18">
        <v>104648</v>
      </c>
      <c r="H9184" s="18">
        <f t="shared" si="199"/>
        <v>41863.230000000003</v>
      </c>
    </row>
    <row r="9185" spans="1:8" ht="19.5" customHeight="1" x14ac:dyDescent="0.55000000000000004">
      <c r="A9185" s="18">
        <v>24.809831299999999</v>
      </c>
      <c r="B9185" s="18">
        <v>34.818823799999997</v>
      </c>
      <c r="C9185" s="18">
        <v>683838.62</v>
      </c>
      <c r="D9185" s="18">
        <v>2745115.57</v>
      </c>
      <c r="E9185" s="18">
        <v>288.91000000000003</v>
      </c>
      <c r="F9185" s="18">
        <v>41880.5</v>
      </c>
      <c r="G9185" s="18">
        <v>104650</v>
      </c>
      <c r="H9185" s="18">
        <f t="shared" si="199"/>
        <v>41861.5</v>
      </c>
    </row>
    <row r="9186" spans="1:8" ht="19.5" customHeight="1" x14ac:dyDescent="0.55000000000000004">
      <c r="A9186" s="18">
        <v>24.809847399999999</v>
      </c>
      <c r="B9186" s="18">
        <v>34.818798999999999</v>
      </c>
      <c r="C9186" s="18">
        <v>683836.09</v>
      </c>
      <c r="D9186" s="18">
        <v>2745117.32</v>
      </c>
      <c r="E9186" s="18">
        <v>288.97000000000003</v>
      </c>
      <c r="F9186" s="18">
        <v>41884.33</v>
      </c>
      <c r="G9186" s="18">
        <v>104652</v>
      </c>
      <c r="H9186" s="18">
        <f t="shared" si="199"/>
        <v>41865.33</v>
      </c>
    </row>
    <row r="9187" spans="1:8" ht="19.5" customHeight="1" x14ac:dyDescent="0.55000000000000004">
      <c r="A9187" s="18">
        <v>24.809861000000001</v>
      </c>
      <c r="B9187" s="18">
        <v>34.818776100000001</v>
      </c>
      <c r="C9187" s="18">
        <v>683833.75</v>
      </c>
      <c r="D9187" s="18">
        <v>2745118.8</v>
      </c>
      <c r="E9187" s="18">
        <v>289.10000000000002</v>
      </c>
      <c r="F9187" s="18">
        <v>41883.24</v>
      </c>
      <c r="G9187" s="18">
        <v>104654</v>
      </c>
      <c r="H9187" s="18">
        <f t="shared" si="199"/>
        <v>41864.239999999998</v>
      </c>
    </row>
    <row r="9188" spans="1:8" ht="19.5" customHeight="1" x14ac:dyDescent="0.55000000000000004">
      <c r="A9188" s="18">
        <v>24.809875000000002</v>
      </c>
      <c r="B9188" s="18">
        <v>34.818753200000003</v>
      </c>
      <c r="C9188" s="18">
        <v>683831.41</v>
      </c>
      <c r="D9188" s="18">
        <v>2745120.31</v>
      </c>
      <c r="E9188" s="18">
        <v>289.20999999999998</v>
      </c>
      <c r="F9188" s="18">
        <v>41884.74</v>
      </c>
      <c r="G9188" s="18">
        <v>104656</v>
      </c>
      <c r="H9188" s="18">
        <f t="shared" si="199"/>
        <v>41865.74</v>
      </c>
    </row>
    <row r="9189" spans="1:8" ht="19.5" customHeight="1" x14ac:dyDescent="0.55000000000000004">
      <c r="A9189" s="18">
        <v>24.8098907</v>
      </c>
      <c r="B9189" s="18">
        <v>34.818732199999999</v>
      </c>
      <c r="C9189" s="18">
        <v>683829.27</v>
      </c>
      <c r="D9189" s="18">
        <v>2745122.02</v>
      </c>
      <c r="E9189" s="18">
        <v>289.33</v>
      </c>
      <c r="F9189" s="18">
        <v>41883.24</v>
      </c>
      <c r="G9189" s="18">
        <v>104658</v>
      </c>
      <c r="H9189" s="18">
        <f t="shared" si="199"/>
        <v>41864.239999999998</v>
      </c>
    </row>
    <row r="9190" spans="1:8" ht="19.5" customHeight="1" x14ac:dyDescent="0.55000000000000004">
      <c r="A9190" s="18">
        <v>24.809909600000001</v>
      </c>
      <c r="B9190" s="18">
        <v>34.8187128</v>
      </c>
      <c r="C9190" s="18">
        <v>683827.28</v>
      </c>
      <c r="D9190" s="18">
        <v>2745124.09</v>
      </c>
      <c r="E9190" s="18">
        <v>289.35000000000002</v>
      </c>
      <c r="F9190" s="18">
        <v>41882.199999999997</v>
      </c>
      <c r="G9190" s="18">
        <v>104700</v>
      </c>
      <c r="H9190" s="18">
        <f t="shared" si="199"/>
        <v>41863.199999999997</v>
      </c>
    </row>
    <row r="9191" spans="1:8" ht="19.5" customHeight="1" x14ac:dyDescent="0.55000000000000004">
      <c r="A9191" s="18">
        <v>24.809928299999999</v>
      </c>
      <c r="B9191" s="18">
        <v>34.818695200000001</v>
      </c>
      <c r="C9191" s="18">
        <v>683825.47</v>
      </c>
      <c r="D9191" s="18">
        <v>2745126.14</v>
      </c>
      <c r="E9191" s="18">
        <v>289.42</v>
      </c>
      <c r="F9191" s="18">
        <v>41881.61</v>
      </c>
      <c r="G9191" s="18">
        <v>104702</v>
      </c>
      <c r="H9191" s="18">
        <f t="shared" si="199"/>
        <v>41862.61</v>
      </c>
    </row>
    <row r="9192" spans="1:8" ht="19.5" customHeight="1" x14ac:dyDescent="0.55000000000000004">
      <c r="A9192" s="18">
        <v>24.809943700000002</v>
      </c>
      <c r="B9192" s="18">
        <v>34.8186733</v>
      </c>
      <c r="C9192" s="18">
        <v>683823.24</v>
      </c>
      <c r="D9192" s="18">
        <v>2745127.82</v>
      </c>
      <c r="E9192" s="18">
        <v>289.52</v>
      </c>
      <c r="F9192" s="18">
        <v>41892.17</v>
      </c>
      <c r="G9192" s="18">
        <v>104704</v>
      </c>
      <c r="H9192" s="18">
        <f t="shared" si="199"/>
        <v>41873.17</v>
      </c>
    </row>
    <row r="9193" spans="1:8" ht="19.5" customHeight="1" x14ac:dyDescent="0.55000000000000004">
      <c r="A9193" s="18">
        <v>24.8099597</v>
      </c>
      <c r="B9193" s="18">
        <v>34.818650900000002</v>
      </c>
      <c r="C9193" s="18">
        <v>683820.95</v>
      </c>
      <c r="D9193" s="18">
        <v>2745129.56</v>
      </c>
      <c r="E9193" s="18">
        <v>289.60000000000002</v>
      </c>
      <c r="F9193" s="18">
        <v>41884.339999999997</v>
      </c>
      <c r="G9193" s="18">
        <v>104706</v>
      </c>
      <c r="H9193" s="18">
        <f t="shared" si="199"/>
        <v>41865.339999999997</v>
      </c>
    </row>
    <row r="9194" spans="1:8" ht="19.5" customHeight="1" x14ac:dyDescent="0.55000000000000004">
      <c r="A9194" s="18">
        <v>24.809973500000002</v>
      </c>
      <c r="B9194" s="18">
        <v>34.818627900000003</v>
      </c>
      <c r="C9194" s="18">
        <v>683818.6</v>
      </c>
      <c r="D9194" s="18">
        <v>2745131.06</v>
      </c>
      <c r="E9194" s="18">
        <v>289.61</v>
      </c>
      <c r="F9194" s="18">
        <v>41886.379999999997</v>
      </c>
      <c r="G9194" s="18">
        <v>104708</v>
      </c>
      <c r="H9194" s="18">
        <f t="shared" si="199"/>
        <v>41867.379999999997</v>
      </c>
    </row>
    <row r="9195" spans="1:8" ht="19.5" customHeight="1" x14ac:dyDescent="0.55000000000000004">
      <c r="A9195" s="18">
        <v>24.809984</v>
      </c>
      <c r="B9195" s="18">
        <v>34.818603899999999</v>
      </c>
      <c r="C9195" s="18">
        <v>683816.15</v>
      </c>
      <c r="D9195" s="18">
        <v>2745132.19</v>
      </c>
      <c r="E9195" s="18">
        <v>289.60000000000002</v>
      </c>
      <c r="F9195" s="18">
        <v>41886.04</v>
      </c>
      <c r="G9195" s="18">
        <v>104710</v>
      </c>
      <c r="H9195" s="18">
        <f t="shared" si="199"/>
        <v>41867.040000000001</v>
      </c>
    </row>
    <row r="9196" spans="1:8" ht="19.5" customHeight="1" x14ac:dyDescent="0.55000000000000004">
      <c r="A9196" s="18">
        <v>24.809993200000001</v>
      </c>
      <c r="B9196" s="18">
        <v>34.818579999999997</v>
      </c>
      <c r="C9196" s="18">
        <v>683813.73</v>
      </c>
      <c r="D9196" s="18">
        <v>2745133.17</v>
      </c>
      <c r="E9196" s="18">
        <v>289.73</v>
      </c>
      <c r="F9196" s="18">
        <v>41881.18</v>
      </c>
      <c r="G9196" s="18">
        <v>104712</v>
      </c>
      <c r="H9196" s="18">
        <f t="shared" si="199"/>
        <v>41862.18</v>
      </c>
    </row>
    <row r="9197" spans="1:8" ht="19.5" customHeight="1" x14ac:dyDescent="0.55000000000000004">
      <c r="A9197" s="18">
        <v>24.810009600000001</v>
      </c>
      <c r="B9197" s="18">
        <v>34.818559700000002</v>
      </c>
      <c r="C9197" s="18">
        <v>683811.65</v>
      </c>
      <c r="D9197" s="18">
        <v>2745134.96</v>
      </c>
      <c r="E9197" s="18">
        <v>289.83</v>
      </c>
      <c r="F9197" s="18">
        <v>41883.51</v>
      </c>
      <c r="G9197" s="18">
        <v>104714</v>
      </c>
      <c r="H9197" s="18">
        <f t="shared" si="199"/>
        <v>41864.51</v>
      </c>
    </row>
    <row r="9198" spans="1:8" ht="19.5" customHeight="1" x14ac:dyDescent="0.55000000000000004">
      <c r="A9198" s="18">
        <v>24.810026000000001</v>
      </c>
      <c r="B9198" s="18">
        <v>34.818539199999996</v>
      </c>
      <c r="C9198" s="18">
        <v>683809.55</v>
      </c>
      <c r="D9198" s="18">
        <v>2745136.75</v>
      </c>
      <c r="E9198" s="18">
        <v>289.83999999999997</v>
      </c>
      <c r="F9198" s="18">
        <v>41881.519999999997</v>
      </c>
      <c r="G9198" s="18">
        <v>104716</v>
      </c>
      <c r="H9198" s="18">
        <f t="shared" si="199"/>
        <v>41862.519999999997</v>
      </c>
    </row>
    <row r="9199" spans="1:8" ht="19.5" customHeight="1" x14ac:dyDescent="0.55000000000000004">
      <c r="A9199" s="18">
        <v>24.810041500000001</v>
      </c>
      <c r="B9199" s="18">
        <v>34.818518300000001</v>
      </c>
      <c r="C9199" s="18">
        <v>683807.41</v>
      </c>
      <c r="D9199" s="18">
        <v>2745138.44</v>
      </c>
      <c r="E9199" s="18">
        <v>289.89999999999998</v>
      </c>
      <c r="F9199" s="18">
        <v>41886.67</v>
      </c>
      <c r="G9199" s="18">
        <v>104718</v>
      </c>
      <c r="H9199" s="18">
        <f t="shared" si="199"/>
        <v>41867.67</v>
      </c>
    </row>
    <row r="9200" spans="1:8" ht="19.5" customHeight="1" x14ac:dyDescent="0.55000000000000004">
      <c r="A9200" s="18">
        <v>24.810055699999999</v>
      </c>
      <c r="B9200" s="18">
        <v>34.818494899999997</v>
      </c>
      <c r="C9200" s="18">
        <v>683805.04</v>
      </c>
      <c r="D9200" s="18">
        <v>2745139.98</v>
      </c>
      <c r="E9200" s="18">
        <v>290</v>
      </c>
      <c r="F9200" s="18">
        <v>41886.39</v>
      </c>
      <c r="G9200" s="18">
        <v>104720</v>
      </c>
      <c r="H9200" s="18">
        <f t="shared" si="199"/>
        <v>41867.39</v>
      </c>
    </row>
    <row r="9201" spans="1:8" ht="19.5" customHeight="1" x14ac:dyDescent="0.55000000000000004">
      <c r="A9201" s="18">
        <v>24.810071799999999</v>
      </c>
      <c r="B9201" s="18">
        <v>34.818472300000003</v>
      </c>
      <c r="C9201" s="18">
        <v>683802.72</v>
      </c>
      <c r="D9201" s="18">
        <v>2745141.73</v>
      </c>
      <c r="E9201" s="18">
        <v>290.06</v>
      </c>
      <c r="F9201" s="18">
        <v>41886.68</v>
      </c>
      <c r="G9201" s="18">
        <v>104722</v>
      </c>
      <c r="H9201" s="18">
        <f t="shared" si="199"/>
        <v>41867.68</v>
      </c>
    </row>
    <row r="9202" spans="1:8" ht="19.5" customHeight="1" x14ac:dyDescent="0.55000000000000004">
      <c r="A9202" s="18">
        <v>24.810086600000002</v>
      </c>
      <c r="B9202" s="18">
        <v>34.8184495</v>
      </c>
      <c r="C9202" s="18">
        <v>683800.39</v>
      </c>
      <c r="D9202" s="18">
        <v>2745143.34</v>
      </c>
      <c r="E9202" s="18">
        <v>290.07</v>
      </c>
      <c r="F9202" s="18">
        <v>41885.82</v>
      </c>
      <c r="G9202" s="18">
        <v>104724</v>
      </c>
      <c r="H9202" s="18">
        <f t="shared" si="199"/>
        <v>41866.82</v>
      </c>
    </row>
    <row r="9203" spans="1:8" ht="19.5" customHeight="1" x14ac:dyDescent="0.55000000000000004">
      <c r="A9203" s="18">
        <v>24.810103300000002</v>
      </c>
      <c r="B9203" s="18">
        <v>34.818428300000001</v>
      </c>
      <c r="C9203" s="18">
        <v>683798.22</v>
      </c>
      <c r="D9203" s="18">
        <v>2745145.16</v>
      </c>
      <c r="E9203" s="18">
        <v>290.12</v>
      </c>
      <c r="F9203" s="18">
        <v>41885.85</v>
      </c>
      <c r="G9203" s="18">
        <v>104726</v>
      </c>
      <c r="H9203" s="18">
        <f t="shared" ref="H9203:H9266" si="200">SUM(F9203-19)</f>
        <v>41866.85</v>
      </c>
    </row>
    <row r="9204" spans="1:8" ht="19.5" customHeight="1" x14ac:dyDescent="0.55000000000000004">
      <c r="A9204" s="18">
        <v>24.810121899999999</v>
      </c>
      <c r="B9204" s="18">
        <v>34.818409799999998</v>
      </c>
      <c r="C9204" s="18">
        <v>683796.33</v>
      </c>
      <c r="D9204" s="18">
        <v>2745147.19</v>
      </c>
      <c r="E9204" s="18">
        <v>290.26</v>
      </c>
      <c r="F9204" s="18">
        <v>41883.26</v>
      </c>
      <c r="G9204" s="18">
        <v>104728</v>
      </c>
      <c r="H9204" s="18">
        <f t="shared" si="200"/>
        <v>41864.26</v>
      </c>
    </row>
    <row r="9205" spans="1:8" ht="19.5" customHeight="1" x14ac:dyDescent="0.55000000000000004">
      <c r="A9205" s="18">
        <v>24.810138299999998</v>
      </c>
      <c r="B9205" s="18">
        <v>34.818389600000003</v>
      </c>
      <c r="C9205" s="18">
        <v>683794.26</v>
      </c>
      <c r="D9205" s="18">
        <v>2745148.99</v>
      </c>
      <c r="E9205" s="18">
        <v>290.33</v>
      </c>
      <c r="F9205" s="18">
        <v>41889.800000000003</v>
      </c>
      <c r="G9205" s="18">
        <v>104730</v>
      </c>
      <c r="H9205" s="18">
        <f t="shared" si="200"/>
        <v>41870.800000000003</v>
      </c>
    </row>
    <row r="9206" spans="1:8" ht="19.5" customHeight="1" x14ac:dyDescent="0.55000000000000004">
      <c r="A9206" s="18">
        <v>24.810154499999999</v>
      </c>
      <c r="B9206" s="18">
        <v>34.818367899999998</v>
      </c>
      <c r="C9206" s="18">
        <v>683792.04</v>
      </c>
      <c r="D9206" s="18">
        <v>2745150.76</v>
      </c>
      <c r="E9206" s="18">
        <v>290.33999999999997</v>
      </c>
      <c r="F9206" s="18">
        <v>41885.769999999997</v>
      </c>
      <c r="G9206" s="18">
        <v>104732</v>
      </c>
      <c r="H9206" s="18">
        <f t="shared" si="200"/>
        <v>41866.769999999997</v>
      </c>
    </row>
    <row r="9207" spans="1:8" ht="19.5" customHeight="1" x14ac:dyDescent="0.55000000000000004">
      <c r="A9207" s="18">
        <v>24.810170800000002</v>
      </c>
      <c r="B9207" s="18">
        <v>34.818346499999997</v>
      </c>
      <c r="C9207" s="18">
        <v>683789.86</v>
      </c>
      <c r="D9207" s="18">
        <v>2745152.52</v>
      </c>
      <c r="E9207" s="18">
        <v>290.39999999999998</v>
      </c>
      <c r="F9207" s="18">
        <v>41885.03</v>
      </c>
      <c r="G9207" s="18">
        <v>104734</v>
      </c>
      <c r="H9207" s="18">
        <f t="shared" si="200"/>
        <v>41866.03</v>
      </c>
    </row>
    <row r="9208" spans="1:8" ht="19.5" customHeight="1" x14ac:dyDescent="0.55000000000000004">
      <c r="A9208" s="18">
        <v>24.810185100000002</v>
      </c>
      <c r="B9208" s="18">
        <v>34.818324799999999</v>
      </c>
      <c r="C9208" s="18">
        <v>683787.65</v>
      </c>
      <c r="D9208" s="18">
        <v>2745154.09</v>
      </c>
      <c r="E9208" s="18">
        <v>290.47000000000003</v>
      </c>
      <c r="F9208" s="18">
        <v>41884.910000000003</v>
      </c>
      <c r="G9208" s="18">
        <v>104736</v>
      </c>
      <c r="H9208" s="18">
        <f t="shared" si="200"/>
        <v>41865.910000000003</v>
      </c>
    </row>
    <row r="9209" spans="1:8" ht="19.5" customHeight="1" x14ac:dyDescent="0.55000000000000004">
      <c r="A9209" s="18">
        <v>24.810204500000001</v>
      </c>
      <c r="B9209" s="18">
        <v>34.818308299999998</v>
      </c>
      <c r="C9209" s="18">
        <v>683785.95</v>
      </c>
      <c r="D9209" s="18">
        <v>2745156.21</v>
      </c>
      <c r="E9209" s="18">
        <v>290.58</v>
      </c>
      <c r="F9209" s="18">
        <v>41884.54</v>
      </c>
      <c r="G9209" s="18">
        <v>104738</v>
      </c>
      <c r="H9209" s="18">
        <f t="shared" si="200"/>
        <v>41865.54</v>
      </c>
    </row>
    <row r="9210" spans="1:8" ht="19.5" customHeight="1" x14ac:dyDescent="0.55000000000000004">
      <c r="A9210" s="18">
        <v>24.810220300000001</v>
      </c>
      <c r="B9210" s="18">
        <v>34.818288699999997</v>
      </c>
      <c r="C9210" s="18">
        <v>683783.95</v>
      </c>
      <c r="D9210" s="18">
        <v>2745157.94</v>
      </c>
      <c r="E9210" s="18">
        <v>290.54000000000002</v>
      </c>
      <c r="F9210" s="18">
        <v>41885.03</v>
      </c>
      <c r="G9210" s="18">
        <v>104740</v>
      </c>
      <c r="H9210" s="18">
        <f t="shared" si="200"/>
        <v>41866.03</v>
      </c>
    </row>
    <row r="9211" spans="1:8" ht="19.5" customHeight="1" x14ac:dyDescent="0.55000000000000004">
      <c r="A9211" s="18">
        <v>24.8102345</v>
      </c>
      <c r="B9211" s="18">
        <v>34.818268799999998</v>
      </c>
      <c r="C9211" s="18">
        <v>683781.91</v>
      </c>
      <c r="D9211" s="18">
        <v>2745159.48</v>
      </c>
      <c r="E9211" s="18">
        <v>290.7</v>
      </c>
      <c r="F9211" s="18">
        <v>41888.03</v>
      </c>
      <c r="G9211" s="18">
        <v>104742</v>
      </c>
      <c r="H9211" s="18">
        <f t="shared" si="200"/>
        <v>41869.03</v>
      </c>
    </row>
    <row r="9212" spans="1:8" ht="19.5" customHeight="1" x14ac:dyDescent="0.55000000000000004">
      <c r="A9212" s="18">
        <v>24.810253100000001</v>
      </c>
      <c r="B9212" s="18">
        <v>34.818254500000002</v>
      </c>
      <c r="C9212" s="18">
        <v>683780.44</v>
      </c>
      <c r="D9212" s="18">
        <v>2745161.52</v>
      </c>
      <c r="E9212" s="18">
        <v>290.68</v>
      </c>
      <c r="F9212" s="18">
        <v>41882.839999999997</v>
      </c>
      <c r="G9212" s="18">
        <v>104744</v>
      </c>
      <c r="H9212" s="18">
        <f t="shared" si="200"/>
        <v>41863.839999999997</v>
      </c>
    </row>
    <row r="9213" spans="1:8" ht="19.5" customHeight="1" x14ac:dyDescent="0.55000000000000004">
      <c r="A9213" s="18">
        <v>24.810274100000001</v>
      </c>
      <c r="B9213" s="18">
        <v>34.818239200000001</v>
      </c>
      <c r="C9213" s="18">
        <v>683778.85</v>
      </c>
      <c r="D9213" s="18">
        <v>2745163.83</v>
      </c>
      <c r="E9213" s="18">
        <v>290.81</v>
      </c>
      <c r="F9213" s="18">
        <v>41883.5</v>
      </c>
      <c r="G9213" s="18">
        <v>104746</v>
      </c>
      <c r="H9213" s="18">
        <f t="shared" si="200"/>
        <v>41864.5</v>
      </c>
    </row>
    <row r="9214" spans="1:8" ht="19.5" customHeight="1" x14ac:dyDescent="0.55000000000000004">
      <c r="A9214" s="18">
        <v>24.8102965</v>
      </c>
      <c r="B9214" s="18">
        <v>34.8182282</v>
      </c>
      <c r="C9214" s="18">
        <v>683777.71</v>
      </c>
      <c r="D9214" s="18">
        <v>2745166.29</v>
      </c>
      <c r="E9214" s="18">
        <v>290.95</v>
      </c>
      <c r="F9214" s="18">
        <v>41887.129999999997</v>
      </c>
      <c r="G9214" s="18">
        <v>104748</v>
      </c>
      <c r="H9214" s="18">
        <f t="shared" si="200"/>
        <v>41868.129999999997</v>
      </c>
    </row>
    <row r="9215" spans="1:8" ht="19.5" customHeight="1" x14ac:dyDescent="0.55000000000000004">
      <c r="A9215" s="18">
        <v>24.8103117</v>
      </c>
      <c r="B9215" s="18">
        <v>34.818211099999999</v>
      </c>
      <c r="C9215" s="18">
        <v>683775.96</v>
      </c>
      <c r="D9215" s="18">
        <v>2745167.95</v>
      </c>
      <c r="E9215" s="18">
        <v>290.95</v>
      </c>
      <c r="F9215" s="18">
        <v>41882.769999999997</v>
      </c>
      <c r="G9215" s="18">
        <v>104750</v>
      </c>
      <c r="H9215" s="18">
        <f t="shared" si="200"/>
        <v>41863.769999999997</v>
      </c>
    </row>
    <row r="9216" spans="1:8" ht="19.5" customHeight="1" x14ac:dyDescent="0.55000000000000004">
      <c r="A9216" s="18">
        <v>24.8103196</v>
      </c>
      <c r="B9216" s="18">
        <v>34.8181911</v>
      </c>
      <c r="C9216" s="18">
        <v>683773.93</v>
      </c>
      <c r="D9216" s="18">
        <v>2745168.8</v>
      </c>
      <c r="E9216" s="18">
        <v>291.02</v>
      </c>
      <c r="F9216" s="18">
        <v>41883.19</v>
      </c>
      <c r="G9216" s="18">
        <v>104752</v>
      </c>
      <c r="H9216" s="18">
        <f t="shared" si="200"/>
        <v>41864.19</v>
      </c>
    </row>
    <row r="9217" spans="1:8" ht="19.5" customHeight="1" x14ac:dyDescent="0.55000000000000004">
      <c r="A9217" s="18">
        <v>24.810327399999998</v>
      </c>
      <c r="B9217" s="18">
        <v>34.818167500000001</v>
      </c>
      <c r="C9217" s="18">
        <v>683771.53</v>
      </c>
      <c r="D9217" s="18">
        <v>2745169.64</v>
      </c>
      <c r="E9217" s="18">
        <v>291.04000000000002</v>
      </c>
      <c r="F9217" s="18">
        <v>41887.39</v>
      </c>
      <c r="G9217" s="18">
        <v>104754</v>
      </c>
      <c r="H9217" s="18">
        <f t="shared" si="200"/>
        <v>41868.39</v>
      </c>
    </row>
    <row r="9218" spans="1:8" ht="19.5" customHeight="1" x14ac:dyDescent="0.55000000000000004">
      <c r="A9218" s="18">
        <v>24.810335500000001</v>
      </c>
      <c r="B9218" s="18">
        <v>34.818141400000002</v>
      </c>
      <c r="C9218" s="18">
        <v>683768.88</v>
      </c>
      <c r="D9218" s="18">
        <v>2745170.49</v>
      </c>
      <c r="E9218" s="18">
        <v>291.01</v>
      </c>
      <c r="F9218" s="18">
        <v>41887.129999999997</v>
      </c>
      <c r="G9218" s="18">
        <v>104756</v>
      </c>
      <c r="H9218" s="18">
        <f t="shared" si="200"/>
        <v>41868.129999999997</v>
      </c>
    </row>
    <row r="9219" spans="1:8" ht="19.5" customHeight="1" x14ac:dyDescent="0.55000000000000004">
      <c r="A9219" s="18">
        <v>24.810348699999999</v>
      </c>
      <c r="B9219" s="18">
        <v>34.818119699999997</v>
      </c>
      <c r="C9219" s="18">
        <v>683766.67</v>
      </c>
      <c r="D9219" s="18">
        <v>2745171.93</v>
      </c>
      <c r="E9219" s="18">
        <v>291.19</v>
      </c>
      <c r="F9219" s="18">
        <v>41886.480000000003</v>
      </c>
      <c r="G9219" s="18">
        <v>104758</v>
      </c>
      <c r="H9219" s="18">
        <f t="shared" si="200"/>
        <v>41867.480000000003</v>
      </c>
    </row>
    <row r="9220" spans="1:8" ht="19.5" customHeight="1" x14ac:dyDescent="0.55000000000000004">
      <c r="A9220" s="18">
        <v>24.8103646</v>
      </c>
      <c r="B9220" s="18">
        <v>34.8180999</v>
      </c>
      <c r="C9220" s="18">
        <v>683764.65</v>
      </c>
      <c r="D9220" s="18">
        <v>2745173.66</v>
      </c>
      <c r="E9220" s="18">
        <v>291.25</v>
      </c>
      <c r="F9220" s="18">
        <v>41887.5</v>
      </c>
      <c r="G9220" s="18">
        <v>104800</v>
      </c>
      <c r="H9220" s="18">
        <f t="shared" si="200"/>
        <v>41868.5</v>
      </c>
    </row>
    <row r="9221" spans="1:8" ht="19.5" customHeight="1" x14ac:dyDescent="0.55000000000000004">
      <c r="A9221" s="18">
        <v>24.810381700000001</v>
      </c>
      <c r="B9221" s="18">
        <v>34.818079599999997</v>
      </c>
      <c r="C9221" s="18">
        <v>683762.56</v>
      </c>
      <c r="D9221" s="18">
        <v>2745175.53</v>
      </c>
      <c r="E9221" s="18">
        <v>291.22000000000003</v>
      </c>
      <c r="F9221" s="18">
        <v>41887.11</v>
      </c>
      <c r="G9221" s="18">
        <v>104802</v>
      </c>
      <c r="H9221" s="18">
        <f t="shared" si="200"/>
        <v>41868.11</v>
      </c>
    </row>
    <row r="9222" spans="1:8" ht="19.5" customHeight="1" x14ac:dyDescent="0.55000000000000004">
      <c r="A9222" s="18">
        <v>24.810400600000001</v>
      </c>
      <c r="B9222" s="18">
        <v>34.818061999999998</v>
      </c>
      <c r="C9222" s="18">
        <v>683760.76</v>
      </c>
      <c r="D9222" s="18">
        <v>2745177.6</v>
      </c>
      <c r="E9222" s="18">
        <v>291.3</v>
      </c>
      <c r="F9222" s="18">
        <v>41886.53</v>
      </c>
      <c r="G9222" s="18">
        <v>104804</v>
      </c>
      <c r="H9222" s="18">
        <f t="shared" si="200"/>
        <v>41867.53</v>
      </c>
    </row>
    <row r="9223" spans="1:8" ht="19.5" customHeight="1" x14ac:dyDescent="0.55000000000000004">
      <c r="A9223" s="18">
        <v>24.810419899999999</v>
      </c>
      <c r="B9223" s="18">
        <v>34.818043600000003</v>
      </c>
      <c r="C9223" s="18">
        <v>683758.87</v>
      </c>
      <c r="D9223" s="18">
        <v>2745179.72</v>
      </c>
      <c r="E9223" s="18">
        <v>291.41000000000003</v>
      </c>
      <c r="F9223" s="18">
        <v>41883.339999999997</v>
      </c>
      <c r="G9223" s="18">
        <v>104806</v>
      </c>
      <c r="H9223" s="18">
        <f t="shared" si="200"/>
        <v>41864.339999999997</v>
      </c>
    </row>
    <row r="9224" spans="1:8" ht="19.5" customHeight="1" x14ac:dyDescent="0.55000000000000004">
      <c r="A9224" s="18">
        <v>24.810438399999999</v>
      </c>
      <c r="B9224" s="18">
        <v>34.818025300000002</v>
      </c>
      <c r="C9224" s="18">
        <v>683756.99</v>
      </c>
      <c r="D9224" s="18">
        <v>2745181.74</v>
      </c>
      <c r="E9224" s="18">
        <v>291.36</v>
      </c>
      <c r="F9224" s="18">
        <v>41883.58</v>
      </c>
      <c r="G9224" s="18">
        <v>104808</v>
      </c>
      <c r="H9224" s="18">
        <f t="shared" si="200"/>
        <v>41864.58</v>
      </c>
    </row>
    <row r="9225" spans="1:8" ht="19.5" customHeight="1" x14ac:dyDescent="0.55000000000000004">
      <c r="A9225" s="18">
        <v>24.810459600000002</v>
      </c>
      <c r="B9225" s="18">
        <v>34.818008399999997</v>
      </c>
      <c r="C9225" s="18">
        <v>683755.25</v>
      </c>
      <c r="D9225" s="18">
        <v>2745184.06</v>
      </c>
      <c r="E9225" s="18">
        <v>291.33</v>
      </c>
      <c r="F9225" s="18">
        <v>41887.93</v>
      </c>
      <c r="G9225" s="18">
        <v>104810</v>
      </c>
      <c r="H9225" s="18">
        <f t="shared" si="200"/>
        <v>41868.93</v>
      </c>
    </row>
    <row r="9226" spans="1:8" ht="19.5" customHeight="1" x14ac:dyDescent="0.55000000000000004">
      <c r="A9226" s="18">
        <v>24.810483000000001</v>
      </c>
      <c r="B9226" s="18">
        <v>34.817993800000004</v>
      </c>
      <c r="C9226" s="18">
        <v>683753.74</v>
      </c>
      <c r="D9226" s="18">
        <v>2745186.64</v>
      </c>
      <c r="E9226" s="18">
        <v>291.39</v>
      </c>
      <c r="F9226" s="18">
        <v>41886.370000000003</v>
      </c>
      <c r="G9226" s="18">
        <v>104812</v>
      </c>
      <c r="H9226" s="18">
        <f t="shared" si="200"/>
        <v>41867.370000000003</v>
      </c>
    </row>
    <row r="9227" spans="1:8" ht="19.5" customHeight="1" x14ac:dyDescent="0.55000000000000004">
      <c r="A9227" s="18">
        <v>24.810507699999999</v>
      </c>
      <c r="B9227" s="18">
        <v>34.817984500000001</v>
      </c>
      <c r="C9227" s="18">
        <v>683752.77</v>
      </c>
      <c r="D9227" s="18">
        <v>2745189.36</v>
      </c>
      <c r="E9227" s="18">
        <v>291.48</v>
      </c>
      <c r="F9227" s="18">
        <v>41886.660000000003</v>
      </c>
      <c r="G9227" s="18">
        <v>104814</v>
      </c>
      <c r="H9227" s="18">
        <f t="shared" si="200"/>
        <v>41867.660000000003</v>
      </c>
    </row>
    <row r="9228" spans="1:8" ht="19.5" customHeight="1" x14ac:dyDescent="0.55000000000000004">
      <c r="A9228" s="18">
        <v>24.810532800000001</v>
      </c>
      <c r="B9228" s="18">
        <v>34.817976700000003</v>
      </c>
      <c r="C9228" s="18">
        <v>683751.94</v>
      </c>
      <c r="D9228" s="18">
        <v>2745192.13</v>
      </c>
      <c r="E9228" s="18">
        <v>291.54000000000002</v>
      </c>
      <c r="F9228" s="18">
        <v>41887.24</v>
      </c>
      <c r="G9228" s="18">
        <v>104816</v>
      </c>
      <c r="H9228" s="18">
        <f t="shared" si="200"/>
        <v>41868.239999999998</v>
      </c>
    </row>
    <row r="9229" spans="1:8" ht="19.5" customHeight="1" x14ac:dyDescent="0.55000000000000004">
      <c r="A9229" s="18">
        <v>24.810557299999999</v>
      </c>
      <c r="B9229" s="18">
        <v>34.817967199999998</v>
      </c>
      <c r="C9229" s="18">
        <v>683750.94</v>
      </c>
      <c r="D9229" s="18">
        <v>2745194.83</v>
      </c>
      <c r="E9229" s="18">
        <v>291.52999999999997</v>
      </c>
      <c r="F9229" s="18">
        <v>41886.67</v>
      </c>
      <c r="G9229" s="18">
        <v>104818</v>
      </c>
      <c r="H9229" s="18">
        <f t="shared" si="200"/>
        <v>41867.67</v>
      </c>
    </row>
    <row r="9230" spans="1:8" ht="19.5" customHeight="1" x14ac:dyDescent="0.55000000000000004">
      <c r="A9230" s="18">
        <v>24.810580900000001</v>
      </c>
      <c r="B9230" s="18">
        <v>34.817955499999997</v>
      </c>
      <c r="C9230" s="18">
        <v>683749.72</v>
      </c>
      <c r="D9230" s="18">
        <v>2745197.42</v>
      </c>
      <c r="E9230" s="18">
        <v>291.58</v>
      </c>
      <c r="F9230" s="18">
        <v>41886.81</v>
      </c>
      <c r="G9230" s="18">
        <v>104820</v>
      </c>
      <c r="H9230" s="18">
        <f t="shared" si="200"/>
        <v>41867.81</v>
      </c>
    </row>
    <row r="9231" spans="1:8" ht="19.5" customHeight="1" x14ac:dyDescent="0.55000000000000004">
      <c r="A9231" s="18">
        <v>24.810602800000002</v>
      </c>
      <c r="B9231" s="18">
        <v>34.817943300000003</v>
      </c>
      <c r="C9231" s="18">
        <v>683748.46</v>
      </c>
      <c r="D9231" s="18">
        <v>2745199.84</v>
      </c>
      <c r="E9231" s="18">
        <v>291.62</v>
      </c>
      <c r="F9231" s="18">
        <v>41888.21</v>
      </c>
      <c r="G9231" s="18">
        <v>104822</v>
      </c>
      <c r="H9231" s="18">
        <f t="shared" si="200"/>
        <v>41869.21</v>
      </c>
    </row>
    <row r="9232" spans="1:8" ht="19.5" customHeight="1" x14ac:dyDescent="0.55000000000000004">
      <c r="A9232" s="18">
        <v>24.810625900000002</v>
      </c>
      <c r="B9232" s="18">
        <v>34.817932300000002</v>
      </c>
      <c r="C9232" s="18">
        <v>683747.31</v>
      </c>
      <c r="D9232" s="18">
        <v>2745202.38</v>
      </c>
      <c r="E9232" s="18">
        <v>291.68</v>
      </c>
      <c r="F9232" s="18">
        <v>41888.04</v>
      </c>
      <c r="G9232" s="18">
        <v>104824</v>
      </c>
      <c r="H9232" s="18">
        <f t="shared" si="200"/>
        <v>41869.040000000001</v>
      </c>
    </row>
    <row r="9233" spans="1:8" ht="19.5" customHeight="1" x14ac:dyDescent="0.55000000000000004">
      <c r="A9233" s="18">
        <v>24.810648499999999</v>
      </c>
      <c r="B9233" s="18">
        <v>34.8179205</v>
      </c>
      <c r="C9233" s="18">
        <v>683746.08</v>
      </c>
      <c r="D9233" s="18">
        <v>2745204.87</v>
      </c>
      <c r="E9233" s="18">
        <v>291.74</v>
      </c>
      <c r="F9233" s="18">
        <v>41887.93</v>
      </c>
      <c r="G9233" s="18">
        <v>104826</v>
      </c>
      <c r="H9233" s="18">
        <f t="shared" si="200"/>
        <v>41868.93</v>
      </c>
    </row>
    <row r="9234" spans="1:8" ht="19.5" customHeight="1" x14ac:dyDescent="0.55000000000000004">
      <c r="A9234" s="18">
        <v>24.8106683</v>
      </c>
      <c r="B9234" s="18">
        <v>34.817906899999997</v>
      </c>
      <c r="C9234" s="18">
        <v>683744.69</v>
      </c>
      <c r="D9234" s="18">
        <v>2745207.04</v>
      </c>
      <c r="E9234" s="18">
        <v>291.81</v>
      </c>
      <c r="F9234" s="18">
        <v>41889.589999999997</v>
      </c>
      <c r="G9234" s="18">
        <v>104828</v>
      </c>
      <c r="H9234" s="18">
        <f t="shared" si="200"/>
        <v>41870.589999999997</v>
      </c>
    </row>
    <row r="9235" spans="1:8" ht="19.5" customHeight="1" x14ac:dyDescent="0.55000000000000004">
      <c r="A9235" s="18">
        <v>24.810687900000001</v>
      </c>
      <c r="B9235" s="18">
        <v>34.817893400000003</v>
      </c>
      <c r="C9235" s="18">
        <v>683743.29</v>
      </c>
      <c r="D9235" s="18">
        <v>2745209.2</v>
      </c>
      <c r="E9235" s="18">
        <v>291.92</v>
      </c>
      <c r="F9235" s="18">
        <v>41889.81</v>
      </c>
      <c r="G9235" s="18">
        <v>104830</v>
      </c>
      <c r="H9235" s="18">
        <f t="shared" si="200"/>
        <v>41870.81</v>
      </c>
    </row>
    <row r="9236" spans="1:8" ht="19.5" customHeight="1" x14ac:dyDescent="0.55000000000000004">
      <c r="A9236" s="18">
        <v>24.810709500000002</v>
      </c>
      <c r="B9236" s="18">
        <v>34.8178816</v>
      </c>
      <c r="C9236" s="18">
        <v>683742.06</v>
      </c>
      <c r="D9236" s="18">
        <v>2745211.57</v>
      </c>
      <c r="E9236" s="18">
        <v>292.02</v>
      </c>
      <c r="F9236" s="18">
        <v>41888.699999999997</v>
      </c>
      <c r="G9236" s="18">
        <v>104832</v>
      </c>
      <c r="H9236" s="18">
        <f t="shared" si="200"/>
        <v>41869.699999999997</v>
      </c>
    </row>
    <row r="9237" spans="1:8" ht="19.5" customHeight="1" x14ac:dyDescent="0.55000000000000004">
      <c r="A9237" s="18">
        <v>24.810731499999999</v>
      </c>
      <c r="B9237" s="18">
        <v>34.817869600000002</v>
      </c>
      <c r="C9237" s="18">
        <v>683740.82</v>
      </c>
      <c r="D9237" s="18">
        <v>2745213.99</v>
      </c>
      <c r="E9237" s="18">
        <v>292.07</v>
      </c>
      <c r="F9237" s="18">
        <v>41888.410000000003</v>
      </c>
      <c r="G9237" s="18">
        <v>104834</v>
      </c>
      <c r="H9237" s="18">
        <f t="shared" si="200"/>
        <v>41869.410000000003</v>
      </c>
    </row>
    <row r="9238" spans="1:8" ht="19.5" customHeight="1" x14ac:dyDescent="0.55000000000000004">
      <c r="A9238" s="18">
        <v>24.810749600000001</v>
      </c>
      <c r="B9238" s="18">
        <v>34.817854099999998</v>
      </c>
      <c r="C9238" s="18">
        <v>683739.22</v>
      </c>
      <c r="D9238" s="18">
        <v>2745215.97</v>
      </c>
      <c r="E9238" s="18">
        <v>292.20999999999998</v>
      </c>
      <c r="F9238" s="18">
        <v>41891.32</v>
      </c>
      <c r="G9238" s="18">
        <v>104836</v>
      </c>
      <c r="H9238" s="18">
        <f t="shared" si="200"/>
        <v>41872.32</v>
      </c>
    </row>
    <row r="9239" spans="1:8" ht="19.5" customHeight="1" x14ac:dyDescent="0.55000000000000004">
      <c r="A9239" s="18">
        <v>24.810767800000001</v>
      </c>
      <c r="B9239" s="18">
        <v>34.817838500000001</v>
      </c>
      <c r="C9239" s="18">
        <v>683737.62</v>
      </c>
      <c r="D9239" s="18">
        <v>2745217.98</v>
      </c>
      <c r="E9239" s="18">
        <v>292.33</v>
      </c>
      <c r="F9239" s="18">
        <v>41890.03</v>
      </c>
      <c r="G9239" s="18">
        <v>104838</v>
      </c>
      <c r="H9239" s="18">
        <f t="shared" si="200"/>
        <v>41871.03</v>
      </c>
    </row>
    <row r="9240" spans="1:8" ht="19.5" customHeight="1" x14ac:dyDescent="0.55000000000000004">
      <c r="A9240" s="18">
        <v>24.810788500000001</v>
      </c>
      <c r="B9240" s="18">
        <v>34.817825499999998</v>
      </c>
      <c r="C9240" s="18">
        <v>683736.28</v>
      </c>
      <c r="D9240" s="18">
        <v>2745220.24</v>
      </c>
      <c r="E9240" s="18">
        <v>292.38</v>
      </c>
      <c r="F9240" s="18">
        <v>41889.39</v>
      </c>
      <c r="G9240" s="18">
        <v>104840</v>
      </c>
      <c r="H9240" s="18">
        <f t="shared" si="200"/>
        <v>41870.39</v>
      </c>
    </row>
    <row r="9241" spans="1:8" ht="19.5" customHeight="1" x14ac:dyDescent="0.55000000000000004">
      <c r="A9241" s="18">
        <v>24.810808399999999</v>
      </c>
      <c r="B9241" s="18">
        <v>34.817813100000002</v>
      </c>
      <c r="C9241" s="18">
        <v>683734.99</v>
      </c>
      <c r="D9241" s="18">
        <v>2745222.43</v>
      </c>
      <c r="E9241" s="18">
        <v>292.52999999999997</v>
      </c>
      <c r="F9241" s="18">
        <v>41891.61</v>
      </c>
      <c r="G9241" s="18">
        <v>104842</v>
      </c>
      <c r="H9241" s="18">
        <f t="shared" si="200"/>
        <v>41872.61</v>
      </c>
    </row>
    <row r="9242" spans="1:8" ht="19.5" customHeight="1" x14ac:dyDescent="0.55000000000000004">
      <c r="A9242" s="18">
        <v>24.810828699999998</v>
      </c>
      <c r="B9242" s="18">
        <v>34.817801000000003</v>
      </c>
      <c r="C9242" s="18">
        <v>683733.74</v>
      </c>
      <c r="D9242" s="18">
        <v>2745224.67</v>
      </c>
      <c r="E9242" s="18">
        <v>292.57</v>
      </c>
      <c r="F9242" s="18">
        <v>41887.75</v>
      </c>
      <c r="G9242" s="18">
        <v>104844</v>
      </c>
      <c r="H9242" s="18">
        <f t="shared" si="200"/>
        <v>41868.75</v>
      </c>
    </row>
    <row r="9243" spans="1:8" ht="19.5" customHeight="1" x14ac:dyDescent="0.55000000000000004">
      <c r="A9243" s="18">
        <v>24.810845400000002</v>
      </c>
      <c r="B9243" s="18">
        <v>34.817792900000001</v>
      </c>
      <c r="C9243" s="18">
        <v>683732.9</v>
      </c>
      <c r="D9243" s="18">
        <v>2745226.5</v>
      </c>
      <c r="E9243" s="18">
        <v>292.67</v>
      </c>
      <c r="F9243" s="18">
        <v>41888.089999999997</v>
      </c>
      <c r="G9243" s="18">
        <v>104846</v>
      </c>
      <c r="H9243" s="18">
        <f t="shared" si="200"/>
        <v>41869.089999999997</v>
      </c>
    </row>
    <row r="9244" spans="1:8" ht="19.5" customHeight="1" x14ac:dyDescent="0.55000000000000004">
      <c r="A9244" s="18">
        <v>24.8108605</v>
      </c>
      <c r="B9244" s="18">
        <v>34.817789300000001</v>
      </c>
      <c r="C9244" s="18">
        <v>683732.51</v>
      </c>
      <c r="D9244" s="18">
        <v>2745228.17</v>
      </c>
      <c r="E9244" s="18">
        <v>292.76</v>
      </c>
      <c r="F9244" s="18">
        <v>41887.43</v>
      </c>
      <c r="G9244" s="18">
        <v>104848</v>
      </c>
      <c r="H9244" s="18">
        <f t="shared" si="200"/>
        <v>41868.43</v>
      </c>
    </row>
    <row r="9245" spans="1:8" ht="19.5" customHeight="1" x14ac:dyDescent="0.55000000000000004">
      <c r="A9245" s="18">
        <v>24.810880300000001</v>
      </c>
      <c r="B9245" s="18">
        <v>34.817784199999998</v>
      </c>
      <c r="C9245" s="18">
        <v>683731.96</v>
      </c>
      <c r="D9245" s="18">
        <v>2745230.36</v>
      </c>
      <c r="E9245" s="18">
        <v>292.87</v>
      </c>
      <c r="F9245" s="18">
        <v>41889.449999999997</v>
      </c>
      <c r="G9245" s="18">
        <v>104850</v>
      </c>
      <c r="H9245" s="18">
        <f t="shared" si="200"/>
        <v>41870.449999999997</v>
      </c>
    </row>
    <row r="9246" spans="1:8" ht="19.5" customHeight="1" x14ac:dyDescent="0.55000000000000004">
      <c r="A9246" s="18">
        <v>24.810895599999998</v>
      </c>
      <c r="B9246" s="18">
        <v>34.817769900000002</v>
      </c>
      <c r="C9246" s="18">
        <v>683730.5</v>
      </c>
      <c r="D9246" s="18">
        <v>2745232.04</v>
      </c>
      <c r="E9246" s="18">
        <v>292.91000000000003</v>
      </c>
      <c r="F9246" s="18">
        <v>41888.879999999997</v>
      </c>
      <c r="G9246" s="18">
        <v>104852</v>
      </c>
      <c r="H9246" s="18">
        <f t="shared" si="200"/>
        <v>41869.879999999997</v>
      </c>
    </row>
    <row r="9247" spans="1:8" ht="19.5" customHeight="1" x14ac:dyDescent="0.55000000000000004">
      <c r="A9247" s="18">
        <v>24.810914700000001</v>
      </c>
      <c r="B9247" s="18">
        <v>34.817756799999998</v>
      </c>
      <c r="C9247" s="18">
        <v>683729.15</v>
      </c>
      <c r="D9247" s="18">
        <v>2745234.13</v>
      </c>
      <c r="E9247" s="18">
        <v>292.98</v>
      </c>
      <c r="F9247" s="18">
        <v>41887.160000000003</v>
      </c>
      <c r="G9247" s="18">
        <v>104854</v>
      </c>
      <c r="H9247" s="18">
        <f t="shared" si="200"/>
        <v>41868.160000000003</v>
      </c>
    </row>
    <row r="9248" spans="1:8" ht="19.5" customHeight="1" x14ac:dyDescent="0.55000000000000004">
      <c r="A9248" s="18">
        <v>24.810934100000001</v>
      </c>
      <c r="B9248" s="18">
        <v>34.817746700000001</v>
      </c>
      <c r="C9248" s="18">
        <v>683728.09</v>
      </c>
      <c r="D9248" s="18">
        <v>2745236.27</v>
      </c>
      <c r="E9248" s="18">
        <v>293.02</v>
      </c>
      <c r="F9248" s="18">
        <v>41889.480000000003</v>
      </c>
      <c r="G9248" s="18">
        <v>104856</v>
      </c>
      <c r="H9248" s="18">
        <f t="shared" si="200"/>
        <v>41870.480000000003</v>
      </c>
    </row>
    <row r="9249" spans="1:8" ht="19.5" customHeight="1" x14ac:dyDescent="0.55000000000000004">
      <c r="A9249" s="18">
        <v>24.810953999999999</v>
      </c>
      <c r="B9249" s="18">
        <v>34.8177387</v>
      </c>
      <c r="C9249" s="18">
        <v>683727.26</v>
      </c>
      <c r="D9249" s="18">
        <v>2745238.46</v>
      </c>
      <c r="E9249" s="18">
        <v>293.02</v>
      </c>
      <c r="F9249" s="18">
        <v>41892.1</v>
      </c>
      <c r="G9249" s="18">
        <v>104858</v>
      </c>
      <c r="H9249" s="18">
        <f t="shared" si="200"/>
        <v>41873.1</v>
      </c>
    </row>
    <row r="9250" spans="1:8" ht="19.5" customHeight="1" x14ac:dyDescent="0.55000000000000004">
      <c r="A9250" s="18">
        <v>24.810971899999998</v>
      </c>
      <c r="B9250" s="18">
        <v>34.817730300000001</v>
      </c>
      <c r="C9250" s="18">
        <v>683726.38</v>
      </c>
      <c r="D9250" s="18">
        <v>2745240.44</v>
      </c>
      <c r="E9250" s="18">
        <v>293.02999999999997</v>
      </c>
      <c r="F9250" s="18">
        <v>41890.550000000003</v>
      </c>
      <c r="G9250" s="18">
        <v>104900</v>
      </c>
      <c r="H9250" s="18">
        <f t="shared" si="200"/>
        <v>41871.550000000003</v>
      </c>
    </row>
    <row r="9251" spans="1:8" ht="19.5" customHeight="1" x14ac:dyDescent="0.55000000000000004">
      <c r="A9251" s="18">
        <v>24.810984099999999</v>
      </c>
      <c r="B9251" s="18">
        <v>34.8177241</v>
      </c>
      <c r="C9251" s="18">
        <v>683725.74</v>
      </c>
      <c r="D9251" s="18">
        <v>2745241.78</v>
      </c>
      <c r="E9251" s="18">
        <v>293</v>
      </c>
      <c r="F9251" s="18">
        <v>41887.26</v>
      </c>
      <c r="G9251" s="18">
        <v>104902</v>
      </c>
      <c r="H9251" s="18">
        <f t="shared" si="200"/>
        <v>41868.26</v>
      </c>
    </row>
    <row r="9252" spans="1:8" ht="19.5" customHeight="1" x14ac:dyDescent="0.55000000000000004">
      <c r="A9252" s="18">
        <v>24.810996400000001</v>
      </c>
      <c r="B9252" s="18">
        <v>34.8177193</v>
      </c>
      <c r="C9252" s="18">
        <v>683725.24</v>
      </c>
      <c r="D9252" s="18">
        <v>2745243.13</v>
      </c>
      <c r="E9252" s="18">
        <v>293.01</v>
      </c>
      <c r="F9252" s="18">
        <v>41889.57</v>
      </c>
      <c r="G9252" s="18">
        <v>104904</v>
      </c>
      <c r="H9252" s="18">
        <f t="shared" si="200"/>
        <v>41870.57</v>
      </c>
    </row>
    <row r="9253" spans="1:8" ht="19.5" customHeight="1" x14ac:dyDescent="0.55000000000000004">
      <c r="A9253" s="18" t="s">
        <v>7</v>
      </c>
      <c r="H9253" s="18">
        <f t="shared" si="200"/>
        <v>-19</v>
      </c>
    </row>
    <row r="9254" spans="1:8" ht="19.5" customHeight="1" x14ac:dyDescent="0.55000000000000004">
      <c r="A9254" s="18">
        <v>24.811012999999999</v>
      </c>
      <c r="B9254" s="18">
        <v>34.817708500000002</v>
      </c>
      <c r="C9254" s="18">
        <v>683724.12</v>
      </c>
      <c r="D9254" s="18">
        <v>2745244.95</v>
      </c>
      <c r="E9254" s="18">
        <v>293.94</v>
      </c>
      <c r="F9254" s="18">
        <v>41890.019999999997</v>
      </c>
      <c r="G9254" s="18">
        <v>105056</v>
      </c>
      <c r="H9254" s="18">
        <f t="shared" si="200"/>
        <v>41871.019999999997</v>
      </c>
    </row>
    <row r="9255" spans="1:8" ht="19.5" customHeight="1" x14ac:dyDescent="0.55000000000000004">
      <c r="A9255" s="18">
        <v>24.8110274</v>
      </c>
      <c r="B9255" s="18">
        <v>34.817704499999998</v>
      </c>
      <c r="C9255" s="18">
        <v>683723.69</v>
      </c>
      <c r="D9255" s="18">
        <v>2745246.55</v>
      </c>
      <c r="E9255" s="18">
        <v>294.08999999999997</v>
      </c>
      <c r="F9255" s="18">
        <v>41891.43</v>
      </c>
      <c r="G9255" s="18">
        <v>105058</v>
      </c>
      <c r="H9255" s="18">
        <f t="shared" si="200"/>
        <v>41872.43</v>
      </c>
    </row>
    <row r="9256" spans="1:8" ht="19.5" customHeight="1" x14ac:dyDescent="0.55000000000000004">
      <c r="A9256" s="18">
        <v>24.811039000000001</v>
      </c>
      <c r="B9256" s="18">
        <v>34.817698399999998</v>
      </c>
      <c r="C9256" s="18">
        <v>683723.06</v>
      </c>
      <c r="D9256" s="18">
        <v>2745247.82</v>
      </c>
      <c r="E9256" s="18">
        <v>293.52</v>
      </c>
      <c r="F9256" s="18">
        <v>41892.29</v>
      </c>
      <c r="G9256" s="18">
        <v>105100</v>
      </c>
      <c r="H9256" s="18">
        <f t="shared" si="200"/>
        <v>41873.29</v>
      </c>
    </row>
    <row r="9257" spans="1:8" ht="19.5" customHeight="1" x14ac:dyDescent="0.55000000000000004">
      <c r="A9257" s="18">
        <v>24.8110535</v>
      </c>
      <c r="B9257" s="18">
        <v>34.8176931</v>
      </c>
      <c r="C9257" s="18">
        <v>683722.5</v>
      </c>
      <c r="D9257" s="18">
        <v>2745249.42</v>
      </c>
      <c r="E9257" s="18">
        <v>293.24</v>
      </c>
      <c r="F9257" s="18">
        <v>41890.720000000001</v>
      </c>
      <c r="G9257" s="18">
        <v>105102</v>
      </c>
      <c r="H9257" s="18">
        <f t="shared" si="200"/>
        <v>41871.72</v>
      </c>
    </row>
    <row r="9258" spans="1:8" ht="19.5" customHeight="1" x14ac:dyDescent="0.55000000000000004">
      <c r="A9258" s="18">
        <v>24.811070000000001</v>
      </c>
      <c r="B9258" s="18">
        <v>34.817687900000003</v>
      </c>
      <c r="C9258" s="18">
        <v>683721.95</v>
      </c>
      <c r="D9258" s="18">
        <v>2745251.24</v>
      </c>
      <c r="E9258" s="18">
        <v>293.18</v>
      </c>
      <c r="F9258" s="18">
        <v>41890</v>
      </c>
      <c r="G9258" s="18">
        <v>105104</v>
      </c>
      <c r="H9258" s="18">
        <f t="shared" si="200"/>
        <v>41871</v>
      </c>
    </row>
    <row r="9259" spans="1:8" ht="19.5" customHeight="1" x14ac:dyDescent="0.55000000000000004">
      <c r="A9259" s="18">
        <v>24.8110854</v>
      </c>
      <c r="B9259" s="18">
        <v>34.817679699999999</v>
      </c>
      <c r="C9259" s="18">
        <v>683721.1</v>
      </c>
      <c r="D9259" s="18">
        <v>2745252.93</v>
      </c>
      <c r="E9259" s="18">
        <v>293.16000000000003</v>
      </c>
      <c r="F9259" s="18">
        <v>41887.620000000003</v>
      </c>
      <c r="G9259" s="18">
        <v>105106</v>
      </c>
      <c r="H9259" s="18">
        <f t="shared" si="200"/>
        <v>41868.620000000003</v>
      </c>
    </row>
    <row r="9260" spans="1:8" ht="19.5" customHeight="1" x14ac:dyDescent="0.55000000000000004">
      <c r="A9260" s="18">
        <v>24.811099599999999</v>
      </c>
      <c r="B9260" s="18">
        <v>34.817673300000003</v>
      </c>
      <c r="C9260" s="18">
        <v>683720.43</v>
      </c>
      <c r="D9260" s="18">
        <v>2745254.5</v>
      </c>
      <c r="E9260" s="18">
        <v>293.19</v>
      </c>
      <c r="F9260" s="18">
        <v>41887.86</v>
      </c>
      <c r="G9260" s="18">
        <v>105108</v>
      </c>
      <c r="H9260" s="18">
        <f t="shared" si="200"/>
        <v>41868.86</v>
      </c>
    </row>
    <row r="9261" spans="1:8" ht="19.5" customHeight="1" x14ac:dyDescent="0.55000000000000004">
      <c r="A9261" s="18">
        <v>24.8111158</v>
      </c>
      <c r="B9261" s="18">
        <v>34.817665400000003</v>
      </c>
      <c r="C9261" s="18">
        <v>683719.6</v>
      </c>
      <c r="D9261" s="18">
        <v>2745256.28</v>
      </c>
      <c r="E9261" s="18">
        <v>293.14999999999998</v>
      </c>
      <c r="F9261" s="18">
        <v>41886.339999999997</v>
      </c>
      <c r="G9261" s="18">
        <v>105110</v>
      </c>
      <c r="H9261" s="18">
        <f t="shared" si="200"/>
        <v>41867.339999999997</v>
      </c>
    </row>
    <row r="9262" spans="1:8" ht="19.5" customHeight="1" x14ac:dyDescent="0.55000000000000004">
      <c r="A9262" s="18">
        <v>24.811133399999999</v>
      </c>
      <c r="B9262" s="18">
        <v>34.8176597</v>
      </c>
      <c r="C9262" s="18">
        <v>683719</v>
      </c>
      <c r="D9262" s="18">
        <v>2745258.23</v>
      </c>
      <c r="E9262" s="18">
        <v>293.17</v>
      </c>
      <c r="F9262" s="18">
        <v>41888.559999999998</v>
      </c>
      <c r="G9262" s="18">
        <v>105112</v>
      </c>
      <c r="H9262" s="18">
        <f t="shared" si="200"/>
        <v>41869.56</v>
      </c>
    </row>
    <row r="9263" spans="1:8" ht="19.5" customHeight="1" x14ac:dyDescent="0.55000000000000004">
      <c r="A9263" s="18">
        <v>24.811150399999999</v>
      </c>
      <c r="B9263" s="18">
        <v>34.817653700000001</v>
      </c>
      <c r="C9263" s="18">
        <v>683718.37</v>
      </c>
      <c r="D9263" s="18">
        <v>2745260.1</v>
      </c>
      <c r="E9263" s="18">
        <v>293.18</v>
      </c>
      <c r="F9263" s="18">
        <v>41889.480000000003</v>
      </c>
      <c r="G9263" s="18">
        <v>105114</v>
      </c>
      <c r="H9263" s="18">
        <f t="shared" si="200"/>
        <v>41870.480000000003</v>
      </c>
    </row>
    <row r="9264" spans="1:8" ht="19.5" customHeight="1" x14ac:dyDescent="0.55000000000000004">
      <c r="A9264" s="18">
        <v>24.811166100000001</v>
      </c>
      <c r="B9264" s="18">
        <v>34.817646500000002</v>
      </c>
      <c r="C9264" s="18">
        <v>683717.63</v>
      </c>
      <c r="D9264" s="18">
        <v>2745261.82</v>
      </c>
      <c r="E9264" s="18">
        <v>293.26</v>
      </c>
      <c r="F9264" s="18">
        <v>41886.589999999997</v>
      </c>
      <c r="G9264" s="18">
        <v>105116</v>
      </c>
      <c r="H9264" s="18">
        <f t="shared" si="200"/>
        <v>41867.589999999997</v>
      </c>
    </row>
    <row r="9265" spans="1:8" ht="19.5" customHeight="1" x14ac:dyDescent="0.55000000000000004">
      <c r="A9265" s="18">
        <v>24.811183</v>
      </c>
      <c r="B9265" s="18">
        <v>34.8176408</v>
      </c>
      <c r="C9265" s="18">
        <v>683717.02</v>
      </c>
      <c r="D9265" s="18">
        <v>2745263.69</v>
      </c>
      <c r="E9265" s="18">
        <v>293.27999999999997</v>
      </c>
      <c r="F9265" s="18">
        <v>41891.33</v>
      </c>
      <c r="G9265" s="18">
        <v>105118</v>
      </c>
      <c r="H9265" s="18">
        <f t="shared" si="200"/>
        <v>41872.33</v>
      </c>
    </row>
    <row r="9266" spans="1:8" ht="19.5" customHeight="1" x14ac:dyDescent="0.55000000000000004">
      <c r="A9266" s="18">
        <v>24.811200100000001</v>
      </c>
      <c r="B9266" s="18">
        <v>34.817634400000003</v>
      </c>
      <c r="C9266" s="18">
        <v>683716.35</v>
      </c>
      <c r="D9266" s="18">
        <v>2745265.57</v>
      </c>
      <c r="E9266" s="18">
        <v>293.27999999999997</v>
      </c>
      <c r="F9266" s="18">
        <v>41891.94</v>
      </c>
      <c r="G9266" s="18">
        <v>105120</v>
      </c>
      <c r="H9266" s="18">
        <f t="shared" si="200"/>
        <v>41872.94</v>
      </c>
    </row>
    <row r="9267" spans="1:8" ht="19.5" customHeight="1" x14ac:dyDescent="0.55000000000000004">
      <c r="A9267" s="18">
        <v>24.811216399999999</v>
      </c>
      <c r="B9267" s="18">
        <v>34.817627100000003</v>
      </c>
      <c r="C9267" s="18">
        <v>683715.58</v>
      </c>
      <c r="D9267" s="18">
        <v>2745267.37</v>
      </c>
      <c r="E9267" s="18">
        <v>293.3</v>
      </c>
      <c r="F9267" s="18">
        <v>41888.03</v>
      </c>
      <c r="G9267" s="18">
        <v>105122</v>
      </c>
      <c r="H9267" s="18">
        <f t="shared" ref="H9267:H9330" si="201">SUM(F9267-19)</f>
        <v>41869.03</v>
      </c>
    </row>
    <row r="9268" spans="1:8" ht="19.5" customHeight="1" x14ac:dyDescent="0.55000000000000004">
      <c r="A9268" s="18">
        <v>24.811234599999999</v>
      </c>
      <c r="B9268" s="18">
        <v>34.817617599999998</v>
      </c>
      <c r="C9268" s="18">
        <v>683714.6</v>
      </c>
      <c r="D9268" s="18">
        <v>2745269.37</v>
      </c>
      <c r="E9268" s="18">
        <v>293.32</v>
      </c>
      <c r="F9268" s="18">
        <v>41890.629999999997</v>
      </c>
      <c r="G9268" s="18">
        <v>105124</v>
      </c>
      <c r="H9268" s="18">
        <f t="shared" si="201"/>
        <v>41871.629999999997</v>
      </c>
    </row>
    <row r="9269" spans="1:8" ht="19.5" customHeight="1" x14ac:dyDescent="0.55000000000000004">
      <c r="A9269" s="18">
        <v>24.811258299999999</v>
      </c>
      <c r="B9269" s="18">
        <v>34.8176104</v>
      </c>
      <c r="C9269" s="18">
        <v>683713.84</v>
      </c>
      <c r="D9269" s="18">
        <v>2745271.99</v>
      </c>
      <c r="E9269" s="18">
        <v>293.33999999999997</v>
      </c>
      <c r="F9269" s="18">
        <v>41886.400000000001</v>
      </c>
      <c r="G9269" s="18">
        <v>105126</v>
      </c>
      <c r="H9269" s="18">
        <f t="shared" si="201"/>
        <v>41867.4</v>
      </c>
    </row>
    <row r="9270" spans="1:8" ht="19.5" customHeight="1" x14ac:dyDescent="0.55000000000000004">
      <c r="A9270" s="18">
        <v>24.811282599999998</v>
      </c>
      <c r="B9270" s="18">
        <v>34.817604600000003</v>
      </c>
      <c r="C9270" s="18">
        <v>683713.22</v>
      </c>
      <c r="D9270" s="18">
        <v>2745274.67</v>
      </c>
      <c r="E9270" s="18">
        <v>293.47000000000003</v>
      </c>
      <c r="F9270" s="18">
        <v>41883.49</v>
      </c>
      <c r="G9270" s="18">
        <v>105128</v>
      </c>
      <c r="H9270" s="18">
        <f t="shared" si="201"/>
        <v>41864.49</v>
      </c>
    </row>
    <row r="9271" spans="1:8" ht="19.5" customHeight="1" x14ac:dyDescent="0.55000000000000004">
      <c r="A9271" s="18">
        <v>24.8113049</v>
      </c>
      <c r="B9271" s="18">
        <v>34.8175952</v>
      </c>
      <c r="C9271" s="18">
        <v>683712.23</v>
      </c>
      <c r="D9271" s="18">
        <v>2745277.14</v>
      </c>
      <c r="E9271" s="18">
        <v>293.49</v>
      </c>
      <c r="F9271" s="18">
        <v>41883.31</v>
      </c>
      <c r="G9271" s="18">
        <v>105130</v>
      </c>
      <c r="H9271" s="18">
        <f t="shared" si="201"/>
        <v>41864.31</v>
      </c>
    </row>
    <row r="9272" spans="1:8" ht="19.5" customHeight="1" x14ac:dyDescent="0.55000000000000004">
      <c r="A9272" s="18">
        <v>24.8113271</v>
      </c>
      <c r="B9272" s="18">
        <v>34.817584600000004</v>
      </c>
      <c r="C9272" s="18">
        <v>683711.13</v>
      </c>
      <c r="D9272" s="18">
        <v>2745279.57</v>
      </c>
      <c r="E9272" s="18">
        <v>293.47000000000003</v>
      </c>
      <c r="F9272" s="18">
        <v>41884.6</v>
      </c>
      <c r="G9272" s="18">
        <v>105132</v>
      </c>
      <c r="H9272" s="18">
        <f t="shared" si="201"/>
        <v>41865.599999999999</v>
      </c>
    </row>
    <row r="9273" spans="1:8" ht="19.5" customHeight="1" x14ac:dyDescent="0.55000000000000004">
      <c r="A9273" s="18">
        <v>24.8113487</v>
      </c>
      <c r="B9273" s="18">
        <v>34.817573799999998</v>
      </c>
      <c r="C9273" s="18">
        <v>683710.01</v>
      </c>
      <c r="D9273" s="18">
        <v>2745281.96</v>
      </c>
      <c r="E9273" s="18">
        <v>293.44</v>
      </c>
      <c r="F9273" s="18">
        <v>41886.83</v>
      </c>
      <c r="G9273" s="18">
        <v>105134</v>
      </c>
      <c r="H9273" s="18">
        <f t="shared" si="201"/>
        <v>41867.83</v>
      </c>
    </row>
    <row r="9274" spans="1:8" ht="19.5" customHeight="1" x14ac:dyDescent="0.55000000000000004">
      <c r="A9274" s="18">
        <v>24.8113712</v>
      </c>
      <c r="B9274" s="18">
        <v>34.817562299999999</v>
      </c>
      <c r="C9274" s="18">
        <v>683708.81</v>
      </c>
      <c r="D9274" s="18">
        <v>2745284.43</v>
      </c>
      <c r="E9274" s="18">
        <v>293.43</v>
      </c>
      <c r="F9274" s="18">
        <v>41886.5</v>
      </c>
      <c r="G9274" s="18">
        <v>105136</v>
      </c>
      <c r="H9274" s="18">
        <f t="shared" si="201"/>
        <v>41867.5</v>
      </c>
    </row>
    <row r="9275" spans="1:8" ht="19.5" customHeight="1" x14ac:dyDescent="0.55000000000000004">
      <c r="A9275" s="18">
        <v>24.811393599999999</v>
      </c>
      <c r="B9275" s="18">
        <v>34.8175484</v>
      </c>
      <c r="C9275" s="18">
        <v>683707.37</v>
      </c>
      <c r="D9275" s="18">
        <v>2745286.89</v>
      </c>
      <c r="E9275" s="18">
        <v>293.49</v>
      </c>
      <c r="F9275" s="18">
        <v>41886.699999999997</v>
      </c>
      <c r="G9275" s="18">
        <v>105138</v>
      </c>
      <c r="H9275" s="18">
        <f t="shared" si="201"/>
        <v>41867.699999999997</v>
      </c>
    </row>
    <row r="9276" spans="1:8" ht="19.5" customHeight="1" x14ac:dyDescent="0.55000000000000004">
      <c r="A9276" s="18">
        <v>24.8114144</v>
      </c>
      <c r="B9276" s="18">
        <v>34.8175338</v>
      </c>
      <c r="C9276" s="18">
        <v>683705.87</v>
      </c>
      <c r="D9276" s="18">
        <v>2745289.18</v>
      </c>
      <c r="E9276" s="18">
        <v>293.64</v>
      </c>
      <c r="F9276" s="18">
        <v>41885.22</v>
      </c>
      <c r="G9276" s="18">
        <v>105140</v>
      </c>
      <c r="H9276" s="18">
        <f t="shared" si="201"/>
        <v>41866.22</v>
      </c>
    </row>
    <row r="9277" spans="1:8" ht="19.5" customHeight="1" x14ac:dyDescent="0.55000000000000004">
      <c r="A9277" s="18">
        <v>24.811435599999999</v>
      </c>
      <c r="B9277" s="18">
        <v>34.817520000000002</v>
      </c>
      <c r="C9277" s="18">
        <v>683704.44</v>
      </c>
      <c r="D9277" s="18">
        <v>2745291.51</v>
      </c>
      <c r="E9277" s="18">
        <v>293.63</v>
      </c>
      <c r="F9277" s="18">
        <v>41886.15</v>
      </c>
      <c r="G9277" s="18">
        <v>105142</v>
      </c>
      <c r="H9277" s="18">
        <f t="shared" si="201"/>
        <v>41867.15</v>
      </c>
    </row>
    <row r="9278" spans="1:8" ht="19.5" customHeight="1" x14ac:dyDescent="0.55000000000000004">
      <c r="A9278" s="18">
        <v>24.811455299999999</v>
      </c>
      <c r="B9278" s="18">
        <v>34.817504399999997</v>
      </c>
      <c r="C9278" s="18">
        <v>683702.83</v>
      </c>
      <c r="D9278" s="18">
        <v>2745293.67</v>
      </c>
      <c r="E9278" s="18">
        <v>293.61</v>
      </c>
      <c r="F9278" s="18">
        <v>41885.449999999997</v>
      </c>
      <c r="G9278" s="18">
        <v>105144</v>
      </c>
      <c r="H9278" s="18">
        <f t="shared" si="201"/>
        <v>41866.449999999997</v>
      </c>
    </row>
    <row r="9279" spans="1:8" ht="19.5" customHeight="1" x14ac:dyDescent="0.55000000000000004">
      <c r="A9279" s="18">
        <v>24.811475999999999</v>
      </c>
      <c r="B9279" s="18">
        <v>34.817489700000003</v>
      </c>
      <c r="C9279" s="18">
        <v>683701.32</v>
      </c>
      <c r="D9279" s="18">
        <v>2745295.94</v>
      </c>
      <c r="E9279" s="18">
        <v>293.56</v>
      </c>
      <c r="F9279" s="18">
        <v>41882.339999999997</v>
      </c>
      <c r="G9279" s="18">
        <v>105146</v>
      </c>
      <c r="H9279" s="18">
        <f t="shared" si="201"/>
        <v>41863.339999999997</v>
      </c>
    </row>
    <row r="9280" spans="1:8" ht="19.5" customHeight="1" x14ac:dyDescent="0.55000000000000004">
      <c r="A9280" s="18">
        <v>24.811497899999999</v>
      </c>
      <c r="B9280" s="18">
        <v>34.817475999999999</v>
      </c>
      <c r="C9280" s="18">
        <v>683699.9</v>
      </c>
      <c r="D9280" s="18">
        <v>2745298.35</v>
      </c>
      <c r="E9280" s="18">
        <v>293.5</v>
      </c>
      <c r="F9280" s="18">
        <v>41882.559999999998</v>
      </c>
      <c r="G9280" s="18">
        <v>105148</v>
      </c>
      <c r="H9280" s="18">
        <f t="shared" si="201"/>
        <v>41863.56</v>
      </c>
    </row>
    <row r="9281" spans="1:8" ht="19.5" customHeight="1" x14ac:dyDescent="0.55000000000000004">
      <c r="A9281" s="18">
        <v>24.811519799999999</v>
      </c>
      <c r="B9281" s="18">
        <v>34.817462900000002</v>
      </c>
      <c r="C9281" s="18">
        <v>683698.54</v>
      </c>
      <c r="D9281" s="18">
        <v>2745300.76</v>
      </c>
      <c r="E9281" s="18">
        <v>293.44</v>
      </c>
      <c r="F9281" s="18">
        <v>41883.06</v>
      </c>
      <c r="G9281" s="18">
        <v>105150</v>
      </c>
      <c r="H9281" s="18">
        <f t="shared" si="201"/>
        <v>41864.06</v>
      </c>
    </row>
    <row r="9282" spans="1:8" ht="19.5" customHeight="1" x14ac:dyDescent="0.55000000000000004">
      <c r="A9282" s="18">
        <v>24.811540600000001</v>
      </c>
      <c r="B9282" s="18">
        <v>34.8174499</v>
      </c>
      <c r="C9282" s="18">
        <v>683697.2</v>
      </c>
      <c r="D9282" s="18">
        <v>2745303.04</v>
      </c>
      <c r="E9282" s="18">
        <v>293.39</v>
      </c>
      <c r="F9282" s="18">
        <v>41889.47</v>
      </c>
      <c r="G9282" s="18">
        <v>105152</v>
      </c>
      <c r="H9282" s="18">
        <f t="shared" si="201"/>
        <v>41870.47</v>
      </c>
    </row>
    <row r="9283" spans="1:8" ht="19.5" customHeight="1" x14ac:dyDescent="0.55000000000000004">
      <c r="A9283" s="18">
        <v>24.811560199999999</v>
      </c>
      <c r="B9283" s="18">
        <v>34.817436299999997</v>
      </c>
      <c r="C9283" s="18">
        <v>683695.79</v>
      </c>
      <c r="D9283" s="18">
        <v>2745305.2</v>
      </c>
      <c r="E9283" s="18">
        <v>293.39</v>
      </c>
      <c r="F9283" s="18">
        <v>41889.69</v>
      </c>
      <c r="G9283" s="18">
        <v>105154</v>
      </c>
      <c r="H9283" s="18">
        <f t="shared" si="201"/>
        <v>41870.69</v>
      </c>
    </row>
    <row r="9284" spans="1:8" ht="19.5" customHeight="1" x14ac:dyDescent="0.55000000000000004">
      <c r="A9284" s="18">
        <v>24.811580800000002</v>
      </c>
      <c r="B9284" s="18">
        <v>34.817424199999998</v>
      </c>
      <c r="C9284" s="18">
        <v>683694.54</v>
      </c>
      <c r="D9284" s="18">
        <v>2745307.46</v>
      </c>
      <c r="E9284" s="18">
        <v>293.33999999999997</v>
      </c>
      <c r="F9284" s="18">
        <v>41886.9</v>
      </c>
      <c r="G9284" s="18">
        <v>105156</v>
      </c>
      <c r="H9284" s="18">
        <f t="shared" si="201"/>
        <v>41867.9</v>
      </c>
    </row>
    <row r="9285" spans="1:8" ht="19.5" customHeight="1" x14ac:dyDescent="0.55000000000000004">
      <c r="A9285" s="18">
        <v>24.8116004</v>
      </c>
      <c r="B9285" s="18">
        <v>34.817410299999999</v>
      </c>
      <c r="C9285" s="18">
        <v>683693.11</v>
      </c>
      <c r="D9285" s="18">
        <v>2745309.61</v>
      </c>
      <c r="E9285" s="18">
        <v>293.27</v>
      </c>
      <c r="F9285" s="18">
        <v>41887.379999999997</v>
      </c>
      <c r="G9285" s="18">
        <v>105158</v>
      </c>
      <c r="H9285" s="18">
        <f t="shared" si="201"/>
        <v>41868.379999999997</v>
      </c>
    </row>
    <row r="9286" spans="1:8" ht="19.5" customHeight="1" x14ac:dyDescent="0.55000000000000004">
      <c r="A9286" s="18">
        <v>24.811619499999999</v>
      </c>
      <c r="B9286" s="18">
        <v>34.8173982</v>
      </c>
      <c r="C9286" s="18">
        <v>683691.85</v>
      </c>
      <c r="D9286" s="18">
        <v>2745311.72</v>
      </c>
      <c r="E9286" s="18">
        <v>293.27999999999997</v>
      </c>
      <c r="F9286" s="18">
        <v>41885</v>
      </c>
      <c r="G9286" s="18">
        <v>105200</v>
      </c>
      <c r="H9286" s="18">
        <f t="shared" si="201"/>
        <v>41866</v>
      </c>
    </row>
    <row r="9287" spans="1:8" ht="19.5" customHeight="1" x14ac:dyDescent="0.55000000000000004">
      <c r="A9287" s="18">
        <v>24.811639100000001</v>
      </c>
      <c r="B9287" s="18">
        <v>34.817388399999999</v>
      </c>
      <c r="C9287" s="18">
        <v>683690.83</v>
      </c>
      <c r="D9287" s="18">
        <v>2745313.87</v>
      </c>
      <c r="E9287" s="18">
        <v>293.19</v>
      </c>
      <c r="F9287" s="18">
        <v>41888.01</v>
      </c>
      <c r="G9287" s="18">
        <v>105202</v>
      </c>
      <c r="H9287" s="18">
        <f t="shared" si="201"/>
        <v>41869.01</v>
      </c>
    </row>
    <row r="9288" spans="1:8" ht="19.5" customHeight="1" x14ac:dyDescent="0.55000000000000004">
      <c r="A9288" s="18">
        <v>24.811659200000001</v>
      </c>
      <c r="B9288" s="18">
        <v>34.817377999999998</v>
      </c>
      <c r="C9288" s="18">
        <v>683689.75</v>
      </c>
      <c r="D9288" s="18">
        <v>2745316.09</v>
      </c>
      <c r="E9288" s="18">
        <v>293.2</v>
      </c>
      <c r="F9288" s="18">
        <v>41890.07</v>
      </c>
      <c r="G9288" s="18">
        <v>105204</v>
      </c>
      <c r="H9288" s="18">
        <f t="shared" si="201"/>
        <v>41871.07</v>
      </c>
    </row>
    <row r="9289" spans="1:8" ht="19.5" customHeight="1" x14ac:dyDescent="0.55000000000000004">
      <c r="A9289" s="18">
        <v>24.811678000000001</v>
      </c>
      <c r="B9289" s="18">
        <v>34.817369100000001</v>
      </c>
      <c r="C9289" s="18">
        <v>683688.82</v>
      </c>
      <c r="D9289" s="18">
        <v>2745318.15</v>
      </c>
      <c r="E9289" s="18">
        <v>293.14999999999998</v>
      </c>
      <c r="F9289" s="18">
        <v>41890.720000000001</v>
      </c>
      <c r="G9289" s="18">
        <v>105206</v>
      </c>
      <c r="H9289" s="18">
        <f t="shared" si="201"/>
        <v>41871.72</v>
      </c>
    </row>
    <row r="9290" spans="1:8" ht="19.5" customHeight="1" x14ac:dyDescent="0.55000000000000004">
      <c r="A9290" s="18">
        <v>24.811701800000002</v>
      </c>
      <c r="B9290" s="18">
        <v>34.817360100000002</v>
      </c>
      <c r="C9290" s="18">
        <v>683687.88</v>
      </c>
      <c r="D9290" s="18">
        <v>2745320.77</v>
      </c>
      <c r="E9290" s="18">
        <v>293.06</v>
      </c>
      <c r="F9290" s="18">
        <v>41885.08</v>
      </c>
      <c r="G9290" s="18">
        <v>105208</v>
      </c>
      <c r="H9290" s="18">
        <f t="shared" si="201"/>
        <v>41866.080000000002</v>
      </c>
    </row>
    <row r="9291" spans="1:8" ht="19.5" customHeight="1" x14ac:dyDescent="0.55000000000000004">
      <c r="A9291" s="18">
        <v>24.811724300000002</v>
      </c>
      <c r="B9291" s="18">
        <v>34.817352999999997</v>
      </c>
      <c r="C9291" s="18">
        <v>683687.13</v>
      </c>
      <c r="D9291" s="18">
        <v>2745323.26</v>
      </c>
      <c r="E9291" s="18">
        <v>293.07</v>
      </c>
      <c r="F9291" s="18">
        <v>41884.050000000003</v>
      </c>
      <c r="G9291" s="18">
        <v>105210</v>
      </c>
      <c r="H9291" s="18">
        <f t="shared" si="201"/>
        <v>41865.050000000003</v>
      </c>
    </row>
    <row r="9292" spans="1:8" ht="19.5" customHeight="1" x14ac:dyDescent="0.55000000000000004">
      <c r="A9292" s="18">
        <v>24.811745899999998</v>
      </c>
      <c r="B9292" s="18">
        <v>34.8173423</v>
      </c>
      <c r="C9292" s="18">
        <v>683686.02</v>
      </c>
      <c r="D9292" s="18">
        <v>2745325.64</v>
      </c>
      <c r="E9292" s="18">
        <v>293.05</v>
      </c>
      <c r="F9292" s="18">
        <v>41883.629999999997</v>
      </c>
      <c r="G9292" s="18">
        <v>105212</v>
      </c>
      <c r="H9292" s="18">
        <f t="shared" si="201"/>
        <v>41864.629999999997</v>
      </c>
    </row>
    <row r="9293" spans="1:8" ht="19.5" customHeight="1" x14ac:dyDescent="0.55000000000000004">
      <c r="A9293" s="18">
        <v>24.811767499999998</v>
      </c>
      <c r="B9293" s="18">
        <v>34.817329000000001</v>
      </c>
      <c r="C9293" s="18">
        <v>683684.64</v>
      </c>
      <c r="D9293" s="18">
        <v>2745328.02</v>
      </c>
      <c r="E9293" s="18">
        <v>293.01</v>
      </c>
      <c r="F9293" s="18">
        <v>41885</v>
      </c>
      <c r="G9293" s="18">
        <v>105214</v>
      </c>
      <c r="H9293" s="18">
        <f t="shared" si="201"/>
        <v>41866</v>
      </c>
    </row>
    <row r="9294" spans="1:8" ht="19.5" customHeight="1" x14ac:dyDescent="0.55000000000000004">
      <c r="A9294" s="18">
        <v>24.811788700000001</v>
      </c>
      <c r="B9294" s="18">
        <v>34.817314099999997</v>
      </c>
      <c r="C9294" s="18">
        <v>683683.1</v>
      </c>
      <c r="D9294" s="18">
        <v>2745330.34</v>
      </c>
      <c r="E9294" s="18">
        <v>293.08999999999997</v>
      </c>
      <c r="F9294" s="18">
        <v>41885.61</v>
      </c>
      <c r="G9294" s="18">
        <v>105216</v>
      </c>
      <c r="H9294" s="18">
        <f t="shared" si="201"/>
        <v>41866.61</v>
      </c>
    </row>
    <row r="9295" spans="1:8" ht="19.5" customHeight="1" x14ac:dyDescent="0.55000000000000004">
      <c r="A9295" s="18">
        <v>24.811810099999999</v>
      </c>
      <c r="B9295" s="18">
        <v>34.817299200000001</v>
      </c>
      <c r="C9295" s="18">
        <v>683681.57</v>
      </c>
      <c r="D9295" s="18">
        <v>2745332.69</v>
      </c>
      <c r="E9295" s="18">
        <v>293.18</v>
      </c>
      <c r="F9295" s="18">
        <v>41886.160000000003</v>
      </c>
      <c r="G9295" s="18">
        <v>105218</v>
      </c>
      <c r="H9295" s="18">
        <f t="shared" si="201"/>
        <v>41867.160000000003</v>
      </c>
    </row>
    <row r="9296" spans="1:8" ht="19.5" customHeight="1" x14ac:dyDescent="0.55000000000000004">
      <c r="A9296" s="18">
        <v>24.811828999999999</v>
      </c>
      <c r="B9296" s="18">
        <v>34.817283699999997</v>
      </c>
      <c r="C9296" s="18">
        <v>683679.97</v>
      </c>
      <c r="D9296" s="18">
        <v>2745334.76</v>
      </c>
      <c r="E9296" s="18">
        <v>293.17</v>
      </c>
      <c r="F9296" s="18">
        <v>41885.49</v>
      </c>
      <c r="G9296" s="18">
        <v>105220</v>
      </c>
      <c r="H9296" s="18">
        <f t="shared" si="201"/>
        <v>41866.49</v>
      </c>
    </row>
    <row r="9297" spans="1:8" ht="19.5" customHeight="1" x14ac:dyDescent="0.55000000000000004">
      <c r="A9297" s="18">
        <v>24.811849899999999</v>
      </c>
      <c r="B9297" s="18">
        <v>34.8172687</v>
      </c>
      <c r="C9297" s="18">
        <v>683678.42</v>
      </c>
      <c r="D9297" s="18">
        <v>2745337.06</v>
      </c>
      <c r="E9297" s="18">
        <v>293.14999999999998</v>
      </c>
      <c r="F9297" s="18">
        <v>41886.92</v>
      </c>
      <c r="G9297" s="18">
        <v>105222</v>
      </c>
      <c r="H9297" s="18">
        <f t="shared" si="201"/>
        <v>41867.919999999998</v>
      </c>
    </row>
    <row r="9298" spans="1:8" ht="19.5" customHeight="1" x14ac:dyDescent="0.55000000000000004">
      <c r="A9298" s="18">
        <v>24.8118725</v>
      </c>
      <c r="B9298" s="18">
        <v>34.817254900000002</v>
      </c>
      <c r="C9298" s="18">
        <v>683676.99</v>
      </c>
      <c r="D9298" s="18">
        <v>2745339.55</v>
      </c>
      <c r="E9298" s="18">
        <v>293.19</v>
      </c>
      <c r="F9298" s="18">
        <v>41885.29</v>
      </c>
      <c r="G9298" s="18">
        <v>105224</v>
      </c>
      <c r="H9298" s="18">
        <f t="shared" si="201"/>
        <v>41866.29</v>
      </c>
    </row>
    <row r="9299" spans="1:8" ht="19.5" customHeight="1" x14ac:dyDescent="0.55000000000000004">
      <c r="A9299" s="18">
        <v>24.811893699999999</v>
      </c>
      <c r="B9299" s="18">
        <v>34.817243400000002</v>
      </c>
      <c r="C9299" s="18">
        <v>683675.8</v>
      </c>
      <c r="D9299" s="18">
        <v>2745341.87</v>
      </c>
      <c r="E9299" s="18">
        <v>293.23</v>
      </c>
      <c r="F9299" s="18">
        <v>41885.019999999997</v>
      </c>
      <c r="G9299" s="18">
        <v>105226</v>
      </c>
      <c r="H9299" s="18">
        <f t="shared" si="201"/>
        <v>41866.019999999997</v>
      </c>
    </row>
    <row r="9300" spans="1:8" ht="19.5" customHeight="1" x14ac:dyDescent="0.55000000000000004">
      <c r="A9300" s="18">
        <v>24.811918200000001</v>
      </c>
      <c r="B9300" s="18">
        <v>34.817235500000002</v>
      </c>
      <c r="C9300" s="18">
        <v>683674.96</v>
      </c>
      <c r="D9300" s="18">
        <v>2745344.58</v>
      </c>
      <c r="E9300" s="18">
        <v>293.26</v>
      </c>
      <c r="F9300" s="18">
        <v>41884.17</v>
      </c>
      <c r="G9300" s="18">
        <v>105228</v>
      </c>
      <c r="H9300" s="18">
        <f t="shared" si="201"/>
        <v>41865.17</v>
      </c>
    </row>
    <row r="9301" spans="1:8" ht="19.5" customHeight="1" x14ac:dyDescent="0.55000000000000004">
      <c r="A9301" s="18">
        <v>24.811940700000001</v>
      </c>
      <c r="B9301" s="18">
        <v>34.817225499999999</v>
      </c>
      <c r="C9301" s="18">
        <v>683673.92</v>
      </c>
      <c r="D9301" s="18">
        <v>2745347.06</v>
      </c>
      <c r="E9301" s="18">
        <v>293.29000000000002</v>
      </c>
      <c r="F9301" s="18">
        <v>41885.599999999999</v>
      </c>
      <c r="G9301" s="18">
        <v>105230</v>
      </c>
      <c r="H9301" s="18">
        <f t="shared" si="201"/>
        <v>41866.6</v>
      </c>
    </row>
    <row r="9302" spans="1:8" ht="19.5" customHeight="1" x14ac:dyDescent="0.55000000000000004">
      <c r="A9302" s="18">
        <v>24.811963599999999</v>
      </c>
      <c r="B9302" s="18">
        <v>34.817217499999998</v>
      </c>
      <c r="C9302" s="18">
        <v>683673.08</v>
      </c>
      <c r="D9302" s="18">
        <v>2745349.58</v>
      </c>
      <c r="E9302" s="18">
        <v>293.42</v>
      </c>
      <c r="F9302" s="18">
        <v>41886.620000000003</v>
      </c>
      <c r="G9302" s="18">
        <v>105232</v>
      </c>
      <c r="H9302" s="18">
        <f t="shared" si="201"/>
        <v>41867.620000000003</v>
      </c>
    </row>
    <row r="9303" spans="1:8" ht="19.5" customHeight="1" x14ac:dyDescent="0.55000000000000004">
      <c r="A9303" s="18">
        <v>24.8119862</v>
      </c>
      <c r="B9303" s="18">
        <v>34.817211299999997</v>
      </c>
      <c r="C9303" s="18">
        <v>683672.42</v>
      </c>
      <c r="D9303" s="18">
        <v>2745352.08</v>
      </c>
      <c r="E9303" s="18">
        <v>293.56</v>
      </c>
      <c r="F9303" s="18">
        <v>41884.959999999999</v>
      </c>
      <c r="G9303" s="18">
        <v>105234</v>
      </c>
      <c r="H9303" s="18">
        <f t="shared" si="201"/>
        <v>41865.96</v>
      </c>
    </row>
    <row r="9304" spans="1:8" ht="19.5" customHeight="1" x14ac:dyDescent="0.55000000000000004">
      <c r="A9304" s="18">
        <v>24.812009</v>
      </c>
      <c r="B9304" s="18">
        <v>34.817202100000003</v>
      </c>
      <c r="C9304" s="18">
        <v>683671.46</v>
      </c>
      <c r="D9304" s="18">
        <v>2745354.6</v>
      </c>
      <c r="E9304" s="18">
        <v>293.66000000000003</v>
      </c>
      <c r="F9304" s="18">
        <v>41883.379999999997</v>
      </c>
      <c r="G9304" s="18">
        <v>105236</v>
      </c>
      <c r="H9304" s="18">
        <f t="shared" si="201"/>
        <v>41864.379999999997</v>
      </c>
    </row>
    <row r="9305" spans="1:8" ht="19.5" customHeight="1" x14ac:dyDescent="0.55000000000000004">
      <c r="A9305" s="18">
        <v>24.812033199999998</v>
      </c>
      <c r="B9305" s="18">
        <v>34.817192900000002</v>
      </c>
      <c r="C9305" s="18">
        <v>683670.49</v>
      </c>
      <c r="D9305" s="18">
        <v>2745357.26</v>
      </c>
      <c r="E9305" s="18">
        <v>293.64</v>
      </c>
      <c r="F9305" s="18">
        <v>41880.89</v>
      </c>
      <c r="G9305" s="18">
        <v>105238</v>
      </c>
      <c r="H9305" s="18">
        <f t="shared" si="201"/>
        <v>41861.89</v>
      </c>
    </row>
    <row r="9306" spans="1:8" ht="19.5" customHeight="1" x14ac:dyDescent="0.55000000000000004">
      <c r="A9306" s="18">
        <v>24.812057500000002</v>
      </c>
      <c r="B9306" s="18">
        <v>34.817188000000002</v>
      </c>
      <c r="C9306" s="18">
        <v>683669.95</v>
      </c>
      <c r="D9306" s="18">
        <v>2745359.95</v>
      </c>
      <c r="E9306" s="18">
        <v>293.7</v>
      </c>
      <c r="F9306" s="18">
        <v>41881.019999999997</v>
      </c>
      <c r="G9306" s="18">
        <v>105240</v>
      </c>
      <c r="H9306" s="18">
        <f t="shared" si="201"/>
        <v>41862.019999999997</v>
      </c>
    </row>
    <row r="9307" spans="1:8" ht="19.5" customHeight="1" x14ac:dyDescent="0.55000000000000004">
      <c r="A9307" s="18">
        <v>24.812081599999999</v>
      </c>
      <c r="B9307" s="18">
        <v>34.817182099999997</v>
      </c>
      <c r="C9307" s="18">
        <v>683669.32</v>
      </c>
      <c r="D9307" s="18">
        <v>2745362.61</v>
      </c>
      <c r="E9307" s="18">
        <v>293.8</v>
      </c>
      <c r="F9307" s="18">
        <v>41881.03</v>
      </c>
      <c r="G9307" s="18">
        <v>105242</v>
      </c>
      <c r="H9307" s="18">
        <f t="shared" si="201"/>
        <v>41862.03</v>
      </c>
    </row>
    <row r="9308" spans="1:8" ht="19.5" customHeight="1" x14ac:dyDescent="0.55000000000000004">
      <c r="A9308" s="18">
        <v>24.8121048</v>
      </c>
      <c r="B9308" s="18">
        <v>34.817169300000003</v>
      </c>
      <c r="C9308" s="18">
        <v>683668</v>
      </c>
      <c r="D9308" s="18">
        <v>2745365.15</v>
      </c>
      <c r="E9308" s="18">
        <v>293.83999999999997</v>
      </c>
      <c r="F9308" s="18">
        <v>41882.400000000001</v>
      </c>
      <c r="G9308" s="18">
        <v>105244</v>
      </c>
      <c r="H9308" s="18">
        <f t="shared" si="201"/>
        <v>41863.4</v>
      </c>
    </row>
    <row r="9309" spans="1:8" ht="19.5" customHeight="1" x14ac:dyDescent="0.55000000000000004">
      <c r="A9309" s="18">
        <v>24.8121309</v>
      </c>
      <c r="B9309" s="18">
        <v>34.817163700000002</v>
      </c>
      <c r="C9309" s="18">
        <v>683667.39</v>
      </c>
      <c r="D9309" s="18">
        <v>2745368.05</v>
      </c>
      <c r="E9309" s="18">
        <v>293.88</v>
      </c>
      <c r="F9309" s="18">
        <v>41882.67</v>
      </c>
      <c r="G9309" s="18">
        <v>105246</v>
      </c>
      <c r="H9309" s="18">
        <f t="shared" si="201"/>
        <v>41863.67</v>
      </c>
    </row>
    <row r="9310" spans="1:8" ht="19.5" customHeight="1" x14ac:dyDescent="0.55000000000000004">
      <c r="A9310" s="18">
        <v>24.8121559</v>
      </c>
      <c r="B9310" s="18">
        <v>34.817163299999997</v>
      </c>
      <c r="C9310" s="18">
        <v>683667.32</v>
      </c>
      <c r="D9310" s="18">
        <v>2745370.81</v>
      </c>
      <c r="E9310" s="18">
        <v>293.93</v>
      </c>
      <c r="F9310" s="18">
        <v>41878.29</v>
      </c>
      <c r="G9310" s="18">
        <v>105248</v>
      </c>
      <c r="H9310" s="18">
        <f t="shared" si="201"/>
        <v>41859.29</v>
      </c>
    </row>
    <row r="9311" spans="1:8" ht="19.5" customHeight="1" x14ac:dyDescent="0.55000000000000004">
      <c r="A9311" s="18">
        <v>24.812181500000001</v>
      </c>
      <c r="B9311" s="18">
        <v>34.817160000000001</v>
      </c>
      <c r="C9311" s="18">
        <v>683666.94</v>
      </c>
      <c r="D9311" s="18">
        <v>2745373.64</v>
      </c>
      <c r="E9311" s="18">
        <v>293.93</v>
      </c>
      <c r="F9311" s="18">
        <v>41881.64</v>
      </c>
      <c r="G9311" s="18">
        <v>105250</v>
      </c>
      <c r="H9311" s="18">
        <f t="shared" si="201"/>
        <v>41862.639999999999</v>
      </c>
    </row>
    <row r="9312" spans="1:8" ht="19.5" customHeight="1" x14ac:dyDescent="0.55000000000000004">
      <c r="A9312" s="18">
        <v>24.812205599999999</v>
      </c>
      <c r="B9312" s="18">
        <v>34.817154199999997</v>
      </c>
      <c r="C9312" s="18">
        <v>683666.32</v>
      </c>
      <c r="D9312" s="18">
        <v>2745376.31</v>
      </c>
      <c r="E9312" s="18">
        <v>294.16000000000003</v>
      </c>
      <c r="F9312" s="18">
        <v>41882.660000000003</v>
      </c>
      <c r="G9312" s="18">
        <v>105252</v>
      </c>
      <c r="H9312" s="18">
        <f t="shared" si="201"/>
        <v>41863.660000000003</v>
      </c>
    </row>
    <row r="9313" spans="1:8" ht="19.5" customHeight="1" x14ac:dyDescent="0.55000000000000004">
      <c r="A9313" s="18">
        <v>24.812229899999998</v>
      </c>
      <c r="B9313" s="18">
        <v>34.817152900000004</v>
      </c>
      <c r="C9313" s="18">
        <v>683666.16</v>
      </c>
      <c r="D9313" s="18">
        <v>2745379</v>
      </c>
      <c r="E9313" s="18">
        <v>294.3</v>
      </c>
      <c r="F9313" s="18">
        <v>41881.42</v>
      </c>
      <c r="G9313" s="18">
        <v>105254</v>
      </c>
      <c r="H9313" s="18">
        <f t="shared" si="201"/>
        <v>41862.42</v>
      </c>
    </row>
    <row r="9314" spans="1:8" ht="19.5" customHeight="1" x14ac:dyDescent="0.55000000000000004">
      <c r="A9314" s="18">
        <v>24.812251499999999</v>
      </c>
      <c r="B9314" s="18">
        <v>34.817148000000003</v>
      </c>
      <c r="C9314" s="18">
        <v>683665.63</v>
      </c>
      <c r="D9314" s="18">
        <v>2745381.38</v>
      </c>
      <c r="E9314" s="18">
        <v>294.41000000000003</v>
      </c>
      <c r="F9314" s="18">
        <v>41884.730000000003</v>
      </c>
      <c r="G9314" s="18">
        <v>105256</v>
      </c>
      <c r="H9314" s="18">
        <f t="shared" si="201"/>
        <v>41865.730000000003</v>
      </c>
    </row>
    <row r="9315" spans="1:8" ht="19.5" customHeight="1" x14ac:dyDescent="0.55000000000000004">
      <c r="A9315" s="18">
        <v>24.812275899999999</v>
      </c>
      <c r="B9315" s="18">
        <v>34.817146399999999</v>
      </c>
      <c r="C9315" s="18">
        <v>683665.43</v>
      </c>
      <c r="D9315" s="18">
        <v>2745384.08</v>
      </c>
      <c r="E9315" s="18">
        <v>294.47000000000003</v>
      </c>
      <c r="F9315" s="18">
        <v>41884.58</v>
      </c>
      <c r="G9315" s="18">
        <v>105258</v>
      </c>
      <c r="H9315" s="18">
        <f t="shared" si="201"/>
        <v>41865.58</v>
      </c>
    </row>
    <row r="9316" spans="1:8" ht="19.5" customHeight="1" x14ac:dyDescent="0.55000000000000004">
      <c r="A9316" s="18">
        <v>24.8122981</v>
      </c>
      <c r="B9316" s="18">
        <v>34.817138900000003</v>
      </c>
      <c r="C9316" s="18">
        <v>683664.64</v>
      </c>
      <c r="D9316" s="18">
        <v>2745386.53</v>
      </c>
      <c r="E9316" s="18">
        <v>294.64</v>
      </c>
      <c r="F9316" s="18">
        <v>41884.769999999997</v>
      </c>
      <c r="G9316" s="18">
        <v>105300</v>
      </c>
      <c r="H9316" s="18">
        <f t="shared" si="201"/>
        <v>41865.769999999997</v>
      </c>
    </row>
    <row r="9317" spans="1:8" ht="19.5" customHeight="1" x14ac:dyDescent="0.55000000000000004">
      <c r="A9317" s="18">
        <v>24.8123191</v>
      </c>
      <c r="B9317" s="18">
        <v>34.8171325</v>
      </c>
      <c r="C9317" s="18">
        <v>683663.96</v>
      </c>
      <c r="D9317" s="18">
        <v>2745388.85</v>
      </c>
      <c r="E9317" s="18">
        <v>294.64</v>
      </c>
      <c r="F9317" s="18">
        <v>41881.79</v>
      </c>
      <c r="G9317" s="18">
        <v>105302</v>
      </c>
      <c r="H9317" s="18">
        <f t="shared" si="201"/>
        <v>41862.79</v>
      </c>
    </row>
    <row r="9318" spans="1:8" ht="19.5" customHeight="1" x14ac:dyDescent="0.55000000000000004">
      <c r="A9318" s="18">
        <v>24.812342399999999</v>
      </c>
      <c r="B9318" s="18">
        <v>34.8171386</v>
      </c>
      <c r="C9318" s="18">
        <v>683664.54</v>
      </c>
      <c r="D9318" s="18">
        <v>2745391.43</v>
      </c>
      <c r="E9318" s="18">
        <v>294.68</v>
      </c>
      <c r="F9318" s="18">
        <v>41881.93</v>
      </c>
      <c r="G9318" s="18">
        <v>105304</v>
      </c>
      <c r="H9318" s="18">
        <f t="shared" si="201"/>
        <v>41862.93</v>
      </c>
    </row>
    <row r="9319" spans="1:8" ht="19.5" customHeight="1" x14ac:dyDescent="0.55000000000000004">
      <c r="A9319" s="18">
        <v>24.812363600000001</v>
      </c>
      <c r="B9319" s="18">
        <v>34.817152399999998</v>
      </c>
      <c r="C9319" s="18">
        <v>683665.91</v>
      </c>
      <c r="D9319" s="18">
        <v>2745393.8</v>
      </c>
      <c r="E9319" s="18">
        <v>294.81</v>
      </c>
      <c r="F9319" s="18">
        <v>41885.07</v>
      </c>
      <c r="G9319" s="18">
        <v>105306</v>
      </c>
      <c r="H9319" s="18">
        <f t="shared" si="201"/>
        <v>41866.07</v>
      </c>
    </row>
    <row r="9320" spans="1:8" ht="19.5" customHeight="1" x14ac:dyDescent="0.55000000000000004">
      <c r="A9320" s="18">
        <v>24.8123854</v>
      </c>
      <c r="B9320" s="18">
        <v>34.8171617</v>
      </c>
      <c r="C9320" s="18">
        <v>683666.81</v>
      </c>
      <c r="D9320" s="18">
        <v>2745396.22</v>
      </c>
      <c r="E9320" s="18">
        <v>294.81</v>
      </c>
      <c r="F9320" s="18">
        <v>41883.480000000003</v>
      </c>
      <c r="G9320" s="18">
        <v>105308</v>
      </c>
      <c r="H9320" s="18">
        <f t="shared" si="201"/>
        <v>41864.480000000003</v>
      </c>
    </row>
    <row r="9321" spans="1:8" ht="19.5" customHeight="1" x14ac:dyDescent="0.55000000000000004">
      <c r="A9321" s="18">
        <v>24.812408300000001</v>
      </c>
      <c r="B9321" s="18">
        <v>34.817167499999996</v>
      </c>
      <c r="C9321" s="18">
        <v>683667.36</v>
      </c>
      <c r="D9321" s="18">
        <v>2745398.77</v>
      </c>
      <c r="E9321" s="18">
        <v>294.89999999999998</v>
      </c>
      <c r="F9321" s="18">
        <v>41886.26</v>
      </c>
      <c r="G9321" s="18">
        <v>105310</v>
      </c>
      <c r="H9321" s="18">
        <f t="shared" si="201"/>
        <v>41867.26</v>
      </c>
    </row>
    <row r="9322" spans="1:8" ht="19.5" customHeight="1" x14ac:dyDescent="0.55000000000000004">
      <c r="A9322" s="18">
        <v>24.812430500000001</v>
      </c>
      <c r="B9322" s="18">
        <v>34.817176699999997</v>
      </c>
      <c r="C9322" s="18">
        <v>683668.26</v>
      </c>
      <c r="D9322" s="18">
        <v>2745401.24</v>
      </c>
      <c r="E9322" s="18">
        <v>294.88</v>
      </c>
      <c r="F9322" s="18">
        <v>41886.050000000003</v>
      </c>
      <c r="G9322" s="18">
        <v>105312</v>
      </c>
      <c r="H9322" s="18">
        <f t="shared" si="201"/>
        <v>41867.050000000003</v>
      </c>
    </row>
    <row r="9323" spans="1:8" ht="19.5" customHeight="1" x14ac:dyDescent="0.55000000000000004">
      <c r="A9323" s="18">
        <v>24.812452199999999</v>
      </c>
      <c r="B9323" s="18">
        <v>34.817188199999997</v>
      </c>
      <c r="C9323" s="18">
        <v>683669.4</v>
      </c>
      <c r="D9323" s="18">
        <v>2745403.67</v>
      </c>
      <c r="E9323" s="18">
        <v>294.93</v>
      </c>
      <c r="F9323" s="18">
        <v>41885.14</v>
      </c>
      <c r="G9323" s="18">
        <v>105314</v>
      </c>
      <c r="H9323" s="18">
        <f t="shared" si="201"/>
        <v>41866.14</v>
      </c>
    </row>
    <row r="9324" spans="1:8" ht="19.5" customHeight="1" x14ac:dyDescent="0.55000000000000004">
      <c r="A9324" s="18">
        <v>24.812475599999999</v>
      </c>
      <c r="B9324" s="18">
        <v>34.817197200000003</v>
      </c>
      <c r="C9324" s="18">
        <v>683670.27</v>
      </c>
      <c r="D9324" s="18">
        <v>2745406.27</v>
      </c>
      <c r="E9324" s="18">
        <v>295</v>
      </c>
      <c r="F9324" s="18">
        <v>41884.089999999997</v>
      </c>
      <c r="G9324" s="18">
        <v>105316</v>
      </c>
      <c r="H9324" s="18">
        <f t="shared" si="201"/>
        <v>41865.089999999997</v>
      </c>
    </row>
    <row r="9325" spans="1:8" ht="19.5" customHeight="1" x14ac:dyDescent="0.55000000000000004">
      <c r="A9325" s="18">
        <v>24.812500100000001</v>
      </c>
      <c r="B9325" s="18">
        <v>34.817202600000002</v>
      </c>
      <c r="C9325" s="18">
        <v>683670.78</v>
      </c>
      <c r="D9325" s="18">
        <v>2745408.98</v>
      </c>
      <c r="E9325" s="18">
        <v>295.08</v>
      </c>
      <c r="F9325" s="18">
        <v>41887.120000000003</v>
      </c>
      <c r="G9325" s="18">
        <v>105318</v>
      </c>
      <c r="H9325" s="18">
        <f t="shared" si="201"/>
        <v>41868.120000000003</v>
      </c>
    </row>
    <row r="9326" spans="1:8" ht="19.5" customHeight="1" x14ac:dyDescent="0.55000000000000004">
      <c r="A9326" s="18">
        <v>24.812523200000001</v>
      </c>
      <c r="B9326" s="18">
        <v>34.817213899999999</v>
      </c>
      <c r="C9326" s="18">
        <v>683671.88</v>
      </c>
      <c r="D9326" s="18">
        <v>2745411.56</v>
      </c>
      <c r="E9326" s="18">
        <v>295.04000000000002</v>
      </c>
      <c r="F9326" s="18">
        <v>41886.51</v>
      </c>
      <c r="G9326" s="18">
        <v>105320</v>
      </c>
      <c r="H9326" s="18">
        <f t="shared" si="201"/>
        <v>41867.51</v>
      </c>
    </row>
    <row r="9327" spans="1:8" ht="19.5" customHeight="1" x14ac:dyDescent="0.55000000000000004">
      <c r="A9327" s="18">
        <v>24.812542499999999</v>
      </c>
      <c r="B9327" s="18">
        <v>34.817229400000002</v>
      </c>
      <c r="C9327" s="18">
        <v>683673.43</v>
      </c>
      <c r="D9327" s="18">
        <v>2745413.72</v>
      </c>
      <c r="E9327" s="18">
        <v>295.10000000000002</v>
      </c>
      <c r="F9327" s="18">
        <v>41881.69</v>
      </c>
      <c r="G9327" s="18">
        <v>105322</v>
      </c>
      <c r="H9327" s="18">
        <f t="shared" si="201"/>
        <v>41862.69</v>
      </c>
    </row>
    <row r="9328" spans="1:8" ht="19.5" customHeight="1" x14ac:dyDescent="0.55000000000000004">
      <c r="A9328" s="18">
        <v>24.812564399999999</v>
      </c>
      <c r="B9328" s="18">
        <v>34.817239200000003</v>
      </c>
      <c r="C9328" s="18">
        <v>683674.38</v>
      </c>
      <c r="D9328" s="18">
        <v>2745416.16</v>
      </c>
      <c r="E9328" s="18">
        <v>295.16000000000003</v>
      </c>
      <c r="F9328" s="18">
        <v>41887.01</v>
      </c>
      <c r="G9328" s="18">
        <v>105324</v>
      </c>
      <c r="H9328" s="18">
        <f t="shared" si="201"/>
        <v>41868.01</v>
      </c>
    </row>
    <row r="9329" spans="1:8" ht="19.5" customHeight="1" x14ac:dyDescent="0.55000000000000004">
      <c r="A9329" s="18">
        <v>24.8125821</v>
      </c>
      <c r="B9329" s="18">
        <v>34.817255500000002</v>
      </c>
      <c r="C9329" s="18">
        <v>683676.01</v>
      </c>
      <c r="D9329" s="18">
        <v>2745418.14</v>
      </c>
      <c r="E9329" s="18">
        <v>295.11</v>
      </c>
      <c r="F9329" s="18">
        <v>41885.68</v>
      </c>
      <c r="G9329" s="18">
        <v>105326</v>
      </c>
      <c r="H9329" s="18">
        <f t="shared" si="201"/>
        <v>41866.68</v>
      </c>
    </row>
    <row r="9330" spans="1:8" ht="19.5" customHeight="1" x14ac:dyDescent="0.55000000000000004">
      <c r="A9330" s="18">
        <v>24.812600100000001</v>
      </c>
      <c r="B9330" s="18">
        <v>34.817270899999997</v>
      </c>
      <c r="C9330" s="18">
        <v>683677.53</v>
      </c>
      <c r="D9330" s="18">
        <v>2745420.15</v>
      </c>
      <c r="E9330" s="18">
        <v>295.17</v>
      </c>
      <c r="F9330" s="18">
        <v>41886.06</v>
      </c>
      <c r="G9330" s="18">
        <v>105328</v>
      </c>
      <c r="H9330" s="18">
        <f t="shared" si="201"/>
        <v>41867.06</v>
      </c>
    </row>
    <row r="9331" spans="1:8" ht="19.5" customHeight="1" x14ac:dyDescent="0.55000000000000004">
      <c r="A9331" s="18">
        <v>24.812622900000001</v>
      </c>
      <c r="B9331" s="18">
        <v>34.817277300000001</v>
      </c>
      <c r="C9331" s="18">
        <v>683678.15</v>
      </c>
      <c r="D9331" s="18">
        <v>2745422.69</v>
      </c>
      <c r="E9331" s="18">
        <v>295.16000000000003</v>
      </c>
      <c r="F9331" s="18">
        <v>41886.97</v>
      </c>
      <c r="G9331" s="18">
        <v>105330</v>
      </c>
      <c r="H9331" s="18">
        <f t="shared" ref="H9331:H9394" si="202">SUM(F9331-19)</f>
        <v>41867.97</v>
      </c>
    </row>
    <row r="9332" spans="1:8" ht="19.5" customHeight="1" x14ac:dyDescent="0.55000000000000004">
      <c r="A9332" s="18">
        <v>24.812644800000001</v>
      </c>
      <c r="B9332" s="18">
        <v>34.817286000000003</v>
      </c>
      <c r="C9332" s="18">
        <v>683679</v>
      </c>
      <c r="D9332" s="18">
        <v>2745425.13</v>
      </c>
      <c r="E9332" s="18">
        <v>295.19</v>
      </c>
      <c r="F9332" s="18">
        <v>41890.01</v>
      </c>
      <c r="G9332" s="18">
        <v>105332</v>
      </c>
      <c r="H9332" s="18">
        <f t="shared" si="202"/>
        <v>41871.01</v>
      </c>
    </row>
    <row r="9333" spans="1:8" ht="19.5" customHeight="1" x14ac:dyDescent="0.55000000000000004">
      <c r="A9333" s="18">
        <v>24.812664300000002</v>
      </c>
      <c r="B9333" s="18">
        <v>34.817301499999999</v>
      </c>
      <c r="C9333" s="18">
        <v>683680.53</v>
      </c>
      <c r="D9333" s="18">
        <v>2745427.3</v>
      </c>
      <c r="E9333" s="18">
        <v>295.17</v>
      </c>
      <c r="F9333" s="18">
        <v>41888.83</v>
      </c>
      <c r="G9333" s="18">
        <v>105334</v>
      </c>
      <c r="H9333" s="18">
        <f t="shared" si="202"/>
        <v>41869.83</v>
      </c>
    </row>
    <row r="9334" spans="1:8" ht="19.5" customHeight="1" x14ac:dyDescent="0.55000000000000004">
      <c r="A9334" s="18">
        <v>24.812677600000001</v>
      </c>
      <c r="B9334" s="18">
        <v>34.817323999999999</v>
      </c>
      <c r="C9334" s="18">
        <v>683682.79</v>
      </c>
      <c r="D9334" s="18">
        <v>2745428.81</v>
      </c>
      <c r="E9334" s="18">
        <v>295.22000000000003</v>
      </c>
      <c r="F9334" s="18">
        <v>41887.64</v>
      </c>
      <c r="G9334" s="18">
        <v>105336</v>
      </c>
      <c r="H9334" s="18">
        <f t="shared" si="202"/>
        <v>41868.639999999999</v>
      </c>
    </row>
    <row r="9335" spans="1:8" ht="19.5" customHeight="1" x14ac:dyDescent="0.55000000000000004">
      <c r="A9335" s="18">
        <v>24.812690100000001</v>
      </c>
      <c r="B9335" s="18">
        <v>34.817347300000002</v>
      </c>
      <c r="C9335" s="18">
        <v>683685.13</v>
      </c>
      <c r="D9335" s="18">
        <v>2745430.23</v>
      </c>
      <c r="E9335" s="18">
        <v>295.25</v>
      </c>
      <c r="F9335" s="18">
        <v>41888.26</v>
      </c>
      <c r="G9335" s="18">
        <v>105338</v>
      </c>
      <c r="H9335" s="18">
        <f t="shared" si="202"/>
        <v>41869.26</v>
      </c>
    </row>
    <row r="9336" spans="1:8" ht="19.5" customHeight="1" x14ac:dyDescent="0.55000000000000004">
      <c r="A9336" s="18">
        <v>24.812698600000001</v>
      </c>
      <c r="B9336" s="18">
        <v>34.817370699999998</v>
      </c>
      <c r="C9336" s="18">
        <v>683687.49</v>
      </c>
      <c r="D9336" s="18">
        <v>2745431.2</v>
      </c>
      <c r="E9336" s="18">
        <v>295.19</v>
      </c>
      <c r="F9336" s="18">
        <v>41890.01</v>
      </c>
      <c r="G9336" s="18">
        <v>105340</v>
      </c>
      <c r="H9336" s="18">
        <f t="shared" si="202"/>
        <v>41871.01</v>
      </c>
    </row>
    <row r="9337" spans="1:8" ht="19.5" customHeight="1" x14ac:dyDescent="0.55000000000000004">
      <c r="A9337" s="18">
        <v>24.812712099999999</v>
      </c>
      <c r="B9337" s="18">
        <v>34.817393699999997</v>
      </c>
      <c r="C9337" s="18">
        <v>683689.79</v>
      </c>
      <c r="D9337" s="18">
        <v>2745432.72</v>
      </c>
      <c r="E9337" s="18">
        <v>295.25</v>
      </c>
      <c r="F9337" s="18">
        <v>41889.64</v>
      </c>
      <c r="G9337" s="18">
        <v>105342</v>
      </c>
      <c r="H9337" s="18">
        <f t="shared" si="202"/>
        <v>41870.639999999999</v>
      </c>
    </row>
    <row r="9338" spans="1:8" ht="19.5" customHeight="1" x14ac:dyDescent="0.55000000000000004">
      <c r="A9338" s="18">
        <v>24.812726399999999</v>
      </c>
      <c r="B9338" s="18">
        <v>34.8174122</v>
      </c>
      <c r="C9338" s="18">
        <v>683691.64</v>
      </c>
      <c r="D9338" s="18">
        <v>2745434.34</v>
      </c>
      <c r="E9338" s="18">
        <v>295.5</v>
      </c>
      <c r="F9338" s="18">
        <v>41892.43</v>
      </c>
      <c r="G9338" s="18">
        <v>105344</v>
      </c>
      <c r="H9338" s="18">
        <f t="shared" si="202"/>
        <v>41873.43</v>
      </c>
    </row>
    <row r="9339" spans="1:8" ht="19.5" customHeight="1" x14ac:dyDescent="0.55000000000000004">
      <c r="A9339" s="18">
        <v>24.8127377</v>
      </c>
      <c r="B9339" s="18">
        <v>34.8174347</v>
      </c>
      <c r="C9339" s="18">
        <v>683693.89</v>
      </c>
      <c r="D9339" s="18">
        <v>2745435.61</v>
      </c>
      <c r="E9339" s="18">
        <v>295.57</v>
      </c>
      <c r="F9339" s="18">
        <v>41889.769999999997</v>
      </c>
      <c r="G9339" s="18">
        <v>105346</v>
      </c>
      <c r="H9339" s="18">
        <f t="shared" si="202"/>
        <v>41870.769999999997</v>
      </c>
    </row>
    <row r="9340" spans="1:8" ht="19.5" customHeight="1" x14ac:dyDescent="0.55000000000000004">
      <c r="A9340" s="18">
        <v>24.812749</v>
      </c>
      <c r="B9340" s="18">
        <v>34.8174566</v>
      </c>
      <c r="C9340" s="18">
        <v>683696.09</v>
      </c>
      <c r="D9340" s="18">
        <v>2745436.9</v>
      </c>
      <c r="E9340" s="18">
        <v>295.70999999999998</v>
      </c>
      <c r="F9340" s="18">
        <v>41893.93</v>
      </c>
      <c r="G9340" s="18">
        <v>105348</v>
      </c>
      <c r="H9340" s="18">
        <f t="shared" si="202"/>
        <v>41874.93</v>
      </c>
    </row>
    <row r="9341" spans="1:8" ht="19.5" customHeight="1" x14ac:dyDescent="0.55000000000000004">
      <c r="A9341" s="18">
        <v>24.812758200000001</v>
      </c>
      <c r="B9341" s="18">
        <v>34.817478100000002</v>
      </c>
      <c r="C9341" s="18">
        <v>683698.25</v>
      </c>
      <c r="D9341" s="18">
        <v>2745437.95</v>
      </c>
      <c r="E9341" s="18">
        <v>295.79000000000002</v>
      </c>
      <c r="F9341" s="18">
        <v>41890.57</v>
      </c>
      <c r="G9341" s="18">
        <v>105350</v>
      </c>
      <c r="H9341" s="18">
        <f t="shared" si="202"/>
        <v>41871.57</v>
      </c>
    </row>
    <row r="9342" spans="1:8" ht="19.5" customHeight="1" x14ac:dyDescent="0.55000000000000004">
      <c r="A9342" s="18">
        <v>24.812774600000001</v>
      </c>
      <c r="B9342" s="18">
        <v>34.817495700000002</v>
      </c>
      <c r="C9342" s="18">
        <v>683700</v>
      </c>
      <c r="D9342" s="18">
        <v>2745439.79</v>
      </c>
      <c r="E9342" s="18">
        <v>295.93</v>
      </c>
      <c r="F9342" s="18">
        <v>41889.97</v>
      </c>
      <c r="G9342" s="18">
        <v>105352</v>
      </c>
      <c r="H9342" s="18">
        <f t="shared" si="202"/>
        <v>41870.97</v>
      </c>
    </row>
    <row r="9343" spans="1:8" ht="19.5" customHeight="1" x14ac:dyDescent="0.55000000000000004">
      <c r="A9343" s="18">
        <v>24.812789599999999</v>
      </c>
      <c r="B9343" s="18">
        <v>34.817514299999999</v>
      </c>
      <c r="C9343" s="18">
        <v>683701.87</v>
      </c>
      <c r="D9343" s="18">
        <v>2745441.48</v>
      </c>
      <c r="E9343" s="18">
        <v>296.07</v>
      </c>
      <c r="F9343" s="18">
        <v>41888.519999999997</v>
      </c>
      <c r="G9343" s="18">
        <v>105354</v>
      </c>
      <c r="H9343" s="18">
        <f t="shared" si="202"/>
        <v>41869.519999999997</v>
      </c>
    </row>
    <row r="9344" spans="1:8" ht="19.5" customHeight="1" x14ac:dyDescent="0.55000000000000004">
      <c r="A9344" s="18">
        <v>24.8128058</v>
      </c>
      <c r="B9344" s="18">
        <v>34.817533400000002</v>
      </c>
      <c r="C9344" s="18">
        <v>683703.77</v>
      </c>
      <c r="D9344" s="18">
        <v>2745443.29</v>
      </c>
      <c r="E9344" s="18">
        <v>296.27</v>
      </c>
      <c r="F9344" s="18">
        <v>41888.81</v>
      </c>
      <c r="G9344" s="18">
        <v>105356</v>
      </c>
      <c r="H9344" s="18">
        <f t="shared" si="202"/>
        <v>41869.81</v>
      </c>
    </row>
    <row r="9345" spans="1:8" ht="19.5" customHeight="1" x14ac:dyDescent="0.55000000000000004">
      <c r="A9345" s="18">
        <v>24.812825499999999</v>
      </c>
      <c r="B9345" s="18">
        <v>34.817547699999999</v>
      </c>
      <c r="C9345" s="18">
        <v>683705.18</v>
      </c>
      <c r="D9345" s="18">
        <v>2745445.49</v>
      </c>
      <c r="E9345" s="18">
        <v>296.38</v>
      </c>
      <c r="F9345" s="18">
        <v>41887.550000000003</v>
      </c>
      <c r="G9345" s="18">
        <v>105358</v>
      </c>
      <c r="H9345" s="18">
        <f t="shared" si="202"/>
        <v>41868.550000000003</v>
      </c>
    </row>
    <row r="9346" spans="1:8" ht="19.5" customHeight="1" x14ac:dyDescent="0.55000000000000004">
      <c r="A9346" s="18">
        <v>24.812844599999998</v>
      </c>
      <c r="B9346" s="18">
        <v>34.817561900000001</v>
      </c>
      <c r="C9346" s="18">
        <v>683706.6</v>
      </c>
      <c r="D9346" s="18">
        <v>2745447.63</v>
      </c>
      <c r="E9346" s="18">
        <v>296.51</v>
      </c>
      <c r="F9346" s="18">
        <v>41885.24</v>
      </c>
      <c r="G9346" s="18">
        <v>105400</v>
      </c>
      <c r="H9346" s="18">
        <f t="shared" si="202"/>
        <v>41866.239999999998</v>
      </c>
    </row>
    <row r="9347" spans="1:8" ht="19.5" customHeight="1" x14ac:dyDescent="0.55000000000000004">
      <c r="A9347" s="18">
        <v>24.812865899999998</v>
      </c>
      <c r="B9347" s="18">
        <v>34.817573000000003</v>
      </c>
      <c r="C9347" s="18">
        <v>683707.69</v>
      </c>
      <c r="D9347" s="18">
        <v>2745450.01</v>
      </c>
      <c r="E9347" s="18">
        <v>296.69</v>
      </c>
      <c r="F9347" s="18">
        <v>41886.18</v>
      </c>
      <c r="G9347" s="18">
        <v>105402</v>
      </c>
      <c r="H9347" s="18">
        <f t="shared" si="202"/>
        <v>41867.18</v>
      </c>
    </row>
    <row r="9348" spans="1:8" ht="19.5" customHeight="1" x14ac:dyDescent="0.55000000000000004">
      <c r="A9348" s="18">
        <v>24.812886899999999</v>
      </c>
      <c r="B9348" s="18">
        <v>34.817585100000002</v>
      </c>
      <c r="C9348" s="18">
        <v>683708.88</v>
      </c>
      <c r="D9348" s="18">
        <v>2745452.35</v>
      </c>
      <c r="E9348" s="18">
        <v>296.79000000000002</v>
      </c>
      <c r="F9348" s="18">
        <v>41884.39</v>
      </c>
      <c r="G9348" s="18">
        <v>105404</v>
      </c>
      <c r="H9348" s="18">
        <f t="shared" si="202"/>
        <v>41865.39</v>
      </c>
    </row>
    <row r="9349" spans="1:8" ht="19.5" customHeight="1" x14ac:dyDescent="0.55000000000000004">
      <c r="A9349" s="18">
        <v>24.812908400000001</v>
      </c>
      <c r="B9349" s="18">
        <v>34.8175971</v>
      </c>
      <c r="C9349" s="18">
        <v>683710.06</v>
      </c>
      <c r="D9349" s="18">
        <v>2745454.74</v>
      </c>
      <c r="E9349" s="18">
        <v>296.83999999999997</v>
      </c>
      <c r="F9349" s="18">
        <v>41882.089999999997</v>
      </c>
      <c r="G9349" s="18">
        <v>105406</v>
      </c>
      <c r="H9349" s="18">
        <f t="shared" si="202"/>
        <v>41863.089999999997</v>
      </c>
    </row>
    <row r="9350" spans="1:8" ht="19.5" customHeight="1" x14ac:dyDescent="0.55000000000000004">
      <c r="A9350" s="18">
        <v>24.812932400000001</v>
      </c>
      <c r="B9350" s="18">
        <v>34.817607099999996</v>
      </c>
      <c r="C9350" s="18">
        <v>683711.03</v>
      </c>
      <c r="D9350" s="18">
        <v>2745457.42</v>
      </c>
      <c r="E9350" s="18">
        <v>296.91000000000003</v>
      </c>
      <c r="F9350" s="18">
        <v>41884.129999999997</v>
      </c>
      <c r="G9350" s="18">
        <v>105408</v>
      </c>
      <c r="H9350" s="18">
        <f t="shared" si="202"/>
        <v>41865.129999999997</v>
      </c>
    </row>
    <row r="9351" spans="1:8" ht="19.5" customHeight="1" x14ac:dyDescent="0.55000000000000004">
      <c r="A9351" s="18">
        <v>24.812952800000001</v>
      </c>
      <c r="B9351" s="18">
        <v>34.817618600000003</v>
      </c>
      <c r="C9351" s="18">
        <v>683712.16</v>
      </c>
      <c r="D9351" s="18">
        <v>2745459.69</v>
      </c>
      <c r="E9351" s="18">
        <v>297.06</v>
      </c>
      <c r="F9351" s="18">
        <v>41883.46</v>
      </c>
      <c r="G9351" s="18">
        <v>105410</v>
      </c>
      <c r="H9351" s="18">
        <f t="shared" si="202"/>
        <v>41864.46</v>
      </c>
    </row>
    <row r="9352" spans="1:8" ht="19.5" customHeight="1" x14ac:dyDescent="0.55000000000000004">
      <c r="A9352" s="18">
        <v>24.8129758</v>
      </c>
      <c r="B9352" s="18">
        <v>34.817628599999999</v>
      </c>
      <c r="C9352" s="18">
        <v>683713.14</v>
      </c>
      <c r="D9352" s="18">
        <v>2745462.25</v>
      </c>
      <c r="E9352" s="18">
        <v>297.14</v>
      </c>
      <c r="F9352" s="18">
        <v>41883.199999999997</v>
      </c>
      <c r="G9352" s="18">
        <v>105412</v>
      </c>
      <c r="H9352" s="18">
        <f t="shared" si="202"/>
        <v>41864.199999999997</v>
      </c>
    </row>
    <row r="9353" spans="1:8" ht="19.5" customHeight="1" x14ac:dyDescent="0.55000000000000004">
      <c r="A9353" s="18">
        <v>24.812998499999999</v>
      </c>
      <c r="B9353" s="18">
        <v>34.8176378</v>
      </c>
      <c r="C9353" s="18">
        <v>683714.04</v>
      </c>
      <c r="D9353" s="18">
        <v>2745464.78</v>
      </c>
      <c r="E9353" s="18">
        <v>297.22000000000003</v>
      </c>
      <c r="F9353" s="18">
        <v>41883.879999999997</v>
      </c>
      <c r="G9353" s="18">
        <v>105414</v>
      </c>
      <c r="H9353" s="18">
        <f t="shared" si="202"/>
        <v>41864.879999999997</v>
      </c>
    </row>
    <row r="9354" spans="1:8" ht="19.5" customHeight="1" x14ac:dyDescent="0.55000000000000004">
      <c r="A9354" s="18">
        <v>24.813021899999999</v>
      </c>
      <c r="B9354" s="18">
        <v>34.817642399999997</v>
      </c>
      <c r="C9354" s="18">
        <v>683714.47</v>
      </c>
      <c r="D9354" s="18">
        <v>2745467.38</v>
      </c>
      <c r="E9354" s="18">
        <v>297.3</v>
      </c>
      <c r="F9354" s="18">
        <v>41885.49</v>
      </c>
      <c r="G9354" s="18">
        <v>105416</v>
      </c>
      <c r="H9354" s="18">
        <f t="shared" si="202"/>
        <v>41866.49</v>
      </c>
    </row>
    <row r="9355" spans="1:8" ht="19.5" customHeight="1" x14ac:dyDescent="0.55000000000000004">
      <c r="A9355" s="18">
        <v>24.813045599999999</v>
      </c>
      <c r="B9355" s="18">
        <v>34.817646099999997</v>
      </c>
      <c r="C9355" s="18">
        <v>683714.81</v>
      </c>
      <c r="D9355" s="18">
        <v>2745470</v>
      </c>
      <c r="E9355" s="18">
        <v>297.42</v>
      </c>
      <c r="F9355" s="18">
        <v>41886.160000000003</v>
      </c>
      <c r="G9355" s="18">
        <v>105418</v>
      </c>
      <c r="H9355" s="18">
        <f t="shared" si="202"/>
        <v>41867.160000000003</v>
      </c>
    </row>
    <row r="9356" spans="1:8" ht="19.5" customHeight="1" x14ac:dyDescent="0.55000000000000004">
      <c r="A9356" s="18">
        <v>24.813068600000001</v>
      </c>
      <c r="B9356" s="18">
        <v>34.817655100000003</v>
      </c>
      <c r="C9356" s="18">
        <v>683715.69</v>
      </c>
      <c r="D9356" s="18">
        <v>2745472.56</v>
      </c>
      <c r="E9356" s="18">
        <v>297.39999999999998</v>
      </c>
      <c r="F9356" s="18">
        <v>41887.31</v>
      </c>
      <c r="G9356" s="18">
        <v>105420</v>
      </c>
      <c r="H9356" s="18">
        <f t="shared" si="202"/>
        <v>41868.31</v>
      </c>
    </row>
    <row r="9357" spans="1:8" ht="19.5" customHeight="1" x14ac:dyDescent="0.55000000000000004">
      <c r="A9357" s="18">
        <v>24.813091</v>
      </c>
      <c r="B9357" s="18">
        <v>34.817664100000002</v>
      </c>
      <c r="C9357" s="18">
        <v>683716.57</v>
      </c>
      <c r="D9357" s="18">
        <v>2745475.06</v>
      </c>
      <c r="E9357" s="18">
        <v>297.36</v>
      </c>
      <c r="F9357" s="18">
        <v>41885.53</v>
      </c>
      <c r="G9357" s="18">
        <v>105422</v>
      </c>
      <c r="H9357" s="18">
        <f t="shared" si="202"/>
        <v>41866.53</v>
      </c>
    </row>
    <row r="9358" spans="1:8" ht="19.5" customHeight="1" x14ac:dyDescent="0.55000000000000004">
      <c r="A9358" s="18">
        <v>24.8131144</v>
      </c>
      <c r="B9358" s="18">
        <v>34.8176652</v>
      </c>
      <c r="C9358" s="18">
        <v>683716.64</v>
      </c>
      <c r="D9358" s="18">
        <v>2745477.65</v>
      </c>
      <c r="E9358" s="18">
        <v>297.38</v>
      </c>
      <c r="F9358" s="18">
        <v>41888.07</v>
      </c>
      <c r="G9358" s="18">
        <v>105424</v>
      </c>
      <c r="H9358" s="18">
        <f t="shared" si="202"/>
        <v>41869.07</v>
      </c>
    </row>
    <row r="9359" spans="1:8" ht="19.5" customHeight="1" x14ac:dyDescent="0.55000000000000004">
      <c r="A9359" s="18">
        <v>24.8131375</v>
      </c>
      <c r="B9359" s="18">
        <v>34.817660699999998</v>
      </c>
      <c r="C9359" s="18">
        <v>683716.15</v>
      </c>
      <c r="D9359" s="18">
        <v>2745480.2</v>
      </c>
      <c r="E9359" s="18">
        <v>297.45999999999998</v>
      </c>
      <c r="F9359" s="18">
        <v>41890.1</v>
      </c>
      <c r="G9359" s="18">
        <v>105426</v>
      </c>
      <c r="H9359" s="18">
        <f t="shared" si="202"/>
        <v>41871.1</v>
      </c>
    </row>
    <row r="9360" spans="1:8" ht="19.5" customHeight="1" x14ac:dyDescent="0.55000000000000004">
      <c r="A9360" s="18">
        <v>24.813159299999999</v>
      </c>
      <c r="B9360" s="18">
        <v>34.817655799999997</v>
      </c>
      <c r="C9360" s="18">
        <v>683715.62</v>
      </c>
      <c r="D9360" s="18">
        <v>2745482.62</v>
      </c>
      <c r="E9360" s="18">
        <v>297.48</v>
      </c>
      <c r="F9360" s="18">
        <v>41890.28</v>
      </c>
      <c r="G9360" s="18">
        <v>105428</v>
      </c>
      <c r="H9360" s="18">
        <f t="shared" si="202"/>
        <v>41871.279999999999</v>
      </c>
    </row>
    <row r="9361" spans="1:8" ht="19.5" customHeight="1" x14ac:dyDescent="0.55000000000000004">
      <c r="A9361" s="18">
        <v>24.8131813</v>
      </c>
      <c r="B9361" s="18">
        <v>34.817648699999999</v>
      </c>
      <c r="C9361" s="18">
        <v>683714.87</v>
      </c>
      <c r="D9361" s="18">
        <v>2745485.04</v>
      </c>
      <c r="E9361" s="18">
        <v>297.52</v>
      </c>
      <c r="F9361" s="18">
        <v>41889.82</v>
      </c>
      <c r="G9361" s="18">
        <v>105430</v>
      </c>
      <c r="H9361" s="18">
        <f t="shared" si="202"/>
        <v>41870.82</v>
      </c>
    </row>
    <row r="9362" spans="1:8" ht="19.5" customHeight="1" x14ac:dyDescent="0.55000000000000004">
      <c r="A9362" s="18">
        <v>24.813201899999999</v>
      </c>
      <c r="B9362" s="18">
        <v>34.817641799999997</v>
      </c>
      <c r="C9362" s="18">
        <v>683714.15</v>
      </c>
      <c r="D9362" s="18">
        <v>2745487.31</v>
      </c>
      <c r="E9362" s="18">
        <v>297.63</v>
      </c>
      <c r="F9362" s="18">
        <v>41889.870000000003</v>
      </c>
      <c r="G9362" s="18">
        <v>105432</v>
      </c>
      <c r="H9362" s="18">
        <f t="shared" si="202"/>
        <v>41870.870000000003</v>
      </c>
    </row>
    <row r="9363" spans="1:8" ht="19.5" customHeight="1" x14ac:dyDescent="0.55000000000000004">
      <c r="A9363" s="18">
        <v>24.8132229</v>
      </c>
      <c r="B9363" s="18">
        <v>34.8176372</v>
      </c>
      <c r="C9363" s="18">
        <v>683713.65</v>
      </c>
      <c r="D9363" s="18">
        <v>2745489.63</v>
      </c>
      <c r="E9363" s="18">
        <v>297.68</v>
      </c>
      <c r="F9363" s="18">
        <v>41889.769999999997</v>
      </c>
      <c r="G9363" s="18">
        <v>105434</v>
      </c>
      <c r="H9363" s="18">
        <f t="shared" si="202"/>
        <v>41870.769999999997</v>
      </c>
    </row>
    <row r="9364" spans="1:8" ht="19.5" customHeight="1" x14ac:dyDescent="0.55000000000000004">
      <c r="A9364" s="18">
        <v>24.8132436</v>
      </c>
      <c r="B9364" s="18">
        <v>34.817632199999998</v>
      </c>
      <c r="C9364" s="18">
        <v>683713.11</v>
      </c>
      <c r="D9364" s="18">
        <v>2745491.92</v>
      </c>
      <c r="E9364" s="18">
        <v>297.77999999999997</v>
      </c>
      <c r="F9364" s="18">
        <v>41891.46</v>
      </c>
      <c r="G9364" s="18">
        <v>105436</v>
      </c>
      <c r="H9364" s="18">
        <f t="shared" si="202"/>
        <v>41872.46</v>
      </c>
    </row>
    <row r="9365" spans="1:8" ht="19.5" customHeight="1" x14ac:dyDescent="0.55000000000000004">
      <c r="A9365" s="18">
        <v>24.813264700000001</v>
      </c>
      <c r="B9365" s="18">
        <v>34.817628399999997</v>
      </c>
      <c r="C9365" s="18">
        <v>683712.7</v>
      </c>
      <c r="D9365" s="18">
        <v>2745494.25</v>
      </c>
      <c r="E9365" s="18">
        <v>297.91000000000003</v>
      </c>
      <c r="F9365" s="18">
        <v>41892.949999999997</v>
      </c>
      <c r="G9365" s="18">
        <v>105438</v>
      </c>
      <c r="H9365" s="18">
        <f t="shared" si="202"/>
        <v>41873.949999999997</v>
      </c>
    </row>
    <row r="9366" spans="1:8" ht="19.5" customHeight="1" x14ac:dyDescent="0.55000000000000004">
      <c r="A9366" s="18">
        <v>24.813285100000002</v>
      </c>
      <c r="B9366" s="18">
        <v>34.817623699999999</v>
      </c>
      <c r="C9366" s="18">
        <v>683712.2</v>
      </c>
      <c r="D9366" s="18">
        <v>2745496.5</v>
      </c>
      <c r="E9366" s="18">
        <v>297.92</v>
      </c>
      <c r="F9366" s="18">
        <v>41889.19</v>
      </c>
      <c r="G9366" s="18">
        <v>105440</v>
      </c>
      <c r="H9366" s="18">
        <f t="shared" si="202"/>
        <v>41870.19</v>
      </c>
    </row>
    <row r="9367" spans="1:8" ht="19.5" customHeight="1" x14ac:dyDescent="0.55000000000000004">
      <c r="A9367" s="18">
        <v>24.813305100000001</v>
      </c>
      <c r="B9367" s="18">
        <v>34.817617900000002</v>
      </c>
      <c r="C9367" s="18">
        <v>683711.57</v>
      </c>
      <c r="D9367" s="18">
        <v>2745498.7</v>
      </c>
      <c r="E9367" s="18">
        <v>298.01</v>
      </c>
      <c r="F9367" s="18">
        <v>41892.129999999997</v>
      </c>
      <c r="G9367" s="18">
        <v>105442</v>
      </c>
      <c r="H9367" s="18">
        <f t="shared" si="202"/>
        <v>41873.129999999997</v>
      </c>
    </row>
    <row r="9368" spans="1:8" ht="19.5" customHeight="1" x14ac:dyDescent="0.55000000000000004">
      <c r="A9368" s="18">
        <v>24.813328299999998</v>
      </c>
      <c r="B9368" s="18">
        <v>34.817613700000003</v>
      </c>
      <c r="C9368" s="18">
        <v>683711.12</v>
      </c>
      <c r="D9368" s="18">
        <v>2745501.27</v>
      </c>
      <c r="E9368" s="18">
        <v>298.05</v>
      </c>
      <c r="F9368" s="18">
        <v>41891.32</v>
      </c>
      <c r="G9368" s="18">
        <v>105444</v>
      </c>
      <c r="H9368" s="18">
        <f t="shared" si="202"/>
        <v>41872.32</v>
      </c>
    </row>
    <row r="9369" spans="1:8" ht="19.5" customHeight="1" x14ac:dyDescent="0.55000000000000004">
      <c r="A9369" s="18">
        <v>24.813352200000001</v>
      </c>
      <c r="B9369" s="18">
        <v>34.8176092</v>
      </c>
      <c r="C9369" s="18">
        <v>683710.63</v>
      </c>
      <c r="D9369" s="18">
        <v>2745503.92</v>
      </c>
      <c r="E9369" s="18">
        <v>298.08999999999997</v>
      </c>
      <c r="F9369" s="18">
        <v>41883.51</v>
      </c>
      <c r="G9369" s="18">
        <v>105446</v>
      </c>
      <c r="H9369" s="18">
        <f t="shared" si="202"/>
        <v>41864.51</v>
      </c>
    </row>
    <row r="9370" spans="1:8" ht="19.5" customHeight="1" x14ac:dyDescent="0.55000000000000004">
      <c r="A9370" s="18">
        <v>24.813375300000001</v>
      </c>
      <c r="B9370" s="18">
        <v>34.817602999999998</v>
      </c>
      <c r="C9370" s="18">
        <v>683709.97</v>
      </c>
      <c r="D9370" s="18">
        <v>2745506.47</v>
      </c>
      <c r="E9370" s="18">
        <v>298.23</v>
      </c>
      <c r="F9370" s="18">
        <v>41888.25</v>
      </c>
      <c r="G9370" s="18">
        <v>105448</v>
      </c>
      <c r="H9370" s="18">
        <f t="shared" si="202"/>
        <v>41869.25</v>
      </c>
    </row>
    <row r="9371" spans="1:8" ht="19.5" customHeight="1" x14ac:dyDescent="0.55000000000000004">
      <c r="A9371" s="18">
        <v>24.813398599999999</v>
      </c>
      <c r="B9371" s="18">
        <v>34.817595699999998</v>
      </c>
      <c r="C9371" s="18">
        <v>683709.2</v>
      </c>
      <c r="D9371" s="18">
        <v>2745509.04</v>
      </c>
      <c r="E9371" s="18">
        <v>298.33999999999997</v>
      </c>
      <c r="F9371" s="18">
        <v>41888.620000000003</v>
      </c>
      <c r="G9371" s="18">
        <v>105450</v>
      </c>
      <c r="H9371" s="18">
        <f t="shared" si="202"/>
        <v>41869.620000000003</v>
      </c>
    </row>
    <row r="9372" spans="1:8" ht="19.5" customHeight="1" x14ac:dyDescent="0.55000000000000004">
      <c r="A9372" s="18">
        <v>24.8134215</v>
      </c>
      <c r="B9372" s="18">
        <v>34.8175892</v>
      </c>
      <c r="C9372" s="18">
        <v>683708.5</v>
      </c>
      <c r="D9372" s="18">
        <v>2745511.57</v>
      </c>
      <c r="E9372" s="18">
        <v>298.33</v>
      </c>
      <c r="F9372" s="18">
        <v>41892.559999999998</v>
      </c>
      <c r="G9372" s="18">
        <v>105452</v>
      </c>
      <c r="H9372" s="18">
        <f t="shared" si="202"/>
        <v>41873.56</v>
      </c>
    </row>
    <row r="9373" spans="1:8" ht="19.5" customHeight="1" x14ac:dyDescent="0.55000000000000004">
      <c r="A9373" s="18">
        <v>24.813443199999998</v>
      </c>
      <c r="B9373" s="18">
        <v>34.8175794</v>
      </c>
      <c r="C9373" s="18">
        <v>683707.49</v>
      </c>
      <c r="D9373" s="18">
        <v>2745513.96</v>
      </c>
      <c r="E9373" s="18">
        <v>298.43</v>
      </c>
      <c r="F9373" s="18">
        <v>41889.730000000003</v>
      </c>
      <c r="G9373" s="18">
        <v>105454</v>
      </c>
      <c r="H9373" s="18">
        <f t="shared" si="202"/>
        <v>41870.730000000003</v>
      </c>
    </row>
    <row r="9374" spans="1:8" ht="19.5" customHeight="1" x14ac:dyDescent="0.55000000000000004">
      <c r="A9374" s="18">
        <v>24.813466200000001</v>
      </c>
      <c r="B9374" s="18">
        <v>34.817570000000003</v>
      </c>
      <c r="C9374" s="18">
        <v>683706.5</v>
      </c>
      <c r="D9374" s="18">
        <v>2745516.49</v>
      </c>
      <c r="E9374" s="18">
        <v>298.47000000000003</v>
      </c>
      <c r="F9374" s="18">
        <v>41887.81</v>
      </c>
      <c r="G9374" s="18">
        <v>105456</v>
      </c>
      <c r="H9374" s="18">
        <f t="shared" si="202"/>
        <v>41868.81</v>
      </c>
    </row>
    <row r="9375" spans="1:8" ht="19.5" customHeight="1" x14ac:dyDescent="0.55000000000000004">
      <c r="A9375" s="18">
        <v>24.813489100000002</v>
      </c>
      <c r="B9375" s="18">
        <v>34.8175618</v>
      </c>
      <c r="C9375" s="18">
        <v>683705.63</v>
      </c>
      <c r="D9375" s="18">
        <v>2745519.02</v>
      </c>
      <c r="E9375" s="18">
        <v>298.52</v>
      </c>
      <c r="F9375" s="18">
        <v>41888.629999999997</v>
      </c>
      <c r="G9375" s="18">
        <v>105458</v>
      </c>
      <c r="H9375" s="18">
        <f t="shared" si="202"/>
        <v>41869.629999999997</v>
      </c>
    </row>
    <row r="9376" spans="1:8" ht="19.5" customHeight="1" x14ac:dyDescent="0.55000000000000004">
      <c r="A9376" s="18">
        <v>24.813512100000001</v>
      </c>
      <c r="B9376" s="18">
        <v>34.8175521</v>
      </c>
      <c r="C9376" s="18">
        <v>683704.62</v>
      </c>
      <c r="D9376" s="18">
        <v>2745521.55</v>
      </c>
      <c r="E9376" s="18">
        <v>298.60000000000002</v>
      </c>
      <c r="F9376" s="18">
        <v>41890.68</v>
      </c>
      <c r="G9376" s="18">
        <v>105500</v>
      </c>
      <c r="H9376" s="18">
        <f t="shared" si="202"/>
        <v>41871.68</v>
      </c>
    </row>
    <row r="9377" spans="1:8" ht="19.5" customHeight="1" x14ac:dyDescent="0.55000000000000004">
      <c r="A9377" s="18">
        <v>24.813534799999999</v>
      </c>
      <c r="B9377" s="18">
        <v>34.817541400000003</v>
      </c>
      <c r="C9377" s="18">
        <v>683703.51</v>
      </c>
      <c r="D9377" s="18">
        <v>2745524.05</v>
      </c>
      <c r="E9377" s="18">
        <v>298.7</v>
      </c>
      <c r="F9377" s="18">
        <v>41891.64</v>
      </c>
      <c r="G9377" s="18">
        <v>105502</v>
      </c>
      <c r="H9377" s="18">
        <f t="shared" si="202"/>
        <v>41872.639999999999</v>
      </c>
    </row>
    <row r="9378" spans="1:8" ht="19.5" customHeight="1" x14ac:dyDescent="0.55000000000000004">
      <c r="A9378" s="18">
        <v>24.813556500000001</v>
      </c>
      <c r="B9378" s="18">
        <v>34.8175308</v>
      </c>
      <c r="C9378" s="18">
        <v>683702.4</v>
      </c>
      <c r="D9378" s="18">
        <v>2745526.44</v>
      </c>
      <c r="E9378" s="18">
        <v>298.72000000000003</v>
      </c>
      <c r="F9378" s="18">
        <v>41890.19</v>
      </c>
      <c r="G9378" s="18">
        <v>105504</v>
      </c>
      <c r="H9378" s="18">
        <f t="shared" si="202"/>
        <v>41871.19</v>
      </c>
    </row>
    <row r="9379" spans="1:8" ht="19.5" customHeight="1" x14ac:dyDescent="0.55000000000000004">
      <c r="A9379" s="18">
        <v>24.8135786</v>
      </c>
      <c r="B9379" s="18">
        <v>34.817519300000001</v>
      </c>
      <c r="C9379" s="18">
        <v>683701.2</v>
      </c>
      <c r="D9379" s="18">
        <v>2745528.87</v>
      </c>
      <c r="E9379" s="18">
        <v>298.72000000000003</v>
      </c>
      <c r="F9379" s="18">
        <v>41889.699999999997</v>
      </c>
      <c r="G9379" s="18">
        <v>105506</v>
      </c>
      <c r="H9379" s="18">
        <f t="shared" si="202"/>
        <v>41870.699999999997</v>
      </c>
    </row>
    <row r="9380" spans="1:8" ht="19.5" customHeight="1" x14ac:dyDescent="0.55000000000000004">
      <c r="A9380" s="18">
        <v>24.813598800000001</v>
      </c>
      <c r="B9380" s="18">
        <v>34.817504700000001</v>
      </c>
      <c r="C9380" s="18">
        <v>683699.7</v>
      </c>
      <c r="D9380" s="18">
        <v>2745531.09</v>
      </c>
      <c r="E9380" s="18">
        <v>298.83</v>
      </c>
      <c r="F9380" s="18">
        <v>41888.17</v>
      </c>
      <c r="G9380" s="18">
        <v>105508</v>
      </c>
      <c r="H9380" s="18">
        <f t="shared" si="202"/>
        <v>41869.17</v>
      </c>
    </row>
    <row r="9381" spans="1:8" ht="19.5" customHeight="1" x14ac:dyDescent="0.55000000000000004">
      <c r="A9381" s="18">
        <v>24.8136185</v>
      </c>
      <c r="B9381" s="18">
        <v>34.817490599999999</v>
      </c>
      <c r="C9381" s="18">
        <v>683698.25</v>
      </c>
      <c r="D9381" s="18">
        <v>2745533.25</v>
      </c>
      <c r="E9381" s="18">
        <v>298.89999999999998</v>
      </c>
      <c r="F9381" s="18">
        <v>41888.589999999997</v>
      </c>
      <c r="G9381" s="18">
        <v>105510</v>
      </c>
      <c r="H9381" s="18">
        <f t="shared" si="202"/>
        <v>41869.589999999997</v>
      </c>
    </row>
    <row r="9382" spans="1:8" ht="19.5" customHeight="1" x14ac:dyDescent="0.55000000000000004">
      <c r="A9382" s="18">
        <v>24.813639599999998</v>
      </c>
      <c r="B9382" s="18">
        <v>34.817479200000001</v>
      </c>
      <c r="C9382" s="18">
        <v>683697.06</v>
      </c>
      <c r="D9382" s="18">
        <v>2745535.57</v>
      </c>
      <c r="E9382" s="18">
        <v>298.93</v>
      </c>
      <c r="F9382" s="18">
        <v>41890.79</v>
      </c>
      <c r="G9382" s="18">
        <v>105512</v>
      </c>
      <c r="H9382" s="18">
        <f t="shared" si="202"/>
        <v>41871.79</v>
      </c>
    </row>
    <row r="9383" spans="1:8" ht="19.5" customHeight="1" x14ac:dyDescent="0.55000000000000004">
      <c r="A9383" s="18">
        <v>24.813663200000001</v>
      </c>
      <c r="B9383" s="18">
        <v>34.817473800000002</v>
      </c>
      <c r="C9383" s="18">
        <v>683696.48</v>
      </c>
      <c r="D9383" s="18">
        <v>2745538.18</v>
      </c>
      <c r="E9383" s="18">
        <v>299.04000000000002</v>
      </c>
      <c r="F9383" s="18">
        <v>41890.04</v>
      </c>
      <c r="G9383" s="18">
        <v>105514</v>
      </c>
      <c r="H9383" s="18">
        <f t="shared" si="202"/>
        <v>41871.040000000001</v>
      </c>
    </row>
    <row r="9384" spans="1:8" ht="19.5" customHeight="1" x14ac:dyDescent="0.55000000000000004">
      <c r="A9384" s="18">
        <v>24.813686000000001</v>
      </c>
      <c r="B9384" s="18">
        <v>34.817463199999999</v>
      </c>
      <c r="C9384" s="18">
        <v>683695.37</v>
      </c>
      <c r="D9384" s="18">
        <v>2745540.69</v>
      </c>
      <c r="E9384" s="18">
        <v>299.04000000000002</v>
      </c>
      <c r="F9384" s="18">
        <v>41890.620000000003</v>
      </c>
      <c r="G9384" s="18">
        <v>105516</v>
      </c>
      <c r="H9384" s="18">
        <f t="shared" si="202"/>
        <v>41871.620000000003</v>
      </c>
    </row>
    <row r="9385" spans="1:8" ht="19.5" customHeight="1" x14ac:dyDescent="0.55000000000000004">
      <c r="A9385" s="18">
        <v>24.81371</v>
      </c>
      <c r="B9385" s="18">
        <v>34.817453999999998</v>
      </c>
      <c r="C9385" s="18">
        <v>683694.41</v>
      </c>
      <c r="D9385" s="18">
        <v>2745543.33</v>
      </c>
      <c r="E9385" s="18">
        <v>299.02999999999997</v>
      </c>
      <c r="F9385" s="18">
        <v>41888.76</v>
      </c>
      <c r="G9385" s="18">
        <v>105518</v>
      </c>
      <c r="H9385" s="18">
        <f t="shared" si="202"/>
        <v>41869.760000000002</v>
      </c>
    </row>
    <row r="9386" spans="1:8" ht="19.5" customHeight="1" x14ac:dyDescent="0.55000000000000004">
      <c r="A9386" s="18">
        <v>24.813731900000001</v>
      </c>
      <c r="B9386" s="18">
        <v>34.817443300000001</v>
      </c>
      <c r="C9386" s="18">
        <v>683693.3</v>
      </c>
      <c r="D9386" s="18">
        <v>2745545.75</v>
      </c>
      <c r="E9386" s="18">
        <v>299.11</v>
      </c>
      <c r="F9386" s="18">
        <v>41889.19</v>
      </c>
      <c r="G9386" s="18">
        <v>105520</v>
      </c>
      <c r="H9386" s="18">
        <f t="shared" si="202"/>
        <v>41870.19</v>
      </c>
    </row>
    <row r="9387" spans="1:8" ht="19.5" customHeight="1" x14ac:dyDescent="0.55000000000000004">
      <c r="A9387" s="18">
        <v>24.813752300000001</v>
      </c>
      <c r="B9387" s="18">
        <v>34.817429199999999</v>
      </c>
      <c r="C9387" s="18">
        <v>683691.85</v>
      </c>
      <c r="D9387" s="18">
        <v>2745547.99</v>
      </c>
      <c r="E9387" s="18">
        <v>299.20999999999998</v>
      </c>
      <c r="F9387" s="18">
        <v>41887.89</v>
      </c>
      <c r="G9387" s="18">
        <v>105522</v>
      </c>
      <c r="H9387" s="18">
        <f t="shared" si="202"/>
        <v>41868.89</v>
      </c>
    </row>
    <row r="9388" spans="1:8" ht="19.5" customHeight="1" x14ac:dyDescent="0.55000000000000004">
      <c r="A9388" s="18">
        <v>24.813773099999999</v>
      </c>
      <c r="B9388" s="18">
        <v>34.817414999999997</v>
      </c>
      <c r="C9388" s="18">
        <v>683690.37</v>
      </c>
      <c r="D9388" s="18">
        <v>2745550.27</v>
      </c>
      <c r="E9388" s="18">
        <v>299.2</v>
      </c>
      <c r="F9388" s="18">
        <v>41888.04</v>
      </c>
      <c r="G9388" s="18">
        <v>105524</v>
      </c>
      <c r="H9388" s="18">
        <f t="shared" si="202"/>
        <v>41869.040000000001</v>
      </c>
    </row>
    <row r="9389" spans="1:8" ht="19.5" customHeight="1" x14ac:dyDescent="0.55000000000000004">
      <c r="A9389" s="18">
        <v>24.813794900000001</v>
      </c>
      <c r="B9389" s="18">
        <v>34.817401500000003</v>
      </c>
      <c r="C9389" s="18">
        <v>683688.98</v>
      </c>
      <c r="D9389" s="18">
        <v>2745552.66</v>
      </c>
      <c r="E9389" s="18">
        <v>299.22000000000003</v>
      </c>
      <c r="F9389" s="18">
        <v>41888.120000000003</v>
      </c>
      <c r="G9389" s="18">
        <v>105526</v>
      </c>
      <c r="H9389" s="18">
        <f t="shared" si="202"/>
        <v>41869.120000000003</v>
      </c>
    </row>
    <row r="9390" spans="1:8" ht="19.5" customHeight="1" x14ac:dyDescent="0.55000000000000004">
      <c r="A9390" s="18">
        <v>24.813816800000001</v>
      </c>
      <c r="B9390" s="18">
        <v>34.817387400000001</v>
      </c>
      <c r="C9390" s="18">
        <v>683687.52</v>
      </c>
      <c r="D9390" s="18">
        <v>2745555.08</v>
      </c>
      <c r="E9390" s="18">
        <v>299.27999999999997</v>
      </c>
      <c r="F9390" s="18">
        <v>41888.879999999997</v>
      </c>
      <c r="G9390" s="18">
        <v>105528</v>
      </c>
      <c r="H9390" s="18">
        <f t="shared" si="202"/>
        <v>41869.879999999997</v>
      </c>
    </row>
    <row r="9391" spans="1:8" ht="19.5" customHeight="1" x14ac:dyDescent="0.55000000000000004">
      <c r="A9391" s="18">
        <v>24.813838499999999</v>
      </c>
      <c r="B9391" s="18">
        <v>34.817372900000002</v>
      </c>
      <c r="C9391" s="18">
        <v>683686.02</v>
      </c>
      <c r="D9391" s="18">
        <v>2745557.47</v>
      </c>
      <c r="E9391" s="18">
        <v>299.37</v>
      </c>
      <c r="F9391" s="18">
        <v>41889.760000000002</v>
      </c>
      <c r="G9391" s="18">
        <v>105530</v>
      </c>
      <c r="H9391" s="18">
        <f t="shared" si="202"/>
        <v>41870.76</v>
      </c>
    </row>
    <row r="9392" spans="1:8" ht="19.5" customHeight="1" x14ac:dyDescent="0.55000000000000004">
      <c r="A9392" s="18">
        <v>24.813860600000002</v>
      </c>
      <c r="B9392" s="18">
        <v>34.8173593</v>
      </c>
      <c r="C9392" s="18">
        <v>683684.61</v>
      </c>
      <c r="D9392" s="18">
        <v>2745559.89</v>
      </c>
      <c r="E9392" s="18">
        <v>299.39999999999998</v>
      </c>
      <c r="F9392" s="18">
        <v>41889.64</v>
      </c>
      <c r="G9392" s="18">
        <v>105532</v>
      </c>
      <c r="H9392" s="18">
        <f t="shared" si="202"/>
        <v>41870.639999999999</v>
      </c>
    </row>
    <row r="9393" spans="1:8" ht="19.5" customHeight="1" x14ac:dyDescent="0.55000000000000004">
      <c r="A9393" s="18">
        <v>24.8138839</v>
      </c>
      <c r="B9393" s="18">
        <v>34.817347400000003</v>
      </c>
      <c r="C9393" s="18">
        <v>683683.38</v>
      </c>
      <c r="D9393" s="18">
        <v>2745562.46</v>
      </c>
      <c r="E9393" s="18">
        <v>299.38</v>
      </c>
      <c r="F9393" s="18">
        <v>41888.269999999997</v>
      </c>
      <c r="G9393" s="18">
        <v>105534</v>
      </c>
      <c r="H9393" s="18">
        <f t="shared" si="202"/>
        <v>41869.269999999997</v>
      </c>
    </row>
    <row r="9394" spans="1:8" ht="19.5" customHeight="1" x14ac:dyDescent="0.55000000000000004">
      <c r="A9394" s="18">
        <v>24.813904099999998</v>
      </c>
      <c r="B9394" s="18">
        <v>34.817332299999997</v>
      </c>
      <c r="C9394" s="18">
        <v>683681.82</v>
      </c>
      <c r="D9394" s="18">
        <v>2745564.67</v>
      </c>
      <c r="E9394" s="18">
        <v>299.42</v>
      </c>
      <c r="F9394" s="18">
        <v>41888.620000000003</v>
      </c>
      <c r="G9394" s="18">
        <v>105536</v>
      </c>
      <c r="H9394" s="18">
        <f t="shared" si="202"/>
        <v>41869.620000000003</v>
      </c>
    </row>
    <row r="9395" spans="1:8" ht="19.5" customHeight="1" x14ac:dyDescent="0.55000000000000004">
      <c r="A9395" s="18">
        <v>24.813925099999999</v>
      </c>
      <c r="B9395" s="18">
        <v>34.817317299999999</v>
      </c>
      <c r="C9395" s="18">
        <v>683680.27</v>
      </c>
      <c r="D9395" s="18">
        <v>2745566.97</v>
      </c>
      <c r="E9395" s="18">
        <v>299.56</v>
      </c>
      <c r="F9395" s="18">
        <v>41887.49</v>
      </c>
      <c r="G9395" s="18">
        <v>105538</v>
      </c>
      <c r="H9395" s="18">
        <f t="shared" ref="H9395:H9458" si="203">SUM(F9395-19)</f>
        <v>41868.49</v>
      </c>
    </row>
    <row r="9396" spans="1:8" ht="19.5" customHeight="1" x14ac:dyDescent="0.55000000000000004">
      <c r="A9396" s="18">
        <v>24.8139468</v>
      </c>
      <c r="B9396" s="18">
        <v>34.8173028</v>
      </c>
      <c r="C9396" s="18">
        <v>683678.78</v>
      </c>
      <c r="D9396" s="18">
        <v>2745569.37</v>
      </c>
      <c r="E9396" s="18">
        <v>299.66000000000003</v>
      </c>
      <c r="F9396" s="18">
        <v>41886.699999999997</v>
      </c>
      <c r="G9396" s="18">
        <v>105540</v>
      </c>
      <c r="H9396" s="18">
        <f t="shared" si="203"/>
        <v>41867.699999999997</v>
      </c>
    </row>
    <row r="9397" spans="1:8" ht="19.5" customHeight="1" x14ac:dyDescent="0.55000000000000004">
      <c r="A9397" s="18">
        <v>24.813969700000001</v>
      </c>
      <c r="B9397" s="18">
        <v>34.817290499999999</v>
      </c>
      <c r="C9397" s="18">
        <v>683677.5</v>
      </c>
      <c r="D9397" s="18">
        <v>2745571.88</v>
      </c>
      <c r="E9397" s="18">
        <v>299.76</v>
      </c>
      <c r="F9397" s="18">
        <v>41888.57</v>
      </c>
      <c r="G9397" s="18">
        <v>105542</v>
      </c>
      <c r="H9397" s="18">
        <f t="shared" si="203"/>
        <v>41869.57</v>
      </c>
    </row>
    <row r="9398" spans="1:8" ht="19.5" customHeight="1" x14ac:dyDescent="0.55000000000000004">
      <c r="A9398" s="18">
        <v>24.813994099999999</v>
      </c>
      <c r="B9398" s="18">
        <v>34.8172821</v>
      </c>
      <c r="C9398" s="18">
        <v>683676.61</v>
      </c>
      <c r="D9398" s="18">
        <v>2745574.57</v>
      </c>
      <c r="E9398" s="18">
        <v>299.86</v>
      </c>
      <c r="F9398" s="18">
        <v>41887.919999999998</v>
      </c>
      <c r="G9398" s="18">
        <v>105544</v>
      </c>
      <c r="H9398" s="18">
        <f t="shared" si="203"/>
        <v>41868.92</v>
      </c>
    </row>
    <row r="9399" spans="1:8" ht="19.5" customHeight="1" x14ac:dyDescent="0.55000000000000004">
      <c r="A9399" s="18">
        <v>24.814019099999999</v>
      </c>
      <c r="B9399" s="18">
        <v>34.817275100000003</v>
      </c>
      <c r="C9399" s="18">
        <v>683675.86</v>
      </c>
      <c r="D9399" s="18">
        <v>2745577.34</v>
      </c>
      <c r="E9399" s="18">
        <v>299.97000000000003</v>
      </c>
      <c r="F9399" s="18">
        <v>41888.01</v>
      </c>
      <c r="G9399" s="18">
        <v>105546</v>
      </c>
      <c r="H9399" s="18">
        <f t="shared" si="203"/>
        <v>41869.01</v>
      </c>
    </row>
    <row r="9400" spans="1:8" ht="19.5" customHeight="1" x14ac:dyDescent="0.55000000000000004">
      <c r="A9400" s="18">
        <v>24.814043999999999</v>
      </c>
      <c r="B9400" s="18">
        <v>34.8172663</v>
      </c>
      <c r="C9400" s="18">
        <v>683674.95</v>
      </c>
      <c r="D9400" s="18">
        <v>2745580.07</v>
      </c>
      <c r="E9400" s="18">
        <v>300.04000000000002</v>
      </c>
      <c r="F9400" s="18">
        <v>41892.11</v>
      </c>
      <c r="G9400" s="18">
        <v>105548</v>
      </c>
      <c r="H9400" s="18">
        <f t="shared" si="203"/>
        <v>41873.11</v>
      </c>
    </row>
    <row r="9401" spans="1:8" ht="19.5" customHeight="1" x14ac:dyDescent="0.55000000000000004">
      <c r="A9401" s="18">
        <v>24.8140666</v>
      </c>
      <c r="B9401" s="18">
        <v>34.817256800000003</v>
      </c>
      <c r="C9401" s="18">
        <v>683673.94</v>
      </c>
      <c r="D9401" s="18">
        <v>2745582.56</v>
      </c>
      <c r="E9401" s="18">
        <v>300.06</v>
      </c>
      <c r="F9401" s="18">
        <v>41889.08</v>
      </c>
      <c r="G9401" s="18">
        <v>105550</v>
      </c>
      <c r="H9401" s="18">
        <f t="shared" si="203"/>
        <v>41870.080000000002</v>
      </c>
    </row>
    <row r="9402" spans="1:8" ht="19.5" customHeight="1" x14ac:dyDescent="0.55000000000000004">
      <c r="A9402" s="18">
        <v>24.814087300000001</v>
      </c>
      <c r="B9402" s="18">
        <v>34.817246500000003</v>
      </c>
      <c r="C9402" s="18">
        <v>683672.88</v>
      </c>
      <c r="D9402" s="18">
        <v>2745584.84</v>
      </c>
      <c r="E9402" s="18">
        <v>300.25</v>
      </c>
      <c r="F9402" s="18">
        <v>41888.28</v>
      </c>
      <c r="G9402" s="18">
        <v>105552</v>
      </c>
      <c r="H9402" s="18">
        <f t="shared" si="203"/>
        <v>41869.279999999999</v>
      </c>
    </row>
    <row r="9403" spans="1:8" ht="19.5" customHeight="1" x14ac:dyDescent="0.55000000000000004">
      <c r="A9403" s="18">
        <v>24.8141079</v>
      </c>
      <c r="B9403" s="18">
        <v>34.817233700000003</v>
      </c>
      <c r="C9403" s="18">
        <v>683671.55</v>
      </c>
      <c r="D9403" s="18">
        <v>2745587.12</v>
      </c>
      <c r="E9403" s="18">
        <v>300.27</v>
      </c>
      <c r="F9403" s="18">
        <v>41888.42</v>
      </c>
      <c r="G9403" s="18">
        <v>105554</v>
      </c>
      <c r="H9403" s="18">
        <f t="shared" si="203"/>
        <v>41869.42</v>
      </c>
    </row>
    <row r="9404" spans="1:8" ht="19.5" customHeight="1" x14ac:dyDescent="0.55000000000000004">
      <c r="A9404" s="18">
        <v>24.8141286</v>
      </c>
      <c r="B9404" s="18">
        <v>34.817219100000003</v>
      </c>
      <c r="C9404" s="18">
        <v>683670.04</v>
      </c>
      <c r="D9404" s="18">
        <v>2745589.39</v>
      </c>
      <c r="E9404" s="18">
        <v>300.33</v>
      </c>
      <c r="F9404" s="18">
        <v>41889.699999999997</v>
      </c>
      <c r="G9404" s="18">
        <v>105556</v>
      </c>
      <c r="H9404" s="18">
        <f t="shared" si="203"/>
        <v>41870.699999999997</v>
      </c>
    </row>
    <row r="9405" spans="1:8" ht="19.5" customHeight="1" x14ac:dyDescent="0.55000000000000004">
      <c r="A9405" s="18">
        <v>24.814149700000002</v>
      </c>
      <c r="B9405" s="18">
        <v>34.817205800000004</v>
      </c>
      <c r="C9405" s="18">
        <v>683668.67</v>
      </c>
      <c r="D9405" s="18">
        <v>2745591.7</v>
      </c>
      <c r="E9405" s="18">
        <v>300.48</v>
      </c>
      <c r="F9405" s="18">
        <v>41889.879999999997</v>
      </c>
      <c r="G9405" s="18">
        <v>105558</v>
      </c>
      <c r="H9405" s="18">
        <f t="shared" si="203"/>
        <v>41870.879999999997</v>
      </c>
    </row>
    <row r="9406" spans="1:8" ht="19.5" customHeight="1" x14ac:dyDescent="0.55000000000000004">
      <c r="A9406" s="18">
        <v>24.814169100000001</v>
      </c>
      <c r="B9406" s="18">
        <v>34.8171903</v>
      </c>
      <c r="C9406" s="18">
        <v>683667.07</v>
      </c>
      <c r="D9406" s="18">
        <v>2745593.84</v>
      </c>
      <c r="E9406" s="18">
        <v>300.52</v>
      </c>
      <c r="F9406" s="18">
        <v>41890.42</v>
      </c>
      <c r="G9406" s="18">
        <v>105600</v>
      </c>
      <c r="H9406" s="18">
        <f t="shared" si="203"/>
        <v>41871.42</v>
      </c>
    </row>
    <row r="9407" spans="1:8" ht="19.5" customHeight="1" x14ac:dyDescent="0.55000000000000004">
      <c r="A9407" s="18">
        <v>24.814185500000001</v>
      </c>
      <c r="B9407" s="18">
        <v>34.817169499999999</v>
      </c>
      <c r="C9407" s="18">
        <v>683664.95</v>
      </c>
      <c r="D9407" s="18">
        <v>2745595.62</v>
      </c>
      <c r="E9407" s="18">
        <v>300.56</v>
      </c>
      <c r="F9407" s="18">
        <v>41889.120000000003</v>
      </c>
      <c r="G9407" s="18">
        <v>105602</v>
      </c>
      <c r="H9407" s="18">
        <f t="shared" si="203"/>
        <v>41870.120000000003</v>
      </c>
    </row>
    <row r="9408" spans="1:8" ht="19.5" customHeight="1" x14ac:dyDescent="0.55000000000000004">
      <c r="A9408" s="18">
        <v>24.814202099999999</v>
      </c>
      <c r="B9408" s="18">
        <v>34.817149299999997</v>
      </c>
      <c r="C9408" s="18">
        <v>683662.88</v>
      </c>
      <c r="D9408" s="18">
        <v>2745597.43</v>
      </c>
      <c r="E9408" s="18">
        <v>300.70999999999998</v>
      </c>
      <c r="F9408" s="18">
        <v>41889.839999999997</v>
      </c>
      <c r="G9408" s="18">
        <v>105604</v>
      </c>
      <c r="H9408" s="18">
        <f t="shared" si="203"/>
        <v>41870.839999999997</v>
      </c>
    </row>
    <row r="9409" spans="1:8" ht="19.5" customHeight="1" x14ac:dyDescent="0.55000000000000004">
      <c r="A9409" s="18">
        <v>24.814218100000001</v>
      </c>
      <c r="B9409" s="18">
        <v>34.817129700000002</v>
      </c>
      <c r="C9409" s="18">
        <v>683660.87</v>
      </c>
      <c r="D9409" s="18">
        <v>2745599.17</v>
      </c>
      <c r="E9409" s="18">
        <v>300.77999999999997</v>
      </c>
      <c r="F9409" s="18">
        <v>41889.07</v>
      </c>
      <c r="G9409" s="18">
        <v>105606</v>
      </c>
      <c r="H9409" s="18">
        <f t="shared" si="203"/>
        <v>41870.07</v>
      </c>
    </row>
    <row r="9410" spans="1:8" ht="19.5" customHeight="1" x14ac:dyDescent="0.55000000000000004">
      <c r="A9410" s="18">
        <v>24.814234800000001</v>
      </c>
      <c r="B9410" s="18">
        <v>34.817109299999998</v>
      </c>
      <c r="C9410" s="18">
        <v>683658.79</v>
      </c>
      <c r="D9410" s="18">
        <v>2745601</v>
      </c>
      <c r="E9410" s="18">
        <v>300.8</v>
      </c>
      <c r="F9410" s="18">
        <v>41891.69</v>
      </c>
      <c r="G9410" s="18">
        <v>105608</v>
      </c>
      <c r="H9410" s="18">
        <f t="shared" si="203"/>
        <v>41872.69</v>
      </c>
    </row>
    <row r="9411" spans="1:8" ht="19.5" customHeight="1" x14ac:dyDescent="0.55000000000000004">
      <c r="A9411" s="18">
        <v>24.814255299999999</v>
      </c>
      <c r="B9411" s="18">
        <v>34.817094300000001</v>
      </c>
      <c r="C9411" s="18">
        <v>683657.24</v>
      </c>
      <c r="D9411" s="18">
        <v>2745603.25</v>
      </c>
      <c r="E9411" s="18">
        <v>300.89</v>
      </c>
      <c r="F9411" s="18">
        <v>41894.46</v>
      </c>
      <c r="G9411" s="18">
        <v>105610</v>
      </c>
      <c r="H9411" s="18">
        <f t="shared" si="203"/>
        <v>41875.46</v>
      </c>
    </row>
    <row r="9412" spans="1:8" ht="19.5" customHeight="1" x14ac:dyDescent="0.55000000000000004">
      <c r="A9412" s="18">
        <v>24.814278699999999</v>
      </c>
      <c r="B9412" s="18">
        <v>34.817083599999997</v>
      </c>
      <c r="C9412" s="18">
        <v>683656.12</v>
      </c>
      <c r="D9412" s="18">
        <v>2745605.83</v>
      </c>
      <c r="E9412" s="18">
        <v>301.01</v>
      </c>
      <c r="F9412" s="18">
        <v>41891.26</v>
      </c>
      <c r="G9412" s="18">
        <v>105612</v>
      </c>
      <c r="H9412" s="18">
        <f t="shared" si="203"/>
        <v>41872.26</v>
      </c>
    </row>
    <row r="9413" spans="1:8" ht="19.5" customHeight="1" x14ac:dyDescent="0.55000000000000004">
      <c r="A9413" s="18">
        <v>24.8143016</v>
      </c>
      <c r="B9413" s="18">
        <v>34.817073000000001</v>
      </c>
      <c r="C9413" s="18">
        <v>683655.02</v>
      </c>
      <c r="D9413" s="18">
        <v>2745608.35</v>
      </c>
      <c r="E9413" s="18">
        <v>301.10000000000002</v>
      </c>
      <c r="F9413" s="18">
        <v>41890.870000000003</v>
      </c>
      <c r="G9413" s="18">
        <v>105614</v>
      </c>
      <c r="H9413" s="18">
        <f t="shared" si="203"/>
        <v>41871.870000000003</v>
      </c>
    </row>
    <row r="9414" spans="1:8" ht="19.5" customHeight="1" x14ac:dyDescent="0.55000000000000004">
      <c r="A9414" s="18">
        <v>24.8143232</v>
      </c>
      <c r="B9414" s="18">
        <v>34.817059800000003</v>
      </c>
      <c r="C9414" s="18">
        <v>683653.65</v>
      </c>
      <c r="D9414" s="18">
        <v>2745610.73</v>
      </c>
      <c r="E9414" s="18">
        <v>301.2</v>
      </c>
      <c r="F9414" s="18">
        <v>41892.400000000001</v>
      </c>
      <c r="G9414" s="18">
        <v>105616</v>
      </c>
      <c r="H9414" s="18">
        <f t="shared" si="203"/>
        <v>41873.4</v>
      </c>
    </row>
    <row r="9415" spans="1:8" ht="19.5" customHeight="1" x14ac:dyDescent="0.55000000000000004">
      <c r="A9415" s="18">
        <v>24.814344200000001</v>
      </c>
      <c r="B9415" s="18">
        <v>34.817045299999997</v>
      </c>
      <c r="C9415" s="18">
        <v>683652.15</v>
      </c>
      <c r="D9415" s="18">
        <v>2745613.03</v>
      </c>
      <c r="E9415" s="18">
        <v>301.33999999999997</v>
      </c>
      <c r="F9415" s="18">
        <v>41891.83</v>
      </c>
      <c r="G9415" s="18">
        <v>105618</v>
      </c>
      <c r="H9415" s="18">
        <f t="shared" si="203"/>
        <v>41872.83</v>
      </c>
    </row>
    <row r="9416" spans="1:8" ht="19.5" customHeight="1" x14ac:dyDescent="0.55000000000000004">
      <c r="A9416" s="18">
        <v>24.814360700000002</v>
      </c>
      <c r="B9416" s="18">
        <v>34.8170255</v>
      </c>
      <c r="C9416" s="18">
        <v>683650.13</v>
      </c>
      <c r="D9416" s="18">
        <v>2745614.84</v>
      </c>
      <c r="E9416" s="18">
        <v>301.47000000000003</v>
      </c>
      <c r="F9416" s="18">
        <v>41893.040000000001</v>
      </c>
      <c r="G9416" s="18">
        <v>105620</v>
      </c>
      <c r="H9416" s="18">
        <f t="shared" si="203"/>
        <v>41874.04</v>
      </c>
    </row>
    <row r="9417" spans="1:8" ht="19.5" customHeight="1" x14ac:dyDescent="0.55000000000000004">
      <c r="A9417" s="18">
        <v>24.814380100000001</v>
      </c>
      <c r="B9417" s="18">
        <v>34.817008000000001</v>
      </c>
      <c r="C9417" s="18">
        <v>683648.33</v>
      </c>
      <c r="D9417" s="18">
        <v>2745616.96</v>
      </c>
      <c r="E9417" s="18">
        <v>301.48</v>
      </c>
      <c r="F9417" s="18">
        <v>41891.730000000003</v>
      </c>
      <c r="G9417" s="18">
        <v>105622</v>
      </c>
      <c r="H9417" s="18">
        <f t="shared" si="203"/>
        <v>41872.730000000003</v>
      </c>
    </row>
    <row r="9418" spans="1:8" ht="19.5" customHeight="1" x14ac:dyDescent="0.55000000000000004">
      <c r="A9418" s="18">
        <v>24.8144043</v>
      </c>
      <c r="B9418" s="18">
        <v>34.816996899999999</v>
      </c>
      <c r="C9418" s="18">
        <v>683647.17</v>
      </c>
      <c r="D9418" s="18">
        <v>2745619.62</v>
      </c>
      <c r="E9418" s="18">
        <v>301.60000000000002</v>
      </c>
      <c r="F9418" s="18">
        <v>41894.53</v>
      </c>
      <c r="G9418" s="18">
        <v>105624</v>
      </c>
      <c r="H9418" s="18">
        <f t="shared" si="203"/>
        <v>41875.53</v>
      </c>
    </row>
    <row r="9419" spans="1:8" ht="19.5" customHeight="1" x14ac:dyDescent="0.55000000000000004">
      <c r="A9419" s="18">
        <v>24.814427599999998</v>
      </c>
      <c r="B9419" s="18">
        <v>34.816995200000001</v>
      </c>
      <c r="C9419" s="18">
        <v>683646.97</v>
      </c>
      <c r="D9419" s="18">
        <v>2745622.21</v>
      </c>
      <c r="E9419" s="18">
        <v>301.8</v>
      </c>
      <c r="F9419" s="18">
        <v>41895.269999999997</v>
      </c>
      <c r="G9419" s="18">
        <v>105626</v>
      </c>
      <c r="H9419" s="18">
        <f t="shared" si="203"/>
        <v>41876.269999999997</v>
      </c>
    </row>
    <row r="9420" spans="1:8" ht="19.5" customHeight="1" x14ac:dyDescent="0.55000000000000004">
      <c r="A9420" s="18">
        <v>24.814451800000001</v>
      </c>
      <c r="B9420" s="18">
        <v>34.816989200000002</v>
      </c>
      <c r="C9420" s="18">
        <v>683646.33</v>
      </c>
      <c r="D9420" s="18">
        <v>2745624.87</v>
      </c>
      <c r="E9420" s="18">
        <v>301.88</v>
      </c>
      <c r="F9420" s="18">
        <v>41894.620000000003</v>
      </c>
      <c r="G9420" s="18">
        <v>105628</v>
      </c>
      <c r="H9420" s="18">
        <f t="shared" si="203"/>
        <v>41875.620000000003</v>
      </c>
    </row>
    <row r="9421" spans="1:8" ht="19.5" customHeight="1" x14ac:dyDescent="0.55000000000000004">
      <c r="A9421" s="18">
        <v>24.814475699999999</v>
      </c>
      <c r="B9421" s="18">
        <v>34.816978900000002</v>
      </c>
      <c r="C9421" s="18">
        <v>683645.25</v>
      </c>
      <c r="D9421" s="18">
        <v>2745627.51</v>
      </c>
      <c r="E9421" s="18">
        <v>301.82</v>
      </c>
      <c r="F9421" s="18">
        <v>41893.69</v>
      </c>
      <c r="G9421" s="18">
        <v>105630</v>
      </c>
      <c r="H9421" s="18">
        <f t="shared" si="203"/>
        <v>41874.69</v>
      </c>
    </row>
    <row r="9422" spans="1:8" ht="19.5" customHeight="1" x14ac:dyDescent="0.55000000000000004">
      <c r="A9422" s="18">
        <v>24.814499000000001</v>
      </c>
      <c r="B9422" s="18">
        <v>34.816968199999998</v>
      </c>
      <c r="C9422" s="18">
        <v>683644.14</v>
      </c>
      <c r="D9422" s="18">
        <v>2745630.08</v>
      </c>
      <c r="E9422" s="18">
        <v>301.89</v>
      </c>
      <c r="F9422" s="18">
        <v>41892.6</v>
      </c>
      <c r="G9422" s="18">
        <v>105632</v>
      </c>
      <c r="H9422" s="18">
        <f t="shared" si="203"/>
        <v>41873.599999999999</v>
      </c>
    </row>
    <row r="9423" spans="1:8" ht="19.5" customHeight="1" x14ac:dyDescent="0.55000000000000004">
      <c r="A9423" s="18">
        <v>24.8145208</v>
      </c>
      <c r="B9423" s="18">
        <v>34.816957299999999</v>
      </c>
      <c r="C9423" s="18">
        <v>683643</v>
      </c>
      <c r="D9423" s="18">
        <v>2745632.47</v>
      </c>
      <c r="E9423" s="18">
        <v>302.04000000000002</v>
      </c>
      <c r="F9423" s="18">
        <v>41893.599999999999</v>
      </c>
      <c r="G9423" s="18">
        <v>105634</v>
      </c>
      <c r="H9423" s="18">
        <f t="shared" si="203"/>
        <v>41874.6</v>
      </c>
    </row>
    <row r="9424" spans="1:8" ht="19.5" customHeight="1" x14ac:dyDescent="0.55000000000000004">
      <c r="A9424" s="18">
        <v>24.814544999999999</v>
      </c>
      <c r="B9424" s="18">
        <v>34.816949600000001</v>
      </c>
      <c r="C9424" s="18">
        <v>683642.18</v>
      </c>
      <c r="D9424" s="18">
        <v>2745635.14</v>
      </c>
      <c r="E9424" s="18">
        <v>302.02999999999997</v>
      </c>
      <c r="F9424" s="18">
        <v>41894.14</v>
      </c>
      <c r="G9424" s="18">
        <v>105636</v>
      </c>
      <c r="H9424" s="18">
        <f t="shared" si="203"/>
        <v>41875.14</v>
      </c>
    </row>
    <row r="9425" spans="1:8" ht="19.5" customHeight="1" x14ac:dyDescent="0.55000000000000004">
      <c r="A9425" s="18">
        <v>24.8145697</v>
      </c>
      <c r="B9425" s="18">
        <v>34.816943299999998</v>
      </c>
      <c r="C9425" s="18">
        <v>683641.52</v>
      </c>
      <c r="D9425" s="18">
        <v>2745637.87</v>
      </c>
      <c r="E9425" s="18">
        <v>301.97000000000003</v>
      </c>
      <c r="F9425" s="18">
        <v>41890.370000000003</v>
      </c>
      <c r="G9425" s="18">
        <v>105638</v>
      </c>
      <c r="H9425" s="18">
        <f t="shared" si="203"/>
        <v>41871.370000000003</v>
      </c>
    </row>
    <row r="9426" spans="1:8" ht="19.5" customHeight="1" x14ac:dyDescent="0.55000000000000004">
      <c r="A9426" s="18">
        <v>24.814595199999999</v>
      </c>
      <c r="B9426" s="18">
        <v>34.816936800000001</v>
      </c>
      <c r="C9426" s="18">
        <v>683640.81</v>
      </c>
      <c r="D9426" s="18">
        <v>2745640.68</v>
      </c>
      <c r="E9426" s="18">
        <v>301.98</v>
      </c>
      <c r="F9426" s="18">
        <v>41890.199999999997</v>
      </c>
      <c r="G9426" s="18">
        <v>105640</v>
      </c>
      <c r="H9426" s="18">
        <f t="shared" si="203"/>
        <v>41871.199999999997</v>
      </c>
    </row>
    <row r="9427" spans="1:8" ht="19.5" customHeight="1" x14ac:dyDescent="0.55000000000000004">
      <c r="A9427" s="18">
        <v>24.814617500000001</v>
      </c>
      <c r="B9427" s="18">
        <v>34.816925599999998</v>
      </c>
      <c r="C9427" s="18">
        <v>683639.65</v>
      </c>
      <c r="D9427" s="18">
        <v>2745643.14</v>
      </c>
      <c r="E9427" s="18">
        <v>302.07</v>
      </c>
      <c r="F9427" s="18">
        <v>41890.49</v>
      </c>
      <c r="G9427" s="18">
        <v>105642</v>
      </c>
      <c r="H9427" s="18">
        <f t="shared" si="203"/>
        <v>41871.49</v>
      </c>
    </row>
    <row r="9428" spans="1:8" ht="19.5" customHeight="1" x14ac:dyDescent="0.55000000000000004">
      <c r="A9428" s="18">
        <v>24.8146308</v>
      </c>
      <c r="B9428" s="18">
        <v>34.816904800000003</v>
      </c>
      <c r="C9428" s="18">
        <v>683637.53</v>
      </c>
      <c r="D9428" s="18">
        <v>2745644.59</v>
      </c>
      <c r="E9428" s="18">
        <v>302.11</v>
      </c>
      <c r="F9428" s="18">
        <v>41889.839999999997</v>
      </c>
      <c r="G9428" s="18">
        <v>105644</v>
      </c>
      <c r="H9428" s="18">
        <f t="shared" si="203"/>
        <v>41870.839999999997</v>
      </c>
    </row>
    <row r="9429" spans="1:8" ht="19.5" customHeight="1" x14ac:dyDescent="0.55000000000000004">
      <c r="A9429" s="18">
        <v>24.814650400000001</v>
      </c>
      <c r="B9429" s="18">
        <v>34.816886199999999</v>
      </c>
      <c r="C9429" s="18">
        <v>683635.62</v>
      </c>
      <c r="D9429" s="18">
        <v>2745646.73</v>
      </c>
      <c r="E9429" s="18">
        <v>302.16000000000003</v>
      </c>
      <c r="F9429" s="18">
        <v>41894.69</v>
      </c>
      <c r="G9429" s="18">
        <v>105646</v>
      </c>
      <c r="H9429" s="18">
        <f t="shared" si="203"/>
        <v>41875.69</v>
      </c>
    </row>
    <row r="9430" spans="1:8" ht="19.5" customHeight="1" x14ac:dyDescent="0.55000000000000004">
      <c r="A9430" s="18">
        <v>24.814672900000001</v>
      </c>
      <c r="B9430" s="18">
        <v>34.816874800000001</v>
      </c>
      <c r="C9430" s="18">
        <v>683634.43</v>
      </c>
      <c r="D9430" s="18">
        <v>2745649.21</v>
      </c>
      <c r="E9430" s="18">
        <v>302.24</v>
      </c>
      <c r="F9430" s="18">
        <v>41894.370000000003</v>
      </c>
      <c r="G9430" s="18">
        <v>105648</v>
      </c>
      <c r="H9430" s="18">
        <f t="shared" si="203"/>
        <v>41875.370000000003</v>
      </c>
    </row>
    <row r="9431" spans="1:8" ht="19.5" customHeight="1" x14ac:dyDescent="0.55000000000000004">
      <c r="A9431" s="18">
        <v>24.814692300000001</v>
      </c>
      <c r="B9431" s="18">
        <v>34.816861000000003</v>
      </c>
      <c r="C9431" s="18">
        <v>683633.01</v>
      </c>
      <c r="D9431" s="18">
        <v>2745651.34</v>
      </c>
      <c r="E9431" s="18">
        <v>302.27999999999997</v>
      </c>
      <c r="F9431" s="18">
        <v>41894.85</v>
      </c>
      <c r="G9431" s="18">
        <v>105650</v>
      </c>
      <c r="H9431" s="18">
        <f t="shared" si="203"/>
        <v>41875.85</v>
      </c>
    </row>
    <row r="9432" spans="1:8" ht="19.5" customHeight="1" x14ac:dyDescent="0.55000000000000004">
      <c r="A9432" s="18">
        <v>24.814710300000002</v>
      </c>
      <c r="B9432" s="18">
        <v>34.816842800000003</v>
      </c>
      <c r="C9432" s="18">
        <v>683631.14</v>
      </c>
      <c r="D9432" s="18">
        <v>2745653.31</v>
      </c>
      <c r="E9432" s="18">
        <v>302.37</v>
      </c>
      <c r="F9432" s="18">
        <v>41889.64</v>
      </c>
      <c r="G9432" s="18">
        <v>105652</v>
      </c>
      <c r="H9432" s="18">
        <f t="shared" si="203"/>
        <v>41870.639999999999</v>
      </c>
    </row>
    <row r="9433" spans="1:8" ht="19.5" customHeight="1" x14ac:dyDescent="0.55000000000000004">
      <c r="A9433" s="18">
        <v>24.814729700000001</v>
      </c>
      <c r="B9433" s="18">
        <v>34.816824799999999</v>
      </c>
      <c r="C9433" s="18">
        <v>683629.3</v>
      </c>
      <c r="D9433" s="18">
        <v>2745655.44</v>
      </c>
      <c r="E9433" s="18">
        <v>302.36</v>
      </c>
      <c r="F9433" s="18">
        <v>41894.32</v>
      </c>
      <c r="G9433" s="18">
        <v>105654</v>
      </c>
      <c r="H9433" s="18">
        <f t="shared" si="203"/>
        <v>41875.32</v>
      </c>
    </row>
    <row r="9434" spans="1:8" ht="19.5" customHeight="1" x14ac:dyDescent="0.55000000000000004">
      <c r="A9434" s="18">
        <v>24.8147536</v>
      </c>
      <c r="B9434" s="18">
        <v>34.816815900000002</v>
      </c>
      <c r="C9434" s="18">
        <v>683628.36</v>
      </c>
      <c r="D9434" s="18">
        <v>2745658.07</v>
      </c>
      <c r="E9434" s="18">
        <v>302.36</v>
      </c>
      <c r="F9434" s="18">
        <v>41892.089999999997</v>
      </c>
      <c r="G9434" s="18">
        <v>105656</v>
      </c>
      <c r="H9434" s="18">
        <f t="shared" si="203"/>
        <v>41873.089999999997</v>
      </c>
    </row>
    <row r="9435" spans="1:8" ht="19.5" customHeight="1" x14ac:dyDescent="0.55000000000000004">
      <c r="A9435" s="18">
        <v>24.814778400000002</v>
      </c>
      <c r="B9435" s="18">
        <v>34.816809999999997</v>
      </c>
      <c r="C9435" s="18">
        <v>683627.73</v>
      </c>
      <c r="D9435" s="18">
        <v>2745660.81</v>
      </c>
      <c r="E9435" s="18">
        <v>302.41000000000003</v>
      </c>
      <c r="F9435" s="18">
        <v>41891.339999999997</v>
      </c>
      <c r="G9435" s="18">
        <v>105658</v>
      </c>
      <c r="H9435" s="18">
        <f t="shared" si="203"/>
        <v>41872.339999999997</v>
      </c>
    </row>
    <row r="9436" spans="1:8" ht="19.5" customHeight="1" x14ac:dyDescent="0.55000000000000004">
      <c r="A9436" s="18">
        <v>24.8148035</v>
      </c>
      <c r="B9436" s="18">
        <v>34.816807300000001</v>
      </c>
      <c r="C9436" s="18">
        <v>683627.42</v>
      </c>
      <c r="D9436" s="18">
        <v>2745663.59</v>
      </c>
      <c r="E9436" s="18">
        <v>302.58</v>
      </c>
      <c r="F9436" s="18">
        <v>41896.639999999999</v>
      </c>
      <c r="G9436" s="18">
        <v>105700</v>
      </c>
      <c r="H9436" s="18">
        <f t="shared" si="203"/>
        <v>41877.64</v>
      </c>
    </row>
    <row r="9437" spans="1:8" ht="19.5" customHeight="1" x14ac:dyDescent="0.55000000000000004">
      <c r="A9437" s="18">
        <v>24.8148278</v>
      </c>
      <c r="B9437" s="18">
        <v>34.816804699999999</v>
      </c>
      <c r="C9437" s="18">
        <v>683627.12</v>
      </c>
      <c r="D9437" s="18">
        <v>2745666.28</v>
      </c>
      <c r="E9437" s="18">
        <v>302.70999999999998</v>
      </c>
      <c r="F9437" s="18">
        <v>41891</v>
      </c>
      <c r="G9437" s="18">
        <v>105702</v>
      </c>
      <c r="H9437" s="18">
        <f t="shared" si="203"/>
        <v>41872</v>
      </c>
    </row>
    <row r="9438" spans="1:8" ht="19.5" customHeight="1" x14ac:dyDescent="0.55000000000000004">
      <c r="A9438" s="18">
        <v>24.814853500000002</v>
      </c>
      <c r="B9438" s="18">
        <v>34.816799799999998</v>
      </c>
      <c r="C9438" s="18">
        <v>683626.58</v>
      </c>
      <c r="D9438" s="18">
        <v>2745669.11</v>
      </c>
      <c r="E9438" s="18">
        <v>302.77999999999997</v>
      </c>
      <c r="F9438" s="18">
        <v>41891.22</v>
      </c>
      <c r="G9438" s="18">
        <v>105704</v>
      </c>
      <c r="H9438" s="18">
        <f t="shared" si="203"/>
        <v>41872.22</v>
      </c>
    </row>
    <row r="9439" spans="1:8" ht="19.5" customHeight="1" x14ac:dyDescent="0.55000000000000004">
      <c r="A9439" s="18">
        <v>24.814875799999999</v>
      </c>
      <c r="B9439" s="18">
        <v>34.816792599999999</v>
      </c>
      <c r="C9439" s="18">
        <v>683625.83</v>
      </c>
      <c r="D9439" s="18">
        <v>2745671.58</v>
      </c>
      <c r="E9439" s="18">
        <v>302.93</v>
      </c>
      <c r="F9439" s="18">
        <v>41892.839999999997</v>
      </c>
      <c r="G9439" s="18">
        <v>105706</v>
      </c>
      <c r="H9439" s="18">
        <f t="shared" si="203"/>
        <v>41873.839999999997</v>
      </c>
    </row>
    <row r="9440" spans="1:8" ht="19.5" customHeight="1" x14ac:dyDescent="0.55000000000000004">
      <c r="A9440" s="18">
        <v>24.814898899999999</v>
      </c>
      <c r="B9440" s="18">
        <v>34.816785699999997</v>
      </c>
      <c r="C9440" s="18">
        <v>683625.1</v>
      </c>
      <c r="D9440" s="18">
        <v>2745674.12</v>
      </c>
      <c r="E9440" s="18">
        <v>303.06</v>
      </c>
      <c r="F9440" s="18">
        <v>41894.92</v>
      </c>
      <c r="G9440" s="18">
        <v>105708</v>
      </c>
      <c r="H9440" s="18">
        <f t="shared" si="203"/>
        <v>41875.919999999998</v>
      </c>
    </row>
    <row r="9441" spans="1:8" ht="19.5" customHeight="1" x14ac:dyDescent="0.55000000000000004">
      <c r="A9441" s="18">
        <v>24.814923100000001</v>
      </c>
      <c r="B9441" s="18">
        <v>34.816780700000002</v>
      </c>
      <c r="C9441" s="18">
        <v>683624.56</v>
      </c>
      <c r="D9441" s="18">
        <v>2745676.79</v>
      </c>
      <c r="E9441" s="18">
        <v>303.12</v>
      </c>
      <c r="F9441" s="18">
        <v>41889.47</v>
      </c>
      <c r="G9441" s="18">
        <v>105710</v>
      </c>
      <c r="H9441" s="18">
        <f t="shared" si="203"/>
        <v>41870.47</v>
      </c>
    </row>
    <row r="9442" spans="1:8" ht="19.5" customHeight="1" x14ac:dyDescent="0.55000000000000004">
      <c r="A9442" s="18">
        <v>24.8149467</v>
      </c>
      <c r="B9442" s="18">
        <v>34.816777799999997</v>
      </c>
      <c r="C9442" s="18">
        <v>683624.23</v>
      </c>
      <c r="D9442" s="18">
        <v>2745679.4</v>
      </c>
      <c r="E9442" s="18">
        <v>303.19</v>
      </c>
      <c r="F9442" s="18">
        <v>41890.36</v>
      </c>
      <c r="G9442" s="18">
        <v>105712</v>
      </c>
      <c r="H9442" s="18">
        <f t="shared" si="203"/>
        <v>41871.360000000001</v>
      </c>
    </row>
    <row r="9443" spans="1:8" ht="19.5" customHeight="1" x14ac:dyDescent="0.55000000000000004">
      <c r="A9443" s="18">
        <v>24.814970800000001</v>
      </c>
      <c r="B9443" s="18">
        <v>34.8167744</v>
      </c>
      <c r="C9443" s="18">
        <v>683623.85</v>
      </c>
      <c r="D9443" s="18">
        <v>2745682.07</v>
      </c>
      <c r="E9443" s="18">
        <v>303.27</v>
      </c>
      <c r="F9443" s="18">
        <v>41893.120000000003</v>
      </c>
      <c r="G9443" s="18">
        <v>105714</v>
      </c>
      <c r="H9443" s="18">
        <f t="shared" si="203"/>
        <v>41874.120000000003</v>
      </c>
    </row>
    <row r="9444" spans="1:8" ht="19.5" customHeight="1" x14ac:dyDescent="0.55000000000000004">
      <c r="A9444" s="18">
        <v>24.814994599999999</v>
      </c>
      <c r="B9444" s="18">
        <v>34.816771199999998</v>
      </c>
      <c r="C9444" s="18">
        <v>683623.49</v>
      </c>
      <c r="D9444" s="18">
        <v>2745684.7</v>
      </c>
      <c r="E9444" s="18">
        <v>303.33999999999997</v>
      </c>
      <c r="F9444" s="18">
        <v>41890.720000000001</v>
      </c>
      <c r="G9444" s="18">
        <v>105716</v>
      </c>
      <c r="H9444" s="18">
        <f t="shared" si="203"/>
        <v>41871.72</v>
      </c>
    </row>
    <row r="9445" spans="1:8" ht="19.5" customHeight="1" x14ac:dyDescent="0.55000000000000004">
      <c r="A9445" s="18">
        <v>24.815017699999999</v>
      </c>
      <c r="B9445" s="18">
        <v>34.816763399999999</v>
      </c>
      <c r="C9445" s="18">
        <v>683622.66</v>
      </c>
      <c r="D9445" s="18">
        <v>2745687.25</v>
      </c>
      <c r="E9445" s="18">
        <v>303.45</v>
      </c>
      <c r="F9445" s="18">
        <v>41889.74</v>
      </c>
      <c r="G9445" s="18">
        <v>105718</v>
      </c>
      <c r="H9445" s="18">
        <f t="shared" si="203"/>
        <v>41870.74</v>
      </c>
    </row>
    <row r="9446" spans="1:8" ht="19.5" customHeight="1" x14ac:dyDescent="0.55000000000000004">
      <c r="A9446" s="18">
        <v>24.8150394</v>
      </c>
      <c r="B9446" s="18">
        <v>34.816749299999998</v>
      </c>
      <c r="C9446" s="18">
        <v>683621.2</v>
      </c>
      <c r="D9446" s="18">
        <v>2745689.63</v>
      </c>
      <c r="E9446" s="18">
        <v>303.55</v>
      </c>
      <c r="F9446" s="18">
        <v>41891.06</v>
      </c>
      <c r="G9446" s="18">
        <v>105720</v>
      </c>
      <c r="H9446" s="18">
        <f t="shared" si="203"/>
        <v>41872.06</v>
      </c>
    </row>
    <row r="9447" spans="1:8" ht="19.5" customHeight="1" x14ac:dyDescent="0.55000000000000004">
      <c r="A9447" s="18">
        <v>24.815062300000001</v>
      </c>
      <c r="B9447" s="18">
        <v>34.816738399999998</v>
      </c>
      <c r="C9447" s="18">
        <v>683620.08</v>
      </c>
      <c r="D9447" s="18">
        <v>2745692.1600000001</v>
      </c>
      <c r="E9447" s="18">
        <v>303.58</v>
      </c>
      <c r="F9447" s="18">
        <v>41889.769999999997</v>
      </c>
      <c r="G9447" s="18">
        <v>105722</v>
      </c>
      <c r="H9447" s="18">
        <f t="shared" si="203"/>
        <v>41870.769999999997</v>
      </c>
    </row>
    <row r="9448" spans="1:8" ht="19.5" customHeight="1" x14ac:dyDescent="0.55000000000000004">
      <c r="A9448" s="18">
        <v>24.8150871</v>
      </c>
      <c r="B9448" s="18">
        <v>34.816737000000003</v>
      </c>
      <c r="C9448" s="18">
        <v>683619.89</v>
      </c>
      <c r="D9448" s="18">
        <v>2745694.9</v>
      </c>
      <c r="E9448" s="18">
        <v>303.61</v>
      </c>
      <c r="F9448" s="18">
        <v>41891.589999999997</v>
      </c>
      <c r="G9448" s="18">
        <v>105724</v>
      </c>
      <c r="H9448" s="18">
        <f t="shared" si="203"/>
        <v>41872.589999999997</v>
      </c>
    </row>
    <row r="9449" spans="1:8" ht="19.5" customHeight="1" x14ac:dyDescent="0.55000000000000004">
      <c r="A9449" s="18">
        <v>24.815111999999999</v>
      </c>
      <c r="B9449" s="18">
        <v>34.8167373</v>
      </c>
      <c r="C9449" s="18">
        <v>683619.89</v>
      </c>
      <c r="D9449" s="18">
        <v>2745697.66</v>
      </c>
      <c r="E9449" s="18">
        <v>303.70999999999998</v>
      </c>
      <c r="F9449" s="18">
        <v>41891.089999999997</v>
      </c>
      <c r="G9449" s="18">
        <v>105726</v>
      </c>
      <c r="H9449" s="18">
        <f t="shared" si="203"/>
        <v>41872.089999999997</v>
      </c>
    </row>
    <row r="9450" spans="1:8" ht="19.5" customHeight="1" x14ac:dyDescent="0.55000000000000004">
      <c r="A9450" s="18">
        <v>24.815137199999999</v>
      </c>
      <c r="B9450" s="18">
        <v>34.8167385</v>
      </c>
      <c r="C9450" s="18">
        <v>683619.97</v>
      </c>
      <c r="D9450" s="18">
        <v>2745700.45</v>
      </c>
      <c r="E9450" s="18">
        <v>303.8</v>
      </c>
      <c r="F9450" s="18">
        <v>41889.919999999998</v>
      </c>
      <c r="G9450" s="18">
        <v>105728</v>
      </c>
      <c r="H9450" s="18">
        <f t="shared" si="203"/>
        <v>41870.92</v>
      </c>
    </row>
    <row r="9451" spans="1:8" ht="19.5" customHeight="1" x14ac:dyDescent="0.55000000000000004">
      <c r="A9451" s="18">
        <v>24.815161499999999</v>
      </c>
      <c r="B9451" s="18">
        <v>34.816741299999997</v>
      </c>
      <c r="C9451" s="18">
        <v>683620.22</v>
      </c>
      <c r="D9451" s="18">
        <v>2745703.15</v>
      </c>
      <c r="E9451" s="18">
        <v>303.89</v>
      </c>
      <c r="F9451" s="18">
        <v>41890.550000000003</v>
      </c>
      <c r="G9451" s="18">
        <v>105730</v>
      </c>
      <c r="H9451" s="18">
        <f t="shared" si="203"/>
        <v>41871.550000000003</v>
      </c>
    </row>
    <row r="9452" spans="1:8" ht="19.5" customHeight="1" x14ac:dyDescent="0.55000000000000004">
      <c r="A9452" s="18">
        <v>24.815184299999999</v>
      </c>
      <c r="B9452" s="18">
        <v>34.816742599999998</v>
      </c>
      <c r="C9452" s="18">
        <v>683620.32</v>
      </c>
      <c r="D9452" s="18">
        <v>2745705.68</v>
      </c>
      <c r="E9452" s="18">
        <v>303.93</v>
      </c>
      <c r="F9452" s="18">
        <v>41890.050000000003</v>
      </c>
      <c r="G9452" s="18">
        <v>105732</v>
      </c>
      <c r="H9452" s="18">
        <f t="shared" si="203"/>
        <v>41871.050000000003</v>
      </c>
    </row>
    <row r="9453" spans="1:8" ht="19.5" customHeight="1" x14ac:dyDescent="0.55000000000000004">
      <c r="A9453" s="18">
        <v>24.815206799999999</v>
      </c>
      <c r="B9453" s="18">
        <v>34.816741800000003</v>
      </c>
      <c r="C9453" s="18">
        <v>683620.21</v>
      </c>
      <c r="D9453" s="18">
        <v>2745708.16</v>
      </c>
      <c r="E9453" s="18">
        <v>303.87</v>
      </c>
      <c r="F9453" s="18">
        <v>41889.01</v>
      </c>
      <c r="G9453" s="18">
        <v>105734</v>
      </c>
      <c r="H9453" s="18">
        <f t="shared" si="203"/>
        <v>41870.01</v>
      </c>
    </row>
    <row r="9454" spans="1:8" ht="19.5" customHeight="1" x14ac:dyDescent="0.55000000000000004">
      <c r="A9454" s="18">
        <v>24.815230100000001</v>
      </c>
      <c r="B9454" s="18">
        <v>34.816737000000003</v>
      </c>
      <c r="C9454" s="18">
        <v>683619.68</v>
      </c>
      <c r="D9454" s="18">
        <v>2745710.75</v>
      </c>
      <c r="E9454" s="18">
        <v>304.02999999999997</v>
      </c>
      <c r="F9454" s="18">
        <v>41893.4</v>
      </c>
      <c r="G9454" s="18">
        <v>105736</v>
      </c>
      <c r="H9454" s="18">
        <f t="shared" si="203"/>
        <v>41874.400000000001</v>
      </c>
    </row>
    <row r="9455" spans="1:8" ht="19.5" customHeight="1" x14ac:dyDescent="0.55000000000000004">
      <c r="A9455" s="18">
        <v>24.815254500000002</v>
      </c>
      <c r="B9455" s="18">
        <v>34.816735199999997</v>
      </c>
      <c r="C9455" s="18">
        <v>683619.47</v>
      </c>
      <c r="D9455" s="18">
        <v>2745713.44</v>
      </c>
      <c r="E9455" s="18">
        <v>304.05</v>
      </c>
      <c r="F9455" s="18">
        <v>41893.730000000003</v>
      </c>
      <c r="G9455" s="18">
        <v>105738</v>
      </c>
      <c r="H9455" s="18">
        <f t="shared" si="203"/>
        <v>41874.730000000003</v>
      </c>
    </row>
    <row r="9456" spans="1:8" ht="19.5" customHeight="1" x14ac:dyDescent="0.55000000000000004">
      <c r="A9456" s="18">
        <v>24.815279</v>
      </c>
      <c r="B9456" s="18">
        <v>34.816730700000001</v>
      </c>
      <c r="C9456" s="18">
        <v>683618.98</v>
      </c>
      <c r="D9456" s="18">
        <v>2745716.15</v>
      </c>
      <c r="E9456" s="18">
        <v>304.04000000000002</v>
      </c>
      <c r="F9456" s="18">
        <v>41892.9</v>
      </c>
      <c r="G9456" s="18">
        <v>105740</v>
      </c>
      <c r="H9456" s="18">
        <f t="shared" si="203"/>
        <v>41873.9</v>
      </c>
    </row>
    <row r="9457" spans="1:8" ht="19.5" customHeight="1" x14ac:dyDescent="0.55000000000000004">
      <c r="A9457" s="18">
        <v>24.815303499999999</v>
      </c>
      <c r="B9457" s="18">
        <v>34.816725699999999</v>
      </c>
      <c r="C9457" s="18">
        <v>683618.44</v>
      </c>
      <c r="D9457" s="18">
        <v>2745718.85</v>
      </c>
      <c r="E9457" s="18">
        <v>304.08999999999997</v>
      </c>
      <c r="F9457" s="18">
        <v>41893.32</v>
      </c>
      <c r="G9457" s="18">
        <v>105742</v>
      </c>
      <c r="H9457" s="18">
        <f t="shared" si="203"/>
        <v>41874.32</v>
      </c>
    </row>
    <row r="9458" spans="1:8" ht="19.5" customHeight="1" x14ac:dyDescent="0.55000000000000004">
      <c r="A9458" s="18">
        <v>24.8153264</v>
      </c>
      <c r="B9458" s="18">
        <v>34.816719599999999</v>
      </c>
      <c r="C9458" s="18">
        <v>683617.78</v>
      </c>
      <c r="D9458" s="18">
        <v>2745721.39</v>
      </c>
      <c r="E9458" s="18">
        <v>304.17</v>
      </c>
      <c r="F9458" s="18">
        <v>41894.58</v>
      </c>
      <c r="G9458" s="18">
        <v>105744</v>
      </c>
      <c r="H9458" s="18">
        <f t="shared" si="203"/>
        <v>41875.58</v>
      </c>
    </row>
    <row r="9459" spans="1:8" ht="19.5" customHeight="1" x14ac:dyDescent="0.55000000000000004">
      <c r="A9459" s="18">
        <v>24.8153495</v>
      </c>
      <c r="B9459" s="18">
        <v>34.816711900000001</v>
      </c>
      <c r="C9459" s="18">
        <v>683616.97</v>
      </c>
      <c r="D9459" s="18">
        <v>2745723.94</v>
      </c>
      <c r="E9459" s="18">
        <v>304.22000000000003</v>
      </c>
      <c r="F9459" s="18">
        <v>41893.480000000003</v>
      </c>
      <c r="G9459" s="18">
        <v>105746</v>
      </c>
      <c r="H9459" s="18">
        <f t="shared" ref="H9459:H9522" si="204">SUM(F9459-19)</f>
        <v>41874.480000000003</v>
      </c>
    </row>
    <row r="9460" spans="1:8" ht="19.5" customHeight="1" x14ac:dyDescent="0.55000000000000004">
      <c r="A9460" s="18">
        <v>24.815373399999999</v>
      </c>
      <c r="B9460" s="18">
        <v>34.816706199999999</v>
      </c>
      <c r="C9460" s="18">
        <v>683616.36</v>
      </c>
      <c r="D9460" s="18">
        <v>2745726.57</v>
      </c>
      <c r="E9460" s="18">
        <v>304.22000000000003</v>
      </c>
      <c r="F9460" s="18">
        <v>41894.400000000001</v>
      </c>
      <c r="G9460" s="18">
        <v>105748</v>
      </c>
      <c r="H9460" s="18">
        <f t="shared" si="204"/>
        <v>41875.4</v>
      </c>
    </row>
    <row r="9461" spans="1:8" ht="19.5" customHeight="1" x14ac:dyDescent="0.55000000000000004">
      <c r="A9461" s="18">
        <v>24.815394900000001</v>
      </c>
      <c r="B9461" s="18">
        <v>34.816696999999998</v>
      </c>
      <c r="C9461" s="18">
        <v>683615.39</v>
      </c>
      <c r="D9461" s="18">
        <v>2745728.94</v>
      </c>
      <c r="E9461" s="18">
        <v>304.32</v>
      </c>
      <c r="F9461" s="18">
        <v>41892.93</v>
      </c>
      <c r="G9461" s="18">
        <v>105750</v>
      </c>
      <c r="H9461" s="18">
        <f t="shared" si="204"/>
        <v>41873.93</v>
      </c>
    </row>
    <row r="9462" spans="1:8" ht="19.5" customHeight="1" x14ac:dyDescent="0.55000000000000004">
      <c r="A9462" s="18">
        <v>24.815416800000001</v>
      </c>
      <c r="B9462" s="18">
        <v>34.8166856</v>
      </c>
      <c r="C9462" s="18">
        <v>683614.21</v>
      </c>
      <c r="D9462" s="18">
        <v>2745731.35</v>
      </c>
      <c r="E9462" s="18">
        <v>304.36</v>
      </c>
      <c r="F9462" s="18">
        <v>41892.17</v>
      </c>
      <c r="G9462" s="18">
        <v>105752</v>
      </c>
      <c r="H9462" s="18">
        <f t="shared" si="204"/>
        <v>41873.17</v>
      </c>
    </row>
    <row r="9463" spans="1:8" ht="19.5" customHeight="1" x14ac:dyDescent="0.55000000000000004">
      <c r="A9463" s="18">
        <v>24.8154407</v>
      </c>
      <c r="B9463" s="18">
        <v>34.8166771</v>
      </c>
      <c r="C9463" s="18">
        <v>683613.32</v>
      </c>
      <c r="D9463" s="18">
        <v>2745733.99</v>
      </c>
      <c r="E9463" s="18">
        <v>304.39</v>
      </c>
      <c r="F9463" s="18">
        <v>41892.43</v>
      </c>
      <c r="G9463" s="18">
        <v>105754</v>
      </c>
      <c r="H9463" s="18">
        <f t="shared" si="204"/>
        <v>41873.43</v>
      </c>
    </row>
    <row r="9464" spans="1:8" ht="19.5" customHeight="1" x14ac:dyDescent="0.55000000000000004">
      <c r="A9464" s="18">
        <v>24.815464200000001</v>
      </c>
      <c r="B9464" s="18">
        <v>34.816672400000002</v>
      </c>
      <c r="C9464" s="18">
        <v>683612.81</v>
      </c>
      <c r="D9464" s="18">
        <v>2745736.58</v>
      </c>
      <c r="E9464" s="18">
        <v>304.48</v>
      </c>
      <c r="F9464" s="18">
        <v>41896</v>
      </c>
      <c r="G9464" s="18">
        <v>105756</v>
      </c>
      <c r="H9464" s="18">
        <f t="shared" si="204"/>
        <v>41877</v>
      </c>
    </row>
    <row r="9465" spans="1:8" ht="19.5" customHeight="1" x14ac:dyDescent="0.55000000000000004">
      <c r="A9465" s="18">
        <v>24.8154875</v>
      </c>
      <c r="B9465" s="18">
        <v>34.8166686</v>
      </c>
      <c r="C9465" s="18">
        <v>683612.39</v>
      </c>
      <c r="D9465" s="18">
        <v>2745739.16</v>
      </c>
      <c r="E9465" s="18">
        <v>304.62</v>
      </c>
      <c r="F9465" s="18">
        <v>41896.19</v>
      </c>
      <c r="G9465" s="18">
        <v>105758</v>
      </c>
      <c r="H9465" s="18">
        <f t="shared" si="204"/>
        <v>41877.19</v>
      </c>
    </row>
    <row r="9466" spans="1:8" ht="19.5" customHeight="1" x14ac:dyDescent="0.55000000000000004">
      <c r="A9466" s="18">
        <v>24.815511399999998</v>
      </c>
      <c r="B9466" s="18">
        <v>34.816663300000002</v>
      </c>
      <c r="C9466" s="18">
        <v>683611.82</v>
      </c>
      <c r="D9466" s="18">
        <v>2745741.8</v>
      </c>
      <c r="E9466" s="18">
        <v>304.77</v>
      </c>
      <c r="F9466" s="18">
        <v>41897.07</v>
      </c>
      <c r="G9466" s="18">
        <v>105800</v>
      </c>
      <c r="H9466" s="18">
        <f t="shared" si="204"/>
        <v>41878.07</v>
      </c>
    </row>
    <row r="9467" spans="1:8" ht="19.5" customHeight="1" x14ac:dyDescent="0.55000000000000004">
      <c r="A9467" s="18">
        <v>24.815533200000001</v>
      </c>
      <c r="B9467" s="18">
        <v>34.816657900000003</v>
      </c>
      <c r="C9467" s="18">
        <v>683611.24</v>
      </c>
      <c r="D9467" s="18">
        <v>2745744.21</v>
      </c>
      <c r="E9467" s="18">
        <v>304.85000000000002</v>
      </c>
      <c r="F9467" s="18">
        <v>41896.370000000003</v>
      </c>
      <c r="G9467" s="18">
        <v>105802</v>
      </c>
      <c r="H9467" s="18">
        <f t="shared" si="204"/>
        <v>41877.370000000003</v>
      </c>
    </row>
    <row r="9468" spans="1:8" ht="19.5" customHeight="1" x14ac:dyDescent="0.55000000000000004">
      <c r="A9468" s="18">
        <v>24.815555700000001</v>
      </c>
      <c r="B9468" s="18">
        <v>34.816650199999998</v>
      </c>
      <c r="C9468" s="18">
        <v>683610.43</v>
      </c>
      <c r="D9468" s="18">
        <v>2745746.69</v>
      </c>
      <c r="E9468" s="18">
        <v>304.95</v>
      </c>
      <c r="F9468" s="18">
        <v>41894.57</v>
      </c>
      <c r="G9468" s="18">
        <v>105804</v>
      </c>
      <c r="H9468" s="18">
        <f t="shared" si="204"/>
        <v>41875.57</v>
      </c>
    </row>
    <row r="9469" spans="1:8" ht="19.5" customHeight="1" x14ac:dyDescent="0.55000000000000004">
      <c r="A9469" s="18">
        <v>24.815579199999998</v>
      </c>
      <c r="B9469" s="18">
        <v>34.816644500000002</v>
      </c>
      <c r="C9469" s="18">
        <v>683609.82</v>
      </c>
      <c r="D9469" s="18">
        <v>2745749.28</v>
      </c>
      <c r="E9469" s="18">
        <v>305.08</v>
      </c>
      <c r="F9469" s="18">
        <v>41893.879999999997</v>
      </c>
      <c r="G9469" s="18">
        <v>105806</v>
      </c>
      <c r="H9469" s="18">
        <f t="shared" si="204"/>
        <v>41874.879999999997</v>
      </c>
    </row>
    <row r="9470" spans="1:8" ht="19.5" customHeight="1" x14ac:dyDescent="0.55000000000000004">
      <c r="A9470" s="18">
        <v>24.815601699999998</v>
      </c>
      <c r="B9470" s="18">
        <v>34.816638099999999</v>
      </c>
      <c r="C9470" s="18">
        <v>683609.14</v>
      </c>
      <c r="D9470" s="18">
        <v>2745751.77</v>
      </c>
      <c r="E9470" s="18">
        <v>305.08999999999997</v>
      </c>
      <c r="F9470" s="18">
        <v>41894.400000000001</v>
      </c>
      <c r="G9470" s="18">
        <v>105808</v>
      </c>
      <c r="H9470" s="18">
        <f t="shared" si="204"/>
        <v>41875.4</v>
      </c>
    </row>
    <row r="9471" spans="1:8" ht="19.5" customHeight="1" x14ac:dyDescent="0.55000000000000004">
      <c r="A9471" s="18">
        <v>24.815625699999998</v>
      </c>
      <c r="B9471" s="18">
        <v>34.816631999999998</v>
      </c>
      <c r="C9471" s="18">
        <v>683608.49</v>
      </c>
      <c r="D9471" s="18">
        <v>2745754.42</v>
      </c>
      <c r="E9471" s="18">
        <v>305.17</v>
      </c>
      <c r="F9471" s="18">
        <v>41896.26</v>
      </c>
      <c r="G9471" s="18">
        <v>105810</v>
      </c>
      <c r="H9471" s="18">
        <f t="shared" si="204"/>
        <v>41877.26</v>
      </c>
    </row>
    <row r="9472" spans="1:8" ht="19.5" customHeight="1" x14ac:dyDescent="0.55000000000000004">
      <c r="A9472" s="18">
        <v>24.815649499999999</v>
      </c>
      <c r="B9472" s="18">
        <v>34.816628899999998</v>
      </c>
      <c r="C9472" s="18">
        <v>683608.13</v>
      </c>
      <c r="D9472" s="18">
        <v>2745757.05</v>
      </c>
      <c r="E9472" s="18">
        <v>305.26</v>
      </c>
      <c r="F9472" s="18">
        <v>41896.769999999997</v>
      </c>
      <c r="G9472" s="18">
        <v>105812</v>
      </c>
      <c r="H9472" s="18">
        <f t="shared" si="204"/>
        <v>41877.769999999997</v>
      </c>
    </row>
    <row r="9473" spans="1:8" ht="19.5" customHeight="1" x14ac:dyDescent="0.55000000000000004">
      <c r="A9473" s="18">
        <v>24.815673400000001</v>
      </c>
      <c r="B9473" s="18">
        <v>34.816625999999999</v>
      </c>
      <c r="C9473" s="18">
        <v>683607.81</v>
      </c>
      <c r="D9473" s="18">
        <v>2745759.7</v>
      </c>
      <c r="E9473" s="18">
        <v>305.33</v>
      </c>
      <c r="F9473" s="18">
        <v>41897.64</v>
      </c>
      <c r="G9473" s="18">
        <v>105814</v>
      </c>
      <c r="H9473" s="18">
        <f t="shared" si="204"/>
        <v>41878.639999999999</v>
      </c>
    </row>
    <row r="9474" spans="1:8" ht="19.5" customHeight="1" x14ac:dyDescent="0.55000000000000004">
      <c r="A9474" s="18">
        <v>24.815697400000001</v>
      </c>
      <c r="B9474" s="18">
        <v>34.816623499999999</v>
      </c>
      <c r="C9474" s="18">
        <v>683607.52</v>
      </c>
      <c r="D9474" s="18">
        <v>2745762.35</v>
      </c>
      <c r="E9474" s="18">
        <v>305.36</v>
      </c>
      <c r="F9474" s="18">
        <v>41896.89</v>
      </c>
      <c r="G9474" s="18">
        <v>105816</v>
      </c>
      <c r="H9474" s="18">
        <f t="shared" si="204"/>
        <v>41877.89</v>
      </c>
    </row>
    <row r="9475" spans="1:8" ht="19.5" customHeight="1" x14ac:dyDescent="0.55000000000000004">
      <c r="A9475" s="18">
        <v>24.815720899999999</v>
      </c>
      <c r="B9475" s="18">
        <v>34.816623200000002</v>
      </c>
      <c r="C9475" s="18">
        <v>683607.46</v>
      </c>
      <c r="D9475" s="18">
        <v>2745764.95</v>
      </c>
      <c r="E9475" s="18">
        <v>305.45</v>
      </c>
      <c r="F9475" s="18">
        <v>41894.800000000003</v>
      </c>
      <c r="G9475" s="18">
        <v>105818</v>
      </c>
      <c r="H9475" s="18">
        <f t="shared" si="204"/>
        <v>41875.800000000003</v>
      </c>
    </row>
    <row r="9476" spans="1:8" ht="19.5" customHeight="1" x14ac:dyDescent="0.55000000000000004">
      <c r="A9476" s="18">
        <v>24.8157447</v>
      </c>
      <c r="B9476" s="18">
        <v>34.816619199999998</v>
      </c>
      <c r="C9476" s="18">
        <v>683607.02</v>
      </c>
      <c r="D9476" s="18">
        <v>2745767.58</v>
      </c>
      <c r="E9476" s="18">
        <v>305.56</v>
      </c>
      <c r="F9476" s="18">
        <v>41895.629999999997</v>
      </c>
      <c r="G9476" s="18">
        <v>105820</v>
      </c>
      <c r="H9476" s="18">
        <f t="shared" si="204"/>
        <v>41876.629999999997</v>
      </c>
    </row>
    <row r="9477" spans="1:8" ht="19.5" customHeight="1" x14ac:dyDescent="0.55000000000000004">
      <c r="A9477" s="18">
        <v>24.815768200000001</v>
      </c>
      <c r="B9477" s="18">
        <v>34.816614700000002</v>
      </c>
      <c r="C9477" s="18">
        <v>683606.53</v>
      </c>
      <c r="D9477" s="18">
        <v>2745770.17</v>
      </c>
      <c r="E9477" s="18">
        <v>305.60000000000002</v>
      </c>
      <c r="F9477" s="18">
        <v>41897.96</v>
      </c>
      <c r="G9477" s="18">
        <v>105822</v>
      </c>
      <c r="H9477" s="18">
        <f t="shared" si="204"/>
        <v>41878.959999999999</v>
      </c>
    </row>
    <row r="9478" spans="1:8" ht="19.5" customHeight="1" x14ac:dyDescent="0.55000000000000004">
      <c r="A9478" s="18">
        <v>24.815792299999998</v>
      </c>
      <c r="B9478" s="18">
        <v>34.816611299999998</v>
      </c>
      <c r="C9478" s="18">
        <v>683606.15</v>
      </c>
      <c r="D9478" s="18">
        <v>2745772.85</v>
      </c>
      <c r="E9478" s="18">
        <v>305.64</v>
      </c>
      <c r="F9478" s="18">
        <v>41899.379999999997</v>
      </c>
      <c r="G9478" s="18">
        <v>105824</v>
      </c>
      <c r="H9478" s="18">
        <f t="shared" si="204"/>
        <v>41880.379999999997</v>
      </c>
    </row>
    <row r="9479" spans="1:8" ht="19.5" customHeight="1" x14ac:dyDescent="0.55000000000000004">
      <c r="A9479" s="18">
        <v>24.815817599999999</v>
      </c>
      <c r="B9479" s="18">
        <v>34.816611600000002</v>
      </c>
      <c r="C9479" s="18">
        <v>683606.14</v>
      </c>
      <c r="D9479" s="18">
        <v>2745775.64</v>
      </c>
      <c r="E9479" s="18">
        <v>305.75</v>
      </c>
      <c r="F9479" s="18">
        <v>41899.4</v>
      </c>
      <c r="G9479" s="18">
        <v>105826</v>
      </c>
      <c r="H9479" s="18">
        <f t="shared" si="204"/>
        <v>41880.400000000001</v>
      </c>
    </row>
    <row r="9480" spans="1:8" ht="19.5" customHeight="1" x14ac:dyDescent="0.55000000000000004">
      <c r="A9480" s="18">
        <v>24.815842400000001</v>
      </c>
      <c r="B9480" s="18">
        <v>34.816609100000001</v>
      </c>
      <c r="C9480" s="18">
        <v>683605.85</v>
      </c>
      <c r="D9480" s="18">
        <v>2745778.39</v>
      </c>
      <c r="E9480" s="18">
        <v>305.83</v>
      </c>
      <c r="F9480" s="18">
        <v>41900.67</v>
      </c>
      <c r="G9480" s="18">
        <v>105828</v>
      </c>
      <c r="H9480" s="18">
        <f t="shared" si="204"/>
        <v>41881.67</v>
      </c>
    </row>
    <row r="9481" spans="1:8" ht="19.5" customHeight="1" x14ac:dyDescent="0.55000000000000004">
      <c r="A9481" s="18">
        <v>24.815867300000001</v>
      </c>
      <c r="B9481" s="18">
        <v>34.816606200000003</v>
      </c>
      <c r="C9481" s="18">
        <v>683605.52</v>
      </c>
      <c r="D9481" s="18">
        <v>2745781.14</v>
      </c>
      <c r="E9481" s="18">
        <v>305.83999999999997</v>
      </c>
      <c r="F9481" s="18">
        <v>41899.78</v>
      </c>
      <c r="G9481" s="18">
        <v>105830</v>
      </c>
      <c r="H9481" s="18">
        <f t="shared" si="204"/>
        <v>41880.78</v>
      </c>
    </row>
    <row r="9482" spans="1:8" ht="19.5" customHeight="1" x14ac:dyDescent="0.55000000000000004">
      <c r="A9482" s="18">
        <v>24.815891700000002</v>
      </c>
      <c r="B9482" s="18">
        <v>34.816602099999997</v>
      </c>
      <c r="C9482" s="18">
        <v>683605.07</v>
      </c>
      <c r="D9482" s="18">
        <v>2745783.84</v>
      </c>
      <c r="E9482" s="18">
        <v>305.91000000000003</v>
      </c>
      <c r="F9482" s="18">
        <v>41901.160000000003</v>
      </c>
      <c r="G9482" s="18">
        <v>105832</v>
      </c>
      <c r="H9482" s="18">
        <f t="shared" si="204"/>
        <v>41882.160000000003</v>
      </c>
    </row>
    <row r="9483" spans="1:8" ht="19.5" customHeight="1" x14ac:dyDescent="0.55000000000000004">
      <c r="A9483" s="18">
        <v>24.815916900000001</v>
      </c>
      <c r="B9483" s="18">
        <v>34.816599799999999</v>
      </c>
      <c r="C9483" s="18">
        <v>683604.8</v>
      </c>
      <c r="D9483" s="18">
        <v>2745786.62</v>
      </c>
      <c r="E9483" s="18">
        <v>306.04000000000002</v>
      </c>
      <c r="F9483" s="18">
        <v>41901.589999999997</v>
      </c>
      <c r="G9483" s="18">
        <v>105834</v>
      </c>
      <c r="H9483" s="18">
        <f t="shared" si="204"/>
        <v>41882.589999999997</v>
      </c>
    </row>
    <row r="9484" spans="1:8" ht="19.5" customHeight="1" x14ac:dyDescent="0.55000000000000004">
      <c r="A9484" s="18">
        <v>24.815941899999999</v>
      </c>
      <c r="B9484" s="18">
        <v>34.816597399999999</v>
      </c>
      <c r="C9484" s="18">
        <v>683604.52</v>
      </c>
      <c r="D9484" s="18">
        <v>2745789.39</v>
      </c>
      <c r="E9484" s="18">
        <v>306.10000000000002</v>
      </c>
      <c r="F9484" s="18">
        <v>41902.71</v>
      </c>
      <c r="G9484" s="18">
        <v>105836</v>
      </c>
      <c r="H9484" s="18">
        <f t="shared" si="204"/>
        <v>41883.71</v>
      </c>
    </row>
    <row r="9485" spans="1:8" ht="19.5" customHeight="1" x14ac:dyDescent="0.55000000000000004">
      <c r="A9485" s="18">
        <v>24.815967000000001</v>
      </c>
      <c r="B9485" s="18">
        <v>34.816595900000003</v>
      </c>
      <c r="C9485" s="18">
        <v>683604.33</v>
      </c>
      <c r="D9485" s="18">
        <v>2745792.17</v>
      </c>
      <c r="E9485" s="18">
        <v>306.07</v>
      </c>
      <c r="F9485" s="18">
        <v>41903.980000000003</v>
      </c>
      <c r="G9485" s="18">
        <v>105838</v>
      </c>
      <c r="H9485" s="18">
        <f t="shared" si="204"/>
        <v>41884.980000000003</v>
      </c>
    </row>
    <row r="9486" spans="1:8" ht="19.5" customHeight="1" x14ac:dyDescent="0.55000000000000004">
      <c r="A9486" s="18">
        <v>24.8159916</v>
      </c>
      <c r="B9486" s="18">
        <v>34.816592499999999</v>
      </c>
      <c r="C9486" s="18">
        <v>683603.96</v>
      </c>
      <c r="D9486" s="18">
        <v>2745794.9</v>
      </c>
      <c r="E9486" s="18">
        <v>306.2</v>
      </c>
      <c r="F9486" s="18">
        <v>41903.279999999999</v>
      </c>
      <c r="G9486" s="18">
        <v>105840</v>
      </c>
      <c r="H9486" s="18">
        <f t="shared" si="204"/>
        <v>41884.28</v>
      </c>
    </row>
    <row r="9487" spans="1:8" ht="19.5" customHeight="1" x14ac:dyDescent="0.55000000000000004">
      <c r="A9487" s="18">
        <v>24.816015799999999</v>
      </c>
      <c r="B9487" s="18">
        <v>34.816588500000002</v>
      </c>
      <c r="C9487" s="18">
        <v>683603.51</v>
      </c>
      <c r="D9487" s="18">
        <v>2745797.57</v>
      </c>
      <c r="E9487" s="18">
        <v>306.25</v>
      </c>
      <c r="F9487" s="18">
        <v>41903.29</v>
      </c>
      <c r="G9487" s="18">
        <v>105842</v>
      </c>
      <c r="H9487" s="18">
        <f t="shared" si="204"/>
        <v>41884.29</v>
      </c>
    </row>
    <row r="9488" spans="1:8" ht="19.5" customHeight="1" x14ac:dyDescent="0.55000000000000004">
      <c r="A9488" s="18">
        <v>24.816040099999999</v>
      </c>
      <c r="B9488" s="18">
        <v>34.816583299999998</v>
      </c>
      <c r="C9488" s="18">
        <v>683602.95</v>
      </c>
      <c r="D9488" s="18">
        <v>2745800.26</v>
      </c>
      <c r="E9488" s="18">
        <v>306.27</v>
      </c>
      <c r="F9488" s="18">
        <v>41903.360000000001</v>
      </c>
      <c r="G9488" s="18">
        <v>105844</v>
      </c>
      <c r="H9488" s="18">
        <f t="shared" si="204"/>
        <v>41884.36</v>
      </c>
    </row>
    <row r="9489" spans="1:8" ht="19.5" customHeight="1" x14ac:dyDescent="0.55000000000000004">
      <c r="A9489" s="18">
        <v>24.8160639</v>
      </c>
      <c r="B9489" s="18">
        <v>34.816578100000001</v>
      </c>
      <c r="C9489" s="18">
        <v>683602.39</v>
      </c>
      <c r="D9489" s="18">
        <v>2745802.88</v>
      </c>
      <c r="E9489" s="18">
        <v>306.22000000000003</v>
      </c>
      <c r="F9489" s="18">
        <v>41904.410000000003</v>
      </c>
      <c r="G9489" s="18">
        <v>105846</v>
      </c>
      <c r="H9489" s="18">
        <f t="shared" si="204"/>
        <v>41885.410000000003</v>
      </c>
    </row>
    <row r="9490" spans="1:8" ht="19.5" customHeight="1" x14ac:dyDescent="0.55000000000000004">
      <c r="A9490" s="18">
        <v>24.816086800000001</v>
      </c>
      <c r="B9490" s="18">
        <v>34.816569600000001</v>
      </c>
      <c r="C9490" s="18">
        <v>683601.5</v>
      </c>
      <c r="D9490" s="18">
        <v>2745805.4</v>
      </c>
      <c r="E9490" s="18">
        <v>306.2</v>
      </c>
      <c r="F9490" s="18">
        <v>41904.639999999999</v>
      </c>
      <c r="G9490" s="18">
        <v>105848</v>
      </c>
      <c r="H9490" s="18">
        <f t="shared" si="204"/>
        <v>41885.64</v>
      </c>
    </row>
    <row r="9491" spans="1:8" ht="19.5" customHeight="1" x14ac:dyDescent="0.55000000000000004">
      <c r="A9491" s="18">
        <v>24.816109000000001</v>
      </c>
      <c r="B9491" s="18">
        <v>34.816563700000003</v>
      </c>
      <c r="C9491" s="18">
        <v>683600.87</v>
      </c>
      <c r="D9491" s="18">
        <v>2745807.85</v>
      </c>
      <c r="E9491" s="18">
        <v>306.27</v>
      </c>
      <c r="F9491" s="18">
        <v>41906.31</v>
      </c>
      <c r="G9491" s="18">
        <v>105850</v>
      </c>
      <c r="H9491" s="18">
        <f t="shared" si="204"/>
        <v>41887.31</v>
      </c>
    </row>
    <row r="9492" spans="1:8" ht="19.5" customHeight="1" x14ac:dyDescent="0.55000000000000004">
      <c r="A9492" s="18">
        <v>24.816131299999999</v>
      </c>
      <c r="B9492" s="18">
        <v>34.8165567</v>
      </c>
      <c r="C9492" s="18">
        <v>683600.13</v>
      </c>
      <c r="D9492" s="18">
        <v>2745810.31</v>
      </c>
      <c r="E9492" s="18">
        <v>306.27</v>
      </c>
      <c r="F9492" s="18">
        <v>41904.550000000003</v>
      </c>
      <c r="G9492" s="18">
        <v>105852</v>
      </c>
      <c r="H9492" s="18">
        <f t="shared" si="204"/>
        <v>41885.550000000003</v>
      </c>
    </row>
    <row r="9493" spans="1:8" ht="19.5" customHeight="1" x14ac:dyDescent="0.55000000000000004">
      <c r="A9493" s="18">
        <v>24.8161551</v>
      </c>
      <c r="B9493" s="18">
        <v>34.816553200000001</v>
      </c>
      <c r="C9493" s="18">
        <v>683599.74</v>
      </c>
      <c r="D9493" s="18">
        <v>2745812.95</v>
      </c>
      <c r="E9493" s="18">
        <v>306.2</v>
      </c>
      <c r="F9493" s="18">
        <v>41906.839999999997</v>
      </c>
      <c r="G9493" s="18">
        <v>105854</v>
      </c>
      <c r="H9493" s="18">
        <f t="shared" si="204"/>
        <v>41887.839999999997</v>
      </c>
    </row>
    <row r="9494" spans="1:8" ht="19.5" customHeight="1" x14ac:dyDescent="0.55000000000000004">
      <c r="A9494" s="18">
        <v>24.816178600000001</v>
      </c>
      <c r="B9494" s="18">
        <v>34.816550499999998</v>
      </c>
      <c r="C9494" s="18">
        <v>683599.43</v>
      </c>
      <c r="D9494" s="18">
        <v>2745815.55</v>
      </c>
      <c r="E9494" s="18">
        <v>306.24</v>
      </c>
      <c r="F9494" s="18">
        <v>41907.24</v>
      </c>
      <c r="G9494" s="18">
        <v>105856</v>
      </c>
      <c r="H9494" s="18">
        <f t="shared" si="204"/>
        <v>41888.239999999998</v>
      </c>
    </row>
    <row r="9495" spans="1:8" ht="19.5" customHeight="1" x14ac:dyDescent="0.55000000000000004">
      <c r="A9495" s="18">
        <v>24.816203399999999</v>
      </c>
      <c r="B9495" s="18">
        <v>34.816550399999997</v>
      </c>
      <c r="C9495" s="18">
        <v>683599.39</v>
      </c>
      <c r="D9495" s="18">
        <v>2745818.3</v>
      </c>
      <c r="E9495" s="18">
        <v>306.27</v>
      </c>
      <c r="F9495" s="18">
        <v>41903.9</v>
      </c>
      <c r="G9495" s="18">
        <v>105858</v>
      </c>
      <c r="H9495" s="18">
        <f t="shared" si="204"/>
        <v>41884.9</v>
      </c>
    </row>
    <row r="9496" spans="1:8" ht="19.5" customHeight="1" x14ac:dyDescent="0.55000000000000004">
      <c r="A9496" s="18">
        <v>24.8162278</v>
      </c>
      <c r="B9496" s="18">
        <v>34.816547999999997</v>
      </c>
      <c r="C9496" s="18">
        <v>683599.11</v>
      </c>
      <c r="D9496" s="18">
        <v>2745820.99</v>
      </c>
      <c r="E9496" s="18">
        <v>306.26</v>
      </c>
      <c r="F9496" s="18">
        <v>41903.879999999997</v>
      </c>
      <c r="G9496" s="18">
        <v>105900</v>
      </c>
      <c r="H9496" s="18">
        <f t="shared" si="204"/>
        <v>41884.879999999997</v>
      </c>
    </row>
    <row r="9497" spans="1:8" ht="19.5" customHeight="1" x14ac:dyDescent="0.55000000000000004">
      <c r="A9497" s="18">
        <v>24.8162512</v>
      </c>
      <c r="B9497" s="18">
        <v>34.816546600000002</v>
      </c>
      <c r="C9497" s="18">
        <v>683598.93</v>
      </c>
      <c r="D9497" s="18">
        <v>2745823.59</v>
      </c>
      <c r="E9497" s="18">
        <v>306.26</v>
      </c>
      <c r="F9497" s="18">
        <v>41906.879999999997</v>
      </c>
      <c r="G9497" s="18">
        <v>105902</v>
      </c>
      <c r="H9497" s="18">
        <f t="shared" si="204"/>
        <v>41887.879999999997</v>
      </c>
    </row>
    <row r="9498" spans="1:8" ht="19.5" customHeight="1" x14ac:dyDescent="0.55000000000000004">
      <c r="A9498" s="18">
        <v>24.816273299999999</v>
      </c>
      <c r="B9498" s="18">
        <v>34.816543500000002</v>
      </c>
      <c r="C9498" s="18">
        <v>683598.59</v>
      </c>
      <c r="D9498" s="18">
        <v>2745826.03</v>
      </c>
      <c r="E9498" s="18">
        <v>306.36</v>
      </c>
      <c r="F9498" s="18">
        <v>41906.22</v>
      </c>
      <c r="G9498" s="18">
        <v>105904</v>
      </c>
      <c r="H9498" s="18">
        <f t="shared" si="204"/>
        <v>41887.22</v>
      </c>
    </row>
    <row r="9499" spans="1:8" ht="19.5" customHeight="1" x14ac:dyDescent="0.55000000000000004">
      <c r="A9499" s="18">
        <v>24.8162959</v>
      </c>
      <c r="B9499" s="18">
        <v>34.816534599999997</v>
      </c>
      <c r="C9499" s="18">
        <v>683597.65</v>
      </c>
      <c r="D9499" s="18">
        <v>2745828.52</v>
      </c>
      <c r="E9499" s="18">
        <v>306.37</v>
      </c>
      <c r="F9499" s="18">
        <v>41908.33</v>
      </c>
      <c r="G9499" s="18">
        <v>105906</v>
      </c>
      <c r="H9499" s="18">
        <f t="shared" si="204"/>
        <v>41889.33</v>
      </c>
    </row>
    <row r="9500" spans="1:8" ht="19.5" customHeight="1" x14ac:dyDescent="0.55000000000000004">
      <c r="A9500" s="18">
        <v>24.816319</v>
      </c>
      <c r="B9500" s="18">
        <v>34.816529000000003</v>
      </c>
      <c r="C9500" s="18">
        <v>683597.05</v>
      </c>
      <c r="D9500" s="18">
        <v>2745831.07</v>
      </c>
      <c r="E9500" s="18">
        <v>306.36</v>
      </c>
      <c r="F9500" s="18">
        <v>41908.6</v>
      </c>
      <c r="G9500" s="18">
        <v>105908</v>
      </c>
      <c r="H9500" s="18">
        <f t="shared" si="204"/>
        <v>41889.599999999999</v>
      </c>
    </row>
    <row r="9501" spans="1:8" ht="19.5" customHeight="1" x14ac:dyDescent="0.55000000000000004">
      <c r="A9501" s="18">
        <v>24.816342599999999</v>
      </c>
      <c r="B9501" s="18">
        <v>34.816524399999999</v>
      </c>
      <c r="C9501" s="18">
        <v>683596.55</v>
      </c>
      <c r="D9501" s="18">
        <v>2745833.68</v>
      </c>
      <c r="E9501" s="18">
        <v>306.43</v>
      </c>
      <c r="F9501" s="18">
        <v>41908.129999999997</v>
      </c>
      <c r="G9501" s="18">
        <v>105910</v>
      </c>
      <c r="H9501" s="18">
        <f t="shared" si="204"/>
        <v>41889.129999999997</v>
      </c>
    </row>
    <row r="9502" spans="1:8" ht="19.5" customHeight="1" x14ac:dyDescent="0.55000000000000004">
      <c r="A9502" s="18">
        <v>24.816365900000001</v>
      </c>
      <c r="B9502" s="18">
        <v>34.816520799999999</v>
      </c>
      <c r="C9502" s="18">
        <v>683596.15</v>
      </c>
      <c r="D9502" s="18">
        <v>2745836.26</v>
      </c>
      <c r="E9502" s="18">
        <v>306.42</v>
      </c>
      <c r="F9502" s="18">
        <v>41902.550000000003</v>
      </c>
      <c r="G9502" s="18">
        <v>105912</v>
      </c>
      <c r="H9502" s="18">
        <f t="shared" si="204"/>
        <v>41883.550000000003</v>
      </c>
    </row>
    <row r="9503" spans="1:8" ht="19.5" customHeight="1" x14ac:dyDescent="0.55000000000000004">
      <c r="A9503" s="18">
        <v>24.816389600000001</v>
      </c>
      <c r="B9503" s="18">
        <v>34.816512099999997</v>
      </c>
      <c r="C9503" s="18">
        <v>683595.24</v>
      </c>
      <c r="D9503" s="18">
        <v>2745838.86</v>
      </c>
      <c r="E9503" s="18">
        <v>306.33999999999997</v>
      </c>
      <c r="F9503" s="18">
        <v>41907.72</v>
      </c>
      <c r="G9503" s="18">
        <v>105914</v>
      </c>
      <c r="H9503" s="18">
        <f t="shared" si="204"/>
        <v>41888.720000000001</v>
      </c>
    </row>
    <row r="9504" spans="1:8" ht="19.5" customHeight="1" x14ac:dyDescent="0.55000000000000004">
      <c r="A9504" s="18">
        <v>24.816411599999999</v>
      </c>
      <c r="B9504" s="18">
        <v>34.816505900000003</v>
      </c>
      <c r="C9504" s="18">
        <v>683594.58</v>
      </c>
      <c r="D9504" s="18">
        <v>2745841.3</v>
      </c>
      <c r="E9504" s="18">
        <v>306.36</v>
      </c>
      <c r="F9504" s="18">
        <v>41907.360000000001</v>
      </c>
      <c r="G9504" s="18">
        <v>105916</v>
      </c>
      <c r="H9504" s="18">
        <f t="shared" si="204"/>
        <v>41888.36</v>
      </c>
    </row>
    <row r="9505" spans="1:8" ht="19.5" customHeight="1" x14ac:dyDescent="0.55000000000000004">
      <c r="A9505" s="18">
        <v>24.8164333</v>
      </c>
      <c r="B9505" s="18">
        <v>34.816492799999999</v>
      </c>
      <c r="C9505" s="18">
        <v>683593.22</v>
      </c>
      <c r="D9505" s="18">
        <v>2745843.68</v>
      </c>
      <c r="E9505" s="18">
        <v>306.33999999999997</v>
      </c>
      <c r="F9505" s="18">
        <v>41908.53</v>
      </c>
      <c r="G9505" s="18">
        <v>105918</v>
      </c>
      <c r="H9505" s="18">
        <f t="shared" si="204"/>
        <v>41889.53</v>
      </c>
    </row>
    <row r="9506" spans="1:8" ht="19.5" customHeight="1" x14ac:dyDescent="0.55000000000000004">
      <c r="A9506" s="18">
        <v>24.8164576</v>
      </c>
      <c r="B9506" s="18">
        <v>34.816485200000002</v>
      </c>
      <c r="C9506" s="18">
        <v>683592.42</v>
      </c>
      <c r="D9506" s="18">
        <v>2745846.37</v>
      </c>
      <c r="E9506" s="18">
        <v>306.32</v>
      </c>
      <c r="F9506" s="18">
        <v>41906.910000000003</v>
      </c>
      <c r="G9506" s="18">
        <v>105920</v>
      </c>
      <c r="H9506" s="18">
        <f t="shared" si="204"/>
        <v>41887.910000000003</v>
      </c>
    </row>
    <row r="9507" spans="1:8" ht="19.5" customHeight="1" x14ac:dyDescent="0.55000000000000004">
      <c r="A9507" s="18">
        <v>24.816482799999999</v>
      </c>
      <c r="B9507" s="18">
        <v>34.816481500000002</v>
      </c>
      <c r="C9507" s="18">
        <v>683592</v>
      </c>
      <c r="D9507" s="18">
        <v>2745849.15</v>
      </c>
      <c r="E9507" s="18">
        <v>306.31</v>
      </c>
      <c r="F9507" s="18">
        <v>41907.129999999997</v>
      </c>
      <c r="G9507" s="18">
        <v>105922</v>
      </c>
      <c r="H9507" s="18">
        <f t="shared" si="204"/>
        <v>41888.129999999997</v>
      </c>
    </row>
    <row r="9508" spans="1:8" ht="19.5" customHeight="1" x14ac:dyDescent="0.55000000000000004">
      <c r="A9508" s="18">
        <v>24.816505100000001</v>
      </c>
      <c r="B9508" s="18">
        <v>34.816474200000002</v>
      </c>
      <c r="C9508" s="18">
        <v>683591.23</v>
      </c>
      <c r="D9508" s="18">
        <v>2745851.61</v>
      </c>
      <c r="E9508" s="18">
        <v>306.39</v>
      </c>
      <c r="F9508" s="18">
        <v>41908.080000000002</v>
      </c>
      <c r="G9508" s="18">
        <v>105924</v>
      </c>
      <c r="H9508" s="18">
        <f t="shared" si="204"/>
        <v>41889.08</v>
      </c>
    </row>
    <row r="9509" spans="1:8" ht="19.5" customHeight="1" x14ac:dyDescent="0.55000000000000004">
      <c r="A9509" s="18">
        <v>24.816528399999999</v>
      </c>
      <c r="B9509" s="18">
        <v>34.816470500000001</v>
      </c>
      <c r="C9509" s="18">
        <v>683590.82</v>
      </c>
      <c r="D9509" s="18">
        <v>2745854.19</v>
      </c>
      <c r="E9509" s="18">
        <v>306.43</v>
      </c>
      <c r="F9509" s="18">
        <v>41906.67</v>
      </c>
      <c r="G9509" s="18">
        <v>105926</v>
      </c>
      <c r="H9509" s="18">
        <f t="shared" si="204"/>
        <v>41887.67</v>
      </c>
    </row>
    <row r="9510" spans="1:8" ht="19.5" customHeight="1" x14ac:dyDescent="0.55000000000000004">
      <c r="A9510" s="18">
        <v>24.816550500000002</v>
      </c>
      <c r="B9510" s="18">
        <v>34.816463300000002</v>
      </c>
      <c r="C9510" s="18">
        <v>683590.07</v>
      </c>
      <c r="D9510" s="18">
        <v>2745856.63</v>
      </c>
      <c r="E9510" s="18">
        <v>306.39999999999998</v>
      </c>
      <c r="F9510" s="18">
        <v>41911.760000000002</v>
      </c>
      <c r="G9510" s="18">
        <v>105928</v>
      </c>
      <c r="H9510" s="18">
        <f t="shared" si="204"/>
        <v>41892.76</v>
      </c>
    </row>
    <row r="9511" spans="1:8" ht="19.5" customHeight="1" x14ac:dyDescent="0.55000000000000004">
      <c r="A9511" s="18">
        <v>24.816574500000002</v>
      </c>
      <c r="B9511" s="18">
        <v>34.816458400000002</v>
      </c>
      <c r="C9511" s="18">
        <v>683589.53</v>
      </c>
      <c r="D9511" s="18">
        <v>2745859.27</v>
      </c>
      <c r="E9511" s="18">
        <v>306.44</v>
      </c>
      <c r="F9511" s="18">
        <v>41911.31</v>
      </c>
      <c r="G9511" s="18">
        <v>105930</v>
      </c>
      <c r="H9511" s="18">
        <f t="shared" si="204"/>
        <v>41892.31</v>
      </c>
    </row>
    <row r="9512" spans="1:8" ht="19.5" customHeight="1" x14ac:dyDescent="0.55000000000000004">
      <c r="A9512" s="18">
        <v>24.8165972</v>
      </c>
      <c r="B9512" s="18">
        <v>34.8164552</v>
      </c>
      <c r="C9512" s="18">
        <v>683589.18</v>
      </c>
      <c r="D9512" s="18">
        <v>2745861.79</v>
      </c>
      <c r="E9512" s="18">
        <v>306.48</v>
      </c>
      <c r="F9512" s="18">
        <v>41911.17</v>
      </c>
      <c r="G9512" s="18">
        <v>105932</v>
      </c>
      <c r="H9512" s="18">
        <f t="shared" si="204"/>
        <v>41892.17</v>
      </c>
    </row>
    <row r="9513" spans="1:8" ht="19.5" customHeight="1" x14ac:dyDescent="0.55000000000000004">
      <c r="A9513" s="18">
        <v>24.8166221</v>
      </c>
      <c r="B9513" s="18">
        <v>34.816457200000002</v>
      </c>
      <c r="C9513" s="18">
        <v>683589.35</v>
      </c>
      <c r="D9513" s="18">
        <v>2745864.55</v>
      </c>
      <c r="E9513" s="18">
        <v>306.45</v>
      </c>
      <c r="F9513" s="18">
        <v>41907.120000000003</v>
      </c>
      <c r="G9513" s="18">
        <v>105934</v>
      </c>
      <c r="H9513" s="18">
        <f t="shared" si="204"/>
        <v>41888.120000000003</v>
      </c>
    </row>
    <row r="9514" spans="1:8" ht="19.5" customHeight="1" x14ac:dyDescent="0.55000000000000004">
      <c r="A9514" s="18">
        <v>24.8166461</v>
      </c>
      <c r="B9514" s="18">
        <v>34.816453000000003</v>
      </c>
      <c r="C9514" s="18">
        <v>683588.88</v>
      </c>
      <c r="D9514" s="18">
        <v>2745867.2</v>
      </c>
      <c r="E9514" s="18">
        <v>306.52999999999997</v>
      </c>
      <c r="F9514" s="18">
        <v>41907.5</v>
      </c>
      <c r="G9514" s="18">
        <v>105936</v>
      </c>
      <c r="H9514" s="18">
        <f t="shared" si="204"/>
        <v>41888.5</v>
      </c>
    </row>
    <row r="9515" spans="1:8" ht="19.5" customHeight="1" x14ac:dyDescent="0.55000000000000004">
      <c r="A9515" s="18">
        <v>24.816669600000001</v>
      </c>
      <c r="B9515" s="18">
        <v>34.816446599999999</v>
      </c>
      <c r="C9515" s="18">
        <v>683588.2</v>
      </c>
      <c r="D9515" s="18">
        <v>2745869.79</v>
      </c>
      <c r="E9515" s="18">
        <v>306.52</v>
      </c>
      <c r="F9515" s="18">
        <v>41912.01</v>
      </c>
      <c r="G9515" s="18">
        <v>105938</v>
      </c>
      <c r="H9515" s="18">
        <f t="shared" si="204"/>
        <v>41893.01</v>
      </c>
    </row>
    <row r="9516" spans="1:8" ht="19.5" customHeight="1" x14ac:dyDescent="0.55000000000000004">
      <c r="A9516" s="18">
        <v>24.8166929</v>
      </c>
      <c r="B9516" s="18">
        <v>34.8164412</v>
      </c>
      <c r="C9516" s="18">
        <v>683587.63</v>
      </c>
      <c r="D9516" s="18">
        <v>2745872.37</v>
      </c>
      <c r="E9516" s="18">
        <v>306.52999999999997</v>
      </c>
      <c r="F9516" s="18">
        <v>41913.97</v>
      </c>
      <c r="G9516" s="18">
        <v>105940</v>
      </c>
      <c r="H9516" s="18">
        <f t="shared" si="204"/>
        <v>41894.97</v>
      </c>
    </row>
    <row r="9517" spans="1:8" ht="19.5" customHeight="1" x14ac:dyDescent="0.55000000000000004">
      <c r="A9517" s="18">
        <v>24.816715200000001</v>
      </c>
      <c r="B9517" s="18">
        <v>34.816442100000003</v>
      </c>
      <c r="C9517" s="18">
        <v>683587.68</v>
      </c>
      <c r="D9517" s="18">
        <v>2745874.84</v>
      </c>
      <c r="E9517" s="18">
        <v>306.64</v>
      </c>
      <c r="F9517" s="18">
        <v>41911.870000000003</v>
      </c>
      <c r="G9517" s="18">
        <v>105942</v>
      </c>
      <c r="H9517" s="18">
        <f t="shared" si="204"/>
        <v>41892.870000000003</v>
      </c>
    </row>
    <row r="9518" spans="1:8" ht="19.5" customHeight="1" x14ac:dyDescent="0.55000000000000004">
      <c r="A9518" s="18">
        <v>24.8167382</v>
      </c>
      <c r="B9518" s="18">
        <v>34.816438699999999</v>
      </c>
      <c r="C9518" s="18">
        <v>683587.31</v>
      </c>
      <c r="D9518" s="18">
        <v>2745877.38</v>
      </c>
      <c r="E9518" s="18">
        <v>306.63</v>
      </c>
      <c r="F9518" s="18">
        <v>41912.089999999997</v>
      </c>
      <c r="G9518" s="18">
        <v>105944</v>
      </c>
      <c r="H9518" s="18">
        <f t="shared" si="204"/>
        <v>41893.089999999997</v>
      </c>
    </row>
    <row r="9519" spans="1:8" ht="19.5" customHeight="1" x14ac:dyDescent="0.55000000000000004">
      <c r="A9519" s="18">
        <v>24.8167607</v>
      </c>
      <c r="B9519" s="18">
        <v>34.816428700000003</v>
      </c>
      <c r="C9519" s="18">
        <v>683586.26</v>
      </c>
      <c r="D9519" s="18">
        <v>2745879.86</v>
      </c>
      <c r="E9519" s="18">
        <v>306.63</v>
      </c>
      <c r="F9519" s="18">
        <v>41911.199999999997</v>
      </c>
      <c r="G9519" s="18">
        <v>105946</v>
      </c>
      <c r="H9519" s="18">
        <f t="shared" si="204"/>
        <v>41892.199999999997</v>
      </c>
    </row>
    <row r="9520" spans="1:8" ht="19.5" customHeight="1" x14ac:dyDescent="0.55000000000000004">
      <c r="A9520" s="18">
        <v>24.816782199999999</v>
      </c>
      <c r="B9520" s="18">
        <v>34.816416199999999</v>
      </c>
      <c r="C9520" s="18">
        <v>683584.96</v>
      </c>
      <c r="D9520" s="18">
        <v>2745882.22</v>
      </c>
      <c r="E9520" s="18">
        <v>306.67</v>
      </c>
      <c r="F9520" s="18">
        <v>41909.82</v>
      </c>
      <c r="G9520" s="18">
        <v>105948</v>
      </c>
      <c r="H9520" s="18">
        <f t="shared" si="204"/>
        <v>41890.82</v>
      </c>
    </row>
    <row r="9521" spans="1:8" ht="19.5" customHeight="1" x14ac:dyDescent="0.55000000000000004">
      <c r="A9521" s="18">
        <v>24.816801999999999</v>
      </c>
      <c r="B9521" s="18">
        <v>34.8164011</v>
      </c>
      <c r="C9521" s="18">
        <v>683583.41</v>
      </c>
      <c r="D9521" s="18">
        <v>2745884.4</v>
      </c>
      <c r="E9521" s="18">
        <v>306.74</v>
      </c>
      <c r="F9521" s="18">
        <v>41911.14</v>
      </c>
      <c r="G9521" s="18">
        <v>105950</v>
      </c>
      <c r="H9521" s="18">
        <f t="shared" si="204"/>
        <v>41892.14</v>
      </c>
    </row>
    <row r="9522" spans="1:8" ht="19.5" customHeight="1" x14ac:dyDescent="0.55000000000000004">
      <c r="A9522" s="18">
        <v>24.816821000000001</v>
      </c>
      <c r="B9522" s="18">
        <v>34.816389800000003</v>
      </c>
      <c r="C9522" s="18">
        <v>683582.24</v>
      </c>
      <c r="D9522" s="18">
        <v>2745886.48</v>
      </c>
      <c r="E9522" s="18">
        <v>306.68</v>
      </c>
      <c r="F9522" s="18">
        <v>41912.550000000003</v>
      </c>
      <c r="G9522" s="18">
        <v>105952</v>
      </c>
      <c r="H9522" s="18">
        <f t="shared" si="204"/>
        <v>41893.550000000003</v>
      </c>
    </row>
    <row r="9523" spans="1:8" ht="19.5" customHeight="1" x14ac:dyDescent="0.55000000000000004">
      <c r="A9523" s="18">
        <v>24.8168431</v>
      </c>
      <c r="B9523" s="18">
        <v>34.816391000000003</v>
      </c>
      <c r="C9523" s="18">
        <v>683582.33</v>
      </c>
      <c r="D9523" s="18">
        <v>2745888.93</v>
      </c>
      <c r="E9523" s="18">
        <v>306.56</v>
      </c>
      <c r="F9523" s="18">
        <v>41907.730000000003</v>
      </c>
      <c r="G9523" s="18">
        <v>105954</v>
      </c>
      <c r="H9523" s="18">
        <f t="shared" ref="H9523:H9555" si="205">SUM(F9523-19)</f>
        <v>41888.730000000003</v>
      </c>
    </row>
    <row r="9524" spans="1:8" ht="19.5" customHeight="1" x14ac:dyDescent="0.55000000000000004">
      <c r="A9524" s="18">
        <v>24.8168662</v>
      </c>
      <c r="B9524" s="18">
        <v>34.816389800000003</v>
      </c>
      <c r="C9524" s="18">
        <v>683582.18</v>
      </c>
      <c r="D9524" s="18">
        <v>2745891.49</v>
      </c>
      <c r="E9524" s="18">
        <v>306.54000000000002</v>
      </c>
      <c r="F9524" s="18">
        <v>41910.550000000003</v>
      </c>
      <c r="G9524" s="18">
        <v>105956</v>
      </c>
      <c r="H9524" s="18">
        <f t="shared" si="205"/>
        <v>41891.550000000003</v>
      </c>
    </row>
    <row r="9525" spans="1:8" ht="19.5" customHeight="1" x14ac:dyDescent="0.55000000000000004">
      <c r="A9525" s="18">
        <v>24.816889</v>
      </c>
      <c r="B9525" s="18">
        <v>34.816389100000002</v>
      </c>
      <c r="C9525" s="18">
        <v>683582.07</v>
      </c>
      <c r="D9525" s="18">
        <v>2745894.02</v>
      </c>
      <c r="E9525" s="18">
        <v>306.49</v>
      </c>
      <c r="F9525" s="18">
        <v>41911.39</v>
      </c>
      <c r="G9525" s="18">
        <v>105958</v>
      </c>
      <c r="H9525" s="18">
        <f t="shared" si="205"/>
        <v>41892.39</v>
      </c>
    </row>
    <row r="9526" spans="1:8" ht="19.5" customHeight="1" x14ac:dyDescent="0.55000000000000004">
      <c r="A9526" s="18">
        <v>24.8169127</v>
      </c>
      <c r="B9526" s="18">
        <v>34.816388199999999</v>
      </c>
      <c r="C9526" s="18">
        <v>683581.94</v>
      </c>
      <c r="D9526" s="18">
        <v>2745896.64</v>
      </c>
      <c r="E9526" s="18">
        <v>306.43</v>
      </c>
      <c r="F9526" s="18">
        <v>41910.980000000003</v>
      </c>
      <c r="G9526" s="18">
        <v>110000</v>
      </c>
      <c r="H9526" s="18">
        <f t="shared" si="205"/>
        <v>41891.980000000003</v>
      </c>
    </row>
    <row r="9527" spans="1:8" ht="19.5" customHeight="1" x14ac:dyDescent="0.55000000000000004">
      <c r="A9527" s="18">
        <v>24.816936999999999</v>
      </c>
      <c r="B9527" s="18">
        <v>34.816386199999997</v>
      </c>
      <c r="C9527" s="18">
        <v>683581.7</v>
      </c>
      <c r="D9527" s="18">
        <v>2745899.33</v>
      </c>
      <c r="E9527" s="18">
        <v>306.43</v>
      </c>
      <c r="F9527" s="18">
        <v>41911.56</v>
      </c>
      <c r="G9527" s="18">
        <v>110002</v>
      </c>
      <c r="H9527" s="18">
        <f t="shared" si="205"/>
        <v>41892.559999999998</v>
      </c>
    </row>
    <row r="9528" spans="1:8" ht="19.5" customHeight="1" x14ac:dyDescent="0.55000000000000004">
      <c r="A9528" s="18">
        <v>24.816960699999999</v>
      </c>
      <c r="B9528" s="18">
        <v>34.816382699999998</v>
      </c>
      <c r="C9528" s="18">
        <v>683581.31</v>
      </c>
      <c r="D9528" s="18">
        <v>2745901.95</v>
      </c>
      <c r="E9528" s="18">
        <v>306.49</v>
      </c>
      <c r="F9528" s="18">
        <v>41911.81</v>
      </c>
      <c r="G9528" s="18">
        <v>110004</v>
      </c>
      <c r="H9528" s="18">
        <f t="shared" si="205"/>
        <v>41892.81</v>
      </c>
    </row>
    <row r="9529" spans="1:8" ht="19.5" customHeight="1" x14ac:dyDescent="0.55000000000000004">
      <c r="A9529" s="18">
        <v>24.8169836</v>
      </c>
      <c r="B9529" s="18">
        <v>34.816378800000003</v>
      </c>
      <c r="C9529" s="18">
        <v>683580.89</v>
      </c>
      <c r="D9529" s="18">
        <v>2745904.48</v>
      </c>
      <c r="E9529" s="18">
        <v>306.54000000000002</v>
      </c>
      <c r="F9529" s="18">
        <v>41912.31</v>
      </c>
      <c r="G9529" s="18">
        <v>110006</v>
      </c>
      <c r="H9529" s="18">
        <f t="shared" si="205"/>
        <v>41893.31</v>
      </c>
    </row>
    <row r="9530" spans="1:8" ht="19.5" customHeight="1" x14ac:dyDescent="0.55000000000000004">
      <c r="A9530" s="18">
        <v>24.817006500000002</v>
      </c>
      <c r="B9530" s="18">
        <v>34.816375899999997</v>
      </c>
      <c r="C9530" s="18">
        <v>683580.56</v>
      </c>
      <c r="D9530" s="18">
        <v>2745907.02</v>
      </c>
      <c r="E9530" s="18">
        <v>306.52999999999997</v>
      </c>
      <c r="F9530" s="18">
        <v>41912.379999999997</v>
      </c>
      <c r="G9530" s="18">
        <v>110008</v>
      </c>
      <c r="H9530" s="18">
        <f t="shared" si="205"/>
        <v>41893.379999999997</v>
      </c>
    </row>
    <row r="9531" spans="1:8" ht="19.5" customHeight="1" x14ac:dyDescent="0.55000000000000004">
      <c r="A9531" s="18">
        <v>24.817031100000001</v>
      </c>
      <c r="B9531" s="18">
        <v>34.816378</v>
      </c>
      <c r="C9531" s="18">
        <v>683580.73</v>
      </c>
      <c r="D9531" s="18">
        <v>2745909.74</v>
      </c>
      <c r="E9531" s="18">
        <v>306.63</v>
      </c>
      <c r="F9531" s="18">
        <v>41911.22</v>
      </c>
      <c r="G9531" s="18">
        <v>110010</v>
      </c>
      <c r="H9531" s="18">
        <f t="shared" si="205"/>
        <v>41892.22</v>
      </c>
    </row>
    <row r="9532" spans="1:8" ht="19.5" customHeight="1" x14ac:dyDescent="0.55000000000000004">
      <c r="A9532" s="18">
        <v>24.8170553</v>
      </c>
      <c r="B9532" s="18">
        <v>34.8163792</v>
      </c>
      <c r="C9532" s="18">
        <v>683580.82</v>
      </c>
      <c r="D9532" s="18">
        <v>2745912.43</v>
      </c>
      <c r="E9532" s="18">
        <v>306.68</v>
      </c>
      <c r="F9532" s="18">
        <v>41911.11</v>
      </c>
      <c r="G9532" s="18">
        <v>110012</v>
      </c>
      <c r="H9532" s="18">
        <f t="shared" si="205"/>
        <v>41892.11</v>
      </c>
    </row>
    <row r="9533" spans="1:8" ht="19.5" customHeight="1" x14ac:dyDescent="0.55000000000000004">
      <c r="A9533" s="18">
        <v>24.817079</v>
      </c>
      <c r="B9533" s="18">
        <v>34.816373800000001</v>
      </c>
      <c r="C9533" s="18">
        <v>683580.24</v>
      </c>
      <c r="D9533" s="18">
        <v>2745915.04</v>
      </c>
      <c r="E9533" s="18">
        <v>306.58</v>
      </c>
      <c r="F9533" s="18">
        <v>41912.58</v>
      </c>
      <c r="G9533" s="18">
        <v>110014</v>
      </c>
      <c r="H9533" s="18">
        <f t="shared" si="205"/>
        <v>41893.58</v>
      </c>
    </row>
    <row r="9534" spans="1:8" ht="19.5" customHeight="1" x14ac:dyDescent="0.55000000000000004">
      <c r="A9534" s="18">
        <v>24.817102200000001</v>
      </c>
      <c r="B9534" s="18">
        <v>34.816369000000002</v>
      </c>
      <c r="C9534" s="18">
        <v>683579.72</v>
      </c>
      <c r="D9534" s="18">
        <v>2745917.6</v>
      </c>
      <c r="E9534" s="18">
        <v>306.74</v>
      </c>
      <c r="F9534" s="18">
        <v>41911.97</v>
      </c>
      <c r="G9534" s="18">
        <v>110016</v>
      </c>
      <c r="H9534" s="18">
        <f t="shared" si="205"/>
        <v>41892.97</v>
      </c>
    </row>
    <row r="9535" spans="1:8" ht="19.5" customHeight="1" x14ac:dyDescent="0.55000000000000004">
      <c r="A9535" s="18">
        <v>24.817125399999998</v>
      </c>
      <c r="B9535" s="18">
        <v>34.816362699999999</v>
      </c>
      <c r="C9535" s="18">
        <v>683579.05</v>
      </c>
      <c r="D9535" s="18">
        <v>2745920.17</v>
      </c>
      <c r="E9535" s="18">
        <v>306.8</v>
      </c>
      <c r="F9535" s="18">
        <v>41913.730000000003</v>
      </c>
      <c r="G9535" s="18">
        <v>110018</v>
      </c>
      <c r="H9535" s="18">
        <f t="shared" si="205"/>
        <v>41894.730000000003</v>
      </c>
    </row>
    <row r="9536" spans="1:8" ht="19.5" customHeight="1" x14ac:dyDescent="0.55000000000000004">
      <c r="A9536" s="18">
        <v>24.817149799999999</v>
      </c>
      <c r="B9536" s="18">
        <v>34.816359599999998</v>
      </c>
      <c r="C9536" s="18">
        <v>683578.7</v>
      </c>
      <c r="D9536" s="18">
        <v>2745922.86</v>
      </c>
      <c r="E9536" s="18">
        <v>306.93</v>
      </c>
      <c r="F9536" s="18">
        <v>41914.480000000003</v>
      </c>
      <c r="G9536" s="18">
        <v>110020</v>
      </c>
      <c r="H9536" s="18">
        <f t="shared" si="205"/>
        <v>41895.480000000003</v>
      </c>
    </row>
    <row r="9537" spans="1:8" ht="19.5" customHeight="1" x14ac:dyDescent="0.55000000000000004">
      <c r="A9537" s="18">
        <v>24.817174000000001</v>
      </c>
      <c r="B9537" s="18">
        <v>34.816358299999997</v>
      </c>
      <c r="C9537" s="18">
        <v>683578.54</v>
      </c>
      <c r="D9537" s="18">
        <v>2745925.54</v>
      </c>
      <c r="E9537" s="18">
        <v>307.07</v>
      </c>
      <c r="F9537" s="18">
        <v>41915.67</v>
      </c>
      <c r="G9537" s="18">
        <v>110022</v>
      </c>
      <c r="H9537" s="18">
        <f t="shared" si="205"/>
        <v>41896.67</v>
      </c>
    </row>
    <row r="9538" spans="1:8" ht="19.5" customHeight="1" x14ac:dyDescent="0.55000000000000004">
      <c r="A9538" s="18">
        <v>24.817198000000001</v>
      </c>
      <c r="B9538" s="18">
        <v>34.816354199999999</v>
      </c>
      <c r="C9538" s="18">
        <v>683578.09</v>
      </c>
      <c r="D9538" s="18">
        <v>2745928.2</v>
      </c>
      <c r="E9538" s="18">
        <v>307.24</v>
      </c>
      <c r="F9538" s="18">
        <v>41915.279999999999</v>
      </c>
      <c r="G9538" s="18">
        <v>110024</v>
      </c>
      <c r="H9538" s="18">
        <f t="shared" si="205"/>
        <v>41896.28</v>
      </c>
    </row>
    <row r="9539" spans="1:8" ht="19.5" customHeight="1" x14ac:dyDescent="0.55000000000000004">
      <c r="A9539" s="18">
        <v>24.817221700000001</v>
      </c>
      <c r="B9539" s="18">
        <v>34.816351599999997</v>
      </c>
      <c r="C9539" s="18">
        <v>683577.79</v>
      </c>
      <c r="D9539" s="18">
        <v>2745930.82</v>
      </c>
      <c r="E9539" s="18">
        <v>307.5</v>
      </c>
      <c r="F9539" s="18">
        <v>41916.129999999997</v>
      </c>
      <c r="G9539" s="18">
        <v>110026</v>
      </c>
      <c r="H9539" s="18">
        <f t="shared" si="205"/>
        <v>41897.129999999997</v>
      </c>
    </row>
    <row r="9540" spans="1:8" ht="19.5" customHeight="1" x14ac:dyDescent="0.55000000000000004">
      <c r="A9540" s="18">
        <v>24.817244200000001</v>
      </c>
      <c r="B9540" s="18">
        <v>34.816349500000001</v>
      </c>
      <c r="C9540" s="18">
        <v>683577.54</v>
      </c>
      <c r="D9540" s="18">
        <v>2745933.31</v>
      </c>
      <c r="E9540" s="18">
        <v>307.72000000000003</v>
      </c>
      <c r="F9540" s="18">
        <v>41916.1</v>
      </c>
      <c r="G9540" s="18">
        <v>110028</v>
      </c>
      <c r="H9540" s="18">
        <f t="shared" si="205"/>
        <v>41897.1</v>
      </c>
    </row>
    <row r="9541" spans="1:8" ht="19.5" customHeight="1" x14ac:dyDescent="0.55000000000000004">
      <c r="A9541" s="18">
        <v>24.8172639</v>
      </c>
      <c r="B9541" s="18">
        <v>34.816347</v>
      </c>
      <c r="C9541" s="18">
        <v>683577.26</v>
      </c>
      <c r="D9541" s="18">
        <v>2745935.48</v>
      </c>
      <c r="E9541" s="18">
        <v>308.02999999999997</v>
      </c>
      <c r="F9541" s="18">
        <v>41919.379999999997</v>
      </c>
      <c r="G9541" s="18">
        <v>110030</v>
      </c>
      <c r="H9541" s="18">
        <f t="shared" si="205"/>
        <v>41900.379999999997</v>
      </c>
    </row>
    <row r="9542" spans="1:8" ht="19.5" customHeight="1" x14ac:dyDescent="0.55000000000000004">
      <c r="A9542" s="18">
        <v>24.817283</v>
      </c>
      <c r="B9542" s="18">
        <v>34.816346099999997</v>
      </c>
      <c r="C9542" s="18">
        <v>683577.14</v>
      </c>
      <c r="D9542" s="18">
        <v>2745937.6</v>
      </c>
      <c r="E9542" s="18">
        <v>308.35000000000002</v>
      </c>
      <c r="F9542" s="18">
        <v>41917.050000000003</v>
      </c>
      <c r="G9542" s="18">
        <v>110032</v>
      </c>
      <c r="H9542" s="18">
        <f t="shared" si="205"/>
        <v>41898.050000000003</v>
      </c>
    </row>
    <row r="9543" spans="1:8" ht="19.5" customHeight="1" x14ac:dyDescent="0.55000000000000004">
      <c r="A9543" s="18">
        <v>24.817302000000002</v>
      </c>
      <c r="B9543" s="18">
        <v>34.816345400000003</v>
      </c>
      <c r="C9543" s="18">
        <v>683577.04</v>
      </c>
      <c r="D9543" s="18">
        <v>2745939.7</v>
      </c>
      <c r="E9543" s="18">
        <v>308.56</v>
      </c>
      <c r="F9543" s="18">
        <v>41915.730000000003</v>
      </c>
      <c r="G9543" s="18">
        <v>110034</v>
      </c>
      <c r="H9543" s="18">
        <f t="shared" si="205"/>
        <v>41896.730000000003</v>
      </c>
    </row>
    <row r="9544" spans="1:8" ht="19.5" customHeight="1" x14ac:dyDescent="0.55000000000000004">
      <c r="A9544" s="18">
        <v>24.817322000000001</v>
      </c>
      <c r="B9544" s="18">
        <v>34.816344299999997</v>
      </c>
      <c r="C9544" s="18">
        <v>683576.9</v>
      </c>
      <c r="D9544" s="18">
        <v>2745941.92</v>
      </c>
      <c r="E9544" s="18">
        <v>308.66000000000003</v>
      </c>
      <c r="F9544" s="18">
        <v>41917.050000000003</v>
      </c>
      <c r="G9544" s="18">
        <v>110036</v>
      </c>
      <c r="H9544" s="18">
        <f t="shared" si="205"/>
        <v>41898.050000000003</v>
      </c>
    </row>
    <row r="9545" spans="1:8" ht="19.5" customHeight="1" x14ac:dyDescent="0.55000000000000004">
      <c r="A9545" s="18">
        <v>24.817341599999999</v>
      </c>
      <c r="B9545" s="18">
        <v>34.816339599999999</v>
      </c>
      <c r="C9545" s="18">
        <v>683576.39</v>
      </c>
      <c r="D9545" s="18">
        <v>2745944.08</v>
      </c>
      <c r="E9545" s="18">
        <v>308.54000000000002</v>
      </c>
      <c r="F9545" s="18">
        <v>41915.29</v>
      </c>
      <c r="G9545" s="18">
        <v>110038</v>
      </c>
      <c r="H9545" s="18">
        <f t="shared" si="205"/>
        <v>41896.29</v>
      </c>
    </row>
    <row r="9546" spans="1:8" ht="19.5" customHeight="1" x14ac:dyDescent="0.55000000000000004">
      <c r="A9546" s="18">
        <v>24.817363</v>
      </c>
      <c r="B9546" s="18">
        <v>34.816336900000003</v>
      </c>
      <c r="C9546" s="18">
        <v>683576.09</v>
      </c>
      <c r="D9546" s="18">
        <v>2745946.45</v>
      </c>
      <c r="E9546" s="18">
        <v>308.27</v>
      </c>
      <c r="F9546" s="18">
        <v>41912.699999999997</v>
      </c>
      <c r="G9546" s="18">
        <v>110040</v>
      </c>
      <c r="H9546" s="18">
        <f t="shared" si="205"/>
        <v>41893.699999999997</v>
      </c>
    </row>
    <row r="9547" spans="1:8" ht="19.5" customHeight="1" x14ac:dyDescent="0.55000000000000004">
      <c r="A9547" s="18">
        <v>24.817384799999999</v>
      </c>
      <c r="B9547" s="18">
        <v>34.816330600000001</v>
      </c>
      <c r="C9547" s="18">
        <v>683575.43</v>
      </c>
      <c r="D9547" s="18">
        <v>2745948.85</v>
      </c>
      <c r="E9547" s="18">
        <v>308.04000000000002</v>
      </c>
      <c r="F9547" s="18">
        <v>41912.720000000001</v>
      </c>
      <c r="G9547" s="18">
        <v>110042</v>
      </c>
      <c r="H9547" s="18">
        <f t="shared" si="205"/>
        <v>41893.72</v>
      </c>
    </row>
    <row r="9548" spans="1:8" ht="19.5" customHeight="1" x14ac:dyDescent="0.55000000000000004">
      <c r="A9548" s="18">
        <v>24.8174071</v>
      </c>
      <c r="B9548" s="18">
        <v>34.816327399999999</v>
      </c>
      <c r="C9548" s="18">
        <v>683575.06</v>
      </c>
      <c r="D9548" s="18">
        <v>2745951.32</v>
      </c>
      <c r="E9548" s="18">
        <v>307.81</v>
      </c>
      <c r="F9548" s="18">
        <v>41913.97</v>
      </c>
      <c r="G9548" s="18">
        <v>110044</v>
      </c>
      <c r="H9548" s="18">
        <f t="shared" si="205"/>
        <v>41894.97</v>
      </c>
    </row>
    <row r="9549" spans="1:8" ht="19.5" customHeight="1" x14ac:dyDescent="0.55000000000000004">
      <c r="A9549" s="18">
        <v>24.817430900000002</v>
      </c>
      <c r="B9549" s="18">
        <v>34.816325200000001</v>
      </c>
      <c r="C9549" s="18">
        <v>683574.81</v>
      </c>
      <c r="D9549" s="18">
        <v>2745953.95</v>
      </c>
      <c r="E9549" s="18">
        <v>307.68</v>
      </c>
      <c r="F9549" s="18">
        <v>41915.15</v>
      </c>
      <c r="G9549" s="18">
        <v>110046</v>
      </c>
      <c r="H9549" s="18">
        <f t="shared" si="205"/>
        <v>41896.15</v>
      </c>
    </row>
    <row r="9550" spans="1:8" ht="19.5" customHeight="1" x14ac:dyDescent="0.55000000000000004">
      <c r="A9550" s="18">
        <v>24.817454399999999</v>
      </c>
      <c r="B9550" s="18">
        <v>34.816322300000003</v>
      </c>
      <c r="C9550" s="18">
        <v>683574.49</v>
      </c>
      <c r="D9550" s="18">
        <v>2745956.56</v>
      </c>
      <c r="E9550" s="18">
        <v>307.55</v>
      </c>
      <c r="F9550" s="18">
        <v>41916.26</v>
      </c>
      <c r="G9550" s="18">
        <v>110048</v>
      </c>
      <c r="H9550" s="18">
        <f t="shared" si="205"/>
        <v>41897.26</v>
      </c>
    </row>
    <row r="9551" spans="1:8" ht="19.5" customHeight="1" x14ac:dyDescent="0.55000000000000004">
      <c r="A9551" s="18">
        <v>24.8174773</v>
      </c>
      <c r="B9551" s="18">
        <v>34.816316299999997</v>
      </c>
      <c r="C9551" s="18">
        <v>683573.84</v>
      </c>
      <c r="D9551" s="18">
        <v>2745959.08</v>
      </c>
      <c r="E9551" s="18">
        <v>307.48</v>
      </c>
      <c r="F9551" s="18">
        <v>41918.39</v>
      </c>
      <c r="G9551" s="18">
        <v>110050</v>
      </c>
      <c r="H9551" s="18">
        <f t="shared" si="205"/>
        <v>41899.39</v>
      </c>
    </row>
    <row r="9552" spans="1:8" ht="19.5" customHeight="1" x14ac:dyDescent="0.55000000000000004">
      <c r="A9552" s="18">
        <v>24.817497199999998</v>
      </c>
      <c r="B9552" s="18">
        <v>34.816308599999999</v>
      </c>
      <c r="C9552" s="18">
        <v>683573.03</v>
      </c>
      <c r="D9552" s="18">
        <v>2745961.27</v>
      </c>
      <c r="E9552" s="18">
        <v>307.61</v>
      </c>
      <c r="F9552" s="18">
        <v>41917.79</v>
      </c>
      <c r="G9552" s="18">
        <v>110052</v>
      </c>
      <c r="H9552" s="18">
        <f t="shared" si="205"/>
        <v>41898.79</v>
      </c>
    </row>
    <row r="9553" spans="1:8" ht="19.5" customHeight="1" x14ac:dyDescent="0.55000000000000004">
      <c r="A9553" s="18">
        <v>24.817517599999999</v>
      </c>
      <c r="B9553" s="18">
        <v>34.816303099999999</v>
      </c>
      <c r="C9553" s="18">
        <v>683572.45</v>
      </c>
      <c r="D9553" s="18">
        <v>2745963.52</v>
      </c>
      <c r="E9553" s="18">
        <v>307.58</v>
      </c>
      <c r="F9553" s="18">
        <v>41916.019999999997</v>
      </c>
      <c r="G9553" s="18">
        <v>110054</v>
      </c>
      <c r="H9553" s="18">
        <f t="shared" si="205"/>
        <v>41897.019999999997</v>
      </c>
    </row>
    <row r="9554" spans="1:8" ht="19.5" customHeight="1" x14ac:dyDescent="0.55000000000000004">
      <c r="A9554" s="18">
        <v>24.817537699999999</v>
      </c>
      <c r="B9554" s="18">
        <v>34.816298500000002</v>
      </c>
      <c r="C9554" s="18">
        <v>683571.95</v>
      </c>
      <c r="D9554" s="18">
        <v>2745965.75</v>
      </c>
      <c r="E9554" s="18">
        <v>307.62</v>
      </c>
      <c r="F9554" s="18">
        <v>41918.65</v>
      </c>
      <c r="G9554" s="18">
        <v>110056</v>
      </c>
      <c r="H9554" s="18">
        <f t="shared" si="205"/>
        <v>41899.65</v>
      </c>
    </row>
    <row r="9555" spans="1:8" ht="19.5" customHeight="1" x14ac:dyDescent="0.55000000000000004">
      <c r="A9555" s="18">
        <v>24.817557300000001</v>
      </c>
      <c r="B9555" s="18">
        <v>34.816290700000003</v>
      </c>
      <c r="C9555" s="18">
        <v>683571.14</v>
      </c>
      <c r="D9555" s="18">
        <v>2745967.9</v>
      </c>
      <c r="E9555" s="18">
        <v>307.48</v>
      </c>
      <c r="F9555" s="18">
        <v>41917.660000000003</v>
      </c>
      <c r="G9555" s="18">
        <v>110058</v>
      </c>
      <c r="H9555" s="18">
        <f t="shared" si="205"/>
        <v>41898.660000000003</v>
      </c>
    </row>
    <row r="9556" spans="1:8" ht="19.5" customHeight="1" x14ac:dyDescent="0.55000000000000004">
      <c r="A9556" s="18">
        <v>24.817575099999999</v>
      </c>
      <c r="B9556" s="18">
        <v>34.816282200000003</v>
      </c>
      <c r="C9556" s="18">
        <v>683570.25</v>
      </c>
      <c r="D9556" s="18">
        <v>2745969.87</v>
      </c>
      <c r="E9556" s="18">
        <v>307.45</v>
      </c>
      <c r="F9556" s="18">
        <v>41920.21</v>
      </c>
      <c r="G9556" s="18">
        <v>110100</v>
      </c>
      <c r="H9556" s="18">
        <f>SUM(F9556-25)</f>
        <v>41895.21</v>
      </c>
    </row>
    <row r="9557" spans="1:8" ht="19.5" customHeight="1" x14ac:dyDescent="0.55000000000000004">
      <c r="A9557" s="18">
        <v>24.817587</v>
      </c>
      <c r="B9557" s="18">
        <v>34.816278099999998</v>
      </c>
      <c r="C9557" s="18">
        <v>683569.81</v>
      </c>
      <c r="D9557" s="18">
        <v>2745971.18</v>
      </c>
      <c r="E9557" s="18">
        <v>307.54000000000002</v>
      </c>
      <c r="F9557" s="18">
        <v>41920.839999999997</v>
      </c>
      <c r="G9557" s="18">
        <v>110102</v>
      </c>
      <c r="H9557" s="18">
        <f t="shared" ref="H9557:H9620" si="206">SUM(F9557-25)</f>
        <v>41895.839999999997</v>
      </c>
    </row>
    <row r="9558" spans="1:8" ht="19.5" customHeight="1" x14ac:dyDescent="0.55000000000000004">
      <c r="A9558" s="18">
        <v>24.817603999999999</v>
      </c>
      <c r="B9558" s="18">
        <v>34.816275099999999</v>
      </c>
      <c r="C9558" s="18">
        <v>683569.49</v>
      </c>
      <c r="D9558" s="18">
        <v>2745973.06</v>
      </c>
      <c r="E9558" s="18">
        <v>307.64999999999998</v>
      </c>
      <c r="F9558" s="18">
        <v>41921.550000000003</v>
      </c>
      <c r="G9558" s="18">
        <v>110104</v>
      </c>
      <c r="H9558" s="18">
        <f t="shared" si="206"/>
        <v>41896.550000000003</v>
      </c>
    </row>
    <row r="9559" spans="1:8" ht="19.5" customHeight="1" x14ac:dyDescent="0.55000000000000004">
      <c r="A9559" s="18">
        <v>24.8176171</v>
      </c>
      <c r="B9559" s="18">
        <v>34.816272699999999</v>
      </c>
      <c r="C9559" s="18">
        <v>683569.23</v>
      </c>
      <c r="D9559" s="18">
        <v>2745974.51</v>
      </c>
      <c r="E9559" s="18">
        <v>307.7</v>
      </c>
      <c r="F9559" s="18">
        <v>41922.120000000003</v>
      </c>
      <c r="G9559" s="18">
        <v>110106</v>
      </c>
      <c r="H9559" s="18">
        <f t="shared" si="206"/>
        <v>41897.120000000003</v>
      </c>
    </row>
    <row r="9560" spans="1:8" ht="19.5" customHeight="1" x14ac:dyDescent="0.55000000000000004">
      <c r="A9560" s="18">
        <v>24.817629</v>
      </c>
      <c r="B9560" s="18">
        <v>34.816270199999998</v>
      </c>
      <c r="C9560" s="18">
        <v>683568.96</v>
      </c>
      <c r="D9560" s="18">
        <v>2745975.82</v>
      </c>
      <c r="E9560" s="18">
        <v>307.74</v>
      </c>
      <c r="F9560" s="18">
        <v>41921.56</v>
      </c>
      <c r="G9560" s="18">
        <v>110108</v>
      </c>
      <c r="H9560" s="18">
        <f t="shared" si="206"/>
        <v>41896.559999999998</v>
      </c>
    </row>
    <row r="9561" spans="1:8" ht="19.5" customHeight="1" x14ac:dyDescent="0.55000000000000004">
      <c r="A9561" s="18">
        <v>24.817642299999999</v>
      </c>
      <c r="B9561" s="18">
        <v>34.816262700000003</v>
      </c>
      <c r="C9561" s="18">
        <v>683568.17</v>
      </c>
      <c r="D9561" s="18">
        <v>2745977.29</v>
      </c>
      <c r="E9561" s="18">
        <v>307.75</v>
      </c>
      <c r="F9561" s="18">
        <v>41922.86</v>
      </c>
      <c r="G9561" s="18">
        <v>110110</v>
      </c>
      <c r="H9561" s="18">
        <f t="shared" si="206"/>
        <v>41897.86</v>
      </c>
    </row>
    <row r="9562" spans="1:8" ht="19.5" customHeight="1" x14ac:dyDescent="0.55000000000000004">
      <c r="A9562" s="18">
        <v>24.817656199999998</v>
      </c>
      <c r="B9562" s="18">
        <v>34.816258500000004</v>
      </c>
      <c r="C9562" s="18">
        <v>683567.74</v>
      </c>
      <c r="D9562" s="18">
        <v>2745978.82</v>
      </c>
      <c r="E9562" s="18">
        <v>307.79000000000002</v>
      </c>
      <c r="F9562" s="18">
        <v>41924.230000000003</v>
      </c>
      <c r="G9562" s="18">
        <v>110112</v>
      </c>
      <c r="H9562" s="18">
        <f t="shared" si="206"/>
        <v>41899.230000000003</v>
      </c>
    </row>
    <row r="9563" spans="1:8" ht="19.5" customHeight="1" x14ac:dyDescent="0.55000000000000004">
      <c r="A9563" s="18">
        <v>24.817672600000002</v>
      </c>
      <c r="B9563" s="18">
        <v>34.816252599999999</v>
      </c>
      <c r="C9563" s="18">
        <v>683567.11</v>
      </c>
      <c r="D9563" s="18">
        <v>2745980.63</v>
      </c>
      <c r="E9563" s="18">
        <v>307.83</v>
      </c>
      <c r="F9563" s="18">
        <v>41922.160000000003</v>
      </c>
      <c r="G9563" s="18">
        <v>110114</v>
      </c>
      <c r="H9563" s="18">
        <f t="shared" si="206"/>
        <v>41897.160000000003</v>
      </c>
    </row>
    <row r="9564" spans="1:8" ht="19.5" customHeight="1" x14ac:dyDescent="0.55000000000000004">
      <c r="A9564" s="18">
        <v>24.817689000000001</v>
      </c>
      <c r="B9564" s="18">
        <v>34.816247099999998</v>
      </c>
      <c r="C9564" s="18">
        <v>683566.53</v>
      </c>
      <c r="D9564" s="18">
        <v>2745982.44</v>
      </c>
      <c r="E9564" s="18">
        <v>307.83</v>
      </c>
      <c r="F9564" s="18">
        <v>41922.160000000003</v>
      </c>
      <c r="G9564" s="18">
        <v>110116</v>
      </c>
      <c r="H9564" s="18">
        <f t="shared" si="206"/>
        <v>41897.160000000003</v>
      </c>
    </row>
    <row r="9565" spans="1:8" ht="19.5" customHeight="1" x14ac:dyDescent="0.55000000000000004">
      <c r="A9565" s="18">
        <v>24.8177041</v>
      </c>
      <c r="B9565" s="18">
        <v>34.816240800000003</v>
      </c>
      <c r="C9565" s="18">
        <v>683565.87</v>
      </c>
      <c r="D9565" s="18">
        <v>2745984.1</v>
      </c>
      <c r="E9565" s="18">
        <v>307.83999999999997</v>
      </c>
      <c r="F9565" s="18">
        <v>41923.620000000003</v>
      </c>
      <c r="G9565" s="18">
        <v>110118</v>
      </c>
      <c r="H9565" s="18">
        <f t="shared" si="206"/>
        <v>41898.620000000003</v>
      </c>
    </row>
    <row r="9566" spans="1:8" ht="19.5" customHeight="1" x14ac:dyDescent="0.55000000000000004">
      <c r="A9566" s="18">
        <v>24.8177178</v>
      </c>
      <c r="B9566" s="18">
        <v>34.816237600000001</v>
      </c>
      <c r="C9566" s="18">
        <v>683565.53</v>
      </c>
      <c r="D9566" s="18">
        <v>2745985.61</v>
      </c>
      <c r="E9566" s="18">
        <v>307.77</v>
      </c>
      <c r="F9566" s="18">
        <v>41924.81</v>
      </c>
      <c r="G9566" s="18">
        <v>110120</v>
      </c>
      <c r="H9566" s="18">
        <f t="shared" si="206"/>
        <v>41899.81</v>
      </c>
    </row>
    <row r="9567" spans="1:8" ht="19.5" customHeight="1" x14ac:dyDescent="0.55000000000000004">
      <c r="A9567" s="18">
        <v>24.817732700000001</v>
      </c>
      <c r="B9567" s="18">
        <v>34.816232800000002</v>
      </c>
      <c r="C9567" s="18">
        <v>683565.02</v>
      </c>
      <c r="D9567" s="18">
        <v>2745987.26</v>
      </c>
      <c r="E9567" s="18">
        <v>307.79000000000002</v>
      </c>
      <c r="F9567" s="18">
        <v>41924.32</v>
      </c>
      <c r="G9567" s="18">
        <v>110122</v>
      </c>
      <c r="H9567" s="18">
        <f t="shared" si="206"/>
        <v>41899.32</v>
      </c>
    </row>
    <row r="9568" spans="1:8" ht="19.5" customHeight="1" x14ac:dyDescent="0.55000000000000004">
      <c r="A9568" s="18">
        <v>24.817746899999999</v>
      </c>
      <c r="B9568" s="18">
        <v>34.8162296</v>
      </c>
      <c r="C9568" s="18">
        <v>683564.68</v>
      </c>
      <c r="D9568" s="18">
        <v>2745988.83</v>
      </c>
      <c r="E9568" s="18">
        <v>307.83999999999997</v>
      </c>
      <c r="F9568" s="18">
        <v>41925.49</v>
      </c>
      <c r="G9568" s="18">
        <v>110124</v>
      </c>
      <c r="H9568" s="18">
        <f t="shared" si="206"/>
        <v>41900.49</v>
      </c>
    </row>
    <row r="9569" spans="1:8" ht="19.5" customHeight="1" x14ac:dyDescent="0.55000000000000004">
      <c r="A9569" s="18">
        <v>24.817758000000001</v>
      </c>
      <c r="B9569" s="18">
        <v>34.816221599999999</v>
      </c>
      <c r="C9569" s="18">
        <v>683563.85</v>
      </c>
      <c r="D9569" s="18">
        <v>2745990.05</v>
      </c>
      <c r="E9569" s="18">
        <v>307.82</v>
      </c>
      <c r="F9569" s="18">
        <v>41924.5</v>
      </c>
      <c r="G9569" s="18">
        <v>110126</v>
      </c>
      <c r="H9569" s="18">
        <f t="shared" si="206"/>
        <v>41899.5</v>
      </c>
    </row>
    <row r="9570" spans="1:8" ht="19.5" customHeight="1" x14ac:dyDescent="0.55000000000000004">
      <c r="A9570" s="18">
        <v>24.8177719</v>
      </c>
      <c r="B9570" s="18">
        <v>34.816214500000001</v>
      </c>
      <c r="C9570" s="18">
        <v>683563.11</v>
      </c>
      <c r="D9570" s="18">
        <v>2745991.58</v>
      </c>
      <c r="E9570" s="18">
        <v>307.83</v>
      </c>
      <c r="F9570" s="18">
        <v>41925.39</v>
      </c>
      <c r="G9570" s="18">
        <v>110128</v>
      </c>
      <c r="H9570" s="18">
        <f t="shared" si="206"/>
        <v>41900.39</v>
      </c>
    </row>
    <row r="9571" spans="1:8" ht="19.5" customHeight="1" x14ac:dyDescent="0.55000000000000004">
      <c r="A9571" s="18">
        <v>24.8177877</v>
      </c>
      <c r="B9571" s="18">
        <v>34.816208099999997</v>
      </c>
      <c r="C9571" s="18">
        <v>683562.45</v>
      </c>
      <c r="D9571" s="18">
        <v>2745993.32</v>
      </c>
      <c r="E9571" s="18">
        <v>307.92</v>
      </c>
      <c r="F9571" s="18">
        <v>41924.339999999997</v>
      </c>
      <c r="G9571" s="18">
        <v>110130</v>
      </c>
      <c r="H9571" s="18">
        <f t="shared" si="206"/>
        <v>41899.339999999997</v>
      </c>
    </row>
    <row r="9572" spans="1:8" ht="19.5" customHeight="1" x14ac:dyDescent="0.55000000000000004">
      <c r="A9572" s="18">
        <v>24.817808100000001</v>
      </c>
      <c r="B9572" s="18">
        <v>34.816202400000002</v>
      </c>
      <c r="C9572" s="18">
        <v>683561.84</v>
      </c>
      <c r="D9572" s="18">
        <v>2745995.56</v>
      </c>
      <c r="E9572" s="18">
        <v>308.05</v>
      </c>
      <c r="F9572" s="18">
        <v>41923.42</v>
      </c>
      <c r="G9572" s="18">
        <v>110132</v>
      </c>
      <c r="H9572" s="18">
        <f t="shared" si="206"/>
        <v>41898.42</v>
      </c>
    </row>
    <row r="9573" spans="1:8" ht="19.5" customHeight="1" x14ac:dyDescent="0.55000000000000004">
      <c r="A9573" s="18">
        <v>24.817830900000001</v>
      </c>
      <c r="B9573" s="18">
        <v>34.816198</v>
      </c>
      <c r="C9573" s="18">
        <v>683561.36</v>
      </c>
      <c r="D9573" s="18">
        <v>2745998.08</v>
      </c>
      <c r="E9573" s="18">
        <v>308.16000000000003</v>
      </c>
      <c r="F9573" s="18">
        <v>41922.839999999997</v>
      </c>
      <c r="G9573" s="18">
        <v>110134</v>
      </c>
      <c r="H9573" s="18">
        <f t="shared" si="206"/>
        <v>41897.839999999997</v>
      </c>
    </row>
    <row r="9574" spans="1:8" ht="19.5" customHeight="1" x14ac:dyDescent="0.55000000000000004">
      <c r="A9574" s="18">
        <v>24.817852500000001</v>
      </c>
      <c r="B9574" s="18">
        <v>34.816196400000003</v>
      </c>
      <c r="C9574" s="18">
        <v>683561.16</v>
      </c>
      <c r="D9574" s="18">
        <v>2746000.48</v>
      </c>
      <c r="E9574" s="18">
        <v>308.08999999999997</v>
      </c>
      <c r="F9574" s="18">
        <v>41923.69</v>
      </c>
      <c r="G9574" s="18">
        <v>110136</v>
      </c>
      <c r="H9574" s="18">
        <f t="shared" si="206"/>
        <v>41898.69</v>
      </c>
    </row>
    <row r="9575" spans="1:8" ht="19.5" customHeight="1" x14ac:dyDescent="0.55000000000000004">
      <c r="A9575" s="18">
        <v>24.817874</v>
      </c>
      <c r="B9575" s="18">
        <v>34.816192600000001</v>
      </c>
      <c r="C9575" s="18">
        <v>683560.75</v>
      </c>
      <c r="D9575" s="18">
        <v>2746002.86</v>
      </c>
      <c r="E9575" s="18">
        <v>308.16000000000003</v>
      </c>
      <c r="F9575" s="18">
        <v>41922.75</v>
      </c>
      <c r="G9575" s="18">
        <v>110138</v>
      </c>
      <c r="H9575" s="18">
        <f t="shared" si="206"/>
        <v>41897.75</v>
      </c>
    </row>
    <row r="9576" spans="1:8" ht="19.5" customHeight="1" x14ac:dyDescent="0.55000000000000004">
      <c r="A9576" s="18">
        <v>24.817895100000001</v>
      </c>
      <c r="B9576" s="18">
        <v>34.816186000000002</v>
      </c>
      <c r="C9576" s="18">
        <v>683560.05</v>
      </c>
      <c r="D9576" s="18">
        <v>2746005.18</v>
      </c>
      <c r="E9576" s="18">
        <v>308.3</v>
      </c>
      <c r="F9576" s="18">
        <v>41921.589999999997</v>
      </c>
      <c r="G9576" s="18">
        <v>110140</v>
      </c>
      <c r="H9576" s="18">
        <f t="shared" si="206"/>
        <v>41896.589999999997</v>
      </c>
    </row>
    <row r="9577" spans="1:8" ht="19.5" customHeight="1" x14ac:dyDescent="0.55000000000000004">
      <c r="A9577" s="18">
        <v>24.817914699999999</v>
      </c>
      <c r="B9577" s="18">
        <v>34.816177099999997</v>
      </c>
      <c r="C9577" s="18">
        <v>683559.13</v>
      </c>
      <c r="D9577" s="18">
        <v>2746007.34</v>
      </c>
      <c r="E9577" s="18">
        <v>308.33</v>
      </c>
      <c r="F9577" s="18">
        <v>41922.120000000003</v>
      </c>
      <c r="G9577" s="18">
        <v>110142</v>
      </c>
      <c r="H9577" s="18">
        <f t="shared" si="206"/>
        <v>41897.120000000003</v>
      </c>
    </row>
    <row r="9578" spans="1:8" ht="19.5" customHeight="1" x14ac:dyDescent="0.55000000000000004">
      <c r="A9578" s="18">
        <v>24.8179339</v>
      </c>
      <c r="B9578" s="18">
        <v>34.816165699999999</v>
      </c>
      <c r="C9578" s="18">
        <v>683557.94</v>
      </c>
      <c r="D9578" s="18">
        <v>2746009.46</v>
      </c>
      <c r="E9578" s="18">
        <v>308.45999999999998</v>
      </c>
      <c r="F9578" s="18">
        <v>41922.589999999997</v>
      </c>
      <c r="G9578" s="18">
        <v>110144</v>
      </c>
      <c r="H9578" s="18">
        <f t="shared" si="206"/>
        <v>41897.589999999997</v>
      </c>
    </row>
    <row r="9579" spans="1:8" ht="19.5" customHeight="1" x14ac:dyDescent="0.55000000000000004">
      <c r="A9579" s="18">
        <v>24.817952699999999</v>
      </c>
      <c r="B9579" s="18">
        <v>34.816153999999997</v>
      </c>
      <c r="C9579" s="18">
        <v>683556.73</v>
      </c>
      <c r="D9579" s="18">
        <v>2746011.52</v>
      </c>
      <c r="E9579" s="18">
        <v>308.51</v>
      </c>
      <c r="F9579" s="18">
        <v>41922.06</v>
      </c>
      <c r="G9579" s="18">
        <v>110146</v>
      </c>
      <c r="H9579" s="18">
        <f t="shared" si="206"/>
        <v>41897.06</v>
      </c>
    </row>
    <row r="9580" spans="1:8" ht="19.5" customHeight="1" x14ac:dyDescent="0.55000000000000004">
      <c r="A9580" s="18">
        <v>24.817974</v>
      </c>
      <c r="B9580" s="18">
        <v>34.816152199999998</v>
      </c>
      <c r="C9580" s="18">
        <v>683556.52</v>
      </c>
      <c r="D9580" s="18">
        <v>2746013.87</v>
      </c>
      <c r="E9580" s="18">
        <v>308.49</v>
      </c>
      <c r="F9580" s="18">
        <v>41923.26</v>
      </c>
      <c r="G9580" s="18">
        <v>110148</v>
      </c>
      <c r="H9580" s="18">
        <f t="shared" si="206"/>
        <v>41898.26</v>
      </c>
    </row>
    <row r="9581" spans="1:8" ht="19.5" customHeight="1" x14ac:dyDescent="0.55000000000000004">
      <c r="A9581" s="18">
        <v>24.8179968</v>
      </c>
      <c r="B9581" s="18">
        <v>34.816154599999997</v>
      </c>
      <c r="C9581" s="18">
        <v>683556.73</v>
      </c>
      <c r="D9581" s="18">
        <v>2746016.4</v>
      </c>
      <c r="E9581" s="18">
        <v>308.61</v>
      </c>
      <c r="F9581" s="18">
        <v>41923.370000000003</v>
      </c>
      <c r="G9581" s="18">
        <v>110150</v>
      </c>
      <c r="H9581" s="18">
        <f t="shared" si="206"/>
        <v>41898.370000000003</v>
      </c>
    </row>
    <row r="9582" spans="1:8" ht="19.5" customHeight="1" x14ac:dyDescent="0.55000000000000004">
      <c r="A9582" s="18">
        <v>24.818019100000001</v>
      </c>
      <c r="B9582" s="18">
        <v>34.8161512</v>
      </c>
      <c r="C9582" s="18">
        <v>683556.35</v>
      </c>
      <c r="D9582" s="18">
        <v>2746018.87</v>
      </c>
      <c r="E9582" s="18">
        <v>308.66000000000003</v>
      </c>
      <c r="F9582" s="18">
        <v>41924.160000000003</v>
      </c>
      <c r="G9582" s="18">
        <v>110152</v>
      </c>
      <c r="H9582" s="18">
        <f t="shared" si="206"/>
        <v>41899.160000000003</v>
      </c>
    </row>
    <row r="9583" spans="1:8" ht="19.5" customHeight="1" x14ac:dyDescent="0.55000000000000004">
      <c r="A9583" s="18">
        <v>24.818040400000001</v>
      </c>
      <c r="B9583" s="18">
        <v>34.816149500000002</v>
      </c>
      <c r="C9583" s="18">
        <v>683556.15</v>
      </c>
      <c r="D9583" s="18">
        <v>2746021.23</v>
      </c>
      <c r="E9583" s="18">
        <v>308.64999999999998</v>
      </c>
      <c r="F9583" s="18">
        <v>41923.449999999997</v>
      </c>
      <c r="G9583" s="18">
        <v>110154</v>
      </c>
      <c r="H9583" s="18">
        <f t="shared" si="206"/>
        <v>41898.449999999997</v>
      </c>
    </row>
    <row r="9584" spans="1:8" ht="19.5" customHeight="1" x14ac:dyDescent="0.55000000000000004">
      <c r="A9584" s="18">
        <v>24.818061499999999</v>
      </c>
      <c r="B9584" s="18">
        <v>34.816146699999997</v>
      </c>
      <c r="C9584" s="18">
        <v>683555.83999999997</v>
      </c>
      <c r="D9584" s="18">
        <v>2746023.56</v>
      </c>
      <c r="E9584" s="18">
        <v>308.77999999999997</v>
      </c>
      <c r="F9584" s="18">
        <v>41923.51</v>
      </c>
      <c r="G9584" s="18">
        <v>110156</v>
      </c>
      <c r="H9584" s="18">
        <f t="shared" si="206"/>
        <v>41898.51</v>
      </c>
    </row>
    <row r="9585" spans="1:8" ht="19.5" customHeight="1" x14ac:dyDescent="0.55000000000000004">
      <c r="A9585" s="18">
        <v>24.818085100000001</v>
      </c>
      <c r="B9585" s="18">
        <v>34.816147800000003</v>
      </c>
      <c r="C9585" s="18">
        <v>683555.91</v>
      </c>
      <c r="D9585" s="18">
        <v>2746026.18</v>
      </c>
      <c r="E9585" s="18">
        <v>308.8</v>
      </c>
      <c r="F9585" s="18">
        <v>41923.64</v>
      </c>
      <c r="G9585" s="18">
        <v>110158</v>
      </c>
      <c r="H9585" s="18">
        <f t="shared" si="206"/>
        <v>41898.639999999999</v>
      </c>
    </row>
    <row r="9586" spans="1:8" ht="19.5" customHeight="1" x14ac:dyDescent="0.55000000000000004">
      <c r="A9586" s="18">
        <v>24.818105899999999</v>
      </c>
      <c r="B9586" s="18">
        <v>34.816147000000001</v>
      </c>
      <c r="C9586" s="18">
        <v>683555.8</v>
      </c>
      <c r="D9586" s="18">
        <v>2746028.48</v>
      </c>
      <c r="E9586" s="18">
        <v>308.91000000000003</v>
      </c>
      <c r="F9586" s="18">
        <v>41922.879999999997</v>
      </c>
      <c r="G9586" s="18">
        <v>110200</v>
      </c>
      <c r="H9586" s="18">
        <f t="shared" si="206"/>
        <v>41897.879999999997</v>
      </c>
    </row>
    <row r="9587" spans="1:8" ht="19.5" customHeight="1" x14ac:dyDescent="0.55000000000000004">
      <c r="A9587" s="18">
        <v>24.818126199999998</v>
      </c>
      <c r="B9587" s="18">
        <v>34.816141000000002</v>
      </c>
      <c r="C9587" s="18">
        <v>683555.17</v>
      </c>
      <c r="D9587" s="18">
        <v>2746030.71</v>
      </c>
      <c r="E9587" s="18">
        <v>308.89999999999998</v>
      </c>
      <c r="F9587" s="18">
        <v>41924.17</v>
      </c>
      <c r="G9587" s="18">
        <v>110202</v>
      </c>
      <c r="H9587" s="18">
        <f t="shared" si="206"/>
        <v>41899.17</v>
      </c>
    </row>
    <row r="9588" spans="1:8" ht="19.5" customHeight="1" x14ac:dyDescent="0.55000000000000004">
      <c r="A9588" s="18">
        <v>24.818149900000002</v>
      </c>
      <c r="B9588" s="18">
        <v>34.816141399999999</v>
      </c>
      <c r="C9588" s="18">
        <v>683555.17</v>
      </c>
      <c r="D9588" s="18">
        <v>2746033.35</v>
      </c>
      <c r="E9588" s="18">
        <v>308.87</v>
      </c>
      <c r="F9588" s="18">
        <v>41923.64</v>
      </c>
      <c r="G9588" s="18">
        <v>110204</v>
      </c>
      <c r="H9588" s="18">
        <f t="shared" si="206"/>
        <v>41898.639999999999</v>
      </c>
    </row>
    <row r="9589" spans="1:8" ht="19.5" customHeight="1" x14ac:dyDescent="0.55000000000000004">
      <c r="A9589" s="18">
        <v>24.818172799999999</v>
      </c>
      <c r="B9589" s="18">
        <v>34.816142800000002</v>
      </c>
      <c r="C9589" s="18">
        <v>683555.28</v>
      </c>
      <c r="D9589" s="18">
        <v>2746035.88</v>
      </c>
      <c r="E9589" s="18">
        <v>309.05</v>
      </c>
      <c r="F9589" s="18">
        <v>41924.269999999997</v>
      </c>
      <c r="G9589" s="18">
        <v>110206</v>
      </c>
      <c r="H9589" s="18">
        <f t="shared" si="206"/>
        <v>41899.269999999997</v>
      </c>
    </row>
    <row r="9590" spans="1:8" ht="19.5" customHeight="1" x14ac:dyDescent="0.55000000000000004">
      <c r="A9590" s="18">
        <v>24.818194200000001</v>
      </c>
      <c r="B9590" s="18">
        <v>34.816144199999997</v>
      </c>
      <c r="C9590" s="18">
        <v>683555.38</v>
      </c>
      <c r="D9590" s="18">
        <v>2746038.25</v>
      </c>
      <c r="E9590" s="18">
        <v>309.01</v>
      </c>
      <c r="F9590" s="18">
        <v>41924.31</v>
      </c>
      <c r="G9590" s="18">
        <v>110208</v>
      </c>
      <c r="H9590" s="18">
        <f t="shared" si="206"/>
        <v>41899.31</v>
      </c>
    </row>
    <row r="9591" spans="1:8" ht="19.5" customHeight="1" x14ac:dyDescent="0.55000000000000004">
      <c r="A9591" s="18">
        <v>24.818218099999999</v>
      </c>
      <c r="B9591" s="18">
        <v>34.816144399999999</v>
      </c>
      <c r="C9591" s="18">
        <v>683555.37</v>
      </c>
      <c r="D9591" s="18">
        <v>2746040.9</v>
      </c>
      <c r="E9591" s="18">
        <v>308.98</v>
      </c>
      <c r="F9591" s="18">
        <v>41925.81</v>
      </c>
      <c r="G9591" s="18">
        <v>110210</v>
      </c>
      <c r="H9591" s="18">
        <f t="shared" si="206"/>
        <v>41900.81</v>
      </c>
    </row>
    <row r="9592" spans="1:8" ht="19.5" customHeight="1" x14ac:dyDescent="0.55000000000000004">
      <c r="A9592" s="18">
        <v>24.818240599999999</v>
      </c>
      <c r="B9592" s="18">
        <v>34.816145200000001</v>
      </c>
      <c r="C9592" s="18">
        <v>683555.41</v>
      </c>
      <c r="D9592" s="18">
        <v>2746043.4</v>
      </c>
      <c r="E9592" s="18">
        <v>309.02999999999997</v>
      </c>
      <c r="F9592" s="18">
        <v>41926.76</v>
      </c>
      <c r="G9592" s="18">
        <v>110212</v>
      </c>
      <c r="H9592" s="18">
        <f t="shared" si="206"/>
        <v>41901.760000000002</v>
      </c>
    </row>
    <row r="9593" spans="1:8" ht="19.5" customHeight="1" x14ac:dyDescent="0.55000000000000004">
      <c r="A9593" s="18">
        <v>24.818262900000001</v>
      </c>
      <c r="B9593" s="18">
        <v>34.816148499999997</v>
      </c>
      <c r="C9593" s="18">
        <v>683555.72</v>
      </c>
      <c r="D9593" s="18">
        <v>2746045.87</v>
      </c>
      <c r="E9593" s="18">
        <v>308.95999999999998</v>
      </c>
      <c r="F9593" s="18">
        <v>41927.07</v>
      </c>
      <c r="G9593" s="18">
        <v>110214</v>
      </c>
      <c r="H9593" s="18">
        <f t="shared" si="206"/>
        <v>41902.07</v>
      </c>
    </row>
    <row r="9594" spans="1:8" ht="19.5" customHeight="1" x14ac:dyDescent="0.55000000000000004">
      <c r="A9594" s="18">
        <v>24.818285500000002</v>
      </c>
      <c r="B9594" s="18">
        <v>34.816146799999999</v>
      </c>
      <c r="C9594" s="18">
        <v>683555.51</v>
      </c>
      <c r="D9594" s="18">
        <v>2746048.37</v>
      </c>
      <c r="E9594" s="18">
        <v>309</v>
      </c>
      <c r="F9594" s="18">
        <v>41928.78</v>
      </c>
      <c r="G9594" s="18">
        <v>110216</v>
      </c>
      <c r="H9594" s="18">
        <f t="shared" si="206"/>
        <v>41903.78</v>
      </c>
    </row>
    <row r="9595" spans="1:8" ht="19.5" customHeight="1" x14ac:dyDescent="0.55000000000000004">
      <c r="A9595" s="18">
        <v>24.818304999999999</v>
      </c>
      <c r="B9595" s="18">
        <v>34.816151699999999</v>
      </c>
      <c r="C9595" s="18">
        <v>683555.99</v>
      </c>
      <c r="D9595" s="18">
        <v>2746050.53</v>
      </c>
      <c r="E9595" s="18">
        <v>309.13</v>
      </c>
      <c r="F9595" s="18">
        <v>41929.47</v>
      </c>
      <c r="G9595" s="18">
        <v>110218</v>
      </c>
      <c r="H9595" s="18">
        <f t="shared" si="206"/>
        <v>41904.47</v>
      </c>
    </row>
    <row r="9596" spans="1:8" ht="19.5" customHeight="1" x14ac:dyDescent="0.55000000000000004">
      <c r="A9596" s="18">
        <v>24.8183218</v>
      </c>
      <c r="B9596" s="18">
        <v>34.816156599999999</v>
      </c>
      <c r="C9596" s="18">
        <v>683556.45</v>
      </c>
      <c r="D9596" s="18">
        <v>2746052.4</v>
      </c>
      <c r="E9596" s="18">
        <v>309.25</v>
      </c>
      <c r="F9596" s="18">
        <v>41931.800000000003</v>
      </c>
      <c r="G9596" s="18">
        <v>110220</v>
      </c>
      <c r="H9596" s="18">
        <f t="shared" si="206"/>
        <v>41906.800000000003</v>
      </c>
    </row>
    <row r="9597" spans="1:8" ht="19.5" customHeight="1" x14ac:dyDescent="0.55000000000000004">
      <c r="A9597" s="18">
        <v>24.818342600000001</v>
      </c>
      <c r="B9597" s="18">
        <v>34.816153399999997</v>
      </c>
      <c r="C9597" s="18">
        <v>683556.09</v>
      </c>
      <c r="D9597" s="18">
        <v>2746054.71</v>
      </c>
      <c r="E9597" s="18">
        <v>309.37</v>
      </c>
      <c r="F9597" s="18">
        <v>41928.019999999997</v>
      </c>
      <c r="G9597" s="18">
        <v>110222</v>
      </c>
      <c r="H9597" s="18">
        <f t="shared" si="206"/>
        <v>41903.019999999997</v>
      </c>
    </row>
    <row r="9598" spans="1:8" ht="19.5" customHeight="1" x14ac:dyDescent="0.55000000000000004">
      <c r="A9598" s="18">
        <v>24.818364200000001</v>
      </c>
      <c r="B9598" s="18">
        <v>34.816151900000001</v>
      </c>
      <c r="C9598" s="18">
        <v>683555.92</v>
      </c>
      <c r="D9598" s="18">
        <v>2746057.1</v>
      </c>
      <c r="E9598" s="18">
        <v>309.57</v>
      </c>
      <c r="F9598" s="18">
        <v>41928.93</v>
      </c>
      <c r="G9598" s="18">
        <v>110224</v>
      </c>
      <c r="H9598" s="18">
        <f t="shared" si="206"/>
        <v>41903.93</v>
      </c>
    </row>
    <row r="9599" spans="1:8" ht="19.5" customHeight="1" x14ac:dyDescent="0.55000000000000004">
      <c r="A9599" s="18">
        <v>24.818383600000001</v>
      </c>
      <c r="B9599" s="18">
        <v>34.816150899999997</v>
      </c>
      <c r="C9599" s="18">
        <v>683555.78</v>
      </c>
      <c r="D9599" s="18">
        <v>2746059.24</v>
      </c>
      <c r="E9599" s="18">
        <v>309.98</v>
      </c>
      <c r="F9599" s="18">
        <v>41930.160000000003</v>
      </c>
      <c r="G9599" s="18">
        <v>110226</v>
      </c>
      <c r="H9599" s="18">
        <f t="shared" si="206"/>
        <v>41905.160000000003</v>
      </c>
    </row>
    <row r="9600" spans="1:8" ht="19.5" customHeight="1" x14ac:dyDescent="0.55000000000000004">
      <c r="A9600" s="18">
        <v>24.818402500000001</v>
      </c>
      <c r="B9600" s="18">
        <v>34.816152299999999</v>
      </c>
      <c r="C9600" s="18">
        <v>683555.9</v>
      </c>
      <c r="D9600" s="18">
        <v>2746061.34</v>
      </c>
      <c r="E9600" s="18">
        <v>310.47000000000003</v>
      </c>
      <c r="F9600" s="18">
        <v>41932.239999999998</v>
      </c>
      <c r="G9600" s="18">
        <v>110228</v>
      </c>
      <c r="H9600" s="18">
        <f t="shared" si="206"/>
        <v>41907.24</v>
      </c>
    </row>
    <row r="9601" spans="1:8" ht="19.5" customHeight="1" x14ac:dyDescent="0.55000000000000004">
      <c r="A9601" s="18">
        <v>24.818417199999999</v>
      </c>
      <c r="B9601" s="18">
        <v>34.816150299999997</v>
      </c>
      <c r="C9601" s="18">
        <v>683555.68</v>
      </c>
      <c r="D9601" s="18">
        <v>2746062.96</v>
      </c>
      <c r="E9601" s="18">
        <v>310.94</v>
      </c>
      <c r="F9601" s="18">
        <v>41929.46</v>
      </c>
      <c r="G9601" s="18">
        <v>110230</v>
      </c>
      <c r="H9601" s="18">
        <f t="shared" si="206"/>
        <v>41904.46</v>
      </c>
    </row>
    <row r="9602" spans="1:8" ht="19.5" customHeight="1" x14ac:dyDescent="0.55000000000000004">
      <c r="A9602" s="18">
        <v>24.818427700000001</v>
      </c>
      <c r="B9602" s="18">
        <v>34.816158399999999</v>
      </c>
      <c r="C9602" s="18">
        <v>683556.48</v>
      </c>
      <c r="D9602" s="18">
        <v>2746064.14</v>
      </c>
      <c r="E9602" s="18">
        <v>311.47000000000003</v>
      </c>
      <c r="F9602" s="18">
        <v>41935.25</v>
      </c>
      <c r="G9602" s="18">
        <v>110232</v>
      </c>
      <c r="H9602" s="18">
        <f t="shared" si="206"/>
        <v>41910.25</v>
      </c>
    </row>
    <row r="9603" spans="1:8" ht="19.5" customHeight="1" x14ac:dyDescent="0.55000000000000004">
      <c r="A9603" s="18">
        <v>24.818438499999999</v>
      </c>
      <c r="B9603" s="18">
        <v>34.816163199999998</v>
      </c>
      <c r="C9603" s="18">
        <v>683556.95</v>
      </c>
      <c r="D9603" s="18">
        <v>2746065.34</v>
      </c>
      <c r="E9603" s="18">
        <v>311.91000000000003</v>
      </c>
      <c r="F9603" s="18">
        <v>41932.01</v>
      </c>
      <c r="G9603" s="18">
        <v>110234</v>
      </c>
      <c r="H9603" s="18">
        <f t="shared" si="206"/>
        <v>41907.01</v>
      </c>
    </row>
    <row r="9604" spans="1:8" ht="19.5" customHeight="1" x14ac:dyDescent="0.55000000000000004">
      <c r="A9604" s="18">
        <v>24.8184492</v>
      </c>
      <c r="B9604" s="18">
        <v>34.816170399999997</v>
      </c>
      <c r="C9604" s="18">
        <v>683557.65</v>
      </c>
      <c r="D9604" s="18">
        <v>2746066.53</v>
      </c>
      <c r="E9604" s="18">
        <v>312.32</v>
      </c>
      <c r="F9604" s="18">
        <v>41934.5</v>
      </c>
      <c r="G9604" s="18">
        <v>110236</v>
      </c>
      <c r="H9604" s="18">
        <f t="shared" si="206"/>
        <v>41909.5</v>
      </c>
    </row>
    <row r="9605" spans="1:8" ht="19.5" customHeight="1" x14ac:dyDescent="0.55000000000000004">
      <c r="A9605" s="18">
        <v>24.818460200000001</v>
      </c>
      <c r="B9605" s="18">
        <v>34.816173300000003</v>
      </c>
      <c r="C9605" s="18">
        <v>683557.94</v>
      </c>
      <c r="D9605" s="18">
        <v>2746067.76</v>
      </c>
      <c r="E9605" s="18">
        <v>312.86</v>
      </c>
      <c r="F9605" s="18">
        <v>41933.1</v>
      </c>
      <c r="G9605" s="18">
        <v>110238</v>
      </c>
      <c r="H9605" s="18">
        <f t="shared" si="206"/>
        <v>41908.1</v>
      </c>
    </row>
    <row r="9606" spans="1:8" ht="19.5" customHeight="1" x14ac:dyDescent="0.55000000000000004">
      <c r="A9606" s="18">
        <v>24.818473300000001</v>
      </c>
      <c r="B9606" s="18">
        <v>34.816178299999997</v>
      </c>
      <c r="C9606" s="18">
        <v>683558.42</v>
      </c>
      <c r="D9606" s="18">
        <v>2746069.21</v>
      </c>
      <c r="E9606" s="18">
        <v>313.24</v>
      </c>
      <c r="F9606" s="18">
        <v>41934.33</v>
      </c>
      <c r="G9606" s="18">
        <v>110240</v>
      </c>
      <c r="H9606" s="18">
        <f t="shared" si="206"/>
        <v>41909.33</v>
      </c>
    </row>
    <row r="9607" spans="1:8" ht="19.5" customHeight="1" x14ac:dyDescent="0.55000000000000004">
      <c r="A9607" s="18">
        <v>24.818484300000001</v>
      </c>
      <c r="B9607" s="18">
        <v>34.816179099999999</v>
      </c>
      <c r="C9607" s="18">
        <v>683558.49</v>
      </c>
      <c r="D9607" s="18">
        <v>2746070.43</v>
      </c>
      <c r="E9607" s="18">
        <v>313.56</v>
      </c>
      <c r="F9607" s="18">
        <v>41932.32</v>
      </c>
      <c r="G9607" s="18">
        <v>110242</v>
      </c>
      <c r="H9607" s="18">
        <f t="shared" si="206"/>
        <v>41907.32</v>
      </c>
    </row>
    <row r="9608" spans="1:8" ht="19.5" customHeight="1" x14ac:dyDescent="0.55000000000000004">
      <c r="A9608" s="18">
        <v>24.818498600000002</v>
      </c>
      <c r="B9608" s="18">
        <v>34.816181700000001</v>
      </c>
      <c r="C9608" s="18">
        <v>683558.73</v>
      </c>
      <c r="D9608" s="18">
        <v>2746072.02</v>
      </c>
      <c r="E9608" s="18">
        <v>313.89999999999998</v>
      </c>
      <c r="F9608" s="18">
        <v>41931.660000000003</v>
      </c>
      <c r="G9608" s="18">
        <v>110244</v>
      </c>
      <c r="H9608" s="18">
        <f t="shared" si="206"/>
        <v>41906.660000000003</v>
      </c>
    </row>
    <row r="9609" spans="1:8" ht="19.5" customHeight="1" x14ac:dyDescent="0.55000000000000004">
      <c r="A9609" s="18">
        <v>24.8185024</v>
      </c>
      <c r="B9609" s="18">
        <v>34.816190499999998</v>
      </c>
      <c r="C9609" s="18">
        <v>683559.61</v>
      </c>
      <c r="D9609" s="18">
        <v>2746072.45</v>
      </c>
      <c r="E9609" s="18">
        <v>313.92</v>
      </c>
      <c r="F9609" s="18">
        <v>41927.339999999997</v>
      </c>
      <c r="G9609" s="18">
        <v>110246</v>
      </c>
      <c r="H9609" s="18">
        <f t="shared" si="206"/>
        <v>41902.339999999997</v>
      </c>
    </row>
    <row r="9610" spans="1:8" ht="19.5" customHeight="1" x14ac:dyDescent="0.55000000000000004">
      <c r="A9610" s="18">
        <v>24.818505600000002</v>
      </c>
      <c r="B9610" s="18">
        <v>34.816194699999997</v>
      </c>
      <c r="C9610" s="18">
        <v>683560.04</v>
      </c>
      <c r="D9610" s="18">
        <v>2746072.81</v>
      </c>
      <c r="E9610" s="18">
        <v>313.91000000000003</v>
      </c>
      <c r="F9610" s="18">
        <v>41925.85</v>
      </c>
      <c r="G9610" s="18">
        <v>110248</v>
      </c>
      <c r="H9610" s="18">
        <f t="shared" si="206"/>
        <v>41900.85</v>
      </c>
    </row>
    <row r="9611" spans="1:8" ht="19.5" customHeight="1" x14ac:dyDescent="0.55000000000000004">
      <c r="A9611" s="18">
        <v>24.818509899999999</v>
      </c>
      <c r="B9611" s="18">
        <v>34.816199699999999</v>
      </c>
      <c r="C9611" s="18">
        <v>683560.53</v>
      </c>
      <c r="D9611" s="18">
        <v>2746073.29</v>
      </c>
      <c r="E9611" s="18">
        <v>313.95999999999998</v>
      </c>
      <c r="F9611" s="18">
        <v>41924.199999999997</v>
      </c>
      <c r="G9611" s="18">
        <v>110250</v>
      </c>
      <c r="H9611" s="18">
        <f t="shared" si="206"/>
        <v>41899.199999999997</v>
      </c>
    </row>
    <row r="9612" spans="1:8" ht="19.5" customHeight="1" x14ac:dyDescent="0.55000000000000004">
      <c r="A9612" s="18">
        <v>24.8185246</v>
      </c>
      <c r="B9612" s="18">
        <v>34.816200000000002</v>
      </c>
      <c r="C9612" s="18">
        <v>683560.54</v>
      </c>
      <c r="D9612" s="18">
        <v>2746074.92</v>
      </c>
      <c r="E9612" s="18">
        <v>314.07</v>
      </c>
      <c r="F9612" s="18">
        <v>41928.03</v>
      </c>
      <c r="G9612" s="18">
        <v>110252</v>
      </c>
      <c r="H9612" s="18">
        <f t="shared" si="206"/>
        <v>41903.03</v>
      </c>
    </row>
    <row r="9613" spans="1:8" ht="19.5" customHeight="1" x14ac:dyDescent="0.55000000000000004">
      <c r="A9613" s="18">
        <v>24.8185419</v>
      </c>
      <c r="B9613" s="18">
        <v>34.816197899999999</v>
      </c>
      <c r="C9613" s="18">
        <v>683560.3</v>
      </c>
      <c r="D9613" s="18">
        <v>2746076.84</v>
      </c>
      <c r="E9613" s="18">
        <v>314.27999999999997</v>
      </c>
      <c r="F9613" s="18">
        <v>41923.120000000003</v>
      </c>
      <c r="G9613" s="18">
        <v>110254</v>
      </c>
      <c r="H9613" s="18">
        <f t="shared" si="206"/>
        <v>41898.120000000003</v>
      </c>
    </row>
    <row r="9614" spans="1:8" ht="19.5" customHeight="1" x14ac:dyDescent="0.55000000000000004">
      <c r="A9614" s="18">
        <v>24.818559</v>
      </c>
      <c r="B9614" s="18">
        <v>34.816195</v>
      </c>
      <c r="C9614" s="18">
        <v>683559.98</v>
      </c>
      <c r="D9614" s="18">
        <v>2746078.73</v>
      </c>
      <c r="E9614" s="18">
        <v>314.45999999999998</v>
      </c>
      <c r="F9614" s="18">
        <v>41921.94</v>
      </c>
      <c r="G9614" s="18">
        <v>110256</v>
      </c>
      <c r="H9614" s="18">
        <f t="shared" si="206"/>
        <v>41896.94</v>
      </c>
    </row>
    <row r="9615" spans="1:8" ht="19.5" customHeight="1" x14ac:dyDescent="0.55000000000000004">
      <c r="A9615" s="18">
        <v>24.818576499999999</v>
      </c>
      <c r="B9615" s="18">
        <v>34.816186799999997</v>
      </c>
      <c r="C9615" s="18">
        <v>683559.13</v>
      </c>
      <c r="D9615" s="18">
        <v>2746080.66</v>
      </c>
      <c r="E9615" s="18">
        <v>314.60000000000002</v>
      </c>
      <c r="F9615" s="18">
        <v>41920.6</v>
      </c>
      <c r="G9615" s="18">
        <v>110258</v>
      </c>
      <c r="H9615" s="18">
        <f t="shared" si="206"/>
        <v>41895.599999999999</v>
      </c>
    </row>
    <row r="9616" spans="1:8" ht="19.5" customHeight="1" x14ac:dyDescent="0.55000000000000004">
      <c r="A9616" s="18">
        <v>24.818594399999999</v>
      </c>
      <c r="B9616" s="18">
        <v>34.816180199999998</v>
      </c>
      <c r="C9616" s="18">
        <v>683558.43</v>
      </c>
      <c r="D9616" s="18">
        <v>2746082.63</v>
      </c>
      <c r="E9616" s="18">
        <v>314.70999999999998</v>
      </c>
      <c r="F9616" s="18">
        <v>41926.120000000003</v>
      </c>
      <c r="G9616" s="18">
        <v>110300</v>
      </c>
      <c r="H9616" s="18">
        <f t="shared" si="206"/>
        <v>41901.120000000003</v>
      </c>
    </row>
    <row r="9617" spans="1:8" ht="19.5" customHeight="1" x14ac:dyDescent="0.55000000000000004">
      <c r="A9617" s="18">
        <v>24.818614499999999</v>
      </c>
      <c r="B9617" s="18">
        <v>34.816172600000002</v>
      </c>
      <c r="C9617" s="18">
        <v>683557.63</v>
      </c>
      <c r="D9617" s="18">
        <v>2746084.85</v>
      </c>
      <c r="E9617" s="18">
        <v>314.93</v>
      </c>
      <c r="F9617" s="18">
        <v>41937.64</v>
      </c>
      <c r="G9617" s="18">
        <v>110302</v>
      </c>
      <c r="H9617" s="18">
        <f t="shared" si="206"/>
        <v>41912.639999999999</v>
      </c>
    </row>
    <row r="9618" spans="1:8" ht="19.5" customHeight="1" x14ac:dyDescent="0.55000000000000004">
      <c r="A9618" s="18">
        <v>24.818633999999999</v>
      </c>
      <c r="B9618" s="18">
        <v>34.816163199999998</v>
      </c>
      <c r="C9618" s="18">
        <v>683556.66</v>
      </c>
      <c r="D9618" s="18">
        <v>2746086.99</v>
      </c>
      <c r="E9618" s="18">
        <v>314.95</v>
      </c>
      <c r="F9618" s="18">
        <v>41940.71</v>
      </c>
      <c r="G9618" s="18">
        <v>110304</v>
      </c>
      <c r="H9618" s="18">
        <f t="shared" si="206"/>
        <v>41915.71</v>
      </c>
    </row>
    <row r="9619" spans="1:8" ht="19.5" customHeight="1" x14ac:dyDescent="0.55000000000000004">
      <c r="A9619" s="18">
        <v>24.818652799999999</v>
      </c>
      <c r="B9619" s="18">
        <v>34.816151699999999</v>
      </c>
      <c r="C9619" s="18">
        <v>683555.47</v>
      </c>
      <c r="D9619" s="18">
        <v>2746089.06</v>
      </c>
      <c r="E9619" s="18">
        <v>315.05</v>
      </c>
      <c r="F9619" s="18">
        <v>41935.57</v>
      </c>
      <c r="G9619" s="18">
        <v>110306</v>
      </c>
      <c r="H9619" s="18">
        <f t="shared" si="206"/>
        <v>41910.57</v>
      </c>
    </row>
    <row r="9620" spans="1:8" ht="19.5" customHeight="1" x14ac:dyDescent="0.55000000000000004">
      <c r="A9620" s="18">
        <v>24.818669400000001</v>
      </c>
      <c r="B9620" s="18">
        <v>34.816136999999998</v>
      </c>
      <c r="C9620" s="18">
        <v>683553.96</v>
      </c>
      <c r="D9620" s="18">
        <v>2746090.88</v>
      </c>
      <c r="E9620" s="18">
        <v>315.06</v>
      </c>
      <c r="F9620" s="18">
        <v>41932.35</v>
      </c>
      <c r="G9620" s="18">
        <v>110308</v>
      </c>
      <c r="H9620" s="18">
        <f t="shared" si="206"/>
        <v>41907.35</v>
      </c>
    </row>
    <row r="9621" spans="1:8" ht="19.5" customHeight="1" x14ac:dyDescent="0.55000000000000004">
      <c r="A9621" s="18">
        <v>24.818688099999999</v>
      </c>
      <c r="B9621" s="18">
        <v>34.816125499999998</v>
      </c>
      <c r="C9621" s="18">
        <v>683552.76</v>
      </c>
      <c r="D9621" s="18">
        <v>2746092.93</v>
      </c>
      <c r="E9621" s="18">
        <v>315.14999999999998</v>
      </c>
      <c r="F9621" s="18">
        <v>41930.230000000003</v>
      </c>
      <c r="G9621" s="18">
        <v>110310</v>
      </c>
      <c r="H9621" s="18">
        <f t="shared" ref="H9621:H9684" si="207">SUM(F9621-25)</f>
        <v>41905.230000000003</v>
      </c>
    </row>
    <row r="9622" spans="1:8" ht="19.5" customHeight="1" x14ac:dyDescent="0.55000000000000004">
      <c r="A9622" s="18">
        <v>24.818708399999998</v>
      </c>
      <c r="B9622" s="18">
        <v>34.816116399999999</v>
      </c>
      <c r="C9622" s="18">
        <v>683551.82</v>
      </c>
      <c r="D9622" s="18">
        <v>2746095.17</v>
      </c>
      <c r="E9622" s="18">
        <v>315.07</v>
      </c>
      <c r="F9622" s="18">
        <v>41929.769999999997</v>
      </c>
      <c r="G9622" s="18">
        <v>110312</v>
      </c>
      <c r="H9622" s="18">
        <f t="shared" si="207"/>
        <v>41904.769999999997</v>
      </c>
    </row>
    <row r="9623" spans="1:8" ht="19.5" customHeight="1" x14ac:dyDescent="0.55000000000000004">
      <c r="A9623" s="18">
        <v>24.818728</v>
      </c>
      <c r="B9623" s="18">
        <v>34.816106499999997</v>
      </c>
      <c r="C9623" s="18">
        <v>683550.79</v>
      </c>
      <c r="D9623" s="18">
        <v>2746097.33</v>
      </c>
      <c r="E9623" s="18">
        <v>315.08999999999997</v>
      </c>
      <c r="F9623" s="18">
        <v>41928.54</v>
      </c>
      <c r="G9623" s="18">
        <v>110314</v>
      </c>
      <c r="H9623" s="18">
        <f t="shared" si="207"/>
        <v>41903.54</v>
      </c>
    </row>
    <row r="9624" spans="1:8" ht="19.5" customHeight="1" x14ac:dyDescent="0.55000000000000004">
      <c r="A9624" s="18">
        <v>24.818742</v>
      </c>
      <c r="B9624" s="18">
        <v>34.8160892</v>
      </c>
      <c r="C9624" s="18">
        <v>683549.02</v>
      </c>
      <c r="D9624" s="18">
        <v>2746098.86</v>
      </c>
      <c r="E9624" s="18">
        <v>315.16000000000003</v>
      </c>
      <c r="F9624" s="18">
        <v>41933.61</v>
      </c>
      <c r="G9624" s="18">
        <v>110316</v>
      </c>
      <c r="H9624" s="18">
        <f t="shared" si="207"/>
        <v>41908.61</v>
      </c>
    </row>
    <row r="9625" spans="1:8" ht="19.5" customHeight="1" x14ac:dyDescent="0.55000000000000004">
      <c r="A9625" s="18">
        <v>24.818755100000001</v>
      </c>
      <c r="B9625" s="18">
        <v>34.816069900000002</v>
      </c>
      <c r="C9625" s="18">
        <v>683547.05</v>
      </c>
      <c r="D9625" s="18">
        <v>2746100.28</v>
      </c>
      <c r="E9625" s="18">
        <v>315.31</v>
      </c>
      <c r="F9625" s="18">
        <v>41934.879999999997</v>
      </c>
      <c r="G9625" s="18">
        <v>110318</v>
      </c>
      <c r="H9625" s="18">
        <f t="shared" si="207"/>
        <v>41909.879999999997</v>
      </c>
    </row>
    <row r="9626" spans="1:8" ht="19.5" customHeight="1" x14ac:dyDescent="0.55000000000000004">
      <c r="A9626" s="18">
        <v>24.818769700000001</v>
      </c>
      <c r="B9626" s="18">
        <v>34.816050099999998</v>
      </c>
      <c r="C9626" s="18">
        <v>683545.03</v>
      </c>
      <c r="D9626" s="18">
        <v>2746101.87</v>
      </c>
      <c r="E9626" s="18">
        <v>315.44</v>
      </c>
      <c r="F9626" s="18">
        <v>41936.78</v>
      </c>
      <c r="G9626" s="18">
        <v>110320</v>
      </c>
      <c r="H9626" s="18">
        <f t="shared" si="207"/>
        <v>41911.78</v>
      </c>
    </row>
    <row r="9627" spans="1:8" ht="19.5" customHeight="1" x14ac:dyDescent="0.55000000000000004">
      <c r="A9627" s="18">
        <v>24.818783400000001</v>
      </c>
      <c r="B9627" s="18">
        <v>34.816031899999999</v>
      </c>
      <c r="C9627" s="18">
        <v>683543.16</v>
      </c>
      <c r="D9627" s="18">
        <v>2746103.37</v>
      </c>
      <c r="E9627" s="18">
        <v>315.69</v>
      </c>
      <c r="F9627" s="18">
        <v>41937.06</v>
      </c>
      <c r="G9627" s="18">
        <v>110322</v>
      </c>
      <c r="H9627" s="18">
        <f t="shared" si="207"/>
        <v>41912.06</v>
      </c>
    </row>
    <row r="9628" spans="1:8" ht="19.5" customHeight="1" x14ac:dyDescent="0.55000000000000004">
      <c r="A9628" s="18">
        <v>24.818801199999999</v>
      </c>
      <c r="B9628" s="18">
        <v>34.816015899999996</v>
      </c>
      <c r="C9628" s="18">
        <v>683541.52</v>
      </c>
      <c r="D9628" s="18">
        <v>2746105.31</v>
      </c>
      <c r="E9628" s="18">
        <v>315.81</v>
      </c>
      <c r="F9628" s="18">
        <v>41932.71</v>
      </c>
      <c r="G9628" s="18">
        <v>110324</v>
      </c>
      <c r="H9628" s="18">
        <f t="shared" si="207"/>
        <v>41907.71</v>
      </c>
    </row>
    <row r="9629" spans="1:8" ht="19.5" customHeight="1" x14ac:dyDescent="0.55000000000000004">
      <c r="A9629" s="18">
        <v>24.818819900000001</v>
      </c>
      <c r="B9629" s="18">
        <v>34.816001100000001</v>
      </c>
      <c r="C9629" s="18">
        <v>683540</v>
      </c>
      <c r="D9629" s="18">
        <v>2746107.37</v>
      </c>
      <c r="E9629" s="18">
        <v>316.02</v>
      </c>
      <c r="F9629" s="18">
        <v>41932.18</v>
      </c>
      <c r="G9629" s="18">
        <v>110326</v>
      </c>
      <c r="H9629" s="18">
        <f t="shared" si="207"/>
        <v>41907.18</v>
      </c>
    </row>
    <row r="9630" spans="1:8" ht="19.5" customHeight="1" x14ac:dyDescent="0.55000000000000004">
      <c r="A9630" s="18">
        <v>24.818839400000002</v>
      </c>
      <c r="B9630" s="18">
        <v>34.815988900000001</v>
      </c>
      <c r="C9630" s="18">
        <v>683538.74</v>
      </c>
      <c r="D9630" s="18">
        <v>2746109.51</v>
      </c>
      <c r="E9630" s="18">
        <v>316.08999999999997</v>
      </c>
      <c r="F9630" s="18">
        <v>41932.44</v>
      </c>
      <c r="G9630" s="18">
        <v>110328</v>
      </c>
      <c r="H9630" s="18">
        <f t="shared" si="207"/>
        <v>41907.440000000002</v>
      </c>
    </row>
    <row r="9631" spans="1:8" ht="19.5" customHeight="1" x14ac:dyDescent="0.55000000000000004">
      <c r="A9631" s="18">
        <v>24.818861600000002</v>
      </c>
      <c r="B9631" s="18">
        <v>34.815977400000001</v>
      </c>
      <c r="C9631" s="18">
        <v>683537.54</v>
      </c>
      <c r="D9631" s="18">
        <v>2746111.96</v>
      </c>
      <c r="E9631" s="18">
        <v>316.2</v>
      </c>
      <c r="F9631" s="18">
        <v>41932.559999999998</v>
      </c>
      <c r="G9631" s="18">
        <v>110330</v>
      </c>
      <c r="H9631" s="18">
        <f t="shared" si="207"/>
        <v>41907.56</v>
      </c>
    </row>
    <row r="9632" spans="1:8" ht="19.5" customHeight="1" x14ac:dyDescent="0.55000000000000004">
      <c r="A9632" s="18">
        <v>24.818883599999999</v>
      </c>
      <c r="B9632" s="18">
        <v>34.815965599999998</v>
      </c>
      <c r="C9632" s="18">
        <v>683536.31</v>
      </c>
      <c r="D9632" s="18">
        <v>2746114.37</v>
      </c>
      <c r="E9632" s="18">
        <v>316.35000000000002</v>
      </c>
      <c r="F9632" s="18">
        <v>41935.56</v>
      </c>
      <c r="G9632" s="18">
        <v>110332</v>
      </c>
      <c r="H9632" s="18">
        <f t="shared" si="207"/>
        <v>41910.559999999998</v>
      </c>
    </row>
    <row r="9633" spans="1:8" ht="19.5" customHeight="1" x14ac:dyDescent="0.55000000000000004">
      <c r="A9633" s="18">
        <v>24.818904</v>
      </c>
      <c r="B9633" s="18">
        <v>34.8159536</v>
      </c>
      <c r="C9633" s="18">
        <v>683535.07</v>
      </c>
      <c r="D9633" s="18">
        <v>2746116.62</v>
      </c>
      <c r="E9633" s="18">
        <v>316.39999999999998</v>
      </c>
      <c r="F9633" s="18">
        <v>41936.92</v>
      </c>
      <c r="G9633" s="18">
        <v>110334</v>
      </c>
      <c r="H9633" s="18">
        <f t="shared" si="207"/>
        <v>41911.919999999998</v>
      </c>
    </row>
    <row r="9634" spans="1:8" ht="19.5" customHeight="1" x14ac:dyDescent="0.55000000000000004">
      <c r="A9634" s="18">
        <v>24.8189253</v>
      </c>
      <c r="B9634" s="18">
        <v>34.815943300000001</v>
      </c>
      <c r="C9634" s="18">
        <v>683534</v>
      </c>
      <c r="D9634" s="18">
        <v>2746118.96</v>
      </c>
      <c r="E9634" s="18">
        <v>316.39999999999998</v>
      </c>
      <c r="F9634" s="18">
        <v>41935.660000000003</v>
      </c>
      <c r="G9634" s="18">
        <v>110336</v>
      </c>
      <c r="H9634" s="18">
        <f t="shared" si="207"/>
        <v>41910.660000000003</v>
      </c>
    </row>
    <row r="9635" spans="1:8" ht="19.5" customHeight="1" x14ac:dyDescent="0.55000000000000004">
      <c r="A9635" s="18">
        <v>24.818944999999999</v>
      </c>
      <c r="B9635" s="18">
        <v>34.815930999999999</v>
      </c>
      <c r="C9635" s="18">
        <v>683532.73</v>
      </c>
      <c r="D9635" s="18">
        <v>2746121.13</v>
      </c>
      <c r="E9635" s="18">
        <v>316.51</v>
      </c>
      <c r="F9635" s="18">
        <v>41935.79</v>
      </c>
      <c r="G9635" s="18">
        <v>110338</v>
      </c>
      <c r="H9635" s="18">
        <f t="shared" si="207"/>
        <v>41910.79</v>
      </c>
    </row>
    <row r="9636" spans="1:8" ht="19.5" customHeight="1" x14ac:dyDescent="0.55000000000000004">
      <c r="A9636" s="18">
        <v>24.8189657</v>
      </c>
      <c r="B9636" s="18">
        <v>34.815918000000003</v>
      </c>
      <c r="C9636" s="18">
        <v>683531.38</v>
      </c>
      <c r="D9636" s="18">
        <v>2746123.41</v>
      </c>
      <c r="E9636" s="18">
        <v>316.52999999999997</v>
      </c>
      <c r="F9636" s="18">
        <v>41934.51</v>
      </c>
      <c r="G9636" s="18">
        <v>110340</v>
      </c>
      <c r="H9636" s="18">
        <f t="shared" si="207"/>
        <v>41909.51</v>
      </c>
    </row>
    <row r="9637" spans="1:8" ht="19.5" customHeight="1" x14ac:dyDescent="0.55000000000000004">
      <c r="A9637" s="18">
        <v>24.8189858</v>
      </c>
      <c r="B9637" s="18">
        <v>34.815905299999997</v>
      </c>
      <c r="C9637" s="18">
        <v>683530.06</v>
      </c>
      <c r="D9637" s="18">
        <v>2746125.61</v>
      </c>
      <c r="E9637" s="18">
        <v>316.64</v>
      </c>
      <c r="F9637" s="18">
        <v>41937.919999999998</v>
      </c>
      <c r="G9637" s="18">
        <v>110342</v>
      </c>
      <c r="H9637" s="18">
        <f t="shared" si="207"/>
        <v>41912.92</v>
      </c>
    </row>
    <row r="9638" spans="1:8" ht="19.5" customHeight="1" x14ac:dyDescent="0.55000000000000004">
      <c r="A9638" s="18">
        <v>24.819006399999999</v>
      </c>
      <c r="B9638" s="18">
        <v>34.815891899999997</v>
      </c>
      <c r="C9638" s="18">
        <v>683528.68</v>
      </c>
      <c r="D9638" s="18">
        <v>2746127.87</v>
      </c>
      <c r="E9638" s="18">
        <v>316.81</v>
      </c>
      <c r="F9638" s="18">
        <v>41939.019999999997</v>
      </c>
      <c r="G9638" s="18">
        <v>110344</v>
      </c>
      <c r="H9638" s="18">
        <f t="shared" si="207"/>
        <v>41914.019999999997</v>
      </c>
    </row>
    <row r="9639" spans="1:8" ht="19.5" customHeight="1" x14ac:dyDescent="0.55000000000000004">
      <c r="A9639" s="18">
        <v>24.819026999999998</v>
      </c>
      <c r="B9639" s="18">
        <v>34.815877499999999</v>
      </c>
      <c r="C9639" s="18">
        <v>683527.19</v>
      </c>
      <c r="D9639" s="18">
        <v>2746130.14</v>
      </c>
      <c r="E9639" s="18">
        <v>316.83999999999997</v>
      </c>
      <c r="F9639" s="18">
        <v>41934.79</v>
      </c>
      <c r="G9639" s="18">
        <v>110346</v>
      </c>
      <c r="H9639" s="18">
        <f t="shared" si="207"/>
        <v>41909.79</v>
      </c>
    </row>
    <row r="9640" spans="1:8" ht="19.5" customHeight="1" x14ac:dyDescent="0.55000000000000004">
      <c r="A9640" s="18">
        <v>24.819046199999999</v>
      </c>
      <c r="B9640" s="18">
        <v>34.815862699999997</v>
      </c>
      <c r="C9640" s="18">
        <v>683525.67</v>
      </c>
      <c r="D9640" s="18">
        <v>2746132.24</v>
      </c>
      <c r="E9640" s="18">
        <v>316.94</v>
      </c>
      <c r="F9640" s="18">
        <v>41932.959999999999</v>
      </c>
      <c r="G9640" s="18">
        <v>110348</v>
      </c>
      <c r="H9640" s="18">
        <f t="shared" si="207"/>
        <v>41907.96</v>
      </c>
    </row>
    <row r="9641" spans="1:8" ht="19.5" customHeight="1" x14ac:dyDescent="0.55000000000000004">
      <c r="A9641" s="18">
        <v>24.819066500000002</v>
      </c>
      <c r="B9641" s="18">
        <v>34.815849399999998</v>
      </c>
      <c r="C9641" s="18">
        <v>683524.3</v>
      </c>
      <c r="D9641" s="18">
        <v>2746134.47</v>
      </c>
      <c r="E9641" s="18">
        <v>317.13</v>
      </c>
      <c r="F9641" s="18">
        <v>41933.83</v>
      </c>
      <c r="G9641" s="18">
        <v>110350</v>
      </c>
      <c r="H9641" s="18">
        <f t="shared" si="207"/>
        <v>41908.83</v>
      </c>
    </row>
    <row r="9642" spans="1:8" ht="19.5" customHeight="1" x14ac:dyDescent="0.55000000000000004">
      <c r="A9642" s="18">
        <v>24.819084700000001</v>
      </c>
      <c r="B9642" s="18">
        <v>34.815835</v>
      </c>
      <c r="C9642" s="18">
        <v>683522.81</v>
      </c>
      <c r="D9642" s="18">
        <v>2746136.48</v>
      </c>
      <c r="E9642" s="18">
        <v>317.11</v>
      </c>
      <c r="F9642" s="18">
        <v>41929.97</v>
      </c>
      <c r="G9642" s="18">
        <v>110352</v>
      </c>
      <c r="H9642" s="18">
        <f t="shared" si="207"/>
        <v>41904.97</v>
      </c>
    </row>
    <row r="9643" spans="1:8" ht="19.5" customHeight="1" x14ac:dyDescent="0.55000000000000004">
      <c r="A9643" s="18">
        <v>24.819103800000001</v>
      </c>
      <c r="B9643" s="18">
        <v>34.8158192</v>
      </c>
      <c r="C9643" s="18">
        <v>683521.19</v>
      </c>
      <c r="D9643" s="18">
        <v>2746138.56</v>
      </c>
      <c r="E9643" s="18">
        <v>317.20999999999998</v>
      </c>
      <c r="F9643" s="18">
        <v>41935.49</v>
      </c>
      <c r="G9643" s="18">
        <v>110354</v>
      </c>
      <c r="H9643" s="18">
        <f t="shared" si="207"/>
        <v>41910.49</v>
      </c>
    </row>
    <row r="9644" spans="1:8" ht="19.5" customHeight="1" x14ac:dyDescent="0.55000000000000004">
      <c r="A9644" s="18">
        <v>24.819123600000001</v>
      </c>
      <c r="B9644" s="18">
        <v>34.815802699999999</v>
      </c>
      <c r="C9644" s="18">
        <v>683519.5</v>
      </c>
      <c r="D9644" s="18">
        <v>2746140.74</v>
      </c>
      <c r="E9644" s="18">
        <v>317.3</v>
      </c>
      <c r="F9644" s="18">
        <v>41934.550000000003</v>
      </c>
      <c r="G9644" s="18">
        <v>110356</v>
      </c>
      <c r="H9644" s="18">
        <f t="shared" si="207"/>
        <v>41909.550000000003</v>
      </c>
    </row>
    <row r="9645" spans="1:8" ht="19.5" customHeight="1" x14ac:dyDescent="0.55000000000000004">
      <c r="A9645" s="18">
        <v>24.819141699999999</v>
      </c>
      <c r="B9645" s="18">
        <v>34.815785400000003</v>
      </c>
      <c r="C9645" s="18">
        <v>683517.72</v>
      </c>
      <c r="D9645" s="18">
        <v>2746142.7200000002</v>
      </c>
      <c r="E9645" s="18">
        <v>317.32</v>
      </c>
      <c r="F9645" s="18">
        <v>41924.19</v>
      </c>
      <c r="G9645" s="18">
        <v>110358</v>
      </c>
      <c r="H9645" s="18">
        <f t="shared" si="207"/>
        <v>41899.19</v>
      </c>
    </row>
    <row r="9646" spans="1:8" ht="19.5" customHeight="1" x14ac:dyDescent="0.55000000000000004">
      <c r="A9646" s="18">
        <v>24.819158900000001</v>
      </c>
      <c r="B9646" s="18">
        <v>34.815768800000001</v>
      </c>
      <c r="C9646" s="18">
        <v>683516.02</v>
      </c>
      <c r="D9646" s="18">
        <v>2746144.6</v>
      </c>
      <c r="E9646" s="18">
        <v>317.52999999999997</v>
      </c>
      <c r="F9646" s="18">
        <v>41924.46</v>
      </c>
      <c r="G9646" s="18">
        <v>110400</v>
      </c>
      <c r="H9646" s="18">
        <f t="shared" si="207"/>
        <v>41899.46</v>
      </c>
    </row>
    <row r="9647" spans="1:8" ht="19.5" customHeight="1" x14ac:dyDescent="0.55000000000000004">
      <c r="A9647" s="18">
        <v>24.819175699999999</v>
      </c>
      <c r="B9647" s="18">
        <v>34.8157505</v>
      </c>
      <c r="C9647" s="18">
        <v>683514.14</v>
      </c>
      <c r="D9647" s="18">
        <v>2746146.44</v>
      </c>
      <c r="E9647" s="18">
        <v>317.61</v>
      </c>
      <c r="F9647" s="18">
        <v>41924.050000000003</v>
      </c>
      <c r="G9647" s="18">
        <v>110402</v>
      </c>
      <c r="H9647" s="18">
        <f t="shared" si="207"/>
        <v>41899.050000000003</v>
      </c>
    </row>
    <row r="9648" spans="1:8" ht="19.5" customHeight="1" x14ac:dyDescent="0.55000000000000004">
      <c r="A9648" s="18">
        <v>24.819193500000001</v>
      </c>
      <c r="B9648" s="18">
        <v>34.815734399999997</v>
      </c>
      <c r="C9648" s="18">
        <v>683512.48</v>
      </c>
      <c r="D9648" s="18">
        <v>2746148.39</v>
      </c>
      <c r="E9648" s="18">
        <v>317.64999999999998</v>
      </c>
      <c r="F9648" s="18">
        <v>41926.85</v>
      </c>
      <c r="G9648" s="18">
        <v>110404</v>
      </c>
      <c r="H9648" s="18">
        <f t="shared" si="207"/>
        <v>41901.85</v>
      </c>
    </row>
    <row r="9649" spans="1:8" ht="19.5" customHeight="1" x14ac:dyDescent="0.55000000000000004">
      <c r="A9649" s="18">
        <v>24.8192165</v>
      </c>
      <c r="B9649" s="18">
        <v>34.815727199999998</v>
      </c>
      <c r="C9649" s="18">
        <v>683511.72</v>
      </c>
      <c r="D9649" s="18">
        <v>2746150.93</v>
      </c>
      <c r="E9649" s="18">
        <v>317.77999999999997</v>
      </c>
      <c r="F9649" s="18">
        <v>41924.04</v>
      </c>
      <c r="G9649" s="18">
        <v>110406</v>
      </c>
      <c r="H9649" s="18">
        <f t="shared" si="207"/>
        <v>41899.040000000001</v>
      </c>
    </row>
    <row r="9650" spans="1:8" ht="19.5" customHeight="1" x14ac:dyDescent="0.55000000000000004">
      <c r="A9650" s="18">
        <v>24.819237999999999</v>
      </c>
      <c r="B9650" s="18">
        <v>34.815717999999997</v>
      </c>
      <c r="C9650" s="18">
        <v>683510.76</v>
      </c>
      <c r="D9650" s="18">
        <v>2746153.29</v>
      </c>
      <c r="E9650" s="18">
        <v>317.7</v>
      </c>
      <c r="F9650" s="18">
        <v>41925.93</v>
      </c>
      <c r="G9650" s="18">
        <v>110408</v>
      </c>
      <c r="H9650" s="18">
        <f t="shared" si="207"/>
        <v>41900.93</v>
      </c>
    </row>
    <row r="9651" spans="1:8" ht="19.5" customHeight="1" x14ac:dyDescent="0.55000000000000004">
      <c r="A9651" s="18">
        <v>24.8192585</v>
      </c>
      <c r="B9651" s="18">
        <v>34.815703999999997</v>
      </c>
      <c r="C9651" s="18">
        <v>683509.32</v>
      </c>
      <c r="D9651" s="18">
        <v>2746155.55</v>
      </c>
      <c r="E9651" s="18">
        <v>317.62</v>
      </c>
      <c r="F9651" s="18">
        <v>41924.74</v>
      </c>
      <c r="G9651" s="18">
        <v>110410</v>
      </c>
      <c r="H9651" s="18">
        <f t="shared" si="207"/>
        <v>41899.74</v>
      </c>
    </row>
    <row r="9652" spans="1:8" ht="19.5" customHeight="1" x14ac:dyDescent="0.55000000000000004">
      <c r="A9652" s="18">
        <v>24.8192761</v>
      </c>
      <c r="B9652" s="18">
        <v>34.815685799999997</v>
      </c>
      <c r="C9652" s="18">
        <v>683507.46</v>
      </c>
      <c r="D9652" s="18">
        <v>2746157.47</v>
      </c>
      <c r="E9652" s="18">
        <v>317.74</v>
      </c>
      <c r="F9652" s="18">
        <v>41920.17</v>
      </c>
      <c r="G9652" s="18">
        <v>110412</v>
      </c>
      <c r="H9652" s="18">
        <f t="shared" si="207"/>
        <v>41895.17</v>
      </c>
    </row>
    <row r="9653" spans="1:8" ht="19.5" customHeight="1" x14ac:dyDescent="0.55000000000000004">
      <c r="A9653" s="18">
        <v>24.819293699999999</v>
      </c>
      <c r="B9653" s="18">
        <v>34.815668000000002</v>
      </c>
      <c r="C9653" s="18">
        <v>683505.63</v>
      </c>
      <c r="D9653" s="18">
        <v>2746159.4</v>
      </c>
      <c r="E9653" s="18">
        <v>317.75</v>
      </c>
      <c r="F9653" s="18">
        <v>41918.89</v>
      </c>
      <c r="G9653" s="18">
        <v>110414</v>
      </c>
      <c r="H9653" s="18">
        <f t="shared" si="207"/>
        <v>41893.89</v>
      </c>
    </row>
    <row r="9654" spans="1:8" ht="19.5" customHeight="1" x14ac:dyDescent="0.55000000000000004">
      <c r="A9654" s="18">
        <v>24.8193129</v>
      </c>
      <c r="B9654" s="18">
        <v>34.815654000000002</v>
      </c>
      <c r="C9654" s="18">
        <v>683504.18</v>
      </c>
      <c r="D9654" s="18">
        <v>2746161.51</v>
      </c>
      <c r="E9654" s="18">
        <v>317.75</v>
      </c>
      <c r="F9654" s="18">
        <v>41922.21</v>
      </c>
      <c r="G9654" s="18">
        <v>110416</v>
      </c>
      <c r="H9654" s="18">
        <f t="shared" si="207"/>
        <v>41897.21</v>
      </c>
    </row>
    <row r="9655" spans="1:8" ht="19.5" customHeight="1" x14ac:dyDescent="0.55000000000000004">
      <c r="A9655" s="18">
        <v>24.819333100000001</v>
      </c>
      <c r="B9655" s="18">
        <v>34.815642699999998</v>
      </c>
      <c r="C9655" s="18">
        <v>683503.01</v>
      </c>
      <c r="D9655" s="18">
        <v>2746163.73</v>
      </c>
      <c r="E9655" s="18">
        <v>317.68</v>
      </c>
      <c r="F9655" s="18">
        <v>41922</v>
      </c>
      <c r="G9655" s="18">
        <v>110418</v>
      </c>
      <c r="H9655" s="18">
        <f t="shared" si="207"/>
        <v>41897</v>
      </c>
    </row>
    <row r="9656" spans="1:8" ht="19.5" customHeight="1" x14ac:dyDescent="0.55000000000000004">
      <c r="A9656" s="18">
        <v>24.819348000000002</v>
      </c>
      <c r="B9656" s="18">
        <v>34.815626700000003</v>
      </c>
      <c r="C9656" s="18">
        <v>683501.37</v>
      </c>
      <c r="D9656" s="18">
        <v>2746165.36</v>
      </c>
      <c r="E9656" s="18">
        <v>317.33</v>
      </c>
      <c r="F9656" s="18">
        <v>41920.36</v>
      </c>
      <c r="G9656" s="18">
        <v>110420</v>
      </c>
      <c r="H9656" s="18">
        <f t="shared" si="207"/>
        <v>41895.360000000001</v>
      </c>
    </row>
    <row r="9657" spans="1:8" ht="19.5" customHeight="1" x14ac:dyDescent="0.55000000000000004">
      <c r="A9657" s="18">
        <v>24.819366899999999</v>
      </c>
      <c r="B9657" s="18">
        <v>34.815612999999999</v>
      </c>
      <c r="C9657" s="18">
        <v>683499.96</v>
      </c>
      <c r="D9657" s="18">
        <v>2746167.43</v>
      </c>
      <c r="E9657" s="18">
        <v>317.11</v>
      </c>
      <c r="F9657" s="18">
        <v>41925.74</v>
      </c>
      <c r="G9657" s="18">
        <v>110422</v>
      </c>
      <c r="H9657" s="18">
        <f t="shared" si="207"/>
        <v>41900.74</v>
      </c>
    </row>
    <row r="9658" spans="1:8" ht="19.5" customHeight="1" x14ac:dyDescent="0.55000000000000004">
      <c r="A9658" s="18">
        <v>24.819386099999999</v>
      </c>
      <c r="B9658" s="18">
        <v>34.815610700000001</v>
      </c>
      <c r="C9658" s="18">
        <v>683499.7</v>
      </c>
      <c r="D9658" s="18">
        <v>2746169.55</v>
      </c>
      <c r="E9658" s="18">
        <v>316.77</v>
      </c>
      <c r="F9658" s="18">
        <v>41924.15</v>
      </c>
      <c r="G9658" s="18">
        <v>110424</v>
      </c>
      <c r="H9658" s="18">
        <f t="shared" si="207"/>
        <v>41899.15</v>
      </c>
    </row>
    <row r="9659" spans="1:8" ht="19.5" customHeight="1" x14ac:dyDescent="0.55000000000000004">
      <c r="A9659" s="18">
        <v>24.819407399999999</v>
      </c>
      <c r="B9659" s="18">
        <v>34.8156082</v>
      </c>
      <c r="C9659" s="18">
        <v>683499.42</v>
      </c>
      <c r="D9659" s="18">
        <v>2746171.91</v>
      </c>
      <c r="E9659" s="18">
        <v>316.33</v>
      </c>
      <c r="F9659" s="18">
        <v>41924.14</v>
      </c>
      <c r="G9659" s="18">
        <v>110426</v>
      </c>
      <c r="H9659" s="18">
        <f t="shared" si="207"/>
        <v>41899.14</v>
      </c>
    </row>
    <row r="9660" spans="1:8" ht="19.5" customHeight="1" x14ac:dyDescent="0.55000000000000004">
      <c r="A9660" s="18">
        <v>24.8194266</v>
      </c>
      <c r="B9660" s="18">
        <v>34.815606600000002</v>
      </c>
      <c r="C9660" s="18">
        <v>683499.23</v>
      </c>
      <c r="D9660" s="18">
        <v>2746174.04</v>
      </c>
      <c r="E9660" s="18">
        <v>316.04000000000002</v>
      </c>
      <c r="F9660" s="18">
        <v>41924.25</v>
      </c>
      <c r="G9660" s="18">
        <v>110428</v>
      </c>
      <c r="H9660" s="18">
        <f t="shared" si="207"/>
        <v>41899.25</v>
      </c>
    </row>
    <row r="9661" spans="1:8" ht="19.5" customHeight="1" x14ac:dyDescent="0.55000000000000004">
      <c r="A9661" s="18">
        <v>24.819444699999998</v>
      </c>
      <c r="B9661" s="18">
        <v>34.815609500000001</v>
      </c>
      <c r="C9661" s="18">
        <v>683499.49</v>
      </c>
      <c r="D9661" s="18">
        <v>2746176.05</v>
      </c>
      <c r="E9661" s="18">
        <v>315.85000000000002</v>
      </c>
      <c r="F9661" s="18">
        <v>41925.17</v>
      </c>
      <c r="G9661" s="18">
        <v>110430</v>
      </c>
      <c r="H9661" s="18">
        <f t="shared" si="207"/>
        <v>41900.17</v>
      </c>
    </row>
    <row r="9662" spans="1:8" ht="19.5" customHeight="1" x14ac:dyDescent="0.55000000000000004">
      <c r="A9662" s="18">
        <v>24.819459999999999</v>
      </c>
      <c r="B9662" s="18">
        <v>34.815610399999997</v>
      </c>
      <c r="C9662" s="18">
        <v>683499.56</v>
      </c>
      <c r="D9662" s="18">
        <v>2746177.74</v>
      </c>
      <c r="E9662" s="18">
        <v>315.51</v>
      </c>
      <c r="F9662" s="18">
        <v>41925.32</v>
      </c>
      <c r="G9662" s="18">
        <v>110432</v>
      </c>
      <c r="H9662" s="18">
        <f t="shared" si="207"/>
        <v>41900.32</v>
      </c>
    </row>
    <row r="9663" spans="1:8" ht="19.5" customHeight="1" x14ac:dyDescent="0.55000000000000004">
      <c r="A9663" s="18">
        <v>24.819483999999999</v>
      </c>
      <c r="B9663" s="18">
        <v>34.815613999999997</v>
      </c>
      <c r="C9663" s="18">
        <v>683499.89</v>
      </c>
      <c r="D9663" s="18">
        <v>2746180.4</v>
      </c>
      <c r="E9663" s="18">
        <v>315.49</v>
      </c>
      <c r="F9663" s="18">
        <v>41925.69</v>
      </c>
      <c r="G9663" s="18">
        <v>110434</v>
      </c>
      <c r="H9663" s="18">
        <f t="shared" si="207"/>
        <v>41900.69</v>
      </c>
    </row>
    <row r="9664" spans="1:8" ht="19.5" customHeight="1" x14ac:dyDescent="0.55000000000000004">
      <c r="A9664" s="18">
        <v>24.819503000000001</v>
      </c>
      <c r="B9664" s="18">
        <v>34.815612299999998</v>
      </c>
      <c r="C9664" s="18">
        <v>683499.68</v>
      </c>
      <c r="D9664" s="18">
        <v>2746182.5</v>
      </c>
      <c r="E9664" s="18">
        <v>315.73</v>
      </c>
      <c r="F9664" s="18">
        <v>41926.89</v>
      </c>
      <c r="G9664" s="18">
        <v>110436</v>
      </c>
      <c r="H9664" s="18">
        <f t="shared" si="207"/>
        <v>41901.89</v>
      </c>
    </row>
    <row r="9665" spans="1:8" ht="19.5" customHeight="1" x14ac:dyDescent="0.55000000000000004">
      <c r="A9665" s="18">
        <v>24.8195236</v>
      </c>
      <c r="B9665" s="18">
        <v>34.815615700000002</v>
      </c>
      <c r="C9665" s="18">
        <v>683500.01</v>
      </c>
      <c r="D9665" s="18">
        <v>2746184.79</v>
      </c>
      <c r="E9665" s="18">
        <v>315.77</v>
      </c>
      <c r="F9665" s="18">
        <v>41930.339999999997</v>
      </c>
      <c r="G9665" s="18">
        <v>110438</v>
      </c>
      <c r="H9665" s="18">
        <f t="shared" si="207"/>
        <v>41905.339999999997</v>
      </c>
    </row>
    <row r="9666" spans="1:8" ht="19.5" customHeight="1" x14ac:dyDescent="0.55000000000000004">
      <c r="A9666" s="18">
        <v>24.8195452</v>
      </c>
      <c r="B9666" s="18">
        <v>34.815620500000001</v>
      </c>
      <c r="C9666" s="18">
        <v>683500.45</v>
      </c>
      <c r="D9666" s="18">
        <v>2746187.19</v>
      </c>
      <c r="E9666" s="18">
        <v>315.95999999999998</v>
      </c>
      <c r="F9666" s="18">
        <v>41932.61</v>
      </c>
      <c r="G9666" s="18">
        <v>110440</v>
      </c>
      <c r="H9666" s="18">
        <f t="shared" si="207"/>
        <v>41907.61</v>
      </c>
    </row>
    <row r="9667" spans="1:8" ht="19.5" customHeight="1" x14ac:dyDescent="0.55000000000000004">
      <c r="A9667" s="18">
        <v>24.819568100000001</v>
      </c>
      <c r="B9667" s="18">
        <v>34.8156246</v>
      </c>
      <c r="C9667" s="18">
        <v>683500.84</v>
      </c>
      <c r="D9667" s="18">
        <v>2746189.73</v>
      </c>
      <c r="E9667" s="18">
        <v>316.02</v>
      </c>
      <c r="F9667" s="18">
        <v>41935.17</v>
      </c>
      <c r="G9667" s="18">
        <v>110442</v>
      </c>
      <c r="H9667" s="18">
        <f t="shared" si="207"/>
        <v>41910.17</v>
      </c>
    </row>
    <row r="9668" spans="1:8" ht="19.5" customHeight="1" x14ac:dyDescent="0.55000000000000004">
      <c r="A9668" s="18">
        <v>24.819589499999999</v>
      </c>
      <c r="B9668" s="18">
        <v>34.815624800000002</v>
      </c>
      <c r="C9668" s="18">
        <v>683500.82</v>
      </c>
      <c r="D9668" s="18">
        <v>2746192.1</v>
      </c>
      <c r="E9668" s="18">
        <v>316.22000000000003</v>
      </c>
      <c r="F9668" s="18">
        <v>41939.910000000003</v>
      </c>
      <c r="G9668" s="18">
        <v>110444</v>
      </c>
      <c r="H9668" s="18">
        <f t="shared" si="207"/>
        <v>41914.910000000003</v>
      </c>
    </row>
    <row r="9669" spans="1:8" ht="19.5" customHeight="1" x14ac:dyDescent="0.55000000000000004">
      <c r="A9669" s="18">
        <v>24.819610000000001</v>
      </c>
      <c r="B9669" s="18">
        <v>34.815623500000001</v>
      </c>
      <c r="C9669" s="18">
        <v>683500.67</v>
      </c>
      <c r="D9669" s="18">
        <v>2746194.38</v>
      </c>
      <c r="E9669" s="18">
        <v>316.25</v>
      </c>
      <c r="F9669" s="18">
        <v>41945.1</v>
      </c>
      <c r="G9669" s="18">
        <v>110446</v>
      </c>
      <c r="H9669" s="18">
        <f t="shared" si="207"/>
        <v>41920.1</v>
      </c>
    </row>
    <row r="9670" spans="1:8" ht="19.5" customHeight="1" x14ac:dyDescent="0.55000000000000004">
      <c r="A9670" s="18">
        <v>24.8196361</v>
      </c>
      <c r="B9670" s="18">
        <v>34.8156283</v>
      </c>
      <c r="C9670" s="18">
        <v>683501.11</v>
      </c>
      <c r="D9670" s="18">
        <v>2746197.27</v>
      </c>
      <c r="E9670" s="18">
        <v>316.51</v>
      </c>
      <c r="F9670" s="18">
        <v>41944.6</v>
      </c>
      <c r="G9670" s="18">
        <v>110448</v>
      </c>
      <c r="H9670" s="18">
        <f t="shared" si="207"/>
        <v>41919.599999999999</v>
      </c>
    </row>
    <row r="9671" spans="1:8" ht="19.5" customHeight="1" x14ac:dyDescent="0.55000000000000004">
      <c r="A9671" s="18">
        <v>24.819651100000002</v>
      </c>
      <c r="B9671" s="18">
        <v>34.815635299999997</v>
      </c>
      <c r="C9671" s="18">
        <v>683501.79</v>
      </c>
      <c r="D9671" s="18">
        <v>2746198.94</v>
      </c>
      <c r="E9671" s="18">
        <v>316.99</v>
      </c>
      <c r="F9671" s="18">
        <v>41942.300000000003</v>
      </c>
      <c r="G9671" s="18">
        <v>110450</v>
      </c>
      <c r="H9671" s="18">
        <f t="shared" si="207"/>
        <v>41917.300000000003</v>
      </c>
    </row>
    <row r="9672" spans="1:8" ht="19.5" customHeight="1" x14ac:dyDescent="0.55000000000000004">
      <c r="A9672" s="18">
        <v>24.8196653</v>
      </c>
      <c r="B9672" s="18">
        <v>34.8156398</v>
      </c>
      <c r="C9672" s="18">
        <v>683502.22</v>
      </c>
      <c r="D9672" s="18">
        <v>2746200.52</v>
      </c>
      <c r="E9672" s="18">
        <v>317.5</v>
      </c>
      <c r="F9672" s="18">
        <v>41943</v>
      </c>
      <c r="G9672" s="18">
        <v>110452</v>
      </c>
      <c r="H9672" s="18">
        <f t="shared" si="207"/>
        <v>41918</v>
      </c>
    </row>
    <row r="9673" spans="1:8" ht="19.5" customHeight="1" x14ac:dyDescent="0.55000000000000004">
      <c r="A9673" s="18">
        <v>24.819682</v>
      </c>
      <c r="B9673" s="18">
        <v>34.815646000000001</v>
      </c>
      <c r="C9673" s="18">
        <v>683502.83</v>
      </c>
      <c r="D9673" s="18">
        <v>2746202.38</v>
      </c>
      <c r="E9673" s="18">
        <v>318.08999999999997</v>
      </c>
      <c r="F9673" s="18">
        <v>41944.639999999999</v>
      </c>
      <c r="G9673" s="18">
        <v>110454</v>
      </c>
      <c r="H9673" s="18">
        <f t="shared" si="207"/>
        <v>41919.64</v>
      </c>
    </row>
    <row r="9674" spans="1:8" ht="19.5" customHeight="1" x14ac:dyDescent="0.55000000000000004">
      <c r="A9674" s="18">
        <v>24.819694800000001</v>
      </c>
      <c r="B9674" s="18">
        <v>34.8156538</v>
      </c>
      <c r="C9674" s="18">
        <v>683503.6</v>
      </c>
      <c r="D9674" s="18">
        <v>2746203.81</v>
      </c>
      <c r="E9674" s="18">
        <v>318.60000000000002</v>
      </c>
      <c r="F9674" s="18">
        <v>41946.22</v>
      </c>
      <c r="G9674" s="18">
        <v>110456</v>
      </c>
      <c r="H9674" s="18">
        <f t="shared" si="207"/>
        <v>41921.22</v>
      </c>
    </row>
    <row r="9675" spans="1:8" ht="19.5" customHeight="1" x14ac:dyDescent="0.55000000000000004">
      <c r="A9675" s="18">
        <v>24.8197163</v>
      </c>
      <c r="B9675" s="18">
        <v>34.815656599999997</v>
      </c>
      <c r="C9675" s="18">
        <v>683503.86</v>
      </c>
      <c r="D9675" s="18">
        <v>2746206.19</v>
      </c>
      <c r="E9675" s="18">
        <v>318.83999999999997</v>
      </c>
      <c r="F9675" s="18">
        <v>41945.04</v>
      </c>
      <c r="G9675" s="18">
        <v>110458</v>
      </c>
      <c r="H9675" s="18">
        <f t="shared" si="207"/>
        <v>41920.04</v>
      </c>
    </row>
    <row r="9676" spans="1:8" ht="19.5" customHeight="1" x14ac:dyDescent="0.55000000000000004">
      <c r="A9676" s="18">
        <v>24.819733800000002</v>
      </c>
      <c r="B9676" s="18">
        <v>34.815660600000001</v>
      </c>
      <c r="C9676" s="18">
        <v>683504.23</v>
      </c>
      <c r="D9676" s="18">
        <v>2746208.13</v>
      </c>
      <c r="E9676" s="18">
        <v>319.36</v>
      </c>
      <c r="F9676" s="18">
        <v>41943.55</v>
      </c>
      <c r="G9676" s="18">
        <v>110500</v>
      </c>
      <c r="H9676" s="18">
        <f t="shared" si="207"/>
        <v>41918.550000000003</v>
      </c>
    </row>
    <row r="9677" spans="1:8" ht="19.5" customHeight="1" x14ac:dyDescent="0.55000000000000004">
      <c r="A9677" s="18">
        <v>24.819754</v>
      </c>
      <c r="B9677" s="18">
        <v>34.815664099999999</v>
      </c>
      <c r="C9677" s="18">
        <v>683504.55</v>
      </c>
      <c r="D9677" s="18">
        <v>2746210.38</v>
      </c>
      <c r="E9677" s="18">
        <v>319.69</v>
      </c>
      <c r="F9677" s="18">
        <v>41945.77</v>
      </c>
      <c r="G9677" s="18">
        <v>110502</v>
      </c>
      <c r="H9677" s="18">
        <f t="shared" si="207"/>
        <v>41920.769999999997</v>
      </c>
    </row>
    <row r="9678" spans="1:8" ht="19.5" customHeight="1" x14ac:dyDescent="0.55000000000000004">
      <c r="A9678" s="18">
        <v>24.819775199999999</v>
      </c>
      <c r="B9678" s="18">
        <v>34.8156733</v>
      </c>
      <c r="C9678" s="18">
        <v>683505.46</v>
      </c>
      <c r="D9678" s="18">
        <v>2746212.74</v>
      </c>
      <c r="E9678" s="18">
        <v>319.83</v>
      </c>
      <c r="F9678" s="18">
        <v>41945.79</v>
      </c>
      <c r="G9678" s="18">
        <v>110504</v>
      </c>
      <c r="H9678" s="18">
        <f t="shared" si="207"/>
        <v>41920.79</v>
      </c>
    </row>
    <row r="9679" spans="1:8" ht="19.5" customHeight="1" x14ac:dyDescent="0.55000000000000004">
      <c r="A9679" s="18">
        <v>24.819793000000001</v>
      </c>
      <c r="B9679" s="18">
        <v>34.815683200000002</v>
      </c>
      <c r="C9679" s="18">
        <v>683506.43</v>
      </c>
      <c r="D9679" s="18">
        <v>2746214.72</v>
      </c>
      <c r="E9679" s="18">
        <v>319.92</v>
      </c>
      <c r="F9679" s="18">
        <v>41946.41</v>
      </c>
      <c r="G9679" s="18">
        <v>110506</v>
      </c>
      <c r="H9679" s="18">
        <f t="shared" si="207"/>
        <v>41921.410000000003</v>
      </c>
    </row>
    <row r="9680" spans="1:8" ht="19.5" customHeight="1" x14ac:dyDescent="0.55000000000000004">
      <c r="A9680" s="18">
        <v>24.819812299999999</v>
      </c>
      <c r="B9680" s="18">
        <v>34.815689999999996</v>
      </c>
      <c r="C9680" s="18">
        <v>683507.08</v>
      </c>
      <c r="D9680" s="18">
        <v>2746216.86</v>
      </c>
      <c r="E9680" s="18">
        <v>319.88</v>
      </c>
      <c r="F9680" s="18">
        <v>41948.14</v>
      </c>
      <c r="G9680" s="18">
        <v>110508</v>
      </c>
      <c r="H9680" s="18">
        <f t="shared" si="207"/>
        <v>41923.14</v>
      </c>
    </row>
    <row r="9681" spans="1:8" ht="19.5" customHeight="1" x14ac:dyDescent="0.55000000000000004">
      <c r="A9681" s="18">
        <v>24.819832900000002</v>
      </c>
      <c r="B9681" s="18">
        <v>34.815696000000003</v>
      </c>
      <c r="C9681" s="18">
        <v>683507.66</v>
      </c>
      <c r="D9681" s="18">
        <v>2746219.16</v>
      </c>
      <c r="E9681" s="18">
        <v>319.77999999999997</v>
      </c>
      <c r="F9681" s="18">
        <v>41952.08</v>
      </c>
      <c r="G9681" s="18">
        <v>110510</v>
      </c>
      <c r="H9681" s="18">
        <f t="shared" si="207"/>
        <v>41927.08</v>
      </c>
    </row>
    <row r="9682" spans="1:8" ht="19.5" customHeight="1" x14ac:dyDescent="0.55000000000000004">
      <c r="A9682" s="18">
        <v>24.819852399999998</v>
      </c>
      <c r="B9682" s="18">
        <v>34.8157061</v>
      </c>
      <c r="C9682" s="18">
        <v>683508.65</v>
      </c>
      <c r="D9682" s="18">
        <v>2746221.33</v>
      </c>
      <c r="E9682" s="18">
        <v>319.45</v>
      </c>
      <c r="F9682" s="18">
        <v>41951.56</v>
      </c>
      <c r="G9682" s="18">
        <v>110512</v>
      </c>
      <c r="H9682" s="18">
        <f t="shared" si="207"/>
        <v>41926.559999999998</v>
      </c>
    </row>
    <row r="9683" spans="1:8" ht="19.5" customHeight="1" x14ac:dyDescent="0.55000000000000004">
      <c r="A9683" s="18">
        <v>24.819870399999999</v>
      </c>
      <c r="B9683" s="18">
        <v>34.815716399999999</v>
      </c>
      <c r="C9683" s="18">
        <v>683509.67</v>
      </c>
      <c r="D9683" s="18">
        <v>2746223.34</v>
      </c>
      <c r="E9683" s="18">
        <v>319.19</v>
      </c>
      <c r="F9683" s="18">
        <v>41939.96</v>
      </c>
      <c r="G9683" s="18">
        <v>110514</v>
      </c>
      <c r="H9683" s="18">
        <f t="shared" si="207"/>
        <v>41914.959999999999</v>
      </c>
    </row>
    <row r="9684" spans="1:8" ht="19.5" customHeight="1" x14ac:dyDescent="0.55000000000000004">
      <c r="A9684" s="18">
        <v>24.8198911</v>
      </c>
      <c r="B9684" s="18">
        <v>34.815715699999998</v>
      </c>
      <c r="C9684" s="18">
        <v>683509.57</v>
      </c>
      <c r="D9684" s="18">
        <v>2746225.63</v>
      </c>
      <c r="E9684" s="18">
        <v>318.85000000000002</v>
      </c>
      <c r="F9684" s="18">
        <v>41934.43</v>
      </c>
      <c r="G9684" s="18">
        <v>110516</v>
      </c>
      <c r="H9684" s="18">
        <f t="shared" si="207"/>
        <v>41909.43</v>
      </c>
    </row>
    <row r="9685" spans="1:8" ht="19.5" customHeight="1" x14ac:dyDescent="0.55000000000000004">
      <c r="A9685" s="18">
        <v>24.819905500000001</v>
      </c>
      <c r="B9685" s="18">
        <v>34.815706200000001</v>
      </c>
      <c r="C9685" s="18">
        <v>683508.58</v>
      </c>
      <c r="D9685" s="18">
        <v>2746227.22</v>
      </c>
      <c r="E9685" s="18">
        <v>318.70999999999998</v>
      </c>
      <c r="F9685" s="18">
        <v>41932.080000000002</v>
      </c>
      <c r="G9685" s="18">
        <v>110518</v>
      </c>
      <c r="H9685" s="18">
        <f t="shared" ref="H9685:H9748" si="208">SUM(F9685-25)</f>
        <v>41907.08</v>
      </c>
    </row>
    <row r="9686" spans="1:8" ht="19.5" customHeight="1" x14ac:dyDescent="0.55000000000000004">
      <c r="A9686" s="18">
        <v>24.8199212</v>
      </c>
      <c r="B9686" s="18">
        <v>34.815694100000002</v>
      </c>
      <c r="C9686" s="18">
        <v>683507.34</v>
      </c>
      <c r="D9686" s="18">
        <v>2746228.94</v>
      </c>
      <c r="E9686" s="18">
        <v>318.5</v>
      </c>
      <c r="F9686" s="18">
        <v>41935.660000000003</v>
      </c>
      <c r="G9686" s="18">
        <v>110520</v>
      </c>
      <c r="H9686" s="18">
        <f t="shared" si="208"/>
        <v>41910.660000000003</v>
      </c>
    </row>
    <row r="9687" spans="1:8" ht="19.5" customHeight="1" x14ac:dyDescent="0.55000000000000004">
      <c r="A9687" s="18">
        <v>24.819932399999999</v>
      </c>
      <c r="B9687" s="18">
        <v>34.815688799999997</v>
      </c>
      <c r="C9687" s="18">
        <v>683506.78</v>
      </c>
      <c r="D9687" s="18">
        <v>2746230.17</v>
      </c>
      <c r="E9687" s="18">
        <v>318.14</v>
      </c>
      <c r="F9687" s="18">
        <v>41942.29</v>
      </c>
      <c r="G9687" s="18">
        <v>110522</v>
      </c>
      <c r="H9687" s="18">
        <f t="shared" si="208"/>
        <v>41917.29</v>
      </c>
    </row>
    <row r="9688" spans="1:8" ht="19.5" customHeight="1" x14ac:dyDescent="0.55000000000000004">
      <c r="A9688" s="18">
        <v>24.819955100000001</v>
      </c>
      <c r="B9688" s="18">
        <v>34.815693400000001</v>
      </c>
      <c r="C9688" s="18">
        <v>683507.22</v>
      </c>
      <c r="D9688" s="18">
        <v>2746232.68</v>
      </c>
      <c r="E9688" s="18">
        <v>317.33</v>
      </c>
      <c r="F9688" s="18">
        <v>41952</v>
      </c>
      <c r="G9688" s="18">
        <v>110524</v>
      </c>
      <c r="H9688" s="18">
        <f t="shared" si="208"/>
        <v>41927</v>
      </c>
    </row>
    <row r="9689" spans="1:8" ht="19.5" customHeight="1" x14ac:dyDescent="0.55000000000000004">
      <c r="A9689" s="18">
        <v>24.8199796</v>
      </c>
      <c r="B9689" s="18">
        <v>34.815703300000003</v>
      </c>
      <c r="C9689" s="18">
        <v>683508.19</v>
      </c>
      <c r="D9689" s="18">
        <v>2746235.42</v>
      </c>
      <c r="E9689" s="18">
        <v>317.35000000000002</v>
      </c>
      <c r="F9689" s="18">
        <v>41954.16</v>
      </c>
      <c r="G9689" s="18">
        <v>110526</v>
      </c>
      <c r="H9689" s="18">
        <f t="shared" si="208"/>
        <v>41929.160000000003</v>
      </c>
    </row>
    <row r="9690" spans="1:8" ht="19.5" customHeight="1" x14ac:dyDescent="0.55000000000000004">
      <c r="A9690" s="18">
        <v>24.82</v>
      </c>
      <c r="B9690" s="18">
        <v>34.815711499999999</v>
      </c>
      <c r="C9690" s="18">
        <v>683508.98</v>
      </c>
      <c r="D9690" s="18">
        <v>2746237.69</v>
      </c>
      <c r="E9690" s="18">
        <v>317.45999999999998</v>
      </c>
      <c r="F9690" s="18">
        <v>41956.45</v>
      </c>
      <c r="G9690" s="18">
        <v>110528</v>
      </c>
      <c r="H9690" s="18">
        <f t="shared" si="208"/>
        <v>41931.449999999997</v>
      </c>
    </row>
    <row r="9691" spans="1:8" ht="19.5" customHeight="1" x14ac:dyDescent="0.55000000000000004">
      <c r="A9691" s="18">
        <v>24.8200188</v>
      </c>
      <c r="B9691" s="18">
        <v>34.815717800000002</v>
      </c>
      <c r="C9691" s="18">
        <v>683509.59</v>
      </c>
      <c r="D9691" s="18">
        <v>2746239.78</v>
      </c>
      <c r="E9691" s="18">
        <v>317.41000000000003</v>
      </c>
      <c r="F9691" s="18">
        <v>41952.99</v>
      </c>
      <c r="G9691" s="18">
        <v>110530</v>
      </c>
      <c r="H9691" s="18">
        <f t="shared" si="208"/>
        <v>41927.99</v>
      </c>
    </row>
    <row r="9692" spans="1:8" ht="19.5" customHeight="1" x14ac:dyDescent="0.55000000000000004">
      <c r="A9692" s="18">
        <v>24.820041499999999</v>
      </c>
      <c r="B9692" s="18">
        <v>34.815718199999999</v>
      </c>
      <c r="C9692" s="18">
        <v>683509.6</v>
      </c>
      <c r="D9692" s="18">
        <v>2746242.29</v>
      </c>
      <c r="E9692" s="18">
        <v>317.45999999999998</v>
      </c>
      <c r="F9692" s="18">
        <v>41953.25</v>
      </c>
      <c r="G9692" s="18">
        <v>110532</v>
      </c>
      <c r="H9692" s="18">
        <f t="shared" si="208"/>
        <v>41928.25</v>
      </c>
    </row>
    <row r="9693" spans="1:8" ht="19.5" customHeight="1" x14ac:dyDescent="0.55000000000000004">
      <c r="A9693" s="18">
        <v>24.8200617</v>
      </c>
      <c r="B9693" s="18">
        <v>34.815709099999999</v>
      </c>
      <c r="C9693" s="18">
        <v>683508.65</v>
      </c>
      <c r="D9693" s="18">
        <v>2746244.52</v>
      </c>
      <c r="E9693" s="18">
        <v>317.56</v>
      </c>
      <c r="F9693" s="18">
        <v>41955.9</v>
      </c>
      <c r="G9693" s="18">
        <v>110534</v>
      </c>
      <c r="H9693" s="18">
        <f t="shared" si="208"/>
        <v>41930.9</v>
      </c>
    </row>
    <row r="9694" spans="1:8" ht="19.5" customHeight="1" x14ac:dyDescent="0.55000000000000004">
      <c r="A9694" s="18">
        <v>24.820083100000002</v>
      </c>
      <c r="B9694" s="18">
        <v>34.815700100000001</v>
      </c>
      <c r="C9694" s="18">
        <v>683507.71</v>
      </c>
      <c r="D9694" s="18">
        <v>2746246.88</v>
      </c>
      <c r="E9694" s="18">
        <v>317.48</v>
      </c>
      <c r="F9694" s="18">
        <v>41959.24</v>
      </c>
      <c r="G9694" s="18">
        <v>110536</v>
      </c>
      <c r="H9694" s="18">
        <f t="shared" si="208"/>
        <v>41934.239999999998</v>
      </c>
    </row>
    <row r="9695" spans="1:8" ht="19.5" customHeight="1" x14ac:dyDescent="0.55000000000000004">
      <c r="A9695" s="18">
        <v>24.8201033</v>
      </c>
      <c r="B9695" s="18">
        <v>34.815690099999998</v>
      </c>
      <c r="C9695" s="18">
        <v>683506.67</v>
      </c>
      <c r="D9695" s="18">
        <v>2746249.1</v>
      </c>
      <c r="E9695" s="18">
        <v>317.62</v>
      </c>
      <c r="F9695" s="18">
        <v>41959.83</v>
      </c>
      <c r="G9695" s="18">
        <v>110538</v>
      </c>
      <c r="H9695" s="18">
        <f t="shared" si="208"/>
        <v>41934.83</v>
      </c>
    </row>
    <row r="9696" spans="1:8" ht="19.5" customHeight="1" x14ac:dyDescent="0.55000000000000004">
      <c r="A9696" s="18">
        <v>24.820123299999999</v>
      </c>
      <c r="B9696" s="18">
        <v>34.815677700000002</v>
      </c>
      <c r="C9696" s="18">
        <v>683505.38</v>
      </c>
      <c r="D9696" s="18">
        <v>2746251.3</v>
      </c>
      <c r="E9696" s="18">
        <v>317.7</v>
      </c>
      <c r="F9696" s="18">
        <v>41960.81</v>
      </c>
      <c r="G9696" s="18">
        <v>110540</v>
      </c>
      <c r="H9696" s="18">
        <f t="shared" si="208"/>
        <v>41935.81</v>
      </c>
    </row>
    <row r="9697" spans="1:8" ht="19.5" customHeight="1" x14ac:dyDescent="0.55000000000000004">
      <c r="A9697" s="18">
        <v>24.820141799999998</v>
      </c>
      <c r="B9697" s="18">
        <v>34.815662400000001</v>
      </c>
      <c r="C9697" s="18">
        <v>683503.81</v>
      </c>
      <c r="D9697" s="18">
        <v>2746253.33</v>
      </c>
      <c r="E9697" s="18">
        <v>317.79000000000002</v>
      </c>
      <c r="F9697" s="18">
        <v>41962.14</v>
      </c>
      <c r="G9697" s="18">
        <v>110542</v>
      </c>
      <c r="H9697" s="18">
        <f t="shared" si="208"/>
        <v>41937.14</v>
      </c>
    </row>
    <row r="9698" spans="1:8" ht="19.5" customHeight="1" x14ac:dyDescent="0.55000000000000004">
      <c r="A9698" s="18">
        <v>24.820161500000001</v>
      </c>
      <c r="B9698" s="18">
        <v>34.815648899999999</v>
      </c>
      <c r="C9698" s="18">
        <v>683502.42</v>
      </c>
      <c r="D9698" s="18">
        <v>2746255.49</v>
      </c>
      <c r="E9698" s="18">
        <v>317.95</v>
      </c>
      <c r="F9698" s="18">
        <v>41960.98</v>
      </c>
      <c r="G9698" s="18">
        <v>110544</v>
      </c>
      <c r="H9698" s="18">
        <f t="shared" si="208"/>
        <v>41935.980000000003</v>
      </c>
    </row>
    <row r="9699" spans="1:8" ht="19.5" customHeight="1" x14ac:dyDescent="0.55000000000000004">
      <c r="A9699" s="18">
        <v>24.820181099999999</v>
      </c>
      <c r="B9699" s="18">
        <v>34.815633900000002</v>
      </c>
      <c r="C9699" s="18">
        <v>683500.87</v>
      </c>
      <c r="D9699" s="18">
        <v>2746257.64</v>
      </c>
      <c r="E9699" s="18">
        <v>318.05</v>
      </c>
      <c r="F9699" s="18">
        <v>41960.08</v>
      </c>
      <c r="G9699" s="18">
        <v>110546</v>
      </c>
      <c r="H9699" s="18">
        <f t="shared" si="208"/>
        <v>41935.08</v>
      </c>
    </row>
    <row r="9700" spans="1:8" ht="19.5" customHeight="1" x14ac:dyDescent="0.55000000000000004">
      <c r="A9700" s="18">
        <v>24.820202699999999</v>
      </c>
      <c r="B9700" s="18">
        <v>34.815623000000002</v>
      </c>
      <c r="C9700" s="18">
        <v>683499.74</v>
      </c>
      <c r="D9700" s="18">
        <v>2746260.02</v>
      </c>
      <c r="E9700" s="18">
        <v>318.02999999999997</v>
      </c>
      <c r="F9700" s="18">
        <v>41961.34</v>
      </c>
      <c r="G9700" s="18">
        <v>110548</v>
      </c>
      <c r="H9700" s="18">
        <f t="shared" si="208"/>
        <v>41936.339999999997</v>
      </c>
    </row>
    <row r="9701" spans="1:8" ht="19.5" customHeight="1" x14ac:dyDescent="0.55000000000000004">
      <c r="A9701" s="18">
        <v>24.820225199999999</v>
      </c>
      <c r="B9701" s="18">
        <v>34.815613800000001</v>
      </c>
      <c r="C9701" s="18">
        <v>683498.77</v>
      </c>
      <c r="D9701" s="18">
        <v>2746262.5</v>
      </c>
      <c r="E9701" s="18">
        <v>318.14999999999998</v>
      </c>
      <c r="F9701" s="18">
        <v>41962.54</v>
      </c>
      <c r="G9701" s="18">
        <v>110550</v>
      </c>
      <c r="H9701" s="18">
        <f t="shared" si="208"/>
        <v>41937.54</v>
      </c>
    </row>
    <row r="9702" spans="1:8" ht="19.5" customHeight="1" x14ac:dyDescent="0.55000000000000004">
      <c r="A9702" s="18">
        <v>24.8202471</v>
      </c>
      <c r="B9702" s="18">
        <v>34.815604299999997</v>
      </c>
      <c r="C9702" s="18">
        <v>683497.78</v>
      </c>
      <c r="D9702" s="18">
        <v>2746264.92</v>
      </c>
      <c r="E9702" s="18">
        <v>318.26</v>
      </c>
      <c r="F9702" s="18">
        <v>41963.18</v>
      </c>
      <c r="G9702" s="18">
        <v>110552</v>
      </c>
      <c r="H9702" s="18">
        <f t="shared" si="208"/>
        <v>41938.18</v>
      </c>
    </row>
    <row r="9703" spans="1:8" ht="19.5" customHeight="1" x14ac:dyDescent="0.55000000000000004">
      <c r="A9703" s="18">
        <v>24.820269</v>
      </c>
      <c r="B9703" s="18">
        <v>34.815596900000003</v>
      </c>
      <c r="C9703" s="18">
        <v>683497.01</v>
      </c>
      <c r="D9703" s="18">
        <v>2746267.32</v>
      </c>
      <c r="E9703" s="18">
        <v>318.37</v>
      </c>
      <c r="F9703" s="18">
        <v>41964.99</v>
      </c>
      <c r="G9703" s="18">
        <v>110554</v>
      </c>
      <c r="H9703" s="18">
        <f t="shared" si="208"/>
        <v>41939.99</v>
      </c>
    </row>
    <row r="9704" spans="1:8" ht="19.5" customHeight="1" x14ac:dyDescent="0.55000000000000004">
      <c r="A9704" s="18">
        <v>24.8202888</v>
      </c>
      <c r="B9704" s="18">
        <v>34.815586000000003</v>
      </c>
      <c r="C9704" s="18">
        <v>683495.87</v>
      </c>
      <c r="D9704" s="18">
        <v>2746269.51</v>
      </c>
      <c r="E9704" s="18">
        <v>318.45999999999998</v>
      </c>
      <c r="F9704" s="18">
        <v>41966.02</v>
      </c>
      <c r="G9704" s="18">
        <v>110556</v>
      </c>
      <c r="H9704" s="18">
        <f t="shared" si="208"/>
        <v>41941.019999999997</v>
      </c>
    </row>
    <row r="9705" spans="1:8" ht="19.5" customHeight="1" x14ac:dyDescent="0.55000000000000004">
      <c r="A9705" s="18">
        <v>24.8203098</v>
      </c>
      <c r="B9705" s="18">
        <v>34.815575199999998</v>
      </c>
      <c r="C9705" s="18">
        <v>683494.74</v>
      </c>
      <c r="D9705" s="18">
        <v>2746271.82</v>
      </c>
      <c r="E9705" s="18">
        <v>318.52</v>
      </c>
      <c r="F9705" s="18">
        <v>41968.82</v>
      </c>
      <c r="G9705" s="18">
        <v>110558</v>
      </c>
      <c r="H9705" s="18">
        <f t="shared" si="208"/>
        <v>41943.82</v>
      </c>
    </row>
    <row r="9706" spans="1:8" ht="19.5" customHeight="1" x14ac:dyDescent="0.55000000000000004">
      <c r="A9706" s="18">
        <v>24.820327500000001</v>
      </c>
      <c r="B9706" s="18">
        <v>34.815563400000002</v>
      </c>
      <c r="C9706" s="18">
        <v>683493.53</v>
      </c>
      <c r="D9706" s="18">
        <v>2746273.76</v>
      </c>
      <c r="E9706" s="18">
        <v>318.73</v>
      </c>
      <c r="F9706" s="18">
        <v>41970.55</v>
      </c>
      <c r="G9706" s="18">
        <v>110600</v>
      </c>
      <c r="H9706" s="18">
        <f t="shared" si="208"/>
        <v>41945.55</v>
      </c>
    </row>
    <row r="9707" spans="1:8" ht="19.5" customHeight="1" x14ac:dyDescent="0.55000000000000004">
      <c r="A9707" s="18">
        <v>24.8203456</v>
      </c>
      <c r="B9707" s="18">
        <v>34.815548399999997</v>
      </c>
      <c r="C9707" s="18">
        <v>683491.99</v>
      </c>
      <c r="D9707" s="18">
        <v>2746275.74</v>
      </c>
      <c r="E9707" s="18">
        <v>318.79000000000002</v>
      </c>
      <c r="F9707" s="18">
        <v>41967.79</v>
      </c>
      <c r="G9707" s="18">
        <v>110602</v>
      </c>
      <c r="H9707" s="18">
        <f t="shared" si="208"/>
        <v>41942.79</v>
      </c>
    </row>
    <row r="9708" spans="1:8" ht="19.5" customHeight="1" x14ac:dyDescent="0.55000000000000004">
      <c r="A9708" s="18">
        <v>24.8203648</v>
      </c>
      <c r="B9708" s="18">
        <v>34.815536299999998</v>
      </c>
      <c r="C9708" s="18">
        <v>683490.73</v>
      </c>
      <c r="D9708" s="18">
        <v>2746277.86</v>
      </c>
      <c r="E9708" s="18">
        <v>318.89</v>
      </c>
      <c r="F9708" s="18">
        <v>41969</v>
      </c>
      <c r="G9708" s="18">
        <v>110604</v>
      </c>
      <c r="H9708" s="18">
        <f t="shared" si="208"/>
        <v>41944</v>
      </c>
    </row>
    <row r="9709" spans="1:8" ht="19.5" customHeight="1" x14ac:dyDescent="0.55000000000000004">
      <c r="A9709" s="18">
        <v>24.8203836</v>
      </c>
      <c r="B9709" s="18">
        <v>34.815525100000002</v>
      </c>
      <c r="C9709" s="18">
        <v>683489.58</v>
      </c>
      <c r="D9709" s="18">
        <v>2746279.93</v>
      </c>
      <c r="E9709" s="18">
        <v>318.99</v>
      </c>
      <c r="F9709" s="18">
        <v>41968.14</v>
      </c>
      <c r="G9709" s="18">
        <v>110606</v>
      </c>
      <c r="H9709" s="18">
        <f t="shared" si="208"/>
        <v>41943.14</v>
      </c>
    </row>
    <row r="9710" spans="1:8" ht="19.5" customHeight="1" x14ac:dyDescent="0.55000000000000004">
      <c r="A9710" s="18">
        <v>24.820400100000001</v>
      </c>
      <c r="B9710" s="18">
        <v>34.815514100000001</v>
      </c>
      <c r="C9710" s="18">
        <v>683488.44</v>
      </c>
      <c r="D9710" s="18">
        <v>2746281.74</v>
      </c>
      <c r="E9710" s="18">
        <v>319.02999999999997</v>
      </c>
      <c r="F9710" s="18">
        <v>41968.97</v>
      </c>
      <c r="G9710" s="18">
        <v>110608</v>
      </c>
      <c r="H9710" s="18">
        <f t="shared" si="208"/>
        <v>41943.97</v>
      </c>
    </row>
    <row r="9711" spans="1:8" ht="19.5" customHeight="1" x14ac:dyDescent="0.55000000000000004">
      <c r="A9711" s="18">
        <v>24.820420200000001</v>
      </c>
      <c r="B9711" s="18">
        <v>34.815499199999998</v>
      </c>
      <c r="C9711" s="18">
        <v>683486.9</v>
      </c>
      <c r="D9711" s="18">
        <v>2746283.94</v>
      </c>
      <c r="E9711" s="18">
        <v>318.86</v>
      </c>
      <c r="F9711" s="18">
        <v>41970.26</v>
      </c>
      <c r="G9711" s="18">
        <v>110610</v>
      </c>
      <c r="H9711" s="18">
        <f t="shared" si="208"/>
        <v>41945.26</v>
      </c>
    </row>
    <row r="9712" spans="1:8" ht="19.5" customHeight="1" x14ac:dyDescent="0.55000000000000004">
      <c r="A9712" s="18">
        <v>24.8204362</v>
      </c>
      <c r="B9712" s="18">
        <v>34.815479799999999</v>
      </c>
      <c r="C9712" s="18">
        <v>683484.91</v>
      </c>
      <c r="D9712" s="18">
        <v>2746285.68</v>
      </c>
      <c r="E9712" s="18">
        <v>318.89</v>
      </c>
      <c r="F9712" s="18">
        <v>41971.69</v>
      </c>
      <c r="G9712" s="18">
        <v>110612</v>
      </c>
      <c r="H9712" s="18">
        <f t="shared" si="208"/>
        <v>41946.69</v>
      </c>
    </row>
    <row r="9713" spans="1:8" ht="19.5" customHeight="1" x14ac:dyDescent="0.55000000000000004">
      <c r="A9713" s="18">
        <v>24.820449199999999</v>
      </c>
      <c r="B9713" s="18">
        <v>34.815457899999998</v>
      </c>
      <c r="C9713" s="18">
        <v>683482.69</v>
      </c>
      <c r="D9713" s="18">
        <v>2746287.1</v>
      </c>
      <c r="E9713" s="18">
        <v>318.95</v>
      </c>
      <c r="F9713" s="18">
        <v>41970.98</v>
      </c>
      <c r="G9713" s="18">
        <v>110614</v>
      </c>
      <c r="H9713" s="18">
        <f t="shared" si="208"/>
        <v>41945.98</v>
      </c>
    </row>
    <row r="9714" spans="1:8" ht="19.5" customHeight="1" x14ac:dyDescent="0.55000000000000004">
      <c r="A9714" s="18">
        <v>24.820462599999999</v>
      </c>
      <c r="B9714" s="18">
        <v>34.8154349</v>
      </c>
      <c r="C9714" s="18">
        <v>683480.34</v>
      </c>
      <c r="D9714" s="18">
        <v>2746288.56</v>
      </c>
      <c r="E9714" s="18">
        <v>319.10000000000002</v>
      </c>
      <c r="F9714" s="18">
        <v>41968.46</v>
      </c>
      <c r="G9714" s="18">
        <v>110616</v>
      </c>
      <c r="H9714" s="18">
        <f t="shared" si="208"/>
        <v>41943.46</v>
      </c>
    </row>
    <row r="9715" spans="1:8" ht="19.5" customHeight="1" x14ac:dyDescent="0.55000000000000004">
      <c r="A9715" s="18">
        <v>24.820474600000001</v>
      </c>
      <c r="B9715" s="18">
        <v>34.815415600000001</v>
      </c>
      <c r="C9715" s="18">
        <v>683478.37</v>
      </c>
      <c r="D9715" s="18">
        <v>2746289.86</v>
      </c>
      <c r="E9715" s="18">
        <v>319.14999999999998</v>
      </c>
      <c r="F9715" s="18">
        <v>41973.85</v>
      </c>
      <c r="G9715" s="18">
        <v>110618</v>
      </c>
      <c r="H9715" s="18">
        <f t="shared" si="208"/>
        <v>41948.85</v>
      </c>
    </row>
    <row r="9716" spans="1:8" ht="19.5" customHeight="1" x14ac:dyDescent="0.55000000000000004">
      <c r="A9716" s="18">
        <v>24.820489200000001</v>
      </c>
      <c r="B9716" s="18">
        <v>34.815394900000001</v>
      </c>
      <c r="C9716" s="18">
        <v>683476.25</v>
      </c>
      <c r="D9716" s="18">
        <v>2746291.44</v>
      </c>
      <c r="E9716" s="18">
        <v>319.26</v>
      </c>
      <c r="F9716" s="18">
        <v>41975.35</v>
      </c>
      <c r="G9716" s="18">
        <v>110620</v>
      </c>
      <c r="H9716" s="18">
        <f t="shared" si="208"/>
        <v>41950.35</v>
      </c>
    </row>
    <row r="9717" spans="1:8" ht="19.5" customHeight="1" x14ac:dyDescent="0.55000000000000004">
      <c r="A9717" s="18">
        <v>24.8205068</v>
      </c>
      <c r="B9717" s="18">
        <v>34.815377499999997</v>
      </c>
      <c r="C9717" s="18">
        <v>683474.47</v>
      </c>
      <c r="D9717" s="18">
        <v>2746293.38</v>
      </c>
      <c r="E9717" s="18">
        <v>319.42</v>
      </c>
      <c r="F9717" s="18">
        <v>41970.31</v>
      </c>
      <c r="G9717" s="18">
        <v>110622</v>
      </c>
      <c r="H9717" s="18">
        <f t="shared" si="208"/>
        <v>41945.31</v>
      </c>
    </row>
    <row r="9718" spans="1:8" ht="19.5" customHeight="1" x14ac:dyDescent="0.55000000000000004">
      <c r="A9718" s="18">
        <v>24.820524599999999</v>
      </c>
      <c r="B9718" s="18">
        <v>34.815362100000002</v>
      </c>
      <c r="C9718" s="18">
        <v>683472.89</v>
      </c>
      <c r="D9718" s="18">
        <v>2746295.33</v>
      </c>
      <c r="E9718" s="18">
        <v>319.41000000000003</v>
      </c>
      <c r="F9718" s="18">
        <v>41970.47</v>
      </c>
      <c r="G9718" s="18">
        <v>110624</v>
      </c>
      <c r="H9718" s="18">
        <f t="shared" si="208"/>
        <v>41945.47</v>
      </c>
    </row>
    <row r="9719" spans="1:8" ht="19.5" customHeight="1" x14ac:dyDescent="0.55000000000000004">
      <c r="A9719" s="18">
        <v>24.820543300000001</v>
      </c>
      <c r="B9719" s="18">
        <v>34.815345800000003</v>
      </c>
      <c r="C9719" s="18">
        <v>683471.22</v>
      </c>
      <c r="D9719" s="18">
        <v>2746297.37</v>
      </c>
      <c r="E9719" s="18">
        <v>319.60000000000002</v>
      </c>
      <c r="F9719" s="18">
        <v>41967.6</v>
      </c>
      <c r="G9719" s="18">
        <v>110626</v>
      </c>
      <c r="H9719" s="18">
        <f t="shared" si="208"/>
        <v>41942.6</v>
      </c>
    </row>
    <row r="9720" spans="1:8" ht="19.5" customHeight="1" x14ac:dyDescent="0.55000000000000004">
      <c r="A9720" s="18">
        <v>24.820562500000001</v>
      </c>
      <c r="B9720" s="18">
        <v>34.815330600000003</v>
      </c>
      <c r="C9720" s="18">
        <v>683469.65</v>
      </c>
      <c r="D9720" s="18">
        <v>2746299.48</v>
      </c>
      <c r="E9720" s="18">
        <v>319.57</v>
      </c>
      <c r="F9720" s="18">
        <v>41964.91</v>
      </c>
      <c r="G9720" s="18">
        <v>110628</v>
      </c>
      <c r="H9720" s="18">
        <f t="shared" si="208"/>
        <v>41939.910000000003</v>
      </c>
    </row>
    <row r="9721" spans="1:8" ht="19.5" customHeight="1" x14ac:dyDescent="0.55000000000000004">
      <c r="A9721" s="18">
        <v>24.820577199999999</v>
      </c>
      <c r="B9721" s="18">
        <v>34.815311399999999</v>
      </c>
      <c r="C9721" s="18">
        <v>683467.69</v>
      </c>
      <c r="D9721" s="18">
        <v>2746301.08</v>
      </c>
      <c r="E9721" s="18">
        <v>319.72000000000003</v>
      </c>
      <c r="F9721" s="18">
        <v>41964.77</v>
      </c>
      <c r="G9721" s="18">
        <v>110630</v>
      </c>
      <c r="H9721" s="18">
        <f t="shared" si="208"/>
        <v>41939.769999999997</v>
      </c>
    </row>
    <row r="9722" spans="1:8" ht="19.5" customHeight="1" x14ac:dyDescent="0.55000000000000004">
      <c r="A9722" s="18">
        <v>24.8205867</v>
      </c>
      <c r="B9722" s="18">
        <v>34.815288099999997</v>
      </c>
      <c r="C9722" s="18">
        <v>683465.32</v>
      </c>
      <c r="D9722" s="18">
        <v>2746302.1</v>
      </c>
      <c r="E9722" s="18">
        <v>319.79000000000002</v>
      </c>
      <c r="F9722" s="18">
        <v>41963.91</v>
      </c>
      <c r="G9722" s="18">
        <v>110632</v>
      </c>
      <c r="H9722" s="18">
        <f t="shared" si="208"/>
        <v>41938.910000000003</v>
      </c>
    </row>
    <row r="9723" spans="1:8" ht="19.5" customHeight="1" x14ac:dyDescent="0.55000000000000004">
      <c r="A9723" s="18">
        <v>24.820597800000002</v>
      </c>
      <c r="B9723" s="18">
        <v>34.815264900000003</v>
      </c>
      <c r="C9723" s="18">
        <v>683462.95</v>
      </c>
      <c r="D9723" s="18">
        <v>2746303.29</v>
      </c>
      <c r="E9723" s="18">
        <v>319.79000000000002</v>
      </c>
      <c r="F9723" s="18">
        <v>41962.66</v>
      </c>
      <c r="G9723" s="18">
        <v>110634</v>
      </c>
      <c r="H9723" s="18">
        <f t="shared" si="208"/>
        <v>41937.660000000003</v>
      </c>
    </row>
    <row r="9724" spans="1:8" ht="19.5" customHeight="1" x14ac:dyDescent="0.55000000000000004">
      <c r="A9724" s="18">
        <v>24.820613099999999</v>
      </c>
      <c r="B9724" s="18">
        <v>34.815246399999999</v>
      </c>
      <c r="C9724" s="18">
        <v>683461.06</v>
      </c>
      <c r="D9724" s="18">
        <v>2746304.97</v>
      </c>
      <c r="E9724" s="18">
        <v>319.94</v>
      </c>
      <c r="F9724" s="18">
        <v>41961.93</v>
      </c>
      <c r="G9724" s="18">
        <v>110636</v>
      </c>
      <c r="H9724" s="18">
        <f t="shared" si="208"/>
        <v>41936.93</v>
      </c>
    </row>
    <row r="9725" spans="1:8" ht="19.5" customHeight="1" x14ac:dyDescent="0.55000000000000004">
      <c r="A9725" s="18">
        <v>24.8206281</v>
      </c>
      <c r="B9725" s="18">
        <v>34.815228099999999</v>
      </c>
      <c r="C9725" s="18">
        <v>683459.19</v>
      </c>
      <c r="D9725" s="18">
        <v>2746306.6</v>
      </c>
      <c r="E9725" s="18">
        <v>319.94</v>
      </c>
      <c r="F9725" s="18">
        <v>41962.29</v>
      </c>
      <c r="G9725" s="18">
        <v>110638</v>
      </c>
      <c r="H9725" s="18">
        <f t="shared" si="208"/>
        <v>41937.29</v>
      </c>
    </row>
    <row r="9726" spans="1:8" ht="19.5" customHeight="1" x14ac:dyDescent="0.55000000000000004">
      <c r="A9726" s="18">
        <v>24.820645299999999</v>
      </c>
      <c r="B9726" s="18">
        <v>34.815210999999998</v>
      </c>
      <c r="C9726" s="18">
        <v>683457.43</v>
      </c>
      <c r="D9726" s="18">
        <v>2746308.49</v>
      </c>
      <c r="E9726" s="18">
        <v>319.93</v>
      </c>
      <c r="F9726" s="18">
        <v>41962.59</v>
      </c>
      <c r="G9726" s="18">
        <v>110640</v>
      </c>
      <c r="H9726" s="18">
        <f t="shared" si="208"/>
        <v>41937.589999999997</v>
      </c>
    </row>
    <row r="9727" spans="1:8" ht="19.5" customHeight="1" x14ac:dyDescent="0.55000000000000004">
      <c r="A9727" s="18">
        <v>24.820659899999999</v>
      </c>
      <c r="B9727" s="18">
        <v>34.815191599999999</v>
      </c>
      <c r="C9727" s="18">
        <v>683455.45</v>
      </c>
      <c r="D9727" s="18">
        <v>2746310.08</v>
      </c>
      <c r="E9727" s="18">
        <v>320.04000000000002</v>
      </c>
      <c r="F9727" s="18">
        <v>41962.51</v>
      </c>
      <c r="G9727" s="18">
        <v>110642</v>
      </c>
      <c r="H9727" s="18">
        <f t="shared" si="208"/>
        <v>41937.51</v>
      </c>
    </row>
    <row r="9728" spans="1:8" ht="19.5" customHeight="1" x14ac:dyDescent="0.55000000000000004">
      <c r="A9728" s="18">
        <v>24.8206743</v>
      </c>
      <c r="B9728" s="18">
        <v>34.815173700000003</v>
      </c>
      <c r="C9728" s="18">
        <v>683453.62</v>
      </c>
      <c r="D9728" s="18">
        <v>2746311.65</v>
      </c>
      <c r="E9728" s="18">
        <v>320.05</v>
      </c>
      <c r="F9728" s="18">
        <v>41959.83</v>
      </c>
      <c r="G9728" s="18">
        <v>110644</v>
      </c>
      <c r="H9728" s="18">
        <f t="shared" si="208"/>
        <v>41934.83</v>
      </c>
    </row>
    <row r="9729" spans="1:8" ht="19.5" customHeight="1" x14ac:dyDescent="0.55000000000000004">
      <c r="A9729" s="18">
        <v>24.820689399999999</v>
      </c>
      <c r="B9729" s="18">
        <v>34.815154100000001</v>
      </c>
      <c r="C9729" s="18">
        <v>683451.62</v>
      </c>
      <c r="D9729" s="18">
        <v>2746313.3</v>
      </c>
      <c r="E9729" s="18">
        <v>320.08</v>
      </c>
      <c r="F9729" s="18">
        <v>41960.65</v>
      </c>
      <c r="G9729" s="18">
        <v>110646</v>
      </c>
      <c r="H9729" s="18">
        <f t="shared" si="208"/>
        <v>41935.65</v>
      </c>
    </row>
    <row r="9730" spans="1:8" ht="19.5" customHeight="1" x14ac:dyDescent="0.55000000000000004">
      <c r="A9730" s="18">
        <v>24.820703900000002</v>
      </c>
      <c r="B9730" s="18">
        <v>34.815134499999999</v>
      </c>
      <c r="C9730" s="18">
        <v>683449.61</v>
      </c>
      <c r="D9730" s="18">
        <v>2746314.87</v>
      </c>
      <c r="E9730" s="18">
        <v>320.14999999999998</v>
      </c>
      <c r="F9730" s="18">
        <v>41962.31</v>
      </c>
      <c r="G9730" s="18">
        <v>110648</v>
      </c>
      <c r="H9730" s="18">
        <f t="shared" si="208"/>
        <v>41937.31</v>
      </c>
    </row>
    <row r="9731" spans="1:8" ht="19.5" customHeight="1" x14ac:dyDescent="0.55000000000000004">
      <c r="A9731" s="18">
        <v>24.820723999999998</v>
      </c>
      <c r="B9731" s="18">
        <v>34.815122000000002</v>
      </c>
      <c r="C9731" s="18">
        <v>683448.31999999995</v>
      </c>
      <c r="D9731" s="18">
        <v>2746317.08</v>
      </c>
      <c r="E9731" s="18">
        <v>320.10000000000002</v>
      </c>
      <c r="F9731" s="18">
        <v>41959.77</v>
      </c>
      <c r="G9731" s="18">
        <v>110650</v>
      </c>
      <c r="H9731" s="18">
        <f t="shared" si="208"/>
        <v>41934.769999999997</v>
      </c>
    </row>
    <row r="9732" spans="1:8" ht="19.5" customHeight="1" x14ac:dyDescent="0.55000000000000004">
      <c r="A9732" s="18">
        <v>24.8207427</v>
      </c>
      <c r="B9732" s="18">
        <v>34.815108299999999</v>
      </c>
      <c r="C9732" s="18">
        <v>683446.91</v>
      </c>
      <c r="D9732" s="18">
        <v>2746319.14</v>
      </c>
      <c r="E9732" s="18">
        <v>320.12</v>
      </c>
      <c r="F9732" s="18">
        <v>41963.46</v>
      </c>
      <c r="G9732" s="18">
        <v>110652</v>
      </c>
      <c r="H9732" s="18">
        <f t="shared" si="208"/>
        <v>41938.46</v>
      </c>
    </row>
    <row r="9733" spans="1:8" ht="19.5" customHeight="1" x14ac:dyDescent="0.55000000000000004">
      <c r="A9733" s="18">
        <v>24.820760700000001</v>
      </c>
      <c r="B9733" s="18">
        <v>34.815092800000002</v>
      </c>
      <c r="C9733" s="18">
        <v>683445.32</v>
      </c>
      <c r="D9733" s="18">
        <v>2746321.11</v>
      </c>
      <c r="E9733" s="18">
        <v>320.22000000000003</v>
      </c>
      <c r="F9733" s="18">
        <v>41962.38</v>
      </c>
      <c r="G9733" s="18">
        <v>110654</v>
      </c>
      <c r="H9733" s="18">
        <f t="shared" si="208"/>
        <v>41937.379999999997</v>
      </c>
    </row>
    <row r="9734" spans="1:8" ht="19.5" customHeight="1" x14ac:dyDescent="0.55000000000000004">
      <c r="A9734" s="18">
        <v>24.8207749</v>
      </c>
      <c r="B9734" s="18">
        <v>34.815072499999999</v>
      </c>
      <c r="C9734" s="18">
        <v>683443.25</v>
      </c>
      <c r="D9734" s="18">
        <v>2746322.66</v>
      </c>
      <c r="E9734" s="18">
        <v>320.23</v>
      </c>
      <c r="F9734" s="18">
        <v>41958.1</v>
      </c>
      <c r="G9734" s="18">
        <v>110656</v>
      </c>
      <c r="H9734" s="18">
        <f t="shared" si="208"/>
        <v>41933.1</v>
      </c>
    </row>
    <row r="9735" spans="1:8" ht="19.5" customHeight="1" x14ac:dyDescent="0.55000000000000004">
      <c r="A9735" s="18">
        <v>24.8207792</v>
      </c>
      <c r="B9735" s="18">
        <v>34.815059499999997</v>
      </c>
      <c r="C9735" s="18">
        <v>683441.93</v>
      </c>
      <c r="D9735" s="18">
        <v>2746323.12</v>
      </c>
      <c r="E9735" s="18">
        <v>320.29000000000002</v>
      </c>
      <c r="F9735" s="18">
        <v>41954.67</v>
      </c>
      <c r="G9735" s="18">
        <v>110658</v>
      </c>
      <c r="H9735" s="18">
        <f t="shared" si="208"/>
        <v>41929.67</v>
      </c>
    </row>
    <row r="9736" spans="1:8" ht="19.5" customHeight="1" x14ac:dyDescent="0.55000000000000004">
      <c r="A9736" s="18">
        <v>24.8207792</v>
      </c>
      <c r="B9736" s="18">
        <v>34.8150555</v>
      </c>
      <c r="C9736" s="18">
        <v>683441.52</v>
      </c>
      <c r="D9736" s="18">
        <v>2746323.11</v>
      </c>
      <c r="E9736" s="18">
        <v>320.27999999999997</v>
      </c>
      <c r="F9736" s="18">
        <v>41966</v>
      </c>
      <c r="G9736" s="18">
        <v>110700</v>
      </c>
      <c r="H9736" s="18">
        <f t="shared" si="208"/>
        <v>41941</v>
      </c>
    </row>
    <row r="9737" spans="1:8" ht="19.5" customHeight="1" x14ac:dyDescent="0.55000000000000004">
      <c r="A9737" s="18">
        <v>24.8207779</v>
      </c>
      <c r="B9737" s="18">
        <v>34.815054000000003</v>
      </c>
      <c r="C9737" s="18">
        <v>683441.37</v>
      </c>
      <c r="D9737" s="18">
        <v>2746322.96</v>
      </c>
      <c r="E9737" s="18">
        <v>320.27</v>
      </c>
      <c r="F9737" s="18">
        <v>41962.03</v>
      </c>
      <c r="G9737" s="18">
        <v>110702</v>
      </c>
      <c r="H9737" s="18">
        <f t="shared" si="208"/>
        <v>41937.03</v>
      </c>
    </row>
    <row r="9738" spans="1:8" ht="19.5" customHeight="1" x14ac:dyDescent="0.55000000000000004">
      <c r="A9738" s="18">
        <v>24.820777799999998</v>
      </c>
      <c r="B9738" s="18">
        <v>34.815054099999998</v>
      </c>
      <c r="C9738" s="18">
        <v>683441.38</v>
      </c>
      <c r="D9738" s="18">
        <v>2746322.95</v>
      </c>
      <c r="E9738" s="18">
        <v>320.25</v>
      </c>
      <c r="F9738" s="18">
        <v>41958.82</v>
      </c>
      <c r="G9738" s="18">
        <v>110704</v>
      </c>
      <c r="H9738" s="18">
        <f t="shared" si="208"/>
        <v>41933.82</v>
      </c>
    </row>
    <row r="9739" spans="1:8" ht="19.5" customHeight="1" x14ac:dyDescent="0.55000000000000004">
      <c r="A9739" s="18">
        <v>24.820777499999998</v>
      </c>
      <c r="B9739" s="18">
        <v>34.815055399999999</v>
      </c>
      <c r="C9739" s="18">
        <v>683441.52</v>
      </c>
      <c r="D9739" s="18">
        <v>2746322.92</v>
      </c>
      <c r="E9739" s="18">
        <v>320.26</v>
      </c>
      <c r="F9739" s="18">
        <v>41924.47</v>
      </c>
      <c r="G9739" s="18">
        <v>110706</v>
      </c>
      <c r="H9739" s="18">
        <f t="shared" si="208"/>
        <v>41899.47</v>
      </c>
    </row>
    <row r="9740" spans="1:8" ht="19.5" customHeight="1" x14ac:dyDescent="0.55000000000000004">
      <c r="A9740" s="18">
        <v>24.8207776</v>
      </c>
      <c r="B9740" s="18">
        <v>34.815055399999999</v>
      </c>
      <c r="C9740" s="18">
        <v>683441.51</v>
      </c>
      <c r="D9740" s="18">
        <v>2746322.94</v>
      </c>
      <c r="E9740" s="18">
        <v>320.26</v>
      </c>
      <c r="F9740" s="18">
        <v>41914.53</v>
      </c>
      <c r="G9740" s="18">
        <v>110708</v>
      </c>
      <c r="H9740" s="18">
        <f t="shared" si="208"/>
        <v>41889.53</v>
      </c>
    </row>
    <row r="9741" spans="1:8" ht="19.5" customHeight="1" x14ac:dyDescent="0.55000000000000004">
      <c r="A9741" s="18">
        <v>24.820777700000001</v>
      </c>
      <c r="B9741" s="18">
        <v>34.815055399999999</v>
      </c>
      <c r="C9741" s="18">
        <v>683441.51</v>
      </c>
      <c r="D9741" s="18">
        <v>2746322.94</v>
      </c>
      <c r="E9741" s="18">
        <v>320.25</v>
      </c>
      <c r="F9741" s="18">
        <v>41910.620000000003</v>
      </c>
      <c r="G9741" s="18">
        <v>110710</v>
      </c>
      <c r="H9741" s="18">
        <f t="shared" si="208"/>
        <v>41885.620000000003</v>
      </c>
    </row>
    <row r="9742" spans="1:8" ht="19.5" customHeight="1" x14ac:dyDescent="0.55000000000000004">
      <c r="A9742" s="18">
        <v>24.820777799999998</v>
      </c>
      <c r="B9742" s="18">
        <v>34.815055299999997</v>
      </c>
      <c r="C9742" s="18">
        <v>683441.51</v>
      </c>
      <c r="D9742" s="18">
        <v>2746322.95</v>
      </c>
      <c r="E9742" s="18">
        <v>320.26</v>
      </c>
      <c r="F9742" s="18">
        <v>41910.050000000003</v>
      </c>
      <c r="G9742" s="18">
        <v>110712</v>
      </c>
      <c r="H9742" s="18">
        <f t="shared" si="208"/>
        <v>41885.050000000003</v>
      </c>
    </row>
    <row r="9743" spans="1:8" ht="19.5" customHeight="1" x14ac:dyDescent="0.55000000000000004">
      <c r="A9743" s="18">
        <v>24.8207776</v>
      </c>
      <c r="B9743" s="18">
        <v>34.815054799999999</v>
      </c>
      <c r="C9743" s="18">
        <v>683441.45</v>
      </c>
      <c r="D9743" s="18">
        <v>2746322.93</v>
      </c>
      <c r="E9743" s="18">
        <v>320.25</v>
      </c>
      <c r="F9743" s="18">
        <v>41915.67</v>
      </c>
      <c r="G9743" s="18">
        <v>110714</v>
      </c>
      <c r="H9743" s="18">
        <f t="shared" si="208"/>
        <v>41890.67</v>
      </c>
    </row>
    <row r="9744" spans="1:8" ht="19.5" customHeight="1" x14ac:dyDescent="0.55000000000000004">
      <c r="A9744" s="18">
        <v>24.820778399999998</v>
      </c>
      <c r="B9744" s="18">
        <v>34.815054600000003</v>
      </c>
      <c r="C9744" s="18">
        <v>683441.43</v>
      </c>
      <c r="D9744" s="18">
        <v>2746323.02</v>
      </c>
      <c r="E9744" s="18">
        <v>320.25</v>
      </c>
      <c r="F9744" s="18">
        <v>41930.78</v>
      </c>
      <c r="G9744" s="18">
        <v>110716</v>
      </c>
      <c r="H9744" s="18">
        <f t="shared" si="208"/>
        <v>41905.78</v>
      </c>
    </row>
    <row r="9745" spans="1:8" ht="19.5" customHeight="1" x14ac:dyDescent="0.55000000000000004">
      <c r="A9745" s="18">
        <v>24.820780899999999</v>
      </c>
      <c r="B9745" s="18">
        <v>34.815047</v>
      </c>
      <c r="C9745" s="18">
        <v>683440.66</v>
      </c>
      <c r="D9745" s="18">
        <v>2746323.29</v>
      </c>
      <c r="E9745" s="18">
        <v>320.27</v>
      </c>
      <c r="F9745" s="18">
        <v>41957.96</v>
      </c>
      <c r="G9745" s="18">
        <v>110718</v>
      </c>
      <c r="H9745" s="18">
        <f t="shared" si="208"/>
        <v>41932.959999999999</v>
      </c>
    </row>
    <row r="9746" spans="1:8" ht="19.5" customHeight="1" x14ac:dyDescent="0.55000000000000004">
      <c r="A9746" s="18">
        <v>24.820794100000001</v>
      </c>
      <c r="B9746" s="18">
        <v>34.815034300000001</v>
      </c>
      <c r="C9746" s="18">
        <v>683439.36</v>
      </c>
      <c r="D9746" s="18">
        <v>2746324.73</v>
      </c>
      <c r="E9746" s="18">
        <v>320.35000000000002</v>
      </c>
      <c r="F9746" s="18">
        <v>41963.83</v>
      </c>
      <c r="G9746" s="18">
        <v>110720</v>
      </c>
      <c r="H9746" s="18">
        <f t="shared" si="208"/>
        <v>41938.83</v>
      </c>
    </row>
    <row r="9747" spans="1:8" ht="19.5" customHeight="1" x14ac:dyDescent="0.55000000000000004">
      <c r="A9747" s="18">
        <v>24.8208068</v>
      </c>
      <c r="B9747" s="18">
        <v>34.815016300000003</v>
      </c>
      <c r="C9747" s="18">
        <v>683437.52</v>
      </c>
      <c r="D9747" s="18">
        <v>2746326.11</v>
      </c>
      <c r="E9747" s="18">
        <v>320.41000000000003</v>
      </c>
      <c r="F9747" s="18">
        <v>41957.82</v>
      </c>
      <c r="G9747" s="18">
        <v>110722</v>
      </c>
      <c r="H9747" s="18">
        <f t="shared" si="208"/>
        <v>41932.82</v>
      </c>
    </row>
    <row r="9748" spans="1:8" ht="19.5" customHeight="1" x14ac:dyDescent="0.55000000000000004">
      <c r="A9748" s="18">
        <v>24.8208184</v>
      </c>
      <c r="B9748" s="18">
        <v>34.814996100000002</v>
      </c>
      <c r="C9748" s="18">
        <v>683435.46</v>
      </c>
      <c r="D9748" s="18">
        <v>2746327.38</v>
      </c>
      <c r="E9748" s="18">
        <v>320.45</v>
      </c>
      <c r="F9748" s="18">
        <v>41957.07</v>
      </c>
      <c r="G9748" s="18">
        <v>110724</v>
      </c>
      <c r="H9748" s="18">
        <f t="shared" si="208"/>
        <v>41932.07</v>
      </c>
    </row>
    <row r="9749" spans="1:8" ht="19.5" customHeight="1" x14ac:dyDescent="0.55000000000000004">
      <c r="A9749" s="18">
        <v>24.820829400000001</v>
      </c>
      <c r="B9749" s="18">
        <v>34.814974999999997</v>
      </c>
      <c r="C9749" s="18">
        <v>683433.3</v>
      </c>
      <c r="D9749" s="18">
        <v>2746328.56</v>
      </c>
      <c r="E9749" s="18">
        <v>320.47000000000003</v>
      </c>
      <c r="F9749" s="18">
        <v>41959.48</v>
      </c>
      <c r="G9749" s="18">
        <v>110726</v>
      </c>
      <c r="H9749" s="18">
        <f t="shared" ref="H9749:H9812" si="209">SUM(F9749-25)</f>
        <v>41934.480000000003</v>
      </c>
    </row>
    <row r="9750" spans="1:8" ht="19.5" customHeight="1" x14ac:dyDescent="0.55000000000000004">
      <c r="A9750" s="18">
        <v>24.820839800000002</v>
      </c>
      <c r="B9750" s="18">
        <v>34.814951299999997</v>
      </c>
      <c r="C9750" s="18">
        <v>683430.9</v>
      </c>
      <c r="D9750" s="18">
        <v>2746329.68</v>
      </c>
      <c r="E9750" s="18">
        <v>320.61</v>
      </c>
      <c r="F9750" s="18">
        <v>41960.61</v>
      </c>
      <c r="G9750" s="18">
        <v>110728</v>
      </c>
      <c r="H9750" s="18">
        <f t="shared" si="209"/>
        <v>41935.61</v>
      </c>
    </row>
    <row r="9751" spans="1:8" ht="19.5" customHeight="1" x14ac:dyDescent="0.55000000000000004">
      <c r="A9751" s="18">
        <v>24.820847700000002</v>
      </c>
      <c r="B9751" s="18">
        <v>34.814928199999997</v>
      </c>
      <c r="C9751" s="18">
        <v>683428.55</v>
      </c>
      <c r="D9751" s="18">
        <v>2746330.53</v>
      </c>
      <c r="E9751" s="18">
        <v>320.62</v>
      </c>
      <c r="F9751" s="18">
        <v>41960.17</v>
      </c>
      <c r="G9751" s="18">
        <v>110730</v>
      </c>
      <c r="H9751" s="18">
        <f t="shared" si="209"/>
        <v>41935.17</v>
      </c>
    </row>
    <row r="9752" spans="1:8" ht="19.5" customHeight="1" x14ac:dyDescent="0.55000000000000004">
      <c r="A9752" s="18">
        <v>24.820851399999999</v>
      </c>
      <c r="B9752" s="18">
        <v>34.814903700000002</v>
      </c>
      <c r="C9752" s="18">
        <v>683426.07</v>
      </c>
      <c r="D9752" s="18">
        <v>2746330.91</v>
      </c>
      <c r="E9752" s="18">
        <v>320.67</v>
      </c>
      <c r="F9752" s="18">
        <v>41959.34</v>
      </c>
      <c r="G9752" s="18">
        <v>110732</v>
      </c>
      <c r="H9752" s="18">
        <f t="shared" si="209"/>
        <v>41934.339999999997</v>
      </c>
    </row>
    <row r="9753" spans="1:8" ht="19.5" customHeight="1" x14ac:dyDescent="0.55000000000000004">
      <c r="A9753" s="18">
        <v>24.8208594</v>
      </c>
      <c r="B9753" s="18">
        <v>34.814880100000003</v>
      </c>
      <c r="C9753" s="18">
        <v>683423.67</v>
      </c>
      <c r="D9753" s="18">
        <v>2746331.75</v>
      </c>
      <c r="E9753" s="18">
        <v>320.77999999999997</v>
      </c>
      <c r="F9753" s="18">
        <v>41957.49</v>
      </c>
      <c r="G9753" s="18">
        <v>110734</v>
      </c>
      <c r="H9753" s="18">
        <f t="shared" si="209"/>
        <v>41932.49</v>
      </c>
    </row>
    <row r="9754" spans="1:8" ht="19.5" customHeight="1" x14ac:dyDescent="0.55000000000000004">
      <c r="A9754" s="18">
        <v>24.820871</v>
      </c>
      <c r="B9754" s="18">
        <v>34.814858700000002</v>
      </c>
      <c r="C9754" s="18">
        <v>683421.49</v>
      </c>
      <c r="D9754" s="18">
        <v>2746333.01</v>
      </c>
      <c r="E9754" s="18">
        <v>320.77</v>
      </c>
      <c r="F9754" s="18">
        <v>41956.77</v>
      </c>
      <c r="G9754" s="18">
        <v>110736</v>
      </c>
      <c r="H9754" s="18">
        <f t="shared" si="209"/>
        <v>41931.769999999997</v>
      </c>
    </row>
    <row r="9755" spans="1:8" ht="19.5" customHeight="1" x14ac:dyDescent="0.55000000000000004">
      <c r="A9755" s="18">
        <v>24.820881700000001</v>
      </c>
      <c r="B9755" s="18">
        <v>34.814837599999997</v>
      </c>
      <c r="C9755" s="18">
        <v>683419.34</v>
      </c>
      <c r="D9755" s="18">
        <v>2746334.17</v>
      </c>
      <c r="E9755" s="18">
        <v>320.88</v>
      </c>
      <c r="F9755" s="18">
        <v>41956.36</v>
      </c>
      <c r="G9755" s="18">
        <v>110738</v>
      </c>
      <c r="H9755" s="18">
        <f t="shared" si="209"/>
        <v>41931.360000000001</v>
      </c>
    </row>
    <row r="9756" spans="1:8" ht="19.5" customHeight="1" x14ac:dyDescent="0.55000000000000004">
      <c r="A9756" s="18">
        <v>24.8208819</v>
      </c>
      <c r="B9756" s="18">
        <v>34.814814200000001</v>
      </c>
      <c r="C9756" s="18">
        <v>683416.98</v>
      </c>
      <c r="D9756" s="18">
        <v>2746334.16</v>
      </c>
      <c r="E9756" s="18">
        <v>320.82</v>
      </c>
      <c r="F9756" s="18">
        <v>41959.72</v>
      </c>
      <c r="G9756" s="18">
        <v>110740</v>
      </c>
      <c r="H9756" s="18">
        <f t="shared" si="209"/>
        <v>41934.720000000001</v>
      </c>
    </row>
    <row r="9757" spans="1:8" ht="19.5" customHeight="1" x14ac:dyDescent="0.55000000000000004">
      <c r="A9757" s="18">
        <v>24.820887500000001</v>
      </c>
      <c r="B9757" s="18">
        <v>34.814790199999997</v>
      </c>
      <c r="C9757" s="18">
        <v>683414.55</v>
      </c>
      <c r="D9757" s="18">
        <v>2746334.75</v>
      </c>
      <c r="E9757" s="18">
        <v>320.88</v>
      </c>
      <c r="F9757" s="18">
        <v>41955.44</v>
      </c>
      <c r="G9757" s="18">
        <v>110742</v>
      </c>
      <c r="H9757" s="18">
        <f t="shared" si="209"/>
        <v>41930.44</v>
      </c>
    </row>
    <row r="9758" spans="1:8" ht="19.5" customHeight="1" x14ac:dyDescent="0.55000000000000004">
      <c r="A9758" s="18">
        <v>24.820897800000001</v>
      </c>
      <c r="B9758" s="18">
        <v>34.814770000000003</v>
      </c>
      <c r="C9758" s="18">
        <v>683412.47999999998</v>
      </c>
      <c r="D9758" s="18">
        <v>2746335.87</v>
      </c>
      <c r="E9758" s="18">
        <v>320.99</v>
      </c>
      <c r="F9758" s="18">
        <v>41954.19</v>
      </c>
      <c r="G9758" s="18">
        <v>110744</v>
      </c>
      <c r="H9758" s="18">
        <f t="shared" si="209"/>
        <v>41929.19</v>
      </c>
    </row>
    <row r="9759" spans="1:8" ht="19.5" customHeight="1" x14ac:dyDescent="0.55000000000000004">
      <c r="A9759" s="18">
        <v>24.820906399999998</v>
      </c>
      <c r="B9759" s="18">
        <v>34.814748899999998</v>
      </c>
      <c r="C9759" s="18">
        <v>683410.34</v>
      </c>
      <c r="D9759" s="18">
        <v>2746336.79</v>
      </c>
      <c r="E9759" s="18">
        <v>320.99</v>
      </c>
      <c r="F9759" s="18">
        <v>41952.43</v>
      </c>
      <c r="G9759" s="18">
        <v>110746</v>
      </c>
      <c r="H9759" s="18">
        <f t="shared" si="209"/>
        <v>41927.43</v>
      </c>
    </row>
    <row r="9760" spans="1:8" ht="19.5" customHeight="1" x14ac:dyDescent="0.55000000000000004">
      <c r="A9760" s="18">
        <v>24.820912400000001</v>
      </c>
      <c r="B9760" s="18">
        <v>34.814725699999997</v>
      </c>
      <c r="C9760" s="18">
        <v>683407.98</v>
      </c>
      <c r="D9760" s="18">
        <v>2746337.42</v>
      </c>
      <c r="E9760" s="18">
        <v>321.12</v>
      </c>
      <c r="F9760" s="18">
        <v>41953.38</v>
      </c>
      <c r="G9760" s="18">
        <v>110748</v>
      </c>
      <c r="H9760" s="18">
        <f t="shared" si="209"/>
        <v>41928.379999999997</v>
      </c>
    </row>
    <row r="9761" spans="1:8" ht="19.5" customHeight="1" x14ac:dyDescent="0.55000000000000004">
      <c r="A9761" s="18">
        <v>24.820920600000001</v>
      </c>
      <c r="B9761" s="18">
        <v>34.814704200000001</v>
      </c>
      <c r="C9761" s="18">
        <v>683405.8</v>
      </c>
      <c r="D9761" s="18">
        <v>2746338.3</v>
      </c>
      <c r="E9761" s="18">
        <v>321.19</v>
      </c>
      <c r="F9761" s="18">
        <v>41953.57</v>
      </c>
      <c r="G9761" s="18">
        <v>110750</v>
      </c>
      <c r="H9761" s="18">
        <f t="shared" si="209"/>
        <v>41928.57</v>
      </c>
    </row>
    <row r="9762" spans="1:8" ht="19.5" customHeight="1" x14ac:dyDescent="0.55000000000000004">
      <c r="A9762" s="18">
        <v>24.820932299999999</v>
      </c>
      <c r="B9762" s="18">
        <v>34.814683100000003</v>
      </c>
      <c r="C9762" s="18">
        <v>683403.65</v>
      </c>
      <c r="D9762" s="18">
        <v>2746339.57</v>
      </c>
      <c r="E9762" s="18">
        <v>321.26</v>
      </c>
      <c r="F9762" s="18">
        <v>41948.13</v>
      </c>
      <c r="G9762" s="18">
        <v>110752</v>
      </c>
      <c r="H9762" s="18">
        <f t="shared" si="209"/>
        <v>41923.129999999997</v>
      </c>
    </row>
    <row r="9763" spans="1:8" ht="19.5" customHeight="1" x14ac:dyDescent="0.55000000000000004">
      <c r="A9763" s="18">
        <v>24.8209433</v>
      </c>
      <c r="B9763" s="18">
        <v>34.814662800000001</v>
      </c>
      <c r="C9763" s="18">
        <v>683401.58</v>
      </c>
      <c r="D9763" s="18">
        <v>2746340.76</v>
      </c>
      <c r="E9763" s="18">
        <v>321.36</v>
      </c>
      <c r="F9763" s="18">
        <v>41948.56</v>
      </c>
      <c r="G9763" s="18">
        <v>110754</v>
      </c>
      <c r="H9763" s="18">
        <f t="shared" si="209"/>
        <v>41923.56</v>
      </c>
    </row>
    <row r="9764" spans="1:8" ht="19.5" customHeight="1" x14ac:dyDescent="0.55000000000000004">
      <c r="A9764" s="18">
        <v>24.820953899999999</v>
      </c>
      <c r="B9764" s="18">
        <v>34.8146427</v>
      </c>
      <c r="C9764" s="18">
        <v>683399.53</v>
      </c>
      <c r="D9764" s="18">
        <v>2746341.9</v>
      </c>
      <c r="E9764" s="18">
        <v>321.37</v>
      </c>
      <c r="F9764" s="18">
        <v>41950.22</v>
      </c>
      <c r="G9764" s="18">
        <v>110756</v>
      </c>
      <c r="H9764" s="18">
        <f t="shared" si="209"/>
        <v>41925.22</v>
      </c>
    </row>
    <row r="9765" spans="1:8" ht="19.5" customHeight="1" x14ac:dyDescent="0.55000000000000004">
      <c r="A9765" s="18">
        <v>24.820963299999999</v>
      </c>
      <c r="B9765" s="18">
        <v>34.814621299999999</v>
      </c>
      <c r="C9765" s="18">
        <v>683397.36</v>
      </c>
      <c r="D9765" s="18">
        <v>2746342.91</v>
      </c>
      <c r="E9765" s="18">
        <v>321.48</v>
      </c>
      <c r="F9765" s="18">
        <v>41949.87</v>
      </c>
      <c r="G9765" s="18">
        <v>110758</v>
      </c>
      <c r="H9765" s="18">
        <f t="shared" si="209"/>
        <v>41924.870000000003</v>
      </c>
    </row>
    <row r="9766" spans="1:8" ht="19.5" customHeight="1" x14ac:dyDescent="0.55000000000000004">
      <c r="A9766" s="18">
        <v>24.8209737</v>
      </c>
      <c r="B9766" s="18">
        <v>34.814599100000002</v>
      </c>
      <c r="C9766" s="18">
        <v>683395.09</v>
      </c>
      <c r="D9766" s="18">
        <v>2746344.04</v>
      </c>
      <c r="E9766" s="18">
        <v>321.51</v>
      </c>
      <c r="F9766" s="18">
        <v>41948.04</v>
      </c>
      <c r="G9766" s="18">
        <v>110800</v>
      </c>
      <c r="H9766" s="18">
        <f t="shared" si="209"/>
        <v>41923.040000000001</v>
      </c>
    </row>
    <row r="9767" spans="1:8" ht="19.5" customHeight="1" x14ac:dyDescent="0.55000000000000004">
      <c r="A9767" s="18">
        <v>24.820983900000002</v>
      </c>
      <c r="B9767" s="18">
        <v>34.814576700000003</v>
      </c>
      <c r="C9767" s="18">
        <v>683392.82</v>
      </c>
      <c r="D9767" s="18">
        <v>2746345.14</v>
      </c>
      <c r="E9767" s="18">
        <v>321.51</v>
      </c>
      <c r="F9767" s="18">
        <v>41947.23</v>
      </c>
      <c r="G9767" s="18">
        <v>110802</v>
      </c>
      <c r="H9767" s="18">
        <f t="shared" si="209"/>
        <v>41922.230000000003</v>
      </c>
    </row>
    <row r="9768" spans="1:8" ht="19.5" customHeight="1" x14ac:dyDescent="0.55000000000000004">
      <c r="A9768" s="18">
        <v>24.8209944</v>
      </c>
      <c r="B9768" s="18">
        <v>34.814554899999997</v>
      </c>
      <c r="C9768" s="18">
        <v>683390.6</v>
      </c>
      <c r="D9768" s="18">
        <v>2746346.28</v>
      </c>
      <c r="E9768" s="18">
        <v>321.63</v>
      </c>
      <c r="F9768" s="18">
        <v>41947.78</v>
      </c>
      <c r="G9768" s="18">
        <v>110804</v>
      </c>
      <c r="H9768" s="18">
        <f t="shared" si="209"/>
        <v>41922.78</v>
      </c>
    </row>
    <row r="9769" spans="1:8" ht="19.5" customHeight="1" x14ac:dyDescent="0.55000000000000004">
      <c r="A9769" s="18">
        <v>24.821003999999999</v>
      </c>
      <c r="B9769" s="18">
        <v>34.814532100000001</v>
      </c>
      <c r="C9769" s="18">
        <v>683388.28</v>
      </c>
      <c r="D9769" s="18">
        <v>2746347.31</v>
      </c>
      <c r="E9769" s="18">
        <v>321.64</v>
      </c>
      <c r="F9769" s="18">
        <v>41942.379999999997</v>
      </c>
      <c r="G9769" s="18">
        <v>110806</v>
      </c>
      <c r="H9769" s="18">
        <f t="shared" si="209"/>
        <v>41917.379999999997</v>
      </c>
    </row>
    <row r="9770" spans="1:8" ht="19.5" customHeight="1" x14ac:dyDescent="0.55000000000000004">
      <c r="A9770" s="18">
        <v>24.821016199999999</v>
      </c>
      <c r="B9770" s="18">
        <v>34.814510400000003</v>
      </c>
      <c r="C9770" s="18">
        <v>683386.07</v>
      </c>
      <c r="D9770" s="18">
        <v>2746348.63</v>
      </c>
      <c r="E9770" s="18">
        <v>321.66000000000003</v>
      </c>
      <c r="F9770" s="18">
        <v>41939.01</v>
      </c>
      <c r="G9770" s="18">
        <v>110808</v>
      </c>
      <c r="H9770" s="18">
        <f t="shared" si="209"/>
        <v>41914.01</v>
      </c>
    </row>
    <row r="9771" spans="1:8" ht="19.5" customHeight="1" x14ac:dyDescent="0.55000000000000004">
      <c r="A9771" s="18">
        <v>24.821023799999999</v>
      </c>
      <c r="B9771" s="18">
        <v>34.814486199999997</v>
      </c>
      <c r="C9771" s="18">
        <v>683383.61</v>
      </c>
      <c r="D9771" s="18">
        <v>2746349.44</v>
      </c>
      <c r="E9771" s="18">
        <v>321.75</v>
      </c>
      <c r="F9771" s="18">
        <v>41942.69</v>
      </c>
      <c r="G9771" s="18">
        <v>110810</v>
      </c>
      <c r="H9771" s="18">
        <f t="shared" si="209"/>
        <v>41917.69</v>
      </c>
    </row>
    <row r="9772" spans="1:8" ht="19.5" customHeight="1" x14ac:dyDescent="0.55000000000000004">
      <c r="A9772" s="18">
        <v>24.821031000000001</v>
      </c>
      <c r="B9772" s="18">
        <v>34.814462399999996</v>
      </c>
      <c r="C9772" s="18">
        <v>683381.2</v>
      </c>
      <c r="D9772" s="18">
        <v>2746350.2</v>
      </c>
      <c r="E9772" s="18">
        <v>321.76</v>
      </c>
      <c r="F9772" s="18">
        <v>41939.019999999997</v>
      </c>
      <c r="G9772" s="18">
        <v>110812</v>
      </c>
      <c r="H9772" s="18">
        <f t="shared" si="209"/>
        <v>41914.019999999997</v>
      </c>
    </row>
    <row r="9773" spans="1:8" ht="19.5" customHeight="1" x14ac:dyDescent="0.55000000000000004">
      <c r="A9773" s="18">
        <v>24.821040499999999</v>
      </c>
      <c r="B9773" s="18">
        <v>34.814438799999998</v>
      </c>
      <c r="C9773" s="18">
        <v>683378.79</v>
      </c>
      <c r="D9773" s="18">
        <v>2746351.22</v>
      </c>
      <c r="E9773" s="18">
        <v>321.77</v>
      </c>
      <c r="F9773" s="18">
        <v>41937.769999999997</v>
      </c>
      <c r="G9773" s="18">
        <v>110814</v>
      </c>
      <c r="H9773" s="18">
        <f t="shared" si="209"/>
        <v>41912.769999999997</v>
      </c>
    </row>
    <row r="9774" spans="1:8" ht="19.5" customHeight="1" x14ac:dyDescent="0.55000000000000004">
      <c r="A9774" s="18">
        <v>24.821050199999998</v>
      </c>
      <c r="B9774" s="18">
        <v>34.814416000000001</v>
      </c>
      <c r="C9774" s="18">
        <v>683376.47</v>
      </c>
      <c r="D9774" s="18">
        <v>2746352.27</v>
      </c>
      <c r="E9774" s="18">
        <v>321.87</v>
      </c>
      <c r="F9774" s="18">
        <v>41942.01</v>
      </c>
      <c r="G9774" s="18">
        <v>110816</v>
      </c>
      <c r="H9774" s="18">
        <f t="shared" si="209"/>
        <v>41917.01</v>
      </c>
    </row>
    <row r="9775" spans="1:8" ht="19.5" customHeight="1" x14ac:dyDescent="0.55000000000000004">
      <c r="A9775" s="18">
        <v>24.8210604</v>
      </c>
      <c r="B9775" s="18">
        <v>34.814393699999997</v>
      </c>
      <c r="C9775" s="18">
        <v>683374.21</v>
      </c>
      <c r="D9775" s="18">
        <v>2746353.36</v>
      </c>
      <c r="E9775" s="18">
        <v>321.91000000000003</v>
      </c>
      <c r="F9775" s="18">
        <v>41933.449999999997</v>
      </c>
      <c r="G9775" s="18">
        <v>110818</v>
      </c>
      <c r="H9775" s="18">
        <f t="shared" si="209"/>
        <v>41908.449999999997</v>
      </c>
    </row>
    <row r="9776" spans="1:8" ht="19.5" customHeight="1" x14ac:dyDescent="0.55000000000000004">
      <c r="A9776" s="18">
        <v>24.821071100000001</v>
      </c>
      <c r="B9776" s="18">
        <v>34.814371800000004</v>
      </c>
      <c r="C9776" s="18">
        <v>683371.98</v>
      </c>
      <c r="D9776" s="18">
        <v>2746354.53</v>
      </c>
      <c r="E9776" s="18">
        <v>321.89</v>
      </c>
      <c r="F9776" s="18">
        <v>41938.839999999997</v>
      </c>
      <c r="G9776" s="18">
        <v>110820</v>
      </c>
      <c r="H9776" s="18">
        <f t="shared" si="209"/>
        <v>41913.839999999997</v>
      </c>
    </row>
    <row r="9777" spans="1:8" ht="19.5" customHeight="1" x14ac:dyDescent="0.55000000000000004">
      <c r="A9777" s="18">
        <v>24.821081800000002</v>
      </c>
      <c r="B9777" s="18">
        <v>34.814348099999997</v>
      </c>
      <c r="C9777" s="18">
        <v>683369.56</v>
      </c>
      <c r="D9777" s="18">
        <v>2746355.67</v>
      </c>
      <c r="E9777" s="18">
        <v>322</v>
      </c>
      <c r="F9777" s="18">
        <v>41938.129999999997</v>
      </c>
      <c r="G9777" s="18">
        <v>110822</v>
      </c>
      <c r="H9777" s="18">
        <f t="shared" si="209"/>
        <v>41913.129999999997</v>
      </c>
    </row>
    <row r="9778" spans="1:8" ht="19.5" customHeight="1" x14ac:dyDescent="0.55000000000000004">
      <c r="A9778" s="18">
        <v>24.8210899</v>
      </c>
      <c r="B9778" s="18">
        <v>34.814323799999997</v>
      </c>
      <c r="C9778" s="18">
        <v>683367.1</v>
      </c>
      <c r="D9778" s="18">
        <v>2746356.54</v>
      </c>
      <c r="E9778" s="18">
        <v>321.95999999999998</v>
      </c>
      <c r="F9778" s="18">
        <v>41937.01</v>
      </c>
      <c r="G9778" s="18">
        <v>110824</v>
      </c>
      <c r="H9778" s="18">
        <f t="shared" si="209"/>
        <v>41912.01</v>
      </c>
    </row>
    <row r="9779" spans="1:8" ht="19.5" customHeight="1" x14ac:dyDescent="0.55000000000000004">
      <c r="A9779" s="18">
        <v>24.8210975</v>
      </c>
      <c r="B9779" s="18">
        <v>34.814300199999998</v>
      </c>
      <c r="C9779" s="18">
        <v>683364.69</v>
      </c>
      <c r="D9779" s="18">
        <v>2746357.35</v>
      </c>
      <c r="E9779" s="18">
        <v>322.01</v>
      </c>
      <c r="F9779" s="18">
        <v>41936.370000000003</v>
      </c>
      <c r="G9779" s="18">
        <v>110826</v>
      </c>
      <c r="H9779" s="18">
        <f t="shared" si="209"/>
        <v>41911.370000000003</v>
      </c>
    </row>
    <row r="9780" spans="1:8" ht="19.5" customHeight="1" x14ac:dyDescent="0.55000000000000004">
      <c r="A9780" s="18">
        <v>24.821101200000001</v>
      </c>
      <c r="B9780" s="18">
        <v>34.814275700000003</v>
      </c>
      <c r="C9780" s="18">
        <v>683362.22</v>
      </c>
      <c r="D9780" s="18">
        <v>2746357.73</v>
      </c>
      <c r="E9780" s="18">
        <v>322.11</v>
      </c>
      <c r="F9780" s="18">
        <v>41932.339999999997</v>
      </c>
      <c r="G9780" s="18">
        <v>110828</v>
      </c>
      <c r="H9780" s="18">
        <f t="shared" si="209"/>
        <v>41907.339999999997</v>
      </c>
    </row>
    <row r="9781" spans="1:8" ht="19.5" customHeight="1" x14ac:dyDescent="0.55000000000000004">
      <c r="A9781" s="18">
        <v>24.821111200000001</v>
      </c>
      <c r="B9781" s="18">
        <v>34.814252400000001</v>
      </c>
      <c r="C9781" s="18">
        <v>683359.85</v>
      </c>
      <c r="D9781" s="18">
        <v>2746358.8</v>
      </c>
      <c r="E9781" s="18">
        <v>322.18</v>
      </c>
      <c r="F9781" s="18">
        <v>41934.18</v>
      </c>
      <c r="G9781" s="18">
        <v>110830</v>
      </c>
      <c r="H9781" s="18">
        <f t="shared" si="209"/>
        <v>41909.18</v>
      </c>
    </row>
    <row r="9782" spans="1:8" ht="19.5" customHeight="1" x14ac:dyDescent="0.55000000000000004">
      <c r="A9782" s="18">
        <v>24.821123799999999</v>
      </c>
      <c r="B9782" s="18">
        <v>34.814230700000003</v>
      </c>
      <c r="C9782" s="18">
        <v>683357.64</v>
      </c>
      <c r="D9782" s="18">
        <v>2746360.17</v>
      </c>
      <c r="E9782" s="18">
        <v>322.19</v>
      </c>
      <c r="F9782" s="18">
        <v>41929.83</v>
      </c>
      <c r="G9782" s="18">
        <v>110832</v>
      </c>
      <c r="H9782" s="18">
        <f t="shared" si="209"/>
        <v>41904.83</v>
      </c>
    </row>
    <row r="9783" spans="1:8" ht="19.5" customHeight="1" x14ac:dyDescent="0.55000000000000004">
      <c r="A9783" s="18">
        <v>24.821136200000002</v>
      </c>
      <c r="B9783" s="18">
        <v>34.814208800000003</v>
      </c>
      <c r="C9783" s="18">
        <v>683355.41</v>
      </c>
      <c r="D9783" s="18">
        <v>2746361.52</v>
      </c>
      <c r="E9783" s="18">
        <v>322.24</v>
      </c>
      <c r="F9783" s="18">
        <v>41926.400000000001</v>
      </c>
      <c r="G9783" s="18">
        <v>110834</v>
      </c>
      <c r="H9783" s="18">
        <f t="shared" si="209"/>
        <v>41901.4</v>
      </c>
    </row>
    <row r="9784" spans="1:8" ht="19.5" customHeight="1" x14ac:dyDescent="0.55000000000000004">
      <c r="A9784" s="18">
        <v>24.821148399999998</v>
      </c>
      <c r="B9784" s="18">
        <v>34.814186499999998</v>
      </c>
      <c r="C9784" s="18">
        <v>683353.13</v>
      </c>
      <c r="D9784" s="18">
        <v>2746362.84</v>
      </c>
      <c r="E9784" s="18">
        <v>322.31</v>
      </c>
      <c r="F9784" s="18">
        <v>41927.51</v>
      </c>
      <c r="G9784" s="18">
        <v>110836</v>
      </c>
      <c r="H9784" s="18">
        <f t="shared" si="209"/>
        <v>41902.51</v>
      </c>
    </row>
    <row r="9785" spans="1:8" ht="19.5" customHeight="1" x14ac:dyDescent="0.55000000000000004">
      <c r="A9785" s="18">
        <v>24.821158400000002</v>
      </c>
      <c r="B9785" s="18">
        <v>34.814163299999997</v>
      </c>
      <c r="C9785" s="18">
        <v>683350.77</v>
      </c>
      <c r="D9785" s="18">
        <v>2746363.91</v>
      </c>
      <c r="E9785" s="18">
        <v>322.29000000000002</v>
      </c>
      <c r="F9785" s="18">
        <v>41924.730000000003</v>
      </c>
      <c r="G9785" s="18">
        <v>110838</v>
      </c>
      <c r="H9785" s="18">
        <f t="shared" si="209"/>
        <v>41899.730000000003</v>
      </c>
    </row>
    <row r="9786" spans="1:8" ht="19.5" customHeight="1" x14ac:dyDescent="0.55000000000000004">
      <c r="A9786" s="18">
        <v>24.821155099999999</v>
      </c>
      <c r="B9786" s="18">
        <v>34.814141200000002</v>
      </c>
      <c r="C9786" s="18">
        <v>683348.54</v>
      </c>
      <c r="D9786" s="18">
        <v>2746363.52</v>
      </c>
      <c r="E9786" s="18">
        <v>322.39</v>
      </c>
      <c r="F9786" s="18">
        <v>41923.449999999997</v>
      </c>
      <c r="G9786" s="18">
        <v>110840</v>
      </c>
      <c r="H9786" s="18">
        <f t="shared" si="209"/>
        <v>41898.449999999997</v>
      </c>
    </row>
    <row r="9787" spans="1:8" ht="19.5" customHeight="1" x14ac:dyDescent="0.55000000000000004">
      <c r="A9787" s="18">
        <v>24.821149900000002</v>
      </c>
      <c r="B9787" s="18">
        <v>34.814115999999999</v>
      </c>
      <c r="C9787" s="18">
        <v>683346</v>
      </c>
      <c r="D9787" s="18">
        <v>2746362.9</v>
      </c>
      <c r="E9787" s="18">
        <v>322.37</v>
      </c>
      <c r="F9787" s="18">
        <v>41924.17</v>
      </c>
      <c r="G9787" s="18">
        <v>110842</v>
      </c>
      <c r="H9787" s="18">
        <f t="shared" si="209"/>
        <v>41899.17</v>
      </c>
    </row>
    <row r="9788" spans="1:8" ht="19.5" customHeight="1" x14ac:dyDescent="0.55000000000000004">
      <c r="A9788" s="18">
        <v>24.821151499999999</v>
      </c>
      <c r="B9788" s="18">
        <v>34.814088499999997</v>
      </c>
      <c r="C9788" s="18">
        <v>683343.22</v>
      </c>
      <c r="D9788" s="18">
        <v>2746363.05</v>
      </c>
      <c r="E9788" s="18">
        <v>322.33999999999997</v>
      </c>
      <c r="F9788" s="18">
        <v>41926.980000000003</v>
      </c>
      <c r="G9788" s="18">
        <v>110844</v>
      </c>
      <c r="H9788" s="18">
        <f t="shared" si="209"/>
        <v>41901.980000000003</v>
      </c>
    </row>
    <row r="9789" spans="1:8" ht="19.5" customHeight="1" x14ac:dyDescent="0.55000000000000004">
      <c r="A9789" s="18">
        <v>24.821162999999999</v>
      </c>
      <c r="B9789" s="18">
        <v>34.8140669</v>
      </c>
      <c r="C9789" s="18">
        <v>683341.01</v>
      </c>
      <c r="D9789" s="18">
        <v>2746364.29</v>
      </c>
      <c r="E9789" s="18">
        <v>322.45</v>
      </c>
      <c r="F9789" s="18">
        <v>41924.71</v>
      </c>
      <c r="G9789" s="18">
        <v>110846</v>
      </c>
      <c r="H9789" s="18">
        <f t="shared" si="209"/>
        <v>41899.71</v>
      </c>
    </row>
    <row r="9790" spans="1:8" ht="19.5" customHeight="1" x14ac:dyDescent="0.55000000000000004">
      <c r="A9790" s="18">
        <v>24.821173699999999</v>
      </c>
      <c r="B9790" s="18">
        <v>34.814044500000001</v>
      </c>
      <c r="C9790" s="18">
        <v>683338.74</v>
      </c>
      <c r="D9790" s="18">
        <v>2746365.45</v>
      </c>
      <c r="E9790" s="18">
        <v>322.47000000000003</v>
      </c>
      <c r="F9790" s="18">
        <v>41923.339999999997</v>
      </c>
      <c r="G9790" s="18">
        <v>110848</v>
      </c>
      <c r="H9790" s="18">
        <f t="shared" si="209"/>
        <v>41898.339999999997</v>
      </c>
    </row>
    <row r="9791" spans="1:8" ht="19.5" customHeight="1" x14ac:dyDescent="0.55000000000000004">
      <c r="A9791" s="18">
        <v>24.821180300000002</v>
      </c>
      <c r="B9791" s="18">
        <v>34.814020499999998</v>
      </c>
      <c r="C9791" s="18">
        <v>683336.31</v>
      </c>
      <c r="D9791" s="18">
        <v>2746366.14</v>
      </c>
      <c r="E9791" s="18">
        <v>322.51</v>
      </c>
      <c r="F9791" s="18">
        <v>41919.870000000003</v>
      </c>
      <c r="G9791" s="18">
        <v>110850</v>
      </c>
      <c r="H9791" s="18">
        <f t="shared" si="209"/>
        <v>41894.870000000003</v>
      </c>
    </row>
    <row r="9792" spans="1:8" ht="19.5" customHeight="1" x14ac:dyDescent="0.55000000000000004">
      <c r="A9792" s="18">
        <v>24.821186900000001</v>
      </c>
      <c r="B9792" s="18">
        <v>34.813997700000002</v>
      </c>
      <c r="C9792" s="18">
        <v>683333.99</v>
      </c>
      <c r="D9792" s="18">
        <v>2746366.84</v>
      </c>
      <c r="E9792" s="18">
        <v>322.55</v>
      </c>
      <c r="F9792" s="18">
        <v>41916.910000000003</v>
      </c>
      <c r="G9792" s="18">
        <v>110852</v>
      </c>
      <c r="H9792" s="18">
        <f t="shared" si="209"/>
        <v>41891.910000000003</v>
      </c>
    </row>
    <row r="9793" spans="1:8" ht="19.5" customHeight="1" x14ac:dyDescent="0.55000000000000004">
      <c r="A9793" s="18">
        <v>24.8211966</v>
      </c>
      <c r="B9793" s="18">
        <v>34.813974899999998</v>
      </c>
      <c r="C9793" s="18">
        <v>683331.67</v>
      </c>
      <c r="D9793" s="18">
        <v>2746367.89</v>
      </c>
      <c r="E9793" s="18">
        <v>322.66000000000003</v>
      </c>
      <c r="F9793" s="18">
        <v>41923.18</v>
      </c>
      <c r="G9793" s="18">
        <v>110854</v>
      </c>
      <c r="H9793" s="18">
        <f t="shared" si="209"/>
        <v>41898.18</v>
      </c>
    </row>
    <row r="9794" spans="1:8" ht="19.5" customHeight="1" x14ac:dyDescent="0.55000000000000004">
      <c r="A9794" s="18">
        <v>24.821205599999999</v>
      </c>
      <c r="B9794" s="18">
        <v>34.813952700000002</v>
      </c>
      <c r="C9794" s="18">
        <v>683329.41</v>
      </c>
      <c r="D9794" s="18">
        <v>2746368.85</v>
      </c>
      <c r="E9794" s="18">
        <v>322.68</v>
      </c>
      <c r="F9794" s="18">
        <v>41922.42</v>
      </c>
      <c r="G9794" s="18">
        <v>110856</v>
      </c>
      <c r="H9794" s="18">
        <f t="shared" si="209"/>
        <v>41897.42</v>
      </c>
    </row>
    <row r="9795" spans="1:8" ht="19.5" customHeight="1" x14ac:dyDescent="0.55000000000000004">
      <c r="A9795" s="18">
        <v>24.8212154</v>
      </c>
      <c r="B9795" s="18">
        <v>34.813929700000003</v>
      </c>
      <c r="C9795" s="18">
        <v>683327.07</v>
      </c>
      <c r="D9795" s="18">
        <v>2746369.91</v>
      </c>
      <c r="E9795" s="18">
        <v>322.83</v>
      </c>
      <c r="F9795" s="18">
        <v>41924.46</v>
      </c>
      <c r="G9795" s="18">
        <v>110858</v>
      </c>
      <c r="H9795" s="18">
        <f t="shared" si="209"/>
        <v>41899.46</v>
      </c>
    </row>
    <row r="9796" spans="1:8" ht="19.5" customHeight="1" x14ac:dyDescent="0.55000000000000004">
      <c r="A9796" s="18">
        <v>24.821225699999999</v>
      </c>
      <c r="B9796" s="18">
        <v>34.813908400000003</v>
      </c>
      <c r="C9796" s="18">
        <v>683324.9</v>
      </c>
      <c r="D9796" s="18">
        <v>2746371.03</v>
      </c>
      <c r="E9796" s="18">
        <v>322.97000000000003</v>
      </c>
      <c r="F9796" s="18">
        <v>41919.96</v>
      </c>
      <c r="G9796" s="18">
        <v>110900</v>
      </c>
      <c r="H9796" s="18">
        <f t="shared" si="209"/>
        <v>41894.959999999999</v>
      </c>
    </row>
    <row r="9797" spans="1:8" ht="19.5" customHeight="1" x14ac:dyDescent="0.55000000000000004">
      <c r="A9797" s="18">
        <v>24.8212358</v>
      </c>
      <c r="B9797" s="18">
        <v>34.8138857</v>
      </c>
      <c r="C9797" s="18">
        <v>683322.6</v>
      </c>
      <c r="D9797" s="18">
        <v>2746372.11</v>
      </c>
      <c r="E9797" s="18">
        <v>322.95999999999998</v>
      </c>
      <c r="F9797" s="18">
        <v>41920.22</v>
      </c>
      <c r="G9797" s="18">
        <v>110902</v>
      </c>
      <c r="H9797" s="18">
        <f t="shared" si="209"/>
        <v>41895.22</v>
      </c>
    </row>
    <row r="9798" spans="1:8" ht="19.5" customHeight="1" x14ac:dyDescent="0.55000000000000004">
      <c r="A9798" s="18">
        <v>24.8212428</v>
      </c>
      <c r="B9798" s="18">
        <v>34.813862100000001</v>
      </c>
      <c r="C9798" s="18">
        <v>683320.2</v>
      </c>
      <c r="D9798" s="18">
        <v>2746372.85</v>
      </c>
      <c r="E9798" s="18">
        <v>323.05</v>
      </c>
      <c r="F9798" s="18">
        <v>41921.24</v>
      </c>
      <c r="G9798" s="18">
        <v>110904</v>
      </c>
      <c r="H9798" s="18">
        <f t="shared" si="209"/>
        <v>41896.239999999998</v>
      </c>
    </row>
    <row r="9799" spans="1:8" ht="19.5" customHeight="1" x14ac:dyDescent="0.55000000000000004">
      <c r="A9799" s="18">
        <v>24.821250500000001</v>
      </c>
      <c r="B9799" s="18">
        <v>34.813838199999999</v>
      </c>
      <c r="C9799" s="18">
        <v>683317.77</v>
      </c>
      <c r="D9799" s="18">
        <v>2746373.68</v>
      </c>
      <c r="E9799" s="18">
        <v>323.08999999999997</v>
      </c>
      <c r="F9799" s="18">
        <v>41917.699999999997</v>
      </c>
      <c r="G9799" s="18">
        <v>110906</v>
      </c>
      <c r="H9799" s="18">
        <f t="shared" si="209"/>
        <v>41892.699999999997</v>
      </c>
    </row>
    <row r="9800" spans="1:8" ht="19.5" customHeight="1" x14ac:dyDescent="0.55000000000000004">
      <c r="A9800" s="18">
        <v>24.821255399999998</v>
      </c>
      <c r="B9800" s="18">
        <v>34.813813500000002</v>
      </c>
      <c r="C9800" s="18">
        <v>683315.26</v>
      </c>
      <c r="D9800" s="18">
        <v>2746374.19</v>
      </c>
      <c r="E9800" s="18">
        <v>323.10000000000002</v>
      </c>
      <c r="F9800" s="18">
        <v>41919.32</v>
      </c>
      <c r="G9800" s="18">
        <v>110908</v>
      </c>
      <c r="H9800" s="18">
        <f t="shared" si="209"/>
        <v>41894.32</v>
      </c>
    </row>
    <row r="9801" spans="1:8" ht="19.5" customHeight="1" x14ac:dyDescent="0.55000000000000004">
      <c r="A9801" s="18">
        <v>24.821263600000002</v>
      </c>
      <c r="B9801" s="18">
        <v>34.8137878</v>
      </c>
      <c r="C9801" s="18">
        <v>683312.66</v>
      </c>
      <c r="D9801" s="18">
        <v>2746375.06</v>
      </c>
      <c r="E9801" s="18">
        <v>323.29000000000002</v>
      </c>
      <c r="F9801" s="18">
        <v>41919.300000000003</v>
      </c>
      <c r="G9801" s="18">
        <v>110910</v>
      </c>
      <c r="H9801" s="18">
        <f t="shared" si="209"/>
        <v>41894.300000000003</v>
      </c>
    </row>
    <row r="9802" spans="1:8" ht="19.5" customHeight="1" x14ac:dyDescent="0.55000000000000004">
      <c r="A9802" s="18">
        <v>24.821266900000001</v>
      </c>
      <c r="B9802" s="18">
        <v>34.813763199999997</v>
      </c>
      <c r="C9802" s="18">
        <v>683310.17</v>
      </c>
      <c r="D9802" s="18">
        <v>2746375.39</v>
      </c>
      <c r="E9802" s="18">
        <v>323.41000000000003</v>
      </c>
      <c r="F9802" s="18">
        <v>41920.83</v>
      </c>
      <c r="G9802" s="18">
        <v>110912</v>
      </c>
      <c r="H9802" s="18">
        <f t="shared" si="209"/>
        <v>41895.83</v>
      </c>
    </row>
    <row r="9803" spans="1:8" ht="19.5" customHeight="1" x14ac:dyDescent="0.55000000000000004">
      <c r="A9803" s="18">
        <v>24.8212689</v>
      </c>
      <c r="B9803" s="18">
        <v>34.813738399999998</v>
      </c>
      <c r="C9803" s="18">
        <v>683307.65</v>
      </c>
      <c r="D9803" s="18">
        <v>2746375.58</v>
      </c>
      <c r="E9803" s="18">
        <v>323.43</v>
      </c>
      <c r="F9803" s="18">
        <v>41920.47</v>
      </c>
      <c r="G9803" s="18">
        <v>110914</v>
      </c>
      <c r="H9803" s="18">
        <f t="shared" si="209"/>
        <v>41895.47</v>
      </c>
    </row>
    <row r="9804" spans="1:8" ht="19.5" customHeight="1" x14ac:dyDescent="0.55000000000000004">
      <c r="A9804" s="18">
        <v>24.8212738</v>
      </c>
      <c r="B9804" s="18">
        <v>34.813713999999997</v>
      </c>
      <c r="C9804" s="18">
        <v>683305.18</v>
      </c>
      <c r="D9804" s="18">
        <v>2746376.09</v>
      </c>
      <c r="E9804" s="18">
        <v>323.52999999999997</v>
      </c>
      <c r="F9804" s="18">
        <v>41916.339999999997</v>
      </c>
      <c r="G9804" s="18">
        <v>110916</v>
      </c>
      <c r="H9804" s="18">
        <f t="shared" si="209"/>
        <v>41891.339999999997</v>
      </c>
    </row>
    <row r="9805" spans="1:8" ht="19.5" customHeight="1" x14ac:dyDescent="0.55000000000000004">
      <c r="A9805" s="18">
        <v>24.8212832</v>
      </c>
      <c r="B9805" s="18">
        <v>34.813690299999998</v>
      </c>
      <c r="C9805" s="18">
        <v>683302.77</v>
      </c>
      <c r="D9805" s="18">
        <v>2746377.1</v>
      </c>
      <c r="E9805" s="18">
        <v>323.55</v>
      </c>
      <c r="F9805" s="18">
        <v>41917.26</v>
      </c>
      <c r="G9805" s="18">
        <v>110918</v>
      </c>
      <c r="H9805" s="18">
        <f t="shared" si="209"/>
        <v>41892.26</v>
      </c>
    </row>
    <row r="9806" spans="1:8" ht="19.5" customHeight="1" x14ac:dyDescent="0.55000000000000004">
      <c r="A9806" s="18">
        <v>24.821294699999999</v>
      </c>
      <c r="B9806" s="18">
        <v>34.813667500000001</v>
      </c>
      <c r="C9806" s="18">
        <v>683300.45</v>
      </c>
      <c r="D9806" s="18">
        <v>2746378.34</v>
      </c>
      <c r="E9806" s="18">
        <v>323.58</v>
      </c>
      <c r="F9806" s="18">
        <v>41915.46</v>
      </c>
      <c r="G9806" s="18">
        <v>110920</v>
      </c>
      <c r="H9806" s="18">
        <f t="shared" si="209"/>
        <v>41890.46</v>
      </c>
    </row>
    <row r="9807" spans="1:8" ht="19.5" customHeight="1" x14ac:dyDescent="0.55000000000000004">
      <c r="A9807" s="18">
        <v>24.821305599999999</v>
      </c>
      <c r="B9807" s="18">
        <v>34.8136443</v>
      </c>
      <c r="C9807" s="18">
        <v>683298.09</v>
      </c>
      <c r="D9807" s="18">
        <v>2746379.52</v>
      </c>
      <c r="E9807" s="18">
        <v>323.68</v>
      </c>
      <c r="F9807" s="18">
        <v>41919.57</v>
      </c>
      <c r="G9807" s="18">
        <v>110922</v>
      </c>
      <c r="H9807" s="18">
        <f t="shared" si="209"/>
        <v>41894.57</v>
      </c>
    </row>
    <row r="9808" spans="1:8" ht="19.5" customHeight="1" x14ac:dyDescent="0.55000000000000004">
      <c r="A9808" s="18">
        <v>24.8213197</v>
      </c>
      <c r="B9808" s="18">
        <v>34.813622100000003</v>
      </c>
      <c r="C9808" s="18">
        <v>683295.82</v>
      </c>
      <c r="D9808" s="18">
        <v>2746381.05</v>
      </c>
      <c r="E9808" s="18">
        <v>323.76</v>
      </c>
      <c r="F9808" s="18">
        <v>41918.43</v>
      </c>
      <c r="G9808" s="18">
        <v>110924</v>
      </c>
      <c r="H9808" s="18">
        <f t="shared" si="209"/>
        <v>41893.43</v>
      </c>
    </row>
    <row r="9809" spans="1:8" ht="19.5" customHeight="1" x14ac:dyDescent="0.55000000000000004">
      <c r="A9809" s="18">
        <v>24.821332600000002</v>
      </c>
      <c r="B9809" s="18">
        <v>34.8135999</v>
      </c>
      <c r="C9809" s="18">
        <v>683293.56</v>
      </c>
      <c r="D9809" s="18">
        <v>2746382.45</v>
      </c>
      <c r="E9809" s="18">
        <v>323.82</v>
      </c>
      <c r="F9809" s="18">
        <v>41918.57</v>
      </c>
      <c r="G9809" s="18">
        <v>110926</v>
      </c>
      <c r="H9809" s="18">
        <f t="shared" si="209"/>
        <v>41893.57</v>
      </c>
    </row>
    <row r="9810" spans="1:8" ht="19.5" customHeight="1" x14ac:dyDescent="0.55000000000000004">
      <c r="A9810" s="18">
        <v>24.821345099999998</v>
      </c>
      <c r="B9810" s="18">
        <v>34.813580399999999</v>
      </c>
      <c r="C9810" s="18">
        <v>683291.57</v>
      </c>
      <c r="D9810" s="18">
        <v>2746383.8</v>
      </c>
      <c r="E9810" s="18">
        <v>323.98</v>
      </c>
      <c r="F9810" s="18">
        <v>41913.730000000003</v>
      </c>
      <c r="G9810" s="18">
        <v>110928</v>
      </c>
      <c r="H9810" s="18">
        <f t="shared" si="209"/>
        <v>41888.730000000003</v>
      </c>
    </row>
    <row r="9811" spans="1:8" ht="19.5" customHeight="1" x14ac:dyDescent="0.55000000000000004">
      <c r="A9811" s="18">
        <v>24.821357599999999</v>
      </c>
      <c r="B9811" s="18">
        <v>34.813558999999998</v>
      </c>
      <c r="C9811" s="18">
        <v>683289.39</v>
      </c>
      <c r="D9811" s="18">
        <v>2746385.17</v>
      </c>
      <c r="E9811" s="18">
        <v>323.95999999999998</v>
      </c>
      <c r="F9811" s="18">
        <v>41913.99</v>
      </c>
      <c r="G9811" s="18">
        <v>110930</v>
      </c>
      <c r="H9811" s="18">
        <f t="shared" si="209"/>
        <v>41888.99</v>
      </c>
    </row>
    <row r="9812" spans="1:8" ht="19.5" customHeight="1" x14ac:dyDescent="0.55000000000000004">
      <c r="A9812" s="18">
        <v>24.8213729</v>
      </c>
      <c r="B9812" s="18">
        <v>34.813538800000003</v>
      </c>
      <c r="C9812" s="18">
        <v>683287.32</v>
      </c>
      <c r="D9812" s="18">
        <v>2746386.83</v>
      </c>
      <c r="E9812" s="18">
        <v>324.01</v>
      </c>
      <c r="F9812" s="18">
        <v>41913.9</v>
      </c>
      <c r="G9812" s="18">
        <v>110932</v>
      </c>
      <c r="H9812" s="18">
        <f t="shared" si="209"/>
        <v>41888.9</v>
      </c>
    </row>
    <row r="9813" spans="1:8" ht="19.5" customHeight="1" x14ac:dyDescent="0.55000000000000004">
      <c r="A9813" s="18">
        <v>24.821386100000002</v>
      </c>
      <c r="B9813" s="18">
        <v>34.813517900000001</v>
      </c>
      <c r="C9813" s="18">
        <v>683285.19</v>
      </c>
      <c r="D9813" s="18">
        <v>2746388.27</v>
      </c>
      <c r="E9813" s="18">
        <v>324.07</v>
      </c>
      <c r="F9813" s="18">
        <v>41912.959999999999</v>
      </c>
      <c r="G9813" s="18">
        <v>110934</v>
      </c>
      <c r="H9813" s="18">
        <f t="shared" ref="H9813:H9876" si="210">SUM(F9813-25)</f>
        <v>41887.96</v>
      </c>
    </row>
    <row r="9814" spans="1:8" ht="19.5" customHeight="1" x14ac:dyDescent="0.55000000000000004">
      <c r="A9814" s="18">
        <v>24.821389499999999</v>
      </c>
      <c r="B9814" s="18">
        <v>34.813493399999999</v>
      </c>
      <c r="C9814" s="18">
        <v>683282.71</v>
      </c>
      <c r="D9814" s="18">
        <v>2746388.61</v>
      </c>
      <c r="E9814" s="18">
        <v>324.10000000000002</v>
      </c>
      <c r="F9814" s="18">
        <v>41915.78</v>
      </c>
      <c r="G9814" s="18">
        <v>110936</v>
      </c>
      <c r="H9814" s="18">
        <f t="shared" si="210"/>
        <v>41890.78</v>
      </c>
    </row>
    <row r="9815" spans="1:8" ht="19.5" customHeight="1" x14ac:dyDescent="0.55000000000000004">
      <c r="A9815" s="18">
        <v>24.821397099999999</v>
      </c>
      <c r="B9815" s="18">
        <v>34.813469099999999</v>
      </c>
      <c r="C9815" s="18">
        <v>683280.24</v>
      </c>
      <c r="D9815" s="18">
        <v>2746389.42</v>
      </c>
      <c r="E9815" s="18">
        <v>324.20999999999998</v>
      </c>
      <c r="F9815" s="18">
        <v>41913.769999999997</v>
      </c>
      <c r="G9815" s="18">
        <v>110938</v>
      </c>
      <c r="H9815" s="18">
        <f t="shared" si="210"/>
        <v>41888.769999999997</v>
      </c>
    </row>
    <row r="9816" spans="1:8" ht="19.5" customHeight="1" x14ac:dyDescent="0.55000000000000004">
      <c r="A9816" s="18">
        <v>24.821410499999999</v>
      </c>
      <c r="B9816" s="18">
        <v>34.813448000000001</v>
      </c>
      <c r="C9816" s="18">
        <v>683278.09</v>
      </c>
      <c r="D9816" s="18">
        <v>2746390.87</v>
      </c>
      <c r="E9816" s="18">
        <v>324.24</v>
      </c>
      <c r="F9816" s="18">
        <v>41912.44</v>
      </c>
      <c r="G9816" s="18">
        <v>110940</v>
      </c>
      <c r="H9816" s="18">
        <f t="shared" si="210"/>
        <v>41887.440000000002</v>
      </c>
    </row>
    <row r="9817" spans="1:8" ht="19.5" customHeight="1" x14ac:dyDescent="0.55000000000000004">
      <c r="A9817" s="18">
        <v>24.8214179</v>
      </c>
      <c r="B9817" s="18">
        <v>34.813423499999999</v>
      </c>
      <c r="C9817" s="18">
        <v>683275.61</v>
      </c>
      <c r="D9817" s="18">
        <v>2746391.66</v>
      </c>
      <c r="E9817" s="18">
        <v>324.29000000000002</v>
      </c>
      <c r="F9817" s="18">
        <v>41914.160000000003</v>
      </c>
      <c r="G9817" s="18">
        <v>110942</v>
      </c>
      <c r="H9817" s="18">
        <f t="shared" si="210"/>
        <v>41889.160000000003</v>
      </c>
    </row>
    <row r="9818" spans="1:8" ht="19.5" customHeight="1" x14ac:dyDescent="0.55000000000000004">
      <c r="A9818" s="18">
        <v>24.8214279</v>
      </c>
      <c r="B9818" s="18">
        <v>34.813400700000003</v>
      </c>
      <c r="C9818" s="18">
        <v>683273.28</v>
      </c>
      <c r="D9818" s="18">
        <v>2746392.74</v>
      </c>
      <c r="E9818" s="18">
        <v>324.41000000000003</v>
      </c>
      <c r="F9818" s="18">
        <v>41918.79</v>
      </c>
      <c r="G9818" s="18">
        <v>110944</v>
      </c>
      <c r="H9818" s="18">
        <f t="shared" si="210"/>
        <v>41893.79</v>
      </c>
    </row>
    <row r="9819" spans="1:8" ht="19.5" customHeight="1" x14ac:dyDescent="0.55000000000000004">
      <c r="A9819" s="18">
        <v>24.821439699999999</v>
      </c>
      <c r="B9819" s="18">
        <v>34.813379400000002</v>
      </c>
      <c r="C9819" s="18">
        <v>683271.11</v>
      </c>
      <c r="D9819" s="18">
        <v>2746394.01</v>
      </c>
      <c r="E9819" s="18">
        <v>324.43</v>
      </c>
      <c r="F9819" s="18">
        <v>41914.39</v>
      </c>
      <c r="G9819" s="18">
        <v>110946</v>
      </c>
      <c r="H9819" s="18">
        <f t="shared" si="210"/>
        <v>41889.39</v>
      </c>
    </row>
    <row r="9820" spans="1:8" ht="19.5" customHeight="1" x14ac:dyDescent="0.55000000000000004">
      <c r="A9820" s="18">
        <v>24.821448400000001</v>
      </c>
      <c r="B9820" s="18">
        <v>34.813357400000001</v>
      </c>
      <c r="C9820" s="18">
        <v>683268.87</v>
      </c>
      <c r="D9820" s="18">
        <v>2746394.95</v>
      </c>
      <c r="E9820" s="18">
        <v>324.55</v>
      </c>
      <c r="F9820" s="18">
        <v>41914.47</v>
      </c>
      <c r="G9820" s="18">
        <v>110948</v>
      </c>
      <c r="H9820" s="18">
        <f t="shared" si="210"/>
        <v>41889.47</v>
      </c>
    </row>
    <row r="9821" spans="1:8" ht="19.5" customHeight="1" x14ac:dyDescent="0.55000000000000004">
      <c r="A9821" s="18">
        <v>24.821464599999999</v>
      </c>
      <c r="B9821" s="18">
        <v>34.813341299999998</v>
      </c>
      <c r="C9821" s="18">
        <v>683267.22</v>
      </c>
      <c r="D9821" s="18">
        <v>2746396.72</v>
      </c>
      <c r="E9821" s="18">
        <v>324.55</v>
      </c>
      <c r="F9821" s="18">
        <v>41911.56</v>
      </c>
      <c r="G9821" s="18">
        <v>110950</v>
      </c>
      <c r="H9821" s="18">
        <f t="shared" si="210"/>
        <v>41886.559999999998</v>
      </c>
    </row>
    <row r="9822" spans="1:8" ht="19.5" customHeight="1" x14ac:dyDescent="0.55000000000000004">
      <c r="A9822" s="18">
        <v>24.821477900000001</v>
      </c>
      <c r="B9822" s="18">
        <v>34.813323599999997</v>
      </c>
      <c r="C9822" s="18">
        <v>683265.41</v>
      </c>
      <c r="D9822" s="18">
        <v>2746398.17</v>
      </c>
      <c r="E9822" s="18">
        <v>324.61</v>
      </c>
      <c r="F9822" s="18">
        <v>41912.53</v>
      </c>
      <c r="G9822" s="18">
        <v>110952</v>
      </c>
      <c r="H9822" s="18">
        <f t="shared" si="210"/>
        <v>41887.53</v>
      </c>
    </row>
    <row r="9823" spans="1:8" ht="19.5" customHeight="1" x14ac:dyDescent="0.55000000000000004">
      <c r="A9823" s="18">
        <v>24.821491699999999</v>
      </c>
      <c r="B9823" s="18">
        <v>34.813305700000001</v>
      </c>
      <c r="C9823" s="18">
        <v>683263.58</v>
      </c>
      <c r="D9823" s="18">
        <v>2746399.68</v>
      </c>
      <c r="E9823" s="18">
        <v>324.66000000000003</v>
      </c>
      <c r="F9823" s="18">
        <v>41916.68</v>
      </c>
      <c r="G9823" s="18">
        <v>110954</v>
      </c>
      <c r="H9823" s="18">
        <f t="shared" si="210"/>
        <v>41891.68</v>
      </c>
    </row>
    <row r="9824" spans="1:8" ht="19.5" customHeight="1" x14ac:dyDescent="0.55000000000000004">
      <c r="A9824" s="18">
        <v>24.821503400000001</v>
      </c>
      <c r="B9824" s="18">
        <v>34.813285100000002</v>
      </c>
      <c r="C9824" s="18">
        <v>683261.49</v>
      </c>
      <c r="D9824" s="18">
        <v>2746400.95</v>
      </c>
      <c r="E9824" s="18">
        <v>324.70999999999998</v>
      </c>
      <c r="F9824" s="18">
        <v>41914.19</v>
      </c>
      <c r="G9824" s="18">
        <v>110956</v>
      </c>
      <c r="H9824" s="18">
        <f t="shared" si="210"/>
        <v>41889.19</v>
      </c>
    </row>
    <row r="9825" spans="1:8" ht="19.5" customHeight="1" x14ac:dyDescent="0.55000000000000004">
      <c r="A9825" s="18">
        <v>24.8215191</v>
      </c>
      <c r="B9825" s="18">
        <v>34.813267799999998</v>
      </c>
      <c r="C9825" s="18">
        <v>683259.72</v>
      </c>
      <c r="D9825" s="18">
        <v>2746402.66</v>
      </c>
      <c r="E9825" s="18">
        <v>324.82</v>
      </c>
      <c r="F9825" s="18">
        <v>41914.6</v>
      </c>
      <c r="G9825" s="18">
        <v>110958</v>
      </c>
      <c r="H9825" s="18">
        <f t="shared" si="210"/>
        <v>41889.599999999999</v>
      </c>
    </row>
    <row r="9826" spans="1:8" ht="19.5" customHeight="1" x14ac:dyDescent="0.55000000000000004">
      <c r="A9826" s="18">
        <v>24.821536500000001</v>
      </c>
      <c r="B9826" s="18">
        <v>34.8132564</v>
      </c>
      <c r="C9826" s="18">
        <v>683258.53</v>
      </c>
      <c r="D9826" s="18">
        <v>2746404.57</v>
      </c>
      <c r="E9826" s="18">
        <v>324.79000000000002</v>
      </c>
      <c r="F9826" s="18">
        <v>41913.75</v>
      </c>
      <c r="G9826" s="18">
        <v>111000</v>
      </c>
      <c r="H9826" s="18">
        <f t="shared" si="210"/>
        <v>41888.75</v>
      </c>
    </row>
    <row r="9827" spans="1:8" ht="19.5" customHeight="1" x14ac:dyDescent="0.55000000000000004">
      <c r="A9827" s="18">
        <v>24.8215538</v>
      </c>
      <c r="B9827" s="18">
        <v>34.813244400000002</v>
      </c>
      <c r="C9827" s="18">
        <v>683257.3</v>
      </c>
      <c r="D9827" s="18">
        <v>2746406.47</v>
      </c>
      <c r="E9827" s="18">
        <v>324.87</v>
      </c>
      <c r="F9827" s="18">
        <v>41911.910000000003</v>
      </c>
      <c r="G9827" s="18">
        <v>111002</v>
      </c>
      <c r="H9827" s="18">
        <f t="shared" si="210"/>
        <v>41886.910000000003</v>
      </c>
    </row>
    <row r="9828" spans="1:8" ht="19.5" customHeight="1" x14ac:dyDescent="0.55000000000000004">
      <c r="A9828" s="18">
        <v>24.8215681</v>
      </c>
      <c r="B9828" s="18">
        <v>34.813239099999997</v>
      </c>
      <c r="C9828" s="18">
        <v>683256.74</v>
      </c>
      <c r="D9828" s="18">
        <v>2746408.05</v>
      </c>
      <c r="E9828" s="18">
        <v>324.85000000000002</v>
      </c>
      <c r="F9828" s="18">
        <v>41912.589999999997</v>
      </c>
      <c r="G9828" s="18">
        <v>111004</v>
      </c>
      <c r="H9828" s="18">
        <f t="shared" si="210"/>
        <v>41887.589999999997</v>
      </c>
    </row>
    <row r="9829" spans="1:8" ht="19.5" customHeight="1" x14ac:dyDescent="0.55000000000000004">
      <c r="A9829" s="18">
        <v>24.821580000000001</v>
      </c>
      <c r="B9829" s="18">
        <v>34.813227599999998</v>
      </c>
      <c r="C9829" s="18">
        <v>683255.57</v>
      </c>
      <c r="D9829" s="18">
        <v>2746409.35</v>
      </c>
      <c r="E9829" s="18">
        <v>324.86</v>
      </c>
      <c r="F9829" s="18">
        <v>41910.22</v>
      </c>
      <c r="G9829" s="18">
        <v>111006</v>
      </c>
      <c r="H9829" s="18">
        <f t="shared" si="210"/>
        <v>41885.22</v>
      </c>
    </row>
    <row r="9830" spans="1:8" ht="19.5" customHeight="1" x14ac:dyDescent="0.55000000000000004">
      <c r="A9830" s="18">
        <v>24.8215957</v>
      </c>
      <c r="B9830" s="18">
        <v>34.813216799999999</v>
      </c>
      <c r="C9830" s="18">
        <v>683254.44</v>
      </c>
      <c r="D9830" s="18">
        <v>2746411.07</v>
      </c>
      <c r="E9830" s="18">
        <v>324.85000000000002</v>
      </c>
      <c r="F9830" s="18">
        <v>41911.56</v>
      </c>
      <c r="G9830" s="18">
        <v>111008</v>
      </c>
      <c r="H9830" s="18">
        <f t="shared" si="210"/>
        <v>41886.559999999998</v>
      </c>
    </row>
    <row r="9831" spans="1:8" ht="19.5" customHeight="1" x14ac:dyDescent="0.55000000000000004">
      <c r="A9831" s="18">
        <v>24.8216094</v>
      </c>
      <c r="B9831" s="18">
        <v>34.813205400000001</v>
      </c>
      <c r="C9831" s="18">
        <v>683253.28</v>
      </c>
      <c r="D9831" s="18">
        <v>2746412.58</v>
      </c>
      <c r="E9831" s="18">
        <v>324.89999999999998</v>
      </c>
      <c r="F9831" s="18">
        <v>41910.97</v>
      </c>
      <c r="G9831" s="18">
        <v>111010</v>
      </c>
      <c r="H9831" s="18">
        <f t="shared" si="210"/>
        <v>41885.97</v>
      </c>
    </row>
    <row r="9832" spans="1:8" ht="19.5" customHeight="1" x14ac:dyDescent="0.55000000000000004">
      <c r="A9832" s="18">
        <v>24.8216213</v>
      </c>
      <c r="B9832" s="18">
        <v>34.813189600000001</v>
      </c>
      <c r="C9832" s="18">
        <v>683251.66</v>
      </c>
      <c r="D9832" s="18">
        <v>2746413.88</v>
      </c>
      <c r="E9832" s="18">
        <v>324.91000000000003</v>
      </c>
      <c r="F9832" s="18">
        <v>41910.99</v>
      </c>
      <c r="G9832" s="18">
        <v>111012</v>
      </c>
      <c r="H9832" s="18">
        <f t="shared" si="210"/>
        <v>41885.99</v>
      </c>
    </row>
    <row r="9833" spans="1:8" ht="19.5" customHeight="1" x14ac:dyDescent="0.55000000000000004">
      <c r="A9833" s="18">
        <v>24.821634899999999</v>
      </c>
      <c r="B9833" s="18">
        <v>34.813174400000001</v>
      </c>
      <c r="C9833" s="18">
        <v>683250.11</v>
      </c>
      <c r="D9833" s="18">
        <v>2746415.37</v>
      </c>
      <c r="E9833" s="18">
        <v>324.94</v>
      </c>
      <c r="F9833" s="18">
        <v>41912.089999999997</v>
      </c>
      <c r="G9833" s="18">
        <v>111014</v>
      </c>
      <c r="H9833" s="18">
        <f t="shared" si="210"/>
        <v>41887.089999999997</v>
      </c>
    </row>
    <row r="9834" spans="1:8" ht="19.5" customHeight="1" x14ac:dyDescent="0.55000000000000004">
      <c r="A9834" s="18">
        <v>24.821647899999999</v>
      </c>
      <c r="B9834" s="18">
        <v>34.813159800000001</v>
      </c>
      <c r="C9834" s="18">
        <v>683248.61</v>
      </c>
      <c r="D9834" s="18">
        <v>2746416.78</v>
      </c>
      <c r="E9834" s="18">
        <v>325</v>
      </c>
      <c r="F9834" s="18">
        <v>41907.31</v>
      </c>
      <c r="G9834" s="18">
        <v>111016</v>
      </c>
      <c r="H9834" s="18">
        <f t="shared" si="210"/>
        <v>41882.31</v>
      </c>
    </row>
    <row r="9835" spans="1:8" ht="19.5" customHeight="1" x14ac:dyDescent="0.55000000000000004">
      <c r="A9835" s="18">
        <v>24.821657399999999</v>
      </c>
      <c r="B9835" s="18">
        <v>34.813140500000003</v>
      </c>
      <c r="C9835" s="18">
        <v>683246.65</v>
      </c>
      <c r="D9835" s="18">
        <v>2746417.8</v>
      </c>
      <c r="E9835" s="18">
        <v>325.06</v>
      </c>
      <c r="F9835" s="18">
        <v>41909.949999999997</v>
      </c>
      <c r="G9835" s="18">
        <v>111018</v>
      </c>
      <c r="H9835" s="18">
        <f t="shared" si="210"/>
        <v>41884.949999999997</v>
      </c>
    </row>
    <row r="9836" spans="1:8" ht="19.5" customHeight="1" x14ac:dyDescent="0.55000000000000004">
      <c r="A9836" s="18">
        <v>24.821668500000001</v>
      </c>
      <c r="B9836" s="18">
        <v>34.813119800000003</v>
      </c>
      <c r="C9836" s="18">
        <v>683244.53</v>
      </c>
      <c r="D9836" s="18">
        <v>2746419.01</v>
      </c>
      <c r="E9836" s="18">
        <v>325.14999999999998</v>
      </c>
      <c r="F9836" s="18">
        <v>41908.720000000001</v>
      </c>
      <c r="G9836" s="18">
        <v>111020</v>
      </c>
      <c r="H9836" s="18">
        <f t="shared" si="210"/>
        <v>41883.72</v>
      </c>
    </row>
    <row r="9837" spans="1:8" ht="19.5" customHeight="1" x14ac:dyDescent="0.55000000000000004">
      <c r="A9837" s="18">
        <v>24.8216787</v>
      </c>
      <c r="B9837" s="18">
        <v>34.813098099999998</v>
      </c>
      <c r="C9837" s="18">
        <v>683242.32</v>
      </c>
      <c r="D9837" s="18">
        <v>2746420.11</v>
      </c>
      <c r="E9837" s="18">
        <v>325.19</v>
      </c>
      <c r="F9837" s="18">
        <v>41907.800000000003</v>
      </c>
      <c r="G9837" s="18">
        <v>111022</v>
      </c>
      <c r="H9837" s="18">
        <f t="shared" si="210"/>
        <v>41882.800000000003</v>
      </c>
    </row>
    <row r="9838" spans="1:8" ht="19.5" customHeight="1" x14ac:dyDescent="0.55000000000000004">
      <c r="A9838" s="18">
        <v>24.821689800000001</v>
      </c>
      <c r="B9838" s="18">
        <v>34.813075900000001</v>
      </c>
      <c r="C9838" s="18">
        <v>683240.06</v>
      </c>
      <c r="D9838" s="18">
        <v>2746421.31</v>
      </c>
      <c r="E9838" s="18">
        <v>325.38</v>
      </c>
      <c r="F9838" s="18">
        <v>41904.559999999998</v>
      </c>
      <c r="G9838" s="18">
        <v>111024</v>
      </c>
      <c r="H9838" s="18">
        <f t="shared" si="210"/>
        <v>41879.56</v>
      </c>
    </row>
    <row r="9839" spans="1:8" ht="19.5" customHeight="1" x14ac:dyDescent="0.55000000000000004">
      <c r="A9839" s="18">
        <v>24.821699299999999</v>
      </c>
      <c r="B9839" s="18">
        <v>34.813054700000002</v>
      </c>
      <c r="C9839" s="18">
        <v>683237.91</v>
      </c>
      <c r="D9839" s="18">
        <v>2746422.33</v>
      </c>
      <c r="E9839" s="18">
        <v>325.51</v>
      </c>
      <c r="F9839" s="18">
        <v>41902.400000000001</v>
      </c>
      <c r="G9839" s="18">
        <v>111026</v>
      </c>
      <c r="H9839" s="18">
        <f t="shared" si="210"/>
        <v>41877.4</v>
      </c>
    </row>
    <row r="9840" spans="1:8" ht="19.5" customHeight="1" x14ac:dyDescent="0.55000000000000004">
      <c r="A9840" s="18">
        <v>24.821711499999999</v>
      </c>
      <c r="B9840" s="18">
        <v>34.813035300000003</v>
      </c>
      <c r="C9840" s="18">
        <v>683235.93</v>
      </c>
      <c r="D9840" s="18">
        <v>2746423.66</v>
      </c>
      <c r="E9840" s="18">
        <v>325.66000000000003</v>
      </c>
      <c r="F9840" s="18">
        <v>41903.839999999997</v>
      </c>
      <c r="G9840" s="18">
        <v>111028</v>
      </c>
      <c r="H9840" s="18">
        <f t="shared" si="210"/>
        <v>41878.839999999997</v>
      </c>
    </row>
    <row r="9841" spans="1:8" ht="19.5" customHeight="1" x14ac:dyDescent="0.55000000000000004">
      <c r="A9841" s="18">
        <v>24.821724700000001</v>
      </c>
      <c r="B9841" s="18">
        <v>34.813013300000001</v>
      </c>
      <c r="C9841" s="18">
        <v>683233.68</v>
      </c>
      <c r="D9841" s="18">
        <v>2746425.09</v>
      </c>
      <c r="E9841" s="18">
        <v>325.76</v>
      </c>
      <c r="F9841" s="18">
        <v>41903.94</v>
      </c>
      <c r="G9841" s="18">
        <v>111030</v>
      </c>
      <c r="H9841" s="18">
        <f t="shared" si="210"/>
        <v>41878.94</v>
      </c>
    </row>
    <row r="9842" spans="1:8" ht="19.5" customHeight="1" x14ac:dyDescent="0.55000000000000004">
      <c r="A9842" s="18">
        <v>24.821736000000001</v>
      </c>
      <c r="B9842" s="18">
        <v>34.812991199999999</v>
      </c>
      <c r="C9842" s="18">
        <v>683231.44</v>
      </c>
      <c r="D9842" s="18">
        <v>2746426.32</v>
      </c>
      <c r="E9842" s="18">
        <v>325.75</v>
      </c>
      <c r="F9842" s="18">
        <v>41904.14</v>
      </c>
      <c r="G9842" s="18">
        <v>111032</v>
      </c>
      <c r="H9842" s="18">
        <f t="shared" si="210"/>
        <v>41879.14</v>
      </c>
    </row>
    <row r="9843" spans="1:8" ht="19.5" customHeight="1" x14ac:dyDescent="0.55000000000000004">
      <c r="A9843" s="18">
        <v>24.821748700000001</v>
      </c>
      <c r="B9843" s="18">
        <v>34.812970800000002</v>
      </c>
      <c r="C9843" s="18">
        <v>683229.36</v>
      </c>
      <c r="D9843" s="18">
        <v>2746427.69</v>
      </c>
      <c r="E9843" s="18">
        <v>325.82</v>
      </c>
      <c r="F9843" s="18">
        <v>41905.06</v>
      </c>
      <c r="G9843" s="18">
        <v>111034</v>
      </c>
      <c r="H9843" s="18">
        <f t="shared" si="210"/>
        <v>41880.06</v>
      </c>
    </row>
    <row r="9844" spans="1:8" ht="19.5" customHeight="1" x14ac:dyDescent="0.55000000000000004">
      <c r="A9844" s="18">
        <v>24.8217608</v>
      </c>
      <c r="B9844" s="18">
        <v>34.812949600000003</v>
      </c>
      <c r="C9844" s="18">
        <v>683227.19</v>
      </c>
      <c r="D9844" s="18">
        <v>2746429</v>
      </c>
      <c r="E9844" s="18">
        <v>325.87</v>
      </c>
      <c r="F9844" s="18">
        <v>41906.51</v>
      </c>
      <c r="G9844" s="18">
        <v>111036</v>
      </c>
      <c r="H9844" s="18">
        <f t="shared" si="210"/>
        <v>41881.51</v>
      </c>
    </row>
    <row r="9845" spans="1:8" ht="19.5" customHeight="1" x14ac:dyDescent="0.55000000000000004">
      <c r="A9845" s="18">
        <v>24.821774000000001</v>
      </c>
      <c r="B9845" s="18">
        <v>34.812929500000003</v>
      </c>
      <c r="C9845" s="18">
        <v>683225.14</v>
      </c>
      <c r="D9845" s="18">
        <v>2746430.44</v>
      </c>
      <c r="E9845" s="18">
        <v>325.98</v>
      </c>
      <c r="F9845" s="18">
        <v>41907.339999999997</v>
      </c>
      <c r="G9845" s="18">
        <v>111038</v>
      </c>
      <c r="H9845" s="18">
        <f t="shared" si="210"/>
        <v>41882.339999999997</v>
      </c>
    </row>
    <row r="9846" spans="1:8" ht="19.5" customHeight="1" x14ac:dyDescent="0.55000000000000004">
      <c r="A9846" s="18">
        <v>24.821783499999999</v>
      </c>
      <c r="B9846" s="18">
        <v>34.812907500000001</v>
      </c>
      <c r="C9846" s="18">
        <v>683222.91</v>
      </c>
      <c r="D9846" s="18">
        <v>2746431.46</v>
      </c>
      <c r="E9846" s="18">
        <v>326.10000000000002</v>
      </c>
      <c r="F9846" s="18">
        <v>41907.49</v>
      </c>
      <c r="G9846" s="18">
        <v>111040</v>
      </c>
      <c r="H9846" s="18">
        <f t="shared" si="210"/>
        <v>41882.49</v>
      </c>
    </row>
    <row r="9847" spans="1:8" ht="19.5" customHeight="1" x14ac:dyDescent="0.55000000000000004">
      <c r="A9847" s="18">
        <v>24.821793400000001</v>
      </c>
      <c r="B9847" s="18">
        <v>34.812885399999999</v>
      </c>
      <c r="C9847" s="18">
        <v>683220.65</v>
      </c>
      <c r="D9847" s="18">
        <v>2746432.53</v>
      </c>
      <c r="E9847" s="18">
        <v>326.10000000000002</v>
      </c>
      <c r="F9847" s="18">
        <v>41907.15</v>
      </c>
      <c r="G9847" s="18">
        <v>111042</v>
      </c>
      <c r="H9847" s="18">
        <f t="shared" si="210"/>
        <v>41882.15</v>
      </c>
    </row>
    <row r="9848" spans="1:8" ht="19.5" customHeight="1" x14ac:dyDescent="0.55000000000000004">
      <c r="A9848" s="18">
        <v>24.821806800000001</v>
      </c>
      <c r="B9848" s="18">
        <v>34.812866900000003</v>
      </c>
      <c r="C9848" s="18">
        <v>683218.76</v>
      </c>
      <c r="D9848" s="18">
        <v>2746433.98</v>
      </c>
      <c r="E9848" s="18">
        <v>326.27999999999997</v>
      </c>
      <c r="F9848" s="18">
        <v>41909.29</v>
      </c>
      <c r="G9848" s="18">
        <v>111044</v>
      </c>
      <c r="H9848" s="18">
        <f t="shared" si="210"/>
        <v>41884.29</v>
      </c>
    </row>
    <row r="9849" spans="1:8" ht="19.5" customHeight="1" x14ac:dyDescent="0.55000000000000004">
      <c r="A9849" s="18">
        <v>24.8218198</v>
      </c>
      <c r="B9849" s="18">
        <v>34.812846700000001</v>
      </c>
      <c r="C9849" s="18">
        <v>683216.7</v>
      </c>
      <c r="D9849" s="18">
        <v>2746435.4</v>
      </c>
      <c r="E9849" s="18">
        <v>326.29000000000002</v>
      </c>
      <c r="F9849" s="18">
        <v>41904.89</v>
      </c>
      <c r="G9849" s="18">
        <v>111046</v>
      </c>
      <c r="H9849" s="18">
        <f t="shared" si="210"/>
        <v>41879.89</v>
      </c>
    </row>
    <row r="9850" spans="1:8" ht="19.5" customHeight="1" x14ac:dyDescent="0.55000000000000004">
      <c r="A9850" s="18">
        <v>24.8218326</v>
      </c>
      <c r="B9850" s="18">
        <v>34.812825400000001</v>
      </c>
      <c r="C9850" s="18">
        <v>683214.53</v>
      </c>
      <c r="D9850" s="18">
        <v>2746436.79</v>
      </c>
      <c r="E9850" s="18">
        <v>326.36</v>
      </c>
      <c r="F9850" s="18">
        <v>41901.519999999997</v>
      </c>
      <c r="G9850" s="18">
        <v>111048</v>
      </c>
      <c r="H9850" s="18">
        <f t="shared" si="210"/>
        <v>41876.519999999997</v>
      </c>
    </row>
    <row r="9851" spans="1:8" ht="19.5" customHeight="1" x14ac:dyDescent="0.55000000000000004">
      <c r="A9851" s="18">
        <v>24.8218456</v>
      </c>
      <c r="B9851" s="18">
        <v>34.812803199999998</v>
      </c>
      <c r="C9851" s="18">
        <v>683212.27</v>
      </c>
      <c r="D9851" s="18">
        <v>2746438.2</v>
      </c>
      <c r="E9851" s="18">
        <v>326.45999999999998</v>
      </c>
      <c r="F9851" s="18">
        <v>41906.99</v>
      </c>
      <c r="G9851" s="18">
        <v>111050</v>
      </c>
      <c r="H9851" s="18">
        <f t="shared" si="210"/>
        <v>41881.99</v>
      </c>
    </row>
    <row r="9852" spans="1:8" ht="19.5" customHeight="1" x14ac:dyDescent="0.55000000000000004">
      <c r="A9852" s="18">
        <v>24.8218563</v>
      </c>
      <c r="B9852" s="18">
        <v>34.812778999999999</v>
      </c>
      <c r="C9852" s="18">
        <v>683209.81</v>
      </c>
      <c r="D9852" s="18">
        <v>2746439.35</v>
      </c>
      <c r="E9852" s="18">
        <v>326.54000000000002</v>
      </c>
      <c r="F9852" s="18">
        <v>41907.56</v>
      </c>
      <c r="G9852" s="18">
        <v>111052</v>
      </c>
      <c r="H9852" s="18">
        <f t="shared" si="210"/>
        <v>41882.559999999998</v>
      </c>
    </row>
    <row r="9853" spans="1:8" ht="19.5" customHeight="1" x14ac:dyDescent="0.55000000000000004">
      <c r="A9853" s="18">
        <v>24.821867399999999</v>
      </c>
      <c r="B9853" s="18">
        <v>34.812757400000002</v>
      </c>
      <c r="C9853" s="18">
        <v>683207.61</v>
      </c>
      <c r="D9853" s="18">
        <v>2746440.55</v>
      </c>
      <c r="E9853" s="18">
        <v>326.64</v>
      </c>
      <c r="F9853" s="18">
        <v>41905.06</v>
      </c>
      <c r="G9853" s="18">
        <v>111054</v>
      </c>
      <c r="H9853" s="18">
        <f t="shared" si="210"/>
        <v>41880.06</v>
      </c>
    </row>
    <row r="9854" spans="1:8" ht="19.5" customHeight="1" x14ac:dyDescent="0.55000000000000004">
      <c r="A9854" s="18">
        <v>24.821878600000002</v>
      </c>
      <c r="B9854" s="18">
        <v>34.812735099999998</v>
      </c>
      <c r="C9854" s="18">
        <v>683205.34</v>
      </c>
      <c r="D9854" s="18">
        <v>2746441.77</v>
      </c>
      <c r="E9854" s="18">
        <v>326.7</v>
      </c>
      <c r="F9854" s="18">
        <v>41903.919999999998</v>
      </c>
      <c r="G9854" s="18">
        <v>111056</v>
      </c>
      <c r="H9854" s="18">
        <f t="shared" si="210"/>
        <v>41878.92</v>
      </c>
    </row>
    <row r="9855" spans="1:8" ht="19.5" customHeight="1" x14ac:dyDescent="0.55000000000000004">
      <c r="A9855" s="18">
        <v>24.821893500000002</v>
      </c>
      <c r="B9855" s="18">
        <v>34.812713700000003</v>
      </c>
      <c r="C9855" s="18">
        <v>683203.15</v>
      </c>
      <c r="D9855" s="18">
        <v>2746443.39</v>
      </c>
      <c r="E9855" s="18">
        <v>326.74</v>
      </c>
      <c r="F9855" s="18">
        <v>41910.29</v>
      </c>
      <c r="G9855" s="18">
        <v>111058</v>
      </c>
      <c r="H9855" s="18">
        <f t="shared" si="210"/>
        <v>41885.29</v>
      </c>
    </row>
    <row r="9856" spans="1:8" ht="19.5" customHeight="1" x14ac:dyDescent="0.55000000000000004">
      <c r="A9856" s="18">
        <v>24.821909699999999</v>
      </c>
      <c r="B9856" s="18">
        <v>34.812696299999999</v>
      </c>
      <c r="C9856" s="18">
        <v>683201.37</v>
      </c>
      <c r="D9856" s="18">
        <v>2746445.16</v>
      </c>
      <c r="E9856" s="18">
        <v>326.89</v>
      </c>
      <c r="F9856" s="18">
        <v>41908.75</v>
      </c>
      <c r="G9856" s="18">
        <v>111100</v>
      </c>
      <c r="H9856" s="18">
        <f t="shared" si="210"/>
        <v>41883.75</v>
      </c>
    </row>
    <row r="9857" spans="1:8" ht="19.5" customHeight="1" x14ac:dyDescent="0.55000000000000004">
      <c r="A9857" s="18">
        <v>24.8219256</v>
      </c>
      <c r="B9857" s="18">
        <v>34.812677399999998</v>
      </c>
      <c r="C9857" s="18">
        <v>683199.44</v>
      </c>
      <c r="D9857" s="18">
        <v>2746446.89</v>
      </c>
      <c r="E9857" s="18">
        <v>326.94</v>
      </c>
      <c r="F9857" s="18">
        <v>41909.339999999997</v>
      </c>
      <c r="G9857" s="18">
        <v>111102</v>
      </c>
      <c r="H9857" s="18">
        <f t="shared" si="210"/>
        <v>41884.339999999997</v>
      </c>
    </row>
    <row r="9858" spans="1:8" ht="19.5" customHeight="1" x14ac:dyDescent="0.55000000000000004">
      <c r="A9858" s="18">
        <v>24.821939400000002</v>
      </c>
      <c r="B9858" s="18">
        <v>34.8126563</v>
      </c>
      <c r="C9858" s="18">
        <v>683197.28</v>
      </c>
      <c r="D9858" s="18">
        <v>2746448.4</v>
      </c>
      <c r="E9858" s="18">
        <v>327</v>
      </c>
      <c r="F9858" s="18">
        <v>41908.800000000003</v>
      </c>
      <c r="G9858" s="18">
        <v>111104</v>
      </c>
      <c r="H9858" s="18">
        <f t="shared" si="210"/>
        <v>41883.800000000003</v>
      </c>
    </row>
    <row r="9859" spans="1:8" ht="19.5" customHeight="1" x14ac:dyDescent="0.55000000000000004">
      <c r="A9859" s="18">
        <v>24.821952100000001</v>
      </c>
      <c r="B9859" s="18">
        <v>34.812635800000002</v>
      </c>
      <c r="C9859" s="18">
        <v>683195.19</v>
      </c>
      <c r="D9859" s="18">
        <v>2746449.77</v>
      </c>
      <c r="E9859" s="18">
        <v>327.11</v>
      </c>
      <c r="F9859" s="18">
        <v>41909.839999999997</v>
      </c>
      <c r="G9859" s="18">
        <v>111106</v>
      </c>
      <c r="H9859" s="18">
        <f t="shared" si="210"/>
        <v>41884.839999999997</v>
      </c>
    </row>
    <row r="9860" spans="1:8" ht="19.5" customHeight="1" x14ac:dyDescent="0.55000000000000004">
      <c r="A9860" s="18">
        <v>24.821966799999998</v>
      </c>
      <c r="B9860" s="18">
        <v>34.812615899999997</v>
      </c>
      <c r="C9860" s="18">
        <v>683193.15</v>
      </c>
      <c r="D9860" s="18">
        <v>2746451.37</v>
      </c>
      <c r="E9860" s="18">
        <v>327.10000000000002</v>
      </c>
      <c r="F9860" s="18">
        <v>41906.019999999997</v>
      </c>
      <c r="G9860" s="18">
        <v>111108</v>
      </c>
      <c r="H9860" s="18">
        <f t="shared" si="210"/>
        <v>41881.019999999997</v>
      </c>
    </row>
    <row r="9861" spans="1:8" ht="19.5" customHeight="1" x14ac:dyDescent="0.55000000000000004">
      <c r="A9861" s="18">
        <v>24.821981600000001</v>
      </c>
      <c r="B9861" s="18">
        <v>34.812595899999998</v>
      </c>
      <c r="C9861" s="18">
        <v>683191.11</v>
      </c>
      <c r="D9861" s="18">
        <v>2746452.98</v>
      </c>
      <c r="E9861" s="18">
        <v>327.14</v>
      </c>
      <c r="F9861" s="18">
        <v>41905.33</v>
      </c>
      <c r="G9861" s="18">
        <v>111110</v>
      </c>
      <c r="H9861" s="18">
        <f t="shared" si="210"/>
        <v>41880.33</v>
      </c>
    </row>
    <row r="9862" spans="1:8" ht="19.5" customHeight="1" x14ac:dyDescent="0.55000000000000004">
      <c r="A9862" s="18">
        <v>24.821996299999999</v>
      </c>
      <c r="B9862" s="18">
        <v>34.812575099999997</v>
      </c>
      <c r="C9862" s="18">
        <v>683188.99</v>
      </c>
      <c r="D9862" s="18">
        <v>2746454.58</v>
      </c>
      <c r="E9862" s="18">
        <v>327.18</v>
      </c>
      <c r="F9862" s="18">
        <v>41906.04</v>
      </c>
      <c r="G9862" s="18">
        <v>111112</v>
      </c>
      <c r="H9862" s="18">
        <f t="shared" si="210"/>
        <v>41881.040000000001</v>
      </c>
    </row>
    <row r="9863" spans="1:8" ht="19.5" customHeight="1" x14ac:dyDescent="0.55000000000000004">
      <c r="A9863" s="18">
        <v>24.822009399999999</v>
      </c>
      <c r="B9863" s="18">
        <v>34.812552799999999</v>
      </c>
      <c r="C9863" s="18">
        <v>683186.72</v>
      </c>
      <c r="D9863" s="18">
        <v>2746456.01</v>
      </c>
      <c r="E9863" s="18">
        <v>327.24</v>
      </c>
      <c r="F9863" s="18">
        <v>41909.21</v>
      </c>
      <c r="G9863" s="18">
        <v>111114</v>
      </c>
      <c r="H9863" s="18">
        <f t="shared" si="210"/>
        <v>41884.21</v>
      </c>
    </row>
    <row r="9864" spans="1:8" ht="19.5" customHeight="1" x14ac:dyDescent="0.55000000000000004">
      <c r="A9864" s="18">
        <v>24.822020800000001</v>
      </c>
      <c r="B9864" s="18">
        <v>34.812531399999997</v>
      </c>
      <c r="C9864" s="18">
        <v>683184.54</v>
      </c>
      <c r="D9864" s="18">
        <v>2746457.24</v>
      </c>
      <c r="E9864" s="18">
        <v>327.32</v>
      </c>
      <c r="F9864" s="18">
        <v>41912.410000000003</v>
      </c>
      <c r="G9864" s="18">
        <v>111116</v>
      </c>
      <c r="H9864" s="18">
        <f t="shared" si="210"/>
        <v>41887.410000000003</v>
      </c>
    </row>
    <row r="9865" spans="1:8" ht="19.5" customHeight="1" x14ac:dyDescent="0.55000000000000004">
      <c r="A9865" s="18">
        <v>24.8220302</v>
      </c>
      <c r="B9865" s="18">
        <v>34.812507799999999</v>
      </c>
      <c r="C9865" s="18">
        <v>683182.13</v>
      </c>
      <c r="D9865" s="18">
        <v>2746458.25</v>
      </c>
      <c r="E9865" s="18">
        <v>327.45999999999998</v>
      </c>
      <c r="F9865" s="18">
        <v>41906.1</v>
      </c>
      <c r="G9865" s="18">
        <v>111118</v>
      </c>
      <c r="H9865" s="18">
        <f t="shared" si="210"/>
        <v>41881.1</v>
      </c>
    </row>
    <row r="9866" spans="1:8" ht="19.5" customHeight="1" x14ac:dyDescent="0.55000000000000004">
      <c r="A9866" s="18">
        <v>24.8220393</v>
      </c>
      <c r="B9866" s="18">
        <v>34.812484300000001</v>
      </c>
      <c r="C9866" s="18">
        <v>683179.75</v>
      </c>
      <c r="D9866" s="18">
        <v>2746459.23</v>
      </c>
      <c r="E9866" s="18">
        <v>327.43</v>
      </c>
      <c r="F9866" s="18">
        <v>41907.49</v>
      </c>
      <c r="G9866" s="18">
        <v>111120</v>
      </c>
      <c r="H9866" s="18">
        <f t="shared" si="210"/>
        <v>41882.49</v>
      </c>
    </row>
    <row r="9867" spans="1:8" ht="19.5" customHeight="1" x14ac:dyDescent="0.55000000000000004">
      <c r="A9867" s="18">
        <v>24.8220499</v>
      </c>
      <c r="B9867" s="18">
        <v>34.812460899999998</v>
      </c>
      <c r="C9867" s="18">
        <v>683177.37</v>
      </c>
      <c r="D9867" s="18">
        <v>2746460.37</v>
      </c>
      <c r="E9867" s="18">
        <v>327.49</v>
      </c>
      <c r="F9867" s="18">
        <v>41902.22</v>
      </c>
      <c r="G9867" s="18">
        <v>111122</v>
      </c>
      <c r="H9867" s="18">
        <f t="shared" si="210"/>
        <v>41877.22</v>
      </c>
    </row>
    <row r="9868" spans="1:8" ht="19.5" customHeight="1" x14ac:dyDescent="0.55000000000000004">
      <c r="A9868" s="18">
        <v>24.822061999999999</v>
      </c>
      <c r="B9868" s="18">
        <v>34.812437199999998</v>
      </c>
      <c r="C9868" s="18">
        <v>683174.95</v>
      </c>
      <c r="D9868" s="18">
        <v>2746461.67</v>
      </c>
      <c r="E9868" s="18">
        <v>327.62</v>
      </c>
      <c r="F9868" s="18">
        <v>41905.300000000003</v>
      </c>
      <c r="G9868" s="18">
        <v>111124</v>
      </c>
      <c r="H9868" s="18">
        <f t="shared" si="210"/>
        <v>41880.300000000003</v>
      </c>
    </row>
    <row r="9869" spans="1:8" ht="19.5" customHeight="1" x14ac:dyDescent="0.55000000000000004">
      <c r="A9869" s="18">
        <v>24.822074300000001</v>
      </c>
      <c r="B9869" s="18">
        <v>34.812414099999998</v>
      </c>
      <c r="C9869" s="18">
        <v>683172.6</v>
      </c>
      <c r="D9869" s="18">
        <v>2746463.01</v>
      </c>
      <c r="E9869" s="18">
        <v>327.64</v>
      </c>
      <c r="F9869" s="18">
        <v>41904.51</v>
      </c>
      <c r="G9869" s="18">
        <v>111126</v>
      </c>
      <c r="H9869" s="18">
        <f t="shared" si="210"/>
        <v>41879.51</v>
      </c>
    </row>
    <row r="9870" spans="1:8" ht="19.5" customHeight="1" x14ac:dyDescent="0.55000000000000004">
      <c r="A9870" s="18">
        <v>24.822085699999999</v>
      </c>
      <c r="B9870" s="18">
        <v>34.812389899999999</v>
      </c>
      <c r="C9870" s="18">
        <v>683170.14</v>
      </c>
      <c r="D9870" s="18">
        <v>2746464.23</v>
      </c>
      <c r="E9870" s="18">
        <v>327.68</v>
      </c>
      <c r="F9870" s="18">
        <v>41905.040000000001</v>
      </c>
      <c r="G9870" s="18">
        <v>111128</v>
      </c>
      <c r="H9870" s="18">
        <f t="shared" si="210"/>
        <v>41880.04</v>
      </c>
    </row>
    <row r="9871" spans="1:8" ht="19.5" customHeight="1" x14ac:dyDescent="0.55000000000000004">
      <c r="A9871" s="18">
        <v>24.8220977</v>
      </c>
      <c r="B9871" s="18">
        <v>34.812368399999997</v>
      </c>
      <c r="C9871" s="18">
        <v>683167.95</v>
      </c>
      <c r="D9871" s="18">
        <v>2746465.54</v>
      </c>
      <c r="E9871" s="18">
        <v>327.82</v>
      </c>
      <c r="F9871" s="18">
        <v>41900.74</v>
      </c>
      <c r="G9871" s="18">
        <v>111130</v>
      </c>
      <c r="H9871" s="18">
        <f t="shared" si="210"/>
        <v>41875.74</v>
      </c>
    </row>
    <row r="9872" spans="1:8" ht="19.5" customHeight="1" x14ac:dyDescent="0.55000000000000004">
      <c r="A9872" s="18">
        <v>24.8221092</v>
      </c>
      <c r="B9872" s="18">
        <v>34.812345800000003</v>
      </c>
      <c r="C9872" s="18">
        <v>683165.64</v>
      </c>
      <c r="D9872" s="18">
        <v>2746466.78</v>
      </c>
      <c r="E9872" s="18">
        <v>327.81</v>
      </c>
      <c r="F9872" s="18">
        <v>41896.26</v>
      </c>
      <c r="G9872" s="18">
        <v>111132</v>
      </c>
      <c r="H9872" s="18">
        <f t="shared" si="210"/>
        <v>41871.26</v>
      </c>
    </row>
    <row r="9873" spans="1:8" ht="19.5" customHeight="1" x14ac:dyDescent="0.55000000000000004">
      <c r="A9873" s="18">
        <v>24.822119300000001</v>
      </c>
      <c r="B9873" s="18">
        <v>34.812322199999997</v>
      </c>
      <c r="C9873" s="18">
        <v>683163.25</v>
      </c>
      <c r="D9873" s="18">
        <v>2746467.87</v>
      </c>
      <c r="E9873" s="18">
        <v>327.83</v>
      </c>
      <c r="F9873" s="18">
        <v>41896.19</v>
      </c>
      <c r="G9873" s="18">
        <v>111134</v>
      </c>
      <c r="H9873" s="18">
        <f t="shared" si="210"/>
        <v>41871.19</v>
      </c>
    </row>
    <row r="9874" spans="1:8" ht="19.5" customHeight="1" x14ac:dyDescent="0.55000000000000004">
      <c r="A9874" s="18">
        <v>24.8221323</v>
      </c>
      <c r="B9874" s="18">
        <v>34.812298699999999</v>
      </c>
      <c r="C9874" s="18">
        <v>683160.85</v>
      </c>
      <c r="D9874" s="18">
        <v>2746469.28</v>
      </c>
      <c r="E9874" s="18">
        <v>327.9</v>
      </c>
      <c r="F9874" s="18">
        <v>41894.370000000003</v>
      </c>
      <c r="G9874" s="18">
        <v>111136</v>
      </c>
      <c r="H9874" s="18">
        <f t="shared" si="210"/>
        <v>41869.370000000003</v>
      </c>
    </row>
    <row r="9875" spans="1:8" ht="19.5" customHeight="1" x14ac:dyDescent="0.55000000000000004">
      <c r="A9875" s="18">
        <v>24.822146700000001</v>
      </c>
      <c r="B9875" s="18">
        <v>34.812277299999998</v>
      </c>
      <c r="C9875" s="18">
        <v>683158.67</v>
      </c>
      <c r="D9875" s="18">
        <v>2746470.84</v>
      </c>
      <c r="E9875" s="18">
        <v>327.95</v>
      </c>
      <c r="F9875" s="18">
        <v>41898.99</v>
      </c>
      <c r="G9875" s="18">
        <v>111138</v>
      </c>
      <c r="H9875" s="18">
        <f t="shared" si="210"/>
        <v>41873.99</v>
      </c>
    </row>
    <row r="9876" spans="1:8" ht="19.5" customHeight="1" x14ac:dyDescent="0.55000000000000004">
      <c r="A9876" s="18">
        <v>24.822155299999999</v>
      </c>
      <c r="B9876" s="18">
        <v>34.8122525</v>
      </c>
      <c r="C9876" s="18">
        <v>683156.14</v>
      </c>
      <c r="D9876" s="18">
        <v>2746471.76</v>
      </c>
      <c r="E9876" s="18">
        <v>327.91</v>
      </c>
      <c r="F9876" s="18">
        <v>41899.47</v>
      </c>
      <c r="G9876" s="18">
        <v>111140</v>
      </c>
      <c r="H9876" s="18">
        <f t="shared" si="210"/>
        <v>41874.47</v>
      </c>
    </row>
    <row r="9877" spans="1:8" ht="19.5" customHeight="1" x14ac:dyDescent="0.55000000000000004">
      <c r="A9877" s="18">
        <v>24.8221639</v>
      </c>
      <c r="B9877" s="18">
        <v>34.812227800000002</v>
      </c>
      <c r="C9877" s="18">
        <v>683153.64</v>
      </c>
      <c r="D9877" s="18">
        <v>2746472.68</v>
      </c>
      <c r="E9877" s="18">
        <v>327.96</v>
      </c>
      <c r="F9877" s="18">
        <v>41905.82</v>
      </c>
      <c r="G9877" s="18">
        <v>111142</v>
      </c>
      <c r="H9877" s="18">
        <f t="shared" ref="H9877:H9940" si="211">SUM(F9877-25)</f>
        <v>41880.82</v>
      </c>
    </row>
    <row r="9878" spans="1:8" ht="19.5" customHeight="1" x14ac:dyDescent="0.55000000000000004">
      <c r="A9878" s="18">
        <v>24.8221737</v>
      </c>
      <c r="B9878" s="18">
        <v>34.8122045</v>
      </c>
      <c r="C9878" s="18">
        <v>683151.26</v>
      </c>
      <c r="D9878" s="18">
        <v>2746473.74</v>
      </c>
      <c r="E9878" s="18">
        <v>328.06</v>
      </c>
      <c r="F9878" s="18">
        <v>41902.86</v>
      </c>
      <c r="G9878" s="18">
        <v>111144</v>
      </c>
      <c r="H9878" s="18">
        <f t="shared" si="211"/>
        <v>41877.86</v>
      </c>
    </row>
    <row r="9879" spans="1:8" ht="19.5" customHeight="1" x14ac:dyDescent="0.55000000000000004">
      <c r="A9879" s="18">
        <v>24.8221846</v>
      </c>
      <c r="B9879" s="18">
        <v>34.812180699999999</v>
      </c>
      <c r="C9879" s="18">
        <v>683148.84</v>
      </c>
      <c r="D9879" s="18">
        <v>2746474.91</v>
      </c>
      <c r="E9879" s="18">
        <v>328.03</v>
      </c>
      <c r="F9879" s="18">
        <v>41901.14</v>
      </c>
      <c r="G9879" s="18">
        <v>111146</v>
      </c>
      <c r="H9879" s="18">
        <f t="shared" si="211"/>
        <v>41876.14</v>
      </c>
    </row>
    <row r="9880" spans="1:8" ht="19.5" customHeight="1" x14ac:dyDescent="0.55000000000000004">
      <c r="A9880" s="18">
        <v>24.8221928</v>
      </c>
      <c r="B9880" s="18">
        <v>34.812155500000003</v>
      </c>
      <c r="C9880" s="18">
        <v>683146.28</v>
      </c>
      <c r="D9880" s="18">
        <v>2746475.79</v>
      </c>
      <c r="E9880" s="18">
        <v>328.07</v>
      </c>
      <c r="F9880" s="18">
        <v>41901.949999999997</v>
      </c>
      <c r="G9880" s="18">
        <v>111148</v>
      </c>
      <c r="H9880" s="18">
        <f t="shared" si="211"/>
        <v>41876.949999999997</v>
      </c>
    </row>
    <row r="9881" spans="1:8" ht="19.5" customHeight="1" x14ac:dyDescent="0.55000000000000004">
      <c r="A9881" s="18">
        <v>24.822203500000001</v>
      </c>
      <c r="B9881" s="18">
        <v>34.812131600000001</v>
      </c>
      <c r="C9881" s="18">
        <v>683143.86</v>
      </c>
      <c r="D9881" s="18">
        <v>2746476.93</v>
      </c>
      <c r="E9881" s="18">
        <v>328.11</v>
      </c>
      <c r="F9881" s="18">
        <v>41904.71</v>
      </c>
      <c r="G9881" s="18">
        <v>111150</v>
      </c>
      <c r="H9881" s="18">
        <f t="shared" si="211"/>
        <v>41879.71</v>
      </c>
    </row>
    <row r="9882" spans="1:8" ht="19.5" customHeight="1" x14ac:dyDescent="0.55000000000000004">
      <c r="A9882" s="18">
        <v>24.822215400000001</v>
      </c>
      <c r="B9882" s="18">
        <v>34.812109200000002</v>
      </c>
      <c r="C9882" s="18">
        <v>683141.57</v>
      </c>
      <c r="D9882" s="18">
        <v>2746478.23</v>
      </c>
      <c r="E9882" s="18">
        <v>328.07</v>
      </c>
      <c r="F9882" s="18">
        <v>41910.36</v>
      </c>
      <c r="G9882" s="18">
        <v>111152</v>
      </c>
      <c r="H9882" s="18">
        <f t="shared" si="211"/>
        <v>41885.360000000001</v>
      </c>
    </row>
    <row r="9883" spans="1:8" ht="19.5" customHeight="1" x14ac:dyDescent="0.55000000000000004">
      <c r="A9883" s="18">
        <v>24.822224899999998</v>
      </c>
      <c r="B9883" s="18">
        <v>34.812086100000002</v>
      </c>
      <c r="C9883" s="18">
        <v>683139.22</v>
      </c>
      <c r="D9883" s="18">
        <v>2746479.25</v>
      </c>
      <c r="E9883" s="18">
        <v>328.07</v>
      </c>
      <c r="F9883" s="18">
        <v>41900.21</v>
      </c>
      <c r="G9883" s="18">
        <v>111154</v>
      </c>
      <c r="H9883" s="18">
        <f t="shared" si="211"/>
        <v>41875.21</v>
      </c>
    </row>
    <row r="9884" spans="1:8" ht="19.5" customHeight="1" x14ac:dyDescent="0.55000000000000004">
      <c r="A9884" s="18">
        <v>24.822233799999999</v>
      </c>
      <c r="B9884" s="18">
        <v>34.812063899999998</v>
      </c>
      <c r="C9884" s="18">
        <v>683136.97</v>
      </c>
      <c r="D9884" s="18">
        <v>2746480.2</v>
      </c>
      <c r="E9884" s="18">
        <v>328.15</v>
      </c>
      <c r="F9884" s="18">
        <v>41898.71</v>
      </c>
      <c r="G9884" s="18">
        <v>111156</v>
      </c>
      <c r="H9884" s="18">
        <f t="shared" si="211"/>
        <v>41873.71</v>
      </c>
    </row>
    <row r="9885" spans="1:8" ht="19.5" customHeight="1" x14ac:dyDescent="0.55000000000000004">
      <c r="A9885" s="18">
        <v>24.8222424</v>
      </c>
      <c r="B9885" s="18">
        <v>34.812041899999997</v>
      </c>
      <c r="C9885" s="18">
        <v>683134.73</v>
      </c>
      <c r="D9885" s="18">
        <v>2746481.13</v>
      </c>
      <c r="E9885" s="18">
        <v>328.14</v>
      </c>
      <c r="F9885" s="18">
        <v>41904.31</v>
      </c>
      <c r="G9885" s="18">
        <v>111158</v>
      </c>
      <c r="H9885" s="18">
        <f t="shared" si="211"/>
        <v>41879.31</v>
      </c>
    </row>
    <row r="9886" spans="1:8" ht="19.5" customHeight="1" x14ac:dyDescent="0.55000000000000004">
      <c r="A9886" s="18">
        <v>24.822251099999999</v>
      </c>
      <c r="B9886" s="18">
        <v>34.812020199999999</v>
      </c>
      <c r="C9886" s="18">
        <v>683132.52</v>
      </c>
      <c r="D9886" s="18">
        <v>2746482.06</v>
      </c>
      <c r="E9886" s="18">
        <v>328.22</v>
      </c>
      <c r="F9886" s="18">
        <v>41901.42</v>
      </c>
      <c r="G9886" s="18">
        <v>111200</v>
      </c>
      <c r="H9886" s="18">
        <f t="shared" si="211"/>
        <v>41876.42</v>
      </c>
    </row>
    <row r="9887" spans="1:8" ht="19.5" customHeight="1" x14ac:dyDescent="0.55000000000000004">
      <c r="A9887" s="18">
        <v>24.822258099999999</v>
      </c>
      <c r="B9887" s="18">
        <v>34.811998299999999</v>
      </c>
      <c r="C9887" s="18">
        <v>683130.3</v>
      </c>
      <c r="D9887" s="18">
        <v>2746482.81</v>
      </c>
      <c r="E9887" s="18">
        <v>328.23</v>
      </c>
      <c r="F9887" s="18">
        <v>41899.06</v>
      </c>
      <c r="G9887" s="18">
        <v>111202</v>
      </c>
      <c r="H9887" s="18">
        <f t="shared" si="211"/>
        <v>41874.06</v>
      </c>
    </row>
    <row r="9888" spans="1:8" ht="19.5" customHeight="1" x14ac:dyDescent="0.55000000000000004">
      <c r="A9888" s="18">
        <v>24.822265000000002</v>
      </c>
      <c r="B9888" s="18">
        <v>34.811977900000002</v>
      </c>
      <c r="C9888" s="18">
        <v>683128.22</v>
      </c>
      <c r="D9888" s="18">
        <v>2746483.54</v>
      </c>
      <c r="E9888" s="18">
        <v>328.33</v>
      </c>
      <c r="F9888" s="18">
        <v>41898.51</v>
      </c>
      <c r="G9888" s="18">
        <v>111204</v>
      </c>
      <c r="H9888" s="18">
        <f t="shared" si="211"/>
        <v>41873.51</v>
      </c>
    </row>
    <row r="9889" spans="1:8" ht="19.5" customHeight="1" x14ac:dyDescent="0.55000000000000004">
      <c r="A9889" s="18">
        <v>24.822272300000002</v>
      </c>
      <c r="B9889" s="18">
        <v>34.811954200000002</v>
      </c>
      <c r="C9889" s="18">
        <v>683125.82</v>
      </c>
      <c r="D9889" s="18">
        <v>2746484.32</v>
      </c>
      <c r="E9889" s="18">
        <v>328.35</v>
      </c>
      <c r="F9889" s="18">
        <v>41894.78</v>
      </c>
      <c r="G9889" s="18">
        <v>111206</v>
      </c>
      <c r="H9889" s="18">
        <f t="shared" si="211"/>
        <v>41869.78</v>
      </c>
    </row>
    <row r="9890" spans="1:8" ht="19.5" customHeight="1" x14ac:dyDescent="0.55000000000000004">
      <c r="A9890" s="18">
        <v>24.822281499999999</v>
      </c>
      <c r="B9890" s="18">
        <v>34.811929999999997</v>
      </c>
      <c r="C9890" s="18">
        <v>683123.36</v>
      </c>
      <c r="D9890" s="18">
        <v>2746485.31</v>
      </c>
      <c r="E9890" s="18">
        <v>328.32</v>
      </c>
      <c r="F9890" s="18">
        <v>41890.370000000003</v>
      </c>
      <c r="G9890" s="18">
        <v>111208</v>
      </c>
      <c r="H9890" s="18">
        <f t="shared" si="211"/>
        <v>41865.370000000003</v>
      </c>
    </row>
    <row r="9891" spans="1:8" ht="19.5" customHeight="1" x14ac:dyDescent="0.55000000000000004">
      <c r="A9891" s="18">
        <v>24.822291</v>
      </c>
      <c r="B9891" s="18">
        <v>34.811906299999997</v>
      </c>
      <c r="C9891" s="18">
        <v>683120.94</v>
      </c>
      <c r="D9891" s="18">
        <v>2746486.33</v>
      </c>
      <c r="E9891" s="18">
        <v>328.47</v>
      </c>
      <c r="F9891" s="18">
        <v>41894.620000000003</v>
      </c>
      <c r="G9891" s="18">
        <v>111210</v>
      </c>
      <c r="H9891" s="18">
        <f t="shared" si="211"/>
        <v>41869.620000000003</v>
      </c>
    </row>
    <row r="9892" spans="1:8" ht="19.5" customHeight="1" x14ac:dyDescent="0.55000000000000004">
      <c r="A9892" s="18">
        <v>24.822300299999998</v>
      </c>
      <c r="B9892" s="18">
        <v>34.811883299999998</v>
      </c>
      <c r="C9892" s="18">
        <v>683118.61</v>
      </c>
      <c r="D9892" s="18">
        <v>2746487.32</v>
      </c>
      <c r="E9892" s="18">
        <v>328.48</v>
      </c>
      <c r="F9892" s="18">
        <v>41895.300000000003</v>
      </c>
      <c r="G9892" s="18">
        <v>111212</v>
      </c>
      <c r="H9892" s="18">
        <f t="shared" si="211"/>
        <v>41870.300000000003</v>
      </c>
    </row>
    <row r="9893" spans="1:8" ht="19.5" customHeight="1" x14ac:dyDescent="0.55000000000000004">
      <c r="A9893" s="18">
        <v>24.822307899999998</v>
      </c>
      <c r="B9893" s="18">
        <v>34.811860699999997</v>
      </c>
      <c r="C9893" s="18">
        <v>683116.31</v>
      </c>
      <c r="D9893" s="18">
        <v>2746488.14</v>
      </c>
      <c r="E9893" s="18">
        <v>328.53</v>
      </c>
      <c r="F9893" s="18">
        <v>41893.279999999999</v>
      </c>
      <c r="G9893" s="18">
        <v>111214</v>
      </c>
      <c r="H9893" s="18">
        <f t="shared" si="211"/>
        <v>41868.28</v>
      </c>
    </row>
    <row r="9894" spans="1:8" ht="19.5" customHeight="1" x14ac:dyDescent="0.55000000000000004">
      <c r="A9894" s="18">
        <v>24.822316600000001</v>
      </c>
      <c r="B9894" s="18">
        <v>34.811837199999999</v>
      </c>
      <c r="C9894" s="18">
        <v>683113.92</v>
      </c>
      <c r="D9894" s="18">
        <v>2746489.08</v>
      </c>
      <c r="E9894" s="18">
        <v>328.65</v>
      </c>
      <c r="F9894" s="18">
        <v>41894.480000000003</v>
      </c>
      <c r="G9894" s="18">
        <v>111216</v>
      </c>
      <c r="H9894" s="18">
        <f t="shared" si="211"/>
        <v>41869.480000000003</v>
      </c>
    </row>
    <row r="9895" spans="1:8" ht="19.5" customHeight="1" x14ac:dyDescent="0.55000000000000004">
      <c r="A9895" s="18">
        <v>24.822326400000001</v>
      </c>
      <c r="B9895" s="18">
        <v>34.811814900000002</v>
      </c>
      <c r="C9895" s="18">
        <v>683111.66</v>
      </c>
      <c r="D9895" s="18">
        <v>2746490.13</v>
      </c>
      <c r="E9895" s="18">
        <v>328.63</v>
      </c>
      <c r="F9895" s="18">
        <v>41895.629999999997</v>
      </c>
      <c r="G9895" s="18">
        <v>111218</v>
      </c>
      <c r="H9895" s="18">
        <f t="shared" si="211"/>
        <v>41870.629999999997</v>
      </c>
    </row>
    <row r="9896" spans="1:8" ht="19.5" customHeight="1" x14ac:dyDescent="0.55000000000000004">
      <c r="A9896" s="18">
        <v>24.822336700000001</v>
      </c>
      <c r="B9896" s="18">
        <v>34.811791999999997</v>
      </c>
      <c r="C9896" s="18">
        <v>683109.32</v>
      </c>
      <c r="D9896" s="18">
        <v>2746491.24</v>
      </c>
      <c r="E9896" s="18">
        <v>328.69</v>
      </c>
      <c r="F9896" s="18">
        <v>41895.949999999997</v>
      </c>
      <c r="G9896" s="18">
        <v>111220</v>
      </c>
      <c r="H9896" s="18">
        <f t="shared" si="211"/>
        <v>41870.949999999997</v>
      </c>
    </row>
    <row r="9897" spans="1:8" ht="19.5" customHeight="1" x14ac:dyDescent="0.55000000000000004">
      <c r="A9897" s="18">
        <v>24.822347199999999</v>
      </c>
      <c r="B9897" s="18">
        <v>34.811768200000003</v>
      </c>
      <c r="C9897" s="18">
        <v>683106.9</v>
      </c>
      <c r="D9897" s="18">
        <v>2746492.36</v>
      </c>
      <c r="E9897" s="18">
        <v>328.74</v>
      </c>
      <c r="F9897" s="18">
        <v>41896.370000000003</v>
      </c>
      <c r="G9897" s="18">
        <v>111222</v>
      </c>
      <c r="H9897" s="18">
        <f t="shared" si="211"/>
        <v>41871.370000000003</v>
      </c>
    </row>
    <row r="9898" spans="1:8" ht="19.5" customHeight="1" x14ac:dyDescent="0.55000000000000004">
      <c r="A9898" s="18">
        <v>24.822357199999999</v>
      </c>
      <c r="B9898" s="18">
        <v>34.811744400000002</v>
      </c>
      <c r="C9898" s="18">
        <v>683104.49</v>
      </c>
      <c r="D9898" s="18">
        <v>2746493.45</v>
      </c>
      <c r="E9898" s="18">
        <v>328.75</v>
      </c>
      <c r="F9898" s="18">
        <v>41896.129999999997</v>
      </c>
      <c r="G9898" s="18">
        <v>111224</v>
      </c>
      <c r="H9898" s="18">
        <f t="shared" si="211"/>
        <v>41871.129999999997</v>
      </c>
    </row>
    <row r="9899" spans="1:8" ht="19.5" customHeight="1" x14ac:dyDescent="0.55000000000000004">
      <c r="A9899" s="18">
        <v>24.822364700000001</v>
      </c>
      <c r="B9899" s="18">
        <v>34.811720899999997</v>
      </c>
      <c r="C9899" s="18">
        <v>683102.09</v>
      </c>
      <c r="D9899" s="18">
        <v>2746494.24</v>
      </c>
      <c r="E9899" s="18">
        <v>328.9</v>
      </c>
      <c r="F9899" s="18">
        <v>41898.36</v>
      </c>
      <c r="G9899" s="18">
        <v>111226</v>
      </c>
      <c r="H9899" s="18">
        <f t="shared" si="211"/>
        <v>41873.360000000001</v>
      </c>
    </row>
    <row r="9900" spans="1:8" ht="19.5" customHeight="1" x14ac:dyDescent="0.55000000000000004">
      <c r="A9900" s="18">
        <v>24.822375099999999</v>
      </c>
      <c r="B9900" s="18">
        <v>34.811697799999997</v>
      </c>
      <c r="C9900" s="18">
        <v>683099.75</v>
      </c>
      <c r="D9900" s="18">
        <v>2746495.37</v>
      </c>
      <c r="E9900" s="18">
        <v>328.93</v>
      </c>
      <c r="F9900" s="18">
        <v>41897.11</v>
      </c>
      <c r="G9900" s="18">
        <v>111228</v>
      </c>
      <c r="H9900" s="18">
        <f t="shared" si="211"/>
        <v>41872.11</v>
      </c>
    </row>
    <row r="9901" spans="1:8" ht="19.5" customHeight="1" x14ac:dyDescent="0.55000000000000004">
      <c r="A9901" s="18">
        <v>24.822386099999999</v>
      </c>
      <c r="B9901" s="18">
        <v>34.811675600000001</v>
      </c>
      <c r="C9901" s="18">
        <v>683097.49</v>
      </c>
      <c r="D9901" s="18">
        <v>2746496.55</v>
      </c>
      <c r="E9901" s="18">
        <v>328.94</v>
      </c>
      <c r="F9901" s="18">
        <v>41900.78</v>
      </c>
      <c r="G9901" s="18">
        <v>111230</v>
      </c>
      <c r="H9901" s="18">
        <f t="shared" si="211"/>
        <v>41875.78</v>
      </c>
    </row>
    <row r="9902" spans="1:8" ht="19.5" customHeight="1" x14ac:dyDescent="0.55000000000000004">
      <c r="A9902" s="18">
        <v>24.8223947</v>
      </c>
      <c r="B9902" s="18">
        <v>34.811653499999998</v>
      </c>
      <c r="C9902" s="18">
        <v>683095.24</v>
      </c>
      <c r="D9902" s="18">
        <v>2746497.47</v>
      </c>
      <c r="E9902" s="18">
        <v>328.95</v>
      </c>
      <c r="F9902" s="18">
        <v>41905.51</v>
      </c>
      <c r="G9902" s="18">
        <v>111232</v>
      </c>
      <c r="H9902" s="18">
        <f t="shared" si="211"/>
        <v>41880.51</v>
      </c>
    </row>
    <row r="9903" spans="1:8" ht="19.5" customHeight="1" x14ac:dyDescent="0.55000000000000004">
      <c r="A9903" s="18">
        <v>24.822403999999999</v>
      </c>
      <c r="B9903" s="18">
        <v>34.811629600000003</v>
      </c>
      <c r="C9903" s="18">
        <v>683092.81</v>
      </c>
      <c r="D9903" s="18">
        <v>2746498.47</v>
      </c>
      <c r="E9903" s="18">
        <v>329.02</v>
      </c>
      <c r="F9903" s="18">
        <v>41909.910000000003</v>
      </c>
      <c r="G9903" s="18">
        <v>111234</v>
      </c>
      <c r="H9903" s="18">
        <f t="shared" si="211"/>
        <v>41884.910000000003</v>
      </c>
    </row>
    <row r="9904" spans="1:8" ht="19.5" customHeight="1" x14ac:dyDescent="0.55000000000000004">
      <c r="A9904" s="18">
        <v>24.822410999999999</v>
      </c>
      <c r="B9904" s="18">
        <v>34.811603300000002</v>
      </c>
      <c r="C9904" s="18">
        <v>683090.15</v>
      </c>
      <c r="D9904" s="18">
        <v>2746499.21</v>
      </c>
      <c r="E9904" s="18">
        <v>329.02</v>
      </c>
      <c r="F9904" s="18">
        <v>41917.74</v>
      </c>
      <c r="G9904" s="18">
        <v>111236</v>
      </c>
      <c r="H9904" s="18">
        <f t="shared" si="211"/>
        <v>41892.74</v>
      </c>
    </row>
    <row r="9905" spans="1:8" ht="19.5" customHeight="1" x14ac:dyDescent="0.55000000000000004">
      <c r="A9905" s="18">
        <v>24.8224214</v>
      </c>
      <c r="B9905" s="18">
        <v>34.811579700000003</v>
      </c>
      <c r="C9905" s="18">
        <v>683087.74</v>
      </c>
      <c r="D9905" s="18">
        <v>2746500.33</v>
      </c>
      <c r="E9905" s="18">
        <v>329.09</v>
      </c>
      <c r="F9905" s="18">
        <v>41900.17</v>
      </c>
      <c r="G9905" s="18">
        <v>111238</v>
      </c>
      <c r="H9905" s="18">
        <f t="shared" si="211"/>
        <v>41875.17</v>
      </c>
    </row>
    <row r="9906" spans="1:8" ht="19.5" customHeight="1" x14ac:dyDescent="0.55000000000000004">
      <c r="A9906" s="18">
        <v>24.822432599999999</v>
      </c>
      <c r="B9906" s="18">
        <v>34.811557800000003</v>
      </c>
      <c r="C9906" s="18">
        <v>683085.51</v>
      </c>
      <c r="D9906" s="18">
        <v>2746501.54</v>
      </c>
      <c r="E9906" s="18">
        <v>329.16</v>
      </c>
      <c r="F9906" s="18">
        <v>41904.410000000003</v>
      </c>
      <c r="G9906" s="18">
        <v>111240</v>
      </c>
      <c r="H9906" s="18">
        <f t="shared" si="211"/>
        <v>41879.410000000003</v>
      </c>
    </row>
    <row r="9907" spans="1:8" ht="19.5" customHeight="1" x14ac:dyDescent="0.55000000000000004">
      <c r="A9907" s="18">
        <v>24.822447</v>
      </c>
      <c r="B9907" s="18">
        <v>34.8115387</v>
      </c>
      <c r="C9907" s="18">
        <v>683083.56</v>
      </c>
      <c r="D9907" s="18">
        <v>2746503.11</v>
      </c>
      <c r="E9907" s="18">
        <v>329.18</v>
      </c>
      <c r="F9907" s="18">
        <v>41907.21</v>
      </c>
      <c r="G9907" s="18">
        <v>111242</v>
      </c>
      <c r="H9907" s="18">
        <f t="shared" si="211"/>
        <v>41882.21</v>
      </c>
    </row>
    <row r="9908" spans="1:8" ht="19.5" customHeight="1" x14ac:dyDescent="0.55000000000000004">
      <c r="A9908" s="18">
        <v>24.8224597</v>
      </c>
      <c r="B9908" s="18">
        <v>34.811520199999997</v>
      </c>
      <c r="C9908" s="18">
        <v>683081.67</v>
      </c>
      <c r="D9908" s="18">
        <v>2746504.5</v>
      </c>
      <c r="E9908" s="18">
        <v>329.25</v>
      </c>
      <c r="F9908" s="18">
        <v>41909.42</v>
      </c>
      <c r="G9908" s="18">
        <v>111244</v>
      </c>
      <c r="H9908" s="18">
        <f t="shared" si="211"/>
        <v>41884.42</v>
      </c>
    </row>
    <row r="9909" spans="1:8" ht="19.5" customHeight="1" x14ac:dyDescent="0.55000000000000004">
      <c r="A9909" s="18">
        <v>24.822471</v>
      </c>
      <c r="B9909" s="18">
        <v>34.811497799999998</v>
      </c>
      <c r="C9909" s="18">
        <v>683079.38</v>
      </c>
      <c r="D9909" s="18">
        <v>2746505.72</v>
      </c>
      <c r="E9909" s="18">
        <v>329.27</v>
      </c>
      <c r="F9909" s="18">
        <v>41911.39</v>
      </c>
      <c r="G9909" s="18">
        <v>111246</v>
      </c>
      <c r="H9909" s="18">
        <f t="shared" si="211"/>
        <v>41886.39</v>
      </c>
    </row>
    <row r="9910" spans="1:8" ht="19.5" customHeight="1" x14ac:dyDescent="0.55000000000000004">
      <c r="A9910" s="18">
        <v>24.822481</v>
      </c>
      <c r="B9910" s="18">
        <v>34.811476800000001</v>
      </c>
      <c r="C9910" s="18">
        <v>683077.25</v>
      </c>
      <c r="D9910" s="18">
        <v>2746506.8</v>
      </c>
      <c r="E9910" s="18">
        <v>329.36</v>
      </c>
      <c r="F9910" s="18">
        <v>41914.28</v>
      </c>
      <c r="G9910" s="18">
        <v>111248</v>
      </c>
      <c r="H9910" s="18">
        <f t="shared" si="211"/>
        <v>41889.279999999999</v>
      </c>
    </row>
    <row r="9911" spans="1:8" ht="19.5" customHeight="1" x14ac:dyDescent="0.55000000000000004">
      <c r="A9911" s="18">
        <v>24.822489900000001</v>
      </c>
      <c r="B9911" s="18">
        <v>34.811454900000001</v>
      </c>
      <c r="C9911" s="18">
        <v>683075.02</v>
      </c>
      <c r="D9911" s="18">
        <v>2746507.75</v>
      </c>
      <c r="E9911" s="18">
        <v>329.35</v>
      </c>
      <c r="F9911" s="18">
        <v>41914.730000000003</v>
      </c>
      <c r="G9911" s="18">
        <v>111250</v>
      </c>
      <c r="H9911" s="18">
        <f t="shared" si="211"/>
        <v>41889.730000000003</v>
      </c>
    </row>
    <row r="9912" spans="1:8" ht="19.5" customHeight="1" x14ac:dyDescent="0.55000000000000004">
      <c r="A9912" s="18">
        <v>24.8225014</v>
      </c>
      <c r="B9912" s="18">
        <v>34.811433700000002</v>
      </c>
      <c r="C9912" s="18">
        <v>683072.87</v>
      </c>
      <c r="D9912" s="18">
        <v>2746509</v>
      </c>
      <c r="E9912" s="18">
        <v>329.35</v>
      </c>
      <c r="F9912" s="18">
        <v>41918.28</v>
      </c>
      <c r="G9912" s="18">
        <v>111252</v>
      </c>
      <c r="H9912" s="18">
        <f t="shared" si="211"/>
        <v>41893.279999999999</v>
      </c>
    </row>
    <row r="9913" spans="1:8" ht="19.5" customHeight="1" x14ac:dyDescent="0.55000000000000004">
      <c r="A9913" s="18">
        <v>24.8225114</v>
      </c>
      <c r="B9913" s="18">
        <v>34.811411</v>
      </c>
      <c r="C9913" s="18">
        <v>683070.56</v>
      </c>
      <c r="D9913" s="18">
        <v>2746510.07</v>
      </c>
      <c r="E9913" s="18">
        <v>329.36</v>
      </c>
      <c r="F9913" s="18">
        <v>41922.03</v>
      </c>
      <c r="G9913" s="18">
        <v>111254</v>
      </c>
      <c r="H9913" s="18">
        <f t="shared" si="211"/>
        <v>41897.03</v>
      </c>
    </row>
    <row r="9914" spans="1:8" ht="19.5" customHeight="1" x14ac:dyDescent="0.55000000000000004">
      <c r="A9914" s="18">
        <v>24.822518800000001</v>
      </c>
      <c r="B9914" s="18">
        <v>34.8113891</v>
      </c>
      <c r="C9914" s="18">
        <v>683068.33</v>
      </c>
      <c r="D9914" s="18">
        <v>2746510.87</v>
      </c>
      <c r="E9914" s="18">
        <v>329.43</v>
      </c>
      <c r="F9914" s="18">
        <v>41923.019999999997</v>
      </c>
      <c r="G9914" s="18">
        <v>111256</v>
      </c>
      <c r="H9914" s="18">
        <f t="shared" si="211"/>
        <v>41898.019999999997</v>
      </c>
    </row>
    <row r="9915" spans="1:8" ht="19.5" customHeight="1" x14ac:dyDescent="0.55000000000000004">
      <c r="A9915" s="18">
        <v>24.822527099999999</v>
      </c>
      <c r="B9915" s="18">
        <v>34.811369599999999</v>
      </c>
      <c r="C9915" s="18">
        <v>683066.34</v>
      </c>
      <c r="D9915" s="18">
        <v>2746511.76</v>
      </c>
      <c r="E9915" s="18">
        <v>329.52</v>
      </c>
      <c r="F9915" s="18">
        <v>41926.800000000003</v>
      </c>
      <c r="G9915" s="18">
        <v>111258</v>
      </c>
      <c r="H9915" s="18">
        <f t="shared" si="211"/>
        <v>41901.800000000003</v>
      </c>
    </row>
    <row r="9916" spans="1:8" ht="19.5" customHeight="1" x14ac:dyDescent="0.55000000000000004">
      <c r="A9916" s="18">
        <v>24.822535299999998</v>
      </c>
      <c r="B9916" s="18">
        <v>34.811347300000001</v>
      </c>
      <c r="C9916" s="18">
        <v>683064.08</v>
      </c>
      <c r="D9916" s="18">
        <v>2746512.63</v>
      </c>
      <c r="E9916" s="18">
        <v>329.57</v>
      </c>
      <c r="F9916" s="18">
        <v>41933.040000000001</v>
      </c>
      <c r="G9916" s="18">
        <v>111300</v>
      </c>
      <c r="H9916" s="18">
        <f t="shared" si="211"/>
        <v>41908.04</v>
      </c>
    </row>
    <row r="9917" spans="1:8" ht="19.5" customHeight="1" x14ac:dyDescent="0.55000000000000004">
      <c r="A9917" s="18">
        <v>24.822544499999999</v>
      </c>
      <c r="B9917" s="18">
        <v>34.811325699999998</v>
      </c>
      <c r="C9917" s="18">
        <v>683061.89</v>
      </c>
      <c r="D9917" s="18">
        <v>2746513.63</v>
      </c>
      <c r="E9917" s="18">
        <v>329.7</v>
      </c>
      <c r="F9917" s="18">
        <v>41935.11</v>
      </c>
      <c r="G9917" s="18">
        <v>111302</v>
      </c>
      <c r="H9917" s="18">
        <f t="shared" si="211"/>
        <v>41910.11</v>
      </c>
    </row>
    <row r="9918" spans="1:8" ht="19.5" customHeight="1" x14ac:dyDescent="0.55000000000000004">
      <c r="A9918" s="18">
        <v>24.822555600000001</v>
      </c>
      <c r="B9918" s="18">
        <v>34.811304200000002</v>
      </c>
      <c r="C9918" s="18">
        <v>683059.7</v>
      </c>
      <c r="D9918" s="18">
        <v>2746514.83</v>
      </c>
      <c r="E9918" s="18">
        <v>329.7</v>
      </c>
      <c r="F9918" s="18">
        <v>41932.410000000003</v>
      </c>
      <c r="G9918" s="18">
        <v>111304</v>
      </c>
      <c r="H9918" s="18">
        <f t="shared" si="211"/>
        <v>41907.410000000003</v>
      </c>
    </row>
    <row r="9919" spans="1:8" ht="19.5" customHeight="1" x14ac:dyDescent="0.55000000000000004">
      <c r="A9919" s="18">
        <v>24.8225692</v>
      </c>
      <c r="B9919" s="18">
        <v>34.811282499999997</v>
      </c>
      <c r="C9919" s="18">
        <v>683057.49</v>
      </c>
      <c r="D9919" s="18">
        <v>2746516.3</v>
      </c>
      <c r="E9919" s="18">
        <v>329.69</v>
      </c>
      <c r="F9919" s="18">
        <v>41923.49</v>
      </c>
      <c r="G9919" s="18">
        <v>111306</v>
      </c>
      <c r="H9919" s="18">
        <f t="shared" si="211"/>
        <v>41898.49</v>
      </c>
    </row>
    <row r="9920" spans="1:8" ht="19.5" customHeight="1" x14ac:dyDescent="0.55000000000000004">
      <c r="A9920" s="18">
        <v>24.822579900000001</v>
      </c>
      <c r="B9920" s="18">
        <v>34.811269099999997</v>
      </c>
      <c r="C9920" s="18">
        <v>683056.11</v>
      </c>
      <c r="D9920" s="18">
        <v>2746517.47</v>
      </c>
      <c r="E9920" s="18">
        <v>330.07</v>
      </c>
      <c r="F9920" s="18">
        <v>41899.78</v>
      </c>
      <c r="G9920" s="18">
        <v>111308</v>
      </c>
      <c r="H9920" s="18">
        <f t="shared" si="211"/>
        <v>41874.78</v>
      </c>
    </row>
    <row r="9921" spans="1:8" ht="19.5" customHeight="1" x14ac:dyDescent="0.55000000000000004">
      <c r="A9921" s="18">
        <v>24.822589300000001</v>
      </c>
      <c r="B9921" s="18">
        <v>34.811248599999999</v>
      </c>
      <c r="C9921" s="18">
        <v>683054.02</v>
      </c>
      <c r="D9921" s="18">
        <v>2746518.49</v>
      </c>
      <c r="E9921" s="18">
        <v>330.02</v>
      </c>
      <c r="F9921" s="18">
        <v>41872.230000000003</v>
      </c>
      <c r="G9921" s="18">
        <v>111310</v>
      </c>
      <c r="H9921" s="18">
        <f t="shared" si="211"/>
        <v>41847.230000000003</v>
      </c>
    </row>
    <row r="9922" spans="1:8" ht="19.5" customHeight="1" x14ac:dyDescent="0.55000000000000004">
      <c r="A9922" s="18">
        <v>24.822600999999999</v>
      </c>
      <c r="B9922" s="18">
        <v>34.811226099999999</v>
      </c>
      <c r="C9922" s="18">
        <v>683051.73</v>
      </c>
      <c r="D9922" s="18">
        <v>2746519.75</v>
      </c>
      <c r="E9922" s="18">
        <v>330.08</v>
      </c>
      <c r="F9922" s="18">
        <v>41852.06</v>
      </c>
      <c r="G9922" s="18">
        <v>111312</v>
      </c>
      <c r="H9922" s="18">
        <f t="shared" si="211"/>
        <v>41827.06</v>
      </c>
    </row>
    <row r="9923" spans="1:8" ht="19.5" customHeight="1" x14ac:dyDescent="0.55000000000000004">
      <c r="A9923" s="18">
        <v>24.8226157</v>
      </c>
      <c r="B9923" s="18">
        <v>34.811205700000002</v>
      </c>
      <c r="C9923" s="18">
        <v>683049.65</v>
      </c>
      <c r="D9923" s="18">
        <v>2746521.36</v>
      </c>
      <c r="E9923" s="18">
        <v>330.1</v>
      </c>
      <c r="F9923" s="18">
        <v>41850.120000000003</v>
      </c>
      <c r="G9923" s="18">
        <v>111314</v>
      </c>
      <c r="H9923" s="18">
        <f t="shared" si="211"/>
        <v>41825.120000000003</v>
      </c>
    </row>
    <row r="9924" spans="1:8" ht="19.5" customHeight="1" x14ac:dyDescent="0.55000000000000004">
      <c r="A9924" s="18">
        <v>24.822630499999999</v>
      </c>
      <c r="B9924" s="18">
        <v>34.811185399999999</v>
      </c>
      <c r="C9924" s="18">
        <v>683047.57</v>
      </c>
      <c r="D9924" s="18">
        <v>2746522.96</v>
      </c>
      <c r="E9924" s="18">
        <v>330.04</v>
      </c>
      <c r="F9924" s="18">
        <v>41855.660000000003</v>
      </c>
      <c r="G9924" s="18">
        <v>111316</v>
      </c>
      <c r="H9924" s="18">
        <f t="shared" si="211"/>
        <v>41830.660000000003</v>
      </c>
    </row>
    <row r="9925" spans="1:8" ht="19.5" customHeight="1" x14ac:dyDescent="0.55000000000000004">
      <c r="A9925" s="18">
        <v>24.8226479</v>
      </c>
      <c r="B9925" s="18">
        <v>34.811169700000001</v>
      </c>
      <c r="C9925" s="18">
        <v>683045.96</v>
      </c>
      <c r="D9925" s="18">
        <v>2746524.88</v>
      </c>
      <c r="E9925" s="18">
        <v>330.14</v>
      </c>
      <c r="F9925" s="18">
        <v>41861.93</v>
      </c>
      <c r="G9925" s="18">
        <v>111318</v>
      </c>
      <c r="H9925" s="18">
        <f t="shared" si="211"/>
        <v>41836.93</v>
      </c>
    </row>
    <row r="9926" spans="1:8" ht="19.5" customHeight="1" x14ac:dyDescent="0.55000000000000004">
      <c r="A9926" s="18">
        <v>24.822666900000002</v>
      </c>
      <c r="B9926" s="18">
        <v>34.811157100000003</v>
      </c>
      <c r="C9926" s="18">
        <v>683044.66</v>
      </c>
      <c r="D9926" s="18">
        <v>2746526.96</v>
      </c>
      <c r="E9926" s="18">
        <v>330.2</v>
      </c>
      <c r="F9926" s="18">
        <v>41867.25</v>
      </c>
      <c r="G9926" s="18">
        <v>111320</v>
      </c>
      <c r="H9926" s="18">
        <f t="shared" si="211"/>
        <v>41842.25</v>
      </c>
    </row>
    <row r="9927" spans="1:8" ht="19.5" customHeight="1" x14ac:dyDescent="0.55000000000000004">
      <c r="A9927" s="18">
        <v>24.822686300000001</v>
      </c>
      <c r="B9927" s="18">
        <v>34.811143800000004</v>
      </c>
      <c r="C9927" s="18">
        <v>683043.28</v>
      </c>
      <c r="D9927" s="18">
        <v>2746529.09</v>
      </c>
      <c r="E9927" s="18">
        <v>330.31</v>
      </c>
      <c r="F9927" s="18">
        <v>41872.14</v>
      </c>
      <c r="G9927" s="18">
        <v>111322</v>
      </c>
      <c r="H9927" s="18">
        <f t="shared" si="211"/>
        <v>41847.14</v>
      </c>
    </row>
    <row r="9928" spans="1:8" ht="19.5" customHeight="1" x14ac:dyDescent="0.55000000000000004">
      <c r="A9928" s="18">
        <v>24.8227039</v>
      </c>
      <c r="B9928" s="18">
        <v>34.8111289</v>
      </c>
      <c r="C9928" s="18">
        <v>683041.76</v>
      </c>
      <c r="D9928" s="18">
        <v>2746531.02</v>
      </c>
      <c r="E9928" s="18">
        <v>330.38</v>
      </c>
      <c r="F9928" s="18">
        <v>41877.71</v>
      </c>
      <c r="G9928" s="18">
        <v>111324</v>
      </c>
      <c r="H9928" s="18">
        <f t="shared" si="211"/>
        <v>41852.71</v>
      </c>
    </row>
    <row r="9929" spans="1:8" ht="19.5" customHeight="1" x14ac:dyDescent="0.55000000000000004">
      <c r="A9929" s="18">
        <v>24.822721000000001</v>
      </c>
      <c r="B9929" s="18">
        <v>34.8111125</v>
      </c>
      <c r="C9929" s="18">
        <v>683040.07</v>
      </c>
      <c r="D9929" s="18">
        <v>2746532.89</v>
      </c>
      <c r="E9929" s="18">
        <v>330.43</v>
      </c>
      <c r="F9929" s="18">
        <v>41879.43</v>
      </c>
      <c r="G9929" s="18">
        <v>111326</v>
      </c>
      <c r="H9929" s="18">
        <f t="shared" si="211"/>
        <v>41854.43</v>
      </c>
    </row>
    <row r="9930" spans="1:8" ht="19.5" customHeight="1" x14ac:dyDescent="0.55000000000000004">
      <c r="A9930" s="18">
        <v>24.822738099999999</v>
      </c>
      <c r="B9930" s="18">
        <v>34.811095799999997</v>
      </c>
      <c r="C9930" s="18">
        <v>683038.36</v>
      </c>
      <c r="D9930" s="18">
        <v>2746534.76</v>
      </c>
      <c r="E9930" s="18">
        <v>330.56</v>
      </c>
      <c r="F9930" s="18">
        <v>41879.29</v>
      </c>
      <c r="G9930" s="18">
        <v>111328</v>
      </c>
      <c r="H9930" s="18">
        <f t="shared" si="211"/>
        <v>41854.29</v>
      </c>
    </row>
    <row r="9931" spans="1:8" ht="19.5" customHeight="1" x14ac:dyDescent="0.55000000000000004">
      <c r="A9931" s="18">
        <v>24.822754799999998</v>
      </c>
      <c r="B9931" s="18">
        <v>34.811079499999998</v>
      </c>
      <c r="C9931" s="18">
        <v>683036.69</v>
      </c>
      <c r="D9931" s="18">
        <v>2746536.59</v>
      </c>
      <c r="E9931" s="18">
        <v>330.59</v>
      </c>
      <c r="F9931" s="18">
        <v>41876.300000000003</v>
      </c>
      <c r="G9931" s="18">
        <v>111330</v>
      </c>
      <c r="H9931" s="18">
        <f t="shared" si="211"/>
        <v>41851.300000000003</v>
      </c>
    </row>
    <row r="9932" spans="1:8" ht="19.5" customHeight="1" x14ac:dyDescent="0.55000000000000004">
      <c r="A9932" s="18">
        <v>24.8227723</v>
      </c>
      <c r="B9932" s="18">
        <v>34.811065599999999</v>
      </c>
      <c r="C9932" s="18">
        <v>683035.26</v>
      </c>
      <c r="D9932" s="18">
        <v>2746538.51</v>
      </c>
      <c r="E9932" s="18">
        <v>330.61</v>
      </c>
      <c r="F9932" s="18">
        <v>41878.370000000003</v>
      </c>
      <c r="G9932" s="18">
        <v>111332</v>
      </c>
      <c r="H9932" s="18">
        <f t="shared" si="211"/>
        <v>41853.370000000003</v>
      </c>
    </row>
    <row r="9933" spans="1:8" ht="19.5" customHeight="1" x14ac:dyDescent="0.55000000000000004">
      <c r="A9933" s="18">
        <v>24.822790699999999</v>
      </c>
      <c r="B9933" s="18">
        <v>34.8110523</v>
      </c>
      <c r="C9933" s="18">
        <v>683033.89</v>
      </c>
      <c r="D9933" s="18">
        <v>2746540.53</v>
      </c>
      <c r="E9933" s="18">
        <v>330.66</v>
      </c>
      <c r="F9933" s="18">
        <v>41881.9</v>
      </c>
      <c r="G9933" s="18">
        <v>111334</v>
      </c>
      <c r="H9933" s="18">
        <f t="shared" si="211"/>
        <v>41856.9</v>
      </c>
    </row>
    <row r="9934" spans="1:8" ht="19.5" customHeight="1" x14ac:dyDescent="0.55000000000000004">
      <c r="A9934" s="18">
        <v>24.8228051</v>
      </c>
      <c r="B9934" s="18">
        <v>34.811036100000003</v>
      </c>
      <c r="C9934" s="18">
        <v>683032.23</v>
      </c>
      <c r="D9934" s="18">
        <v>2746542.11</v>
      </c>
      <c r="E9934" s="18">
        <v>330.68</v>
      </c>
      <c r="F9934" s="18">
        <v>41878.89</v>
      </c>
      <c r="G9934" s="18">
        <v>111336</v>
      </c>
      <c r="H9934" s="18">
        <f t="shared" si="211"/>
        <v>41853.89</v>
      </c>
    </row>
    <row r="9935" spans="1:8" ht="19.5" customHeight="1" x14ac:dyDescent="0.55000000000000004">
      <c r="A9935" s="18">
        <v>24.822822200000001</v>
      </c>
      <c r="B9935" s="18">
        <v>34.811020200000002</v>
      </c>
      <c r="C9935" s="18">
        <v>683030.6</v>
      </c>
      <c r="D9935" s="18">
        <v>2746543.98</v>
      </c>
      <c r="E9935" s="18">
        <v>330.76</v>
      </c>
      <c r="F9935" s="18">
        <v>41881.31</v>
      </c>
      <c r="G9935" s="18">
        <v>111338</v>
      </c>
      <c r="H9935" s="18">
        <f t="shared" si="211"/>
        <v>41856.31</v>
      </c>
    </row>
    <row r="9936" spans="1:8" ht="19.5" customHeight="1" x14ac:dyDescent="0.55000000000000004">
      <c r="A9936" s="18">
        <v>24.822840100000001</v>
      </c>
      <c r="B9936" s="18">
        <v>34.811004199999999</v>
      </c>
      <c r="C9936" s="18">
        <v>683028.95</v>
      </c>
      <c r="D9936" s="18">
        <v>2746545.94</v>
      </c>
      <c r="E9936" s="18">
        <v>330.85</v>
      </c>
      <c r="F9936" s="18">
        <v>41888.050000000003</v>
      </c>
      <c r="G9936" s="18">
        <v>111340</v>
      </c>
      <c r="H9936" s="18">
        <f t="shared" si="211"/>
        <v>41863.050000000003</v>
      </c>
    </row>
    <row r="9937" spans="1:8" ht="19.5" customHeight="1" x14ac:dyDescent="0.55000000000000004">
      <c r="A9937" s="18">
        <v>24.822859099999999</v>
      </c>
      <c r="B9937" s="18">
        <v>34.810990500000003</v>
      </c>
      <c r="C9937" s="18">
        <v>683027.54</v>
      </c>
      <c r="D9937" s="18">
        <v>2746548.03</v>
      </c>
      <c r="E9937" s="18">
        <v>330.97</v>
      </c>
      <c r="F9937" s="18">
        <v>41886.559999999998</v>
      </c>
      <c r="G9937" s="18">
        <v>111342</v>
      </c>
      <c r="H9937" s="18">
        <f t="shared" si="211"/>
        <v>41861.56</v>
      </c>
    </row>
    <row r="9938" spans="1:8" ht="19.5" customHeight="1" x14ac:dyDescent="0.55000000000000004">
      <c r="A9938" s="18">
        <v>24.822878899999999</v>
      </c>
      <c r="B9938" s="18">
        <v>34.810978499999997</v>
      </c>
      <c r="C9938" s="18">
        <v>683026.3</v>
      </c>
      <c r="D9938" s="18">
        <v>2746550.2</v>
      </c>
      <c r="E9938" s="18">
        <v>331.1</v>
      </c>
      <c r="F9938" s="18">
        <v>41889.74</v>
      </c>
      <c r="G9938" s="18">
        <v>111344</v>
      </c>
      <c r="H9938" s="18">
        <f t="shared" si="211"/>
        <v>41864.74</v>
      </c>
    </row>
    <row r="9939" spans="1:8" ht="19.5" customHeight="1" x14ac:dyDescent="0.55000000000000004">
      <c r="A9939" s="18">
        <v>24.822899799999998</v>
      </c>
      <c r="B9939" s="18">
        <v>34.810969700000001</v>
      </c>
      <c r="C9939" s="18">
        <v>683025.38</v>
      </c>
      <c r="D9939" s="18">
        <v>2746552.51</v>
      </c>
      <c r="E9939" s="18">
        <v>331.11</v>
      </c>
      <c r="F9939" s="18">
        <v>41888.92</v>
      </c>
      <c r="G9939" s="18">
        <v>111346</v>
      </c>
      <c r="H9939" s="18">
        <f t="shared" si="211"/>
        <v>41863.919999999998</v>
      </c>
    </row>
    <row r="9940" spans="1:8" ht="19.5" customHeight="1" x14ac:dyDescent="0.55000000000000004">
      <c r="A9940" s="18">
        <v>24.8229167</v>
      </c>
      <c r="B9940" s="18">
        <v>34.8109593</v>
      </c>
      <c r="C9940" s="18">
        <v>683024.3</v>
      </c>
      <c r="D9940" s="18">
        <v>2746554.36</v>
      </c>
      <c r="E9940" s="18">
        <v>331.29</v>
      </c>
      <c r="F9940" s="18">
        <v>41889.06</v>
      </c>
      <c r="G9940" s="18">
        <v>111348</v>
      </c>
      <c r="H9940" s="18">
        <f t="shared" si="211"/>
        <v>41864.06</v>
      </c>
    </row>
    <row r="9941" spans="1:8" ht="19.5" customHeight="1" x14ac:dyDescent="0.55000000000000004">
      <c r="A9941" s="18">
        <v>24.822935399999999</v>
      </c>
      <c r="B9941" s="18">
        <v>34.810948099999997</v>
      </c>
      <c r="C9941" s="18">
        <v>683023.14</v>
      </c>
      <c r="D9941" s="18">
        <v>2746556.41</v>
      </c>
      <c r="E9941" s="18">
        <v>331.32</v>
      </c>
      <c r="F9941" s="18">
        <v>41890.35</v>
      </c>
      <c r="G9941" s="18">
        <v>111350</v>
      </c>
      <c r="H9941" s="18">
        <f t="shared" ref="H9941:H10004" si="212">SUM(F9941-25)</f>
        <v>41865.35</v>
      </c>
    </row>
    <row r="9942" spans="1:8" ht="19.5" customHeight="1" x14ac:dyDescent="0.55000000000000004">
      <c r="A9942" s="18">
        <v>24.8229544</v>
      </c>
      <c r="B9942" s="18">
        <v>34.810936499999997</v>
      </c>
      <c r="C9942" s="18">
        <v>683021.94</v>
      </c>
      <c r="D9942" s="18">
        <v>2746558.5</v>
      </c>
      <c r="E9942" s="18">
        <v>331.36</v>
      </c>
      <c r="F9942" s="18">
        <v>41887.9</v>
      </c>
      <c r="G9942" s="18">
        <v>111352</v>
      </c>
      <c r="H9942" s="18">
        <f t="shared" si="212"/>
        <v>41862.9</v>
      </c>
    </row>
    <row r="9943" spans="1:8" ht="19.5" customHeight="1" x14ac:dyDescent="0.55000000000000004">
      <c r="A9943" s="18">
        <v>24.822970999999999</v>
      </c>
      <c r="B9943" s="18">
        <v>34.810923099999997</v>
      </c>
      <c r="C9943" s="18">
        <v>683020.56</v>
      </c>
      <c r="D9943" s="18">
        <v>2746560.33</v>
      </c>
      <c r="E9943" s="18">
        <v>331.46</v>
      </c>
      <c r="F9943" s="18">
        <v>41887.35</v>
      </c>
      <c r="G9943" s="18">
        <v>111354</v>
      </c>
      <c r="H9943" s="18">
        <f t="shared" si="212"/>
        <v>41862.35</v>
      </c>
    </row>
    <row r="9944" spans="1:8" ht="19.5" customHeight="1" x14ac:dyDescent="0.55000000000000004">
      <c r="A9944" s="18">
        <v>24.822988800000001</v>
      </c>
      <c r="B9944" s="18">
        <v>34.810909299999999</v>
      </c>
      <c r="C9944" s="18">
        <v>683019.14</v>
      </c>
      <c r="D9944" s="18">
        <v>2746562.28</v>
      </c>
      <c r="E9944" s="18">
        <v>331.54</v>
      </c>
      <c r="F9944" s="18">
        <v>41891.040000000001</v>
      </c>
      <c r="G9944" s="18">
        <v>111356</v>
      </c>
      <c r="H9944" s="18">
        <f t="shared" si="212"/>
        <v>41866.04</v>
      </c>
    </row>
    <row r="9945" spans="1:8" ht="19.5" customHeight="1" x14ac:dyDescent="0.55000000000000004">
      <c r="A9945" s="18">
        <v>24.823006199999998</v>
      </c>
      <c r="B9945" s="18">
        <v>34.810895500000001</v>
      </c>
      <c r="C9945" s="18">
        <v>683017.72</v>
      </c>
      <c r="D9945" s="18">
        <v>2746564.19</v>
      </c>
      <c r="E9945" s="18">
        <v>331.65</v>
      </c>
      <c r="F9945" s="18">
        <v>41893.49</v>
      </c>
      <c r="G9945" s="18">
        <v>111358</v>
      </c>
      <c r="H9945" s="18">
        <f t="shared" si="212"/>
        <v>41868.49</v>
      </c>
    </row>
    <row r="9946" spans="1:8" ht="19.5" customHeight="1" x14ac:dyDescent="0.55000000000000004">
      <c r="A9946" s="18">
        <v>24.823024700000001</v>
      </c>
      <c r="B9946" s="18">
        <v>34.810883699999998</v>
      </c>
      <c r="C9946" s="18">
        <v>683016.5</v>
      </c>
      <c r="D9946" s="18">
        <v>2746566.22</v>
      </c>
      <c r="E9946" s="18">
        <v>331.66</v>
      </c>
      <c r="F9946" s="18">
        <v>41888.58</v>
      </c>
      <c r="G9946" s="18">
        <v>111400</v>
      </c>
      <c r="H9946" s="18">
        <f t="shared" si="212"/>
        <v>41863.58</v>
      </c>
    </row>
    <row r="9947" spans="1:8" ht="19.5" customHeight="1" x14ac:dyDescent="0.55000000000000004">
      <c r="A9947" s="18">
        <v>24.8230419</v>
      </c>
      <c r="B9947" s="18">
        <v>34.810869400000001</v>
      </c>
      <c r="C9947" s="18">
        <v>683015.02</v>
      </c>
      <c r="D9947" s="18">
        <v>2746568.11</v>
      </c>
      <c r="E9947" s="18">
        <v>331.74</v>
      </c>
      <c r="F9947" s="18">
        <v>41885.03</v>
      </c>
      <c r="G9947" s="18">
        <v>111402</v>
      </c>
      <c r="H9947" s="18">
        <f t="shared" si="212"/>
        <v>41860.03</v>
      </c>
    </row>
    <row r="9948" spans="1:8" ht="19.5" customHeight="1" x14ac:dyDescent="0.55000000000000004">
      <c r="A9948" s="18">
        <v>24.823060399999999</v>
      </c>
      <c r="B9948" s="18">
        <v>34.810854900000002</v>
      </c>
      <c r="C9948" s="18">
        <v>683013.53</v>
      </c>
      <c r="D9948" s="18">
        <v>2746570.14</v>
      </c>
      <c r="E9948" s="18">
        <v>331.75</v>
      </c>
      <c r="F9948" s="18">
        <v>41887.620000000003</v>
      </c>
      <c r="G9948" s="18">
        <v>111404</v>
      </c>
      <c r="H9948" s="18">
        <f t="shared" si="212"/>
        <v>41862.620000000003</v>
      </c>
    </row>
    <row r="9949" spans="1:8" ht="19.5" customHeight="1" x14ac:dyDescent="0.55000000000000004">
      <c r="A9949" s="18">
        <v>24.823077900000001</v>
      </c>
      <c r="B9949" s="18">
        <v>34.810841099999998</v>
      </c>
      <c r="C9949" s="18">
        <v>683012.11</v>
      </c>
      <c r="D9949" s="18">
        <v>2746572.06</v>
      </c>
      <c r="E9949" s="18">
        <v>331.84</v>
      </c>
      <c r="F9949" s="18">
        <v>41890.089999999997</v>
      </c>
      <c r="G9949" s="18">
        <v>111406</v>
      </c>
      <c r="H9949" s="18">
        <f t="shared" si="212"/>
        <v>41865.089999999997</v>
      </c>
    </row>
    <row r="9950" spans="1:8" ht="19.5" customHeight="1" x14ac:dyDescent="0.55000000000000004">
      <c r="A9950" s="18">
        <v>24.823097400000002</v>
      </c>
      <c r="B9950" s="18">
        <v>34.810831399999998</v>
      </c>
      <c r="C9950" s="18">
        <v>683011.1</v>
      </c>
      <c r="D9950" s="18">
        <v>2746574.2</v>
      </c>
      <c r="E9950" s="18">
        <v>331.88</v>
      </c>
      <c r="F9950" s="18">
        <v>41891.75</v>
      </c>
      <c r="G9950" s="18">
        <v>111408</v>
      </c>
      <c r="H9950" s="18">
        <f t="shared" si="212"/>
        <v>41866.75</v>
      </c>
    </row>
    <row r="9951" spans="1:8" ht="19.5" customHeight="1" x14ac:dyDescent="0.55000000000000004">
      <c r="A9951" s="18">
        <v>24.823118399999998</v>
      </c>
      <c r="B9951" s="18">
        <v>34.810820499999998</v>
      </c>
      <c r="C9951" s="18">
        <v>683009.97</v>
      </c>
      <c r="D9951" s="18">
        <v>2746576.51</v>
      </c>
      <c r="E9951" s="18">
        <v>331.89</v>
      </c>
      <c r="F9951" s="18">
        <v>41892.269999999997</v>
      </c>
      <c r="G9951" s="18">
        <v>111410</v>
      </c>
      <c r="H9951" s="18">
        <f t="shared" si="212"/>
        <v>41867.269999999997</v>
      </c>
    </row>
    <row r="9952" spans="1:8" ht="19.5" customHeight="1" x14ac:dyDescent="0.55000000000000004">
      <c r="A9952" s="18">
        <v>24.823139600000001</v>
      </c>
      <c r="B9952" s="18">
        <v>34.810809599999999</v>
      </c>
      <c r="C9952" s="18">
        <v>683008.84</v>
      </c>
      <c r="D9952" s="18">
        <v>2746578.85</v>
      </c>
      <c r="E9952" s="18">
        <v>331.92</v>
      </c>
      <c r="F9952" s="18">
        <v>41898.800000000003</v>
      </c>
      <c r="G9952" s="18">
        <v>111412</v>
      </c>
      <c r="H9952" s="18">
        <f t="shared" si="212"/>
        <v>41873.800000000003</v>
      </c>
    </row>
    <row r="9953" spans="1:8" ht="19.5" customHeight="1" x14ac:dyDescent="0.55000000000000004">
      <c r="A9953" s="18">
        <v>24.823161299999999</v>
      </c>
      <c r="B9953" s="18">
        <v>34.810797800000003</v>
      </c>
      <c r="C9953" s="18">
        <v>683007.61</v>
      </c>
      <c r="D9953" s="18">
        <v>2746581.24</v>
      </c>
      <c r="E9953" s="18">
        <v>332.02</v>
      </c>
      <c r="F9953" s="18">
        <v>41895.97</v>
      </c>
      <c r="G9953" s="18">
        <v>111414</v>
      </c>
      <c r="H9953" s="18">
        <f t="shared" si="212"/>
        <v>41870.97</v>
      </c>
    </row>
    <row r="9954" spans="1:8" ht="19.5" customHeight="1" x14ac:dyDescent="0.55000000000000004">
      <c r="A9954" s="18">
        <v>24.823180199999999</v>
      </c>
      <c r="B9954" s="18">
        <v>34.8107854</v>
      </c>
      <c r="C9954" s="18">
        <v>683006.33</v>
      </c>
      <c r="D9954" s="18">
        <v>2746583.31</v>
      </c>
      <c r="E9954" s="18">
        <v>332.1</v>
      </c>
      <c r="F9954" s="18">
        <v>41892.559999999998</v>
      </c>
      <c r="G9954" s="18">
        <v>111416</v>
      </c>
      <c r="H9954" s="18">
        <f t="shared" si="212"/>
        <v>41867.56</v>
      </c>
    </row>
    <row r="9955" spans="1:8" ht="19.5" customHeight="1" x14ac:dyDescent="0.55000000000000004">
      <c r="A9955" s="18">
        <v>24.8232003</v>
      </c>
      <c r="B9955" s="18">
        <v>34.810773400000002</v>
      </c>
      <c r="C9955" s="18">
        <v>683005.09</v>
      </c>
      <c r="D9955" s="18">
        <v>2746585.52</v>
      </c>
      <c r="E9955" s="18">
        <v>332.24</v>
      </c>
      <c r="F9955" s="18">
        <v>41902.71</v>
      </c>
      <c r="G9955" s="18">
        <v>111418</v>
      </c>
      <c r="H9955" s="18">
        <f t="shared" si="212"/>
        <v>41877.71</v>
      </c>
    </row>
    <row r="9956" spans="1:8" ht="19.5" customHeight="1" x14ac:dyDescent="0.55000000000000004">
      <c r="A9956" s="18">
        <v>24.823220800000001</v>
      </c>
      <c r="B9956" s="18">
        <v>34.810763000000001</v>
      </c>
      <c r="C9956" s="18">
        <v>683004.01</v>
      </c>
      <c r="D9956" s="18">
        <v>2746587.78</v>
      </c>
      <c r="E9956" s="18">
        <v>332.34</v>
      </c>
      <c r="F9956" s="18">
        <v>41927.120000000003</v>
      </c>
      <c r="G9956" s="18">
        <v>111420</v>
      </c>
      <c r="H9956" s="18">
        <f t="shared" si="212"/>
        <v>41902.120000000003</v>
      </c>
    </row>
    <row r="9957" spans="1:8" ht="19.5" customHeight="1" x14ac:dyDescent="0.55000000000000004">
      <c r="A9957" s="18">
        <v>24.823240500000001</v>
      </c>
      <c r="B9957" s="18">
        <v>34.810750300000002</v>
      </c>
      <c r="C9957" s="18">
        <v>683002.69</v>
      </c>
      <c r="D9957" s="18">
        <v>2746589.94</v>
      </c>
      <c r="E9957" s="18">
        <v>332.5</v>
      </c>
      <c r="F9957" s="18">
        <v>41875.06</v>
      </c>
      <c r="G9957" s="18">
        <v>111422</v>
      </c>
      <c r="H9957" s="18">
        <f t="shared" si="212"/>
        <v>41850.06</v>
      </c>
    </row>
    <row r="9958" spans="1:8" ht="19.5" customHeight="1" x14ac:dyDescent="0.55000000000000004">
      <c r="A9958" s="18">
        <v>24.823259199999999</v>
      </c>
      <c r="B9958" s="18">
        <v>34.8107355</v>
      </c>
      <c r="C9958" s="18">
        <v>683001.17</v>
      </c>
      <c r="D9958" s="18">
        <v>2746591.99</v>
      </c>
      <c r="E9958" s="18">
        <v>332.59</v>
      </c>
      <c r="F9958" s="18">
        <v>41866.269999999997</v>
      </c>
      <c r="G9958" s="18">
        <v>111424</v>
      </c>
      <c r="H9958" s="18">
        <f t="shared" si="212"/>
        <v>41841.269999999997</v>
      </c>
    </row>
    <row r="9959" spans="1:8" ht="19.5" customHeight="1" x14ac:dyDescent="0.55000000000000004">
      <c r="A9959" s="18">
        <v>24.8232775</v>
      </c>
      <c r="B9959" s="18">
        <v>34.810720600000003</v>
      </c>
      <c r="C9959" s="18">
        <v>682999.64</v>
      </c>
      <c r="D9959" s="18">
        <v>2746594</v>
      </c>
      <c r="E9959" s="18">
        <v>332.72</v>
      </c>
      <c r="F9959" s="18">
        <v>41892.83</v>
      </c>
      <c r="G9959" s="18">
        <v>111426</v>
      </c>
      <c r="H9959" s="18">
        <f t="shared" si="212"/>
        <v>41867.83</v>
      </c>
    </row>
    <row r="9960" spans="1:8" ht="19.5" customHeight="1" x14ac:dyDescent="0.55000000000000004">
      <c r="A9960" s="18">
        <v>24.8232952</v>
      </c>
      <c r="B9960" s="18">
        <v>34.810706600000003</v>
      </c>
      <c r="C9960" s="18">
        <v>682998.19</v>
      </c>
      <c r="D9960" s="18">
        <v>2746595.95</v>
      </c>
      <c r="E9960" s="18">
        <v>332.88</v>
      </c>
      <c r="F9960" s="18">
        <v>41896.39</v>
      </c>
      <c r="G9960" s="18">
        <v>111428</v>
      </c>
      <c r="H9960" s="18">
        <f t="shared" si="212"/>
        <v>41871.39</v>
      </c>
    </row>
    <row r="9961" spans="1:8" ht="19.5" customHeight="1" x14ac:dyDescent="0.55000000000000004">
      <c r="A9961" s="18">
        <v>24.823312600000001</v>
      </c>
      <c r="B9961" s="18">
        <v>34.810691499999997</v>
      </c>
      <c r="C9961" s="18">
        <v>682996.64</v>
      </c>
      <c r="D9961" s="18">
        <v>2746597.85</v>
      </c>
      <c r="E9961" s="18">
        <v>332.94</v>
      </c>
      <c r="F9961" s="18">
        <v>41893.17</v>
      </c>
      <c r="G9961" s="18">
        <v>111430</v>
      </c>
      <c r="H9961" s="18">
        <f t="shared" si="212"/>
        <v>41868.17</v>
      </c>
    </row>
    <row r="9962" spans="1:8" ht="19.5" customHeight="1" x14ac:dyDescent="0.55000000000000004">
      <c r="A9962" s="18">
        <v>24.823331899999999</v>
      </c>
      <c r="B9962" s="18">
        <v>34.810676999999998</v>
      </c>
      <c r="C9962" s="18">
        <v>682995.15</v>
      </c>
      <c r="D9962" s="18">
        <v>2746599.97</v>
      </c>
      <c r="E9962" s="18">
        <v>333.08</v>
      </c>
      <c r="F9962" s="18">
        <v>41889.67</v>
      </c>
      <c r="G9962" s="18">
        <v>111432</v>
      </c>
      <c r="H9962" s="18">
        <f t="shared" si="212"/>
        <v>41864.67</v>
      </c>
    </row>
    <row r="9963" spans="1:8" ht="19.5" customHeight="1" x14ac:dyDescent="0.55000000000000004">
      <c r="A9963" s="18">
        <v>24.823350600000001</v>
      </c>
      <c r="B9963" s="18">
        <v>34.810662499999999</v>
      </c>
      <c r="C9963" s="18">
        <v>682993.66</v>
      </c>
      <c r="D9963" s="18">
        <v>2746602.03</v>
      </c>
      <c r="E9963" s="18">
        <v>333.16</v>
      </c>
      <c r="F9963" s="18">
        <v>41892</v>
      </c>
      <c r="G9963" s="18">
        <v>111434</v>
      </c>
      <c r="H9963" s="18">
        <f t="shared" si="212"/>
        <v>41867</v>
      </c>
    </row>
    <row r="9964" spans="1:8" ht="19.5" customHeight="1" x14ac:dyDescent="0.55000000000000004">
      <c r="A9964" s="18">
        <v>24.823368800000001</v>
      </c>
      <c r="B9964" s="18">
        <v>34.810647699999997</v>
      </c>
      <c r="C9964" s="18">
        <v>682992.13</v>
      </c>
      <c r="D9964" s="18">
        <v>2746604.02</v>
      </c>
      <c r="E9964" s="18">
        <v>333.24</v>
      </c>
      <c r="F9964" s="18">
        <v>41888.480000000003</v>
      </c>
      <c r="G9964" s="18">
        <v>111436</v>
      </c>
      <c r="H9964" s="18">
        <f t="shared" si="212"/>
        <v>41863.480000000003</v>
      </c>
    </row>
    <row r="9965" spans="1:8" ht="19.5" customHeight="1" x14ac:dyDescent="0.55000000000000004">
      <c r="A9965" s="18">
        <v>24.823389500000001</v>
      </c>
      <c r="B9965" s="18">
        <v>34.810636299999999</v>
      </c>
      <c r="C9965" s="18">
        <v>682990.95</v>
      </c>
      <c r="D9965" s="18">
        <v>2746606.3</v>
      </c>
      <c r="E9965" s="18">
        <v>333.41</v>
      </c>
      <c r="F9965" s="18">
        <v>41885.32</v>
      </c>
      <c r="G9965" s="18">
        <v>111438</v>
      </c>
      <c r="H9965" s="18">
        <f t="shared" si="212"/>
        <v>41860.32</v>
      </c>
    </row>
    <row r="9966" spans="1:8" ht="19.5" customHeight="1" x14ac:dyDescent="0.55000000000000004">
      <c r="A9966" s="18">
        <v>24.823409000000002</v>
      </c>
      <c r="B9966" s="18">
        <v>34.810625399999999</v>
      </c>
      <c r="C9966" s="18">
        <v>682989.82</v>
      </c>
      <c r="D9966" s="18">
        <v>2746608.44</v>
      </c>
      <c r="E9966" s="18">
        <v>333.49</v>
      </c>
      <c r="F9966" s="18">
        <v>41876.01</v>
      </c>
      <c r="G9966" s="18">
        <v>111440</v>
      </c>
      <c r="H9966" s="18">
        <f t="shared" si="212"/>
        <v>41851.01</v>
      </c>
    </row>
    <row r="9967" spans="1:8" ht="19.5" customHeight="1" x14ac:dyDescent="0.55000000000000004">
      <c r="A9967" s="18">
        <v>24.823427200000001</v>
      </c>
      <c r="B9967" s="18">
        <v>34.810611000000002</v>
      </c>
      <c r="C9967" s="18">
        <v>682988.34</v>
      </c>
      <c r="D9967" s="18">
        <v>2746610.44</v>
      </c>
      <c r="E9967" s="18">
        <v>333.6</v>
      </c>
      <c r="F9967" s="18">
        <v>41882.99</v>
      </c>
      <c r="G9967" s="18">
        <v>111442</v>
      </c>
      <c r="H9967" s="18">
        <f t="shared" si="212"/>
        <v>41857.99</v>
      </c>
    </row>
    <row r="9968" spans="1:8" ht="19.5" customHeight="1" x14ac:dyDescent="0.55000000000000004">
      <c r="A9968" s="18">
        <v>24.8234481</v>
      </c>
      <c r="B9968" s="18">
        <v>34.810597799999996</v>
      </c>
      <c r="C9968" s="18">
        <v>682986.98</v>
      </c>
      <c r="D9968" s="18">
        <v>2746612.73</v>
      </c>
      <c r="E9968" s="18">
        <v>333.68</v>
      </c>
      <c r="F9968" s="18">
        <v>41888.89</v>
      </c>
      <c r="G9968" s="18">
        <v>111444</v>
      </c>
      <c r="H9968" s="18">
        <f t="shared" si="212"/>
        <v>41863.89</v>
      </c>
    </row>
    <row r="9969" spans="1:8" ht="19.5" customHeight="1" x14ac:dyDescent="0.55000000000000004">
      <c r="A9969" s="18">
        <v>24.823468299999998</v>
      </c>
      <c r="B9969" s="18">
        <v>34.810588299999999</v>
      </c>
      <c r="C9969" s="18">
        <v>682985.98</v>
      </c>
      <c r="D9969" s="18">
        <v>2746614.96</v>
      </c>
      <c r="E9969" s="18">
        <v>333.8</v>
      </c>
      <c r="F9969" s="18">
        <v>41887.57</v>
      </c>
      <c r="G9969" s="18">
        <v>111446</v>
      </c>
      <c r="H9969" s="18">
        <f t="shared" si="212"/>
        <v>41862.57</v>
      </c>
    </row>
    <row r="9970" spans="1:8" ht="19.5" customHeight="1" x14ac:dyDescent="0.55000000000000004">
      <c r="A9970" s="18">
        <v>24.823490100000001</v>
      </c>
      <c r="B9970" s="18">
        <v>34.810578100000001</v>
      </c>
      <c r="C9970" s="18">
        <v>682984.92</v>
      </c>
      <c r="D9970" s="18">
        <v>2746617.36</v>
      </c>
      <c r="E9970" s="18">
        <v>333.98</v>
      </c>
      <c r="F9970" s="18">
        <v>41872.730000000003</v>
      </c>
      <c r="G9970" s="18">
        <v>111448</v>
      </c>
      <c r="H9970" s="18">
        <f t="shared" si="212"/>
        <v>41847.730000000003</v>
      </c>
    </row>
    <row r="9971" spans="1:8" ht="19.5" customHeight="1" x14ac:dyDescent="0.55000000000000004">
      <c r="A9971" s="18">
        <v>24.8235116</v>
      </c>
      <c r="B9971" s="18">
        <v>34.810569000000001</v>
      </c>
      <c r="C9971" s="18">
        <v>682983.97</v>
      </c>
      <c r="D9971" s="18">
        <v>2746619.73</v>
      </c>
      <c r="E9971" s="18">
        <v>334.12</v>
      </c>
      <c r="F9971" s="18">
        <v>41871.33</v>
      </c>
      <c r="G9971" s="18">
        <v>111450</v>
      </c>
      <c r="H9971" s="18">
        <f t="shared" si="212"/>
        <v>41846.33</v>
      </c>
    </row>
    <row r="9972" spans="1:8" ht="19.5" customHeight="1" x14ac:dyDescent="0.55000000000000004">
      <c r="A9972" s="18">
        <v>24.8235323</v>
      </c>
      <c r="B9972" s="18">
        <v>34.810556499999997</v>
      </c>
      <c r="C9972" s="18">
        <v>682982.68</v>
      </c>
      <c r="D9972" s="18">
        <v>2746622.01</v>
      </c>
      <c r="E9972" s="18">
        <v>334.3</v>
      </c>
      <c r="F9972" s="18">
        <v>41901.120000000003</v>
      </c>
      <c r="G9972" s="18">
        <v>111452</v>
      </c>
      <c r="H9972" s="18">
        <f t="shared" si="212"/>
        <v>41876.120000000003</v>
      </c>
    </row>
    <row r="9973" spans="1:8" ht="19.5" customHeight="1" x14ac:dyDescent="0.55000000000000004">
      <c r="A9973" s="18">
        <v>24.8235527</v>
      </c>
      <c r="B9973" s="18">
        <v>34.810544299999997</v>
      </c>
      <c r="C9973" s="18">
        <v>682981.42</v>
      </c>
      <c r="D9973" s="18">
        <v>2746624.25</v>
      </c>
      <c r="E9973" s="18">
        <v>334.44</v>
      </c>
      <c r="F9973" s="18">
        <v>41894.94</v>
      </c>
      <c r="G9973" s="18">
        <v>111454</v>
      </c>
      <c r="H9973" s="18">
        <f t="shared" si="212"/>
        <v>41869.94</v>
      </c>
    </row>
    <row r="9974" spans="1:8" ht="19.5" customHeight="1" x14ac:dyDescent="0.55000000000000004">
      <c r="A9974" s="18">
        <v>24.823574099999998</v>
      </c>
      <c r="B9974" s="18">
        <v>34.810534699999998</v>
      </c>
      <c r="C9974" s="18">
        <v>682980.41</v>
      </c>
      <c r="D9974" s="18">
        <v>2746626.61</v>
      </c>
      <c r="E9974" s="18">
        <v>334.54</v>
      </c>
      <c r="F9974" s="18">
        <v>41892.839999999997</v>
      </c>
      <c r="G9974" s="18">
        <v>111456</v>
      </c>
      <c r="H9974" s="18">
        <f t="shared" si="212"/>
        <v>41867.839999999997</v>
      </c>
    </row>
    <row r="9975" spans="1:8" ht="19.5" customHeight="1" x14ac:dyDescent="0.55000000000000004">
      <c r="A9975" s="18">
        <v>24.823594</v>
      </c>
      <c r="B9975" s="18">
        <v>34.810522200000001</v>
      </c>
      <c r="C9975" s="18">
        <v>682979.12</v>
      </c>
      <c r="D9975" s="18">
        <v>2746628.79</v>
      </c>
      <c r="E9975" s="18">
        <v>334.72</v>
      </c>
      <c r="F9975" s="18">
        <v>41895.660000000003</v>
      </c>
      <c r="G9975" s="18">
        <v>111458</v>
      </c>
      <c r="H9975" s="18">
        <f t="shared" si="212"/>
        <v>41870.660000000003</v>
      </c>
    </row>
    <row r="9976" spans="1:8" ht="19.5" customHeight="1" x14ac:dyDescent="0.55000000000000004">
      <c r="A9976" s="18">
        <v>24.823614200000002</v>
      </c>
      <c r="B9976" s="18">
        <v>34.810507700000002</v>
      </c>
      <c r="C9976" s="18">
        <v>682977.62</v>
      </c>
      <c r="D9976" s="18">
        <v>2746631.02</v>
      </c>
      <c r="E9976" s="18">
        <v>334.88</v>
      </c>
      <c r="F9976" s="18">
        <v>41895.32</v>
      </c>
      <c r="G9976" s="18">
        <v>111500</v>
      </c>
      <c r="H9976" s="18">
        <f t="shared" si="212"/>
        <v>41870.32</v>
      </c>
    </row>
    <row r="9977" spans="1:8" ht="19.5" customHeight="1" x14ac:dyDescent="0.55000000000000004">
      <c r="A9977" s="18">
        <v>24.823635400000001</v>
      </c>
      <c r="B9977" s="18">
        <v>34.810494400000003</v>
      </c>
      <c r="C9977" s="18">
        <v>682976.24</v>
      </c>
      <c r="D9977" s="18">
        <v>2746633.35</v>
      </c>
      <c r="E9977" s="18">
        <v>334.95</v>
      </c>
      <c r="F9977" s="18">
        <v>41896.699999999997</v>
      </c>
      <c r="G9977" s="18">
        <v>111502</v>
      </c>
      <c r="H9977" s="18">
        <f t="shared" si="212"/>
        <v>41871.699999999997</v>
      </c>
    </row>
    <row r="9978" spans="1:8" ht="19.5" customHeight="1" x14ac:dyDescent="0.55000000000000004">
      <c r="A9978" s="18">
        <v>24.823658300000002</v>
      </c>
      <c r="B9978" s="18">
        <v>34.810486400000002</v>
      </c>
      <c r="C9978" s="18">
        <v>682975.4</v>
      </c>
      <c r="D9978" s="18">
        <v>2746635.87</v>
      </c>
      <c r="E9978" s="18">
        <v>335.1</v>
      </c>
      <c r="F9978" s="18">
        <v>41889.78</v>
      </c>
      <c r="G9978" s="18">
        <v>111504</v>
      </c>
      <c r="H9978" s="18">
        <f t="shared" si="212"/>
        <v>41864.78</v>
      </c>
    </row>
    <row r="9979" spans="1:8" ht="19.5" customHeight="1" x14ac:dyDescent="0.55000000000000004">
      <c r="A9979" s="18">
        <v>24.823680700000001</v>
      </c>
      <c r="B9979" s="18">
        <v>34.810476899999998</v>
      </c>
      <c r="C9979" s="18">
        <v>682974.41</v>
      </c>
      <c r="D9979" s="18">
        <v>2746638.34</v>
      </c>
      <c r="E9979" s="18">
        <v>335.21</v>
      </c>
      <c r="F9979" s="18">
        <v>41887.360000000001</v>
      </c>
      <c r="G9979" s="18">
        <v>111506</v>
      </c>
      <c r="H9979" s="18">
        <f t="shared" si="212"/>
        <v>41862.36</v>
      </c>
    </row>
    <row r="9980" spans="1:8" ht="19.5" customHeight="1" x14ac:dyDescent="0.55000000000000004">
      <c r="A9980" s="18">
        <v>24.823703600000002</v>
      </c>
      <c r="B9980" s="18">
        <v>34.810466499999997</v>
      </c>
      <c r="C9980" s="18">
        <v>682973.33</v>
      </c>
      <c r="D9980" s="18">
        <v>2746640.86</v>
      </c>
      <c r="E9980" s="18">
        <v>335.3</v>
      </c>
      <c r="F9980" s="18">
        <v>41890.68</v>
      </c>
      <c r="G9980" s="18">
        <v>111508</v>
      </c>
      <c r="H9980" s="18">
        <f t="shared" si="212"/>
        <v>41865.68</v>
      </c>
    </row>
    <row r="9981" spans="1:8" ht="19.5" customHeight="1" x14ac:dyDescent="0.55000000000000004">
      <c r="A9981" s="18">
        <v>24.823723099999999</v>
      </c>
      <c r="B9981" s="18">
        <v>34.810455099999999</v>
      </c>
      <c r="C9981" s="18">
        <v>682972.14</v>
      </c>
      <c r="D9981" s="18">
        <v>2746643</v>
      </c>
      <c r="E9981" s="18">
        <v>335.45</v>
      </c>
      <c r="F9981" s="18">
        <v>41893.129999999997</v>
      </c>
      <c r="G9981" s="18">
        <v>111510</v>
      </c>
      <c r="H9981" s="18">
        <f t="shared" si="212"/>
        <v>41868.129999999997</v>
      </c>
    </row>
    <row r="9982" spans="1:8" ht="19.5" customHeight="1" x14ac:dyDescent="0.55000000000000004">
      <c r="A9982" s="18">
        <v>24.823737099999999</v>
      </c>
      <c r="B9982" s="18">
        <v>34.810436000000003</v>
      </c>
      <c r="C9982" s="18">
        <v>682970.19</v>
      </c>
      <c r="D9982" s="18">
        <v>2746644.52</v>
      </c>
      <c r="E9982" s="18">
        <v>335.54</v>
      </c>
      <c r="F9982" s="18">
        <v>41884.269999999997</v>
      </c>
      <c r="G9982" s="18">
        <v>111512</v>
      </c>
      <c r="H9982" s="18">
        <f t="shared" si="212"/>
        <v>41859.269999999997</v>
      </c>
    </row>
    <row r="9983" spans="1:8" ht="19.5" customHeight="1" x14ac:dyDescent="0.55000000000000004">
      <c r="A9983" s="18">
        <v>24.823756400000001</v>
      </c>
      <c r="B9983" s="18">
        <v>34.810419699999997</v>
      </c>
      <c r="C9983" s="18">
        <v>682968.51</v>
      </c>
      <c r="D9983" s="18">
        <v>2746646.65</v>
      </c>
      <c r="E9983" s="18">
        <v>335.58</v>
      </c>
      <c r="F9983" s="18">
        <v>41886.870000000003</v>
      </c>
      <c r="G9983" s="18">
        <v>111514</v>
      </c>
      <c r="H9983" s="18">
        <f t="shared" si="212"/>
        <v>41861.870000000003</v>
      </c>
    </row>
    <row r="9984" spans="1:8" ht="19.5" customHeight="1" x14ac:dyDescent="0.55000000000000004">
      <c r="A9984" s="18">
        <v>24.823772000000002</v>
      </c>
      <c r="B9984" s="18">
        <v>34.8104011</v>
      </c>
      <c r="C9984" s="18">
        <v>682966.62</v>
      </c>
      <c r="D9984" s="18">
        <v>2746648.34</v>
      </c>
      <c r="E9984" s="18">
        <v>335.76</v>
      </c>
      <c r="F9984" s="18">
        <v>41884.370000000003</v>
      </c>
      <c r="G9984" s="18">
        <v>111516</v>
      </c>
      <c r="H9984" s="18">
        <f t="shared" si="212"/>
        <v>41859.370000000003</v>
      </c>
    </row>
    <row r="9985" spans="1:8" ht="19.5" customHeight="1" x14ac:dyDescent="0.55000000000000004">
      <c r="A9985" s="18">
        <v>24.823786800000001</v>
      </c>
      <c r="B9985" s="18">
        <v>34.810381900000003</v>
      </c>
      <c r="C9985" s="18">
        <v>682964.65</v>
      </c>
      <c r="D9985" s="18">
        <v>2746649.96</v>
      </c>
      <c r="E9985" s="18">
        <v>335.82</v>
      </c>
      <c r="F9985" s="18">
        <v>41886.480000000003</v>
      </c>
      <c r="G9985" s="18">
        <v>111518</v>
      </c>
      <c r="H9985" s="18">
        <f t="shared" si="212"/>
        <v>41861.480000000003</v>
      </c>
    </row>
    <row r="9986" spans="1:8" ht="19.5" customHeight="1" x14ac:dyDescent="0.55000000000000004">
      <c r="A9986" s="18">
        <v>24.823809700000002</v>
      </c>
      <c r="B9986" s="18">
        <v>34.810372700000002</v>
      </c>
      <c r="C9986" s="18">
        <v>682963.69</v>
      </c>
      <c r="D9986" s="18">
        <v>2746652.49</v>
      </c>
      <c r="E9986" s="18">
        <v>335.95</v>
      </c>
      <c r="F9986" s="18">
        <v>41887.31</v>
      </c>
      <c r="G9986" s="18">
        <v>111520</v>
      </c>
      <c r="H9986" s="18">
        <f t="shared" si="212"/>
        <v>41862.31</v>
      </c>
    </row>
    <row r="9987" spans="1:8" ht="19.5" customHeight="1" x14ac:dyDescent="0.55000000000000004">
      <c r="A9987" s="18">
        <v>24.823832199999998</v>
      </c>
      <c r="B9987" s="18">
        <v>34.810363600000002</v>
      </c>
      <c r="C9987" s="18">
        <v>682962.73</v>
      </c>
      <c r="D9987" s="18">
        <v>2746654.96</v>
      </c>
      <c r="E9987" s="18">
        <v>336.12</v>
      </c>
      <c r="F9987" s="18">
        <v>41886.97</v>
      </c>
      <c r="G9987" s="18">
        <v>111522</v>
      </c>
      <c r="H9987" s="18">
        <f t="shared" si="212"/>
        <v>41861.97</v>
      </c>
    </row>
    <row r="9988" spans="1:8" ht="19.5" customHeight="1" x14ac:dyDescent="0.55000000000000004">
      <c r="A9988" s="18">
        <v>24.8238536</v>
      </c>
      <c r="B9988" s="18">
        <v>34.810353900000003</v>
      </c>
      <c r="C9988" s="18">
        <v>682961.72</v>
      </c>
      <c r="D9988" s="18">
        <v>2746657.33</v>
      </c>
      <c r="E9988" s="18">
        <v>336.17</v>
      </c>
      <c r="F9988" s="18">
        <v>41889.589999999997</v>
      </c>
      <c r="G9988" s="18">
        <v>111524</v>
      </c>
      <c r="H9988" s="18">
        <f t="shared" si="212"/>
        <v>41864.589999999997</v>
      </c>
    </row>
    <row r="9989" spans="1:8" ht="19.5" customHeight="1" x14ac:dyDescent="0.55000000000000004">
      <c r="A9989" s="18">
        <v>24.8238764</v>
      </c>
      <c r="B9989" s="18">
        <v>34.810345900000002</v>
      </c>
      <c r="C9989" s="18">
        <v>682960.88</v>
      </c>
      <c r="D9989" s="18">
        <v>2746659.83</v>
      </c>
      <c r="E9989" s="18">
        <v>336.27</v>
      </c>
      <c r="F9989" s="18">
        <v>41889.949999999997</v>
      </c>
      <c r="G9989" s="18">
        <v>111526</v>
      </c>
      <c r="H9989" s="18">
        <f t="shared" si="212"/>
        <v>41864.949999999997</v>
      </c>
    </row>
    <row r="9990" spans="1:8" ht="19.5" customHeight="1" x14ac:dyDescent="0.55000000000000004">
      <c r="A9990" s="18">
        <v>24.823898799999998</v>
      </c>
      <c r="B9990" s="18">
        <v>34.810336900000003</v>
      </c>
      <c r="C9990" s="18">
        <v>682959.94</v>
      </c>
      <c r="D9990" s="18">
        <v>2746662.3</v>
      </c>
      <c r="E9990" s="18">
        <v>336.47</v>
      </c>
      <c r="F9990" s="18">
        <v>41884.800000000003</v>
      </c>
      <c r="G9990" s="18">
        <v>111528</v>
      </c>
      <c r="H9990" s="18">
        <f t="shared" si="212"/>
        <v>41859.800000000003</v>
      </c>
    </row>
    <row r="9991" spans="1:8" ht="19.5" customHeight="1" x14ac:dyDescent="0.55000000000000004">
      <c r="A9991" s="18">
        <v>24.823922199999998</v>
      </c>
      <c r="B9991" s="18">
        <v>34.810327800000003</v>
      </c>
      <c r="C9991" s="18">
        <v>682958.99</v>
      </c>
      <c r="D9991" s="18">
        <v>2746664.88</v>
      </c>
      <c r="E9991" s="18">
        <v>336.54</v>
      </c>
      <c r="F9991" s="18">
        <v>41883.01</v>
      </c>
      <c r="G9991" s="18">
        <v>111530</v>
      </c>
      <c r="H9991" s="18">
        <f t="shared" si="212"/>
        <v>41858.01</v>
      </c>
    </row>
    <row r="9992" spans="1:8" ht="19.5" customHeight="1" x14ac:dyDescent="0.55000000000000004">
      <c r="A9992" s="18">
        <v>24.823943700000001</v>
      </c>
      <c r="B9992" s="18">
        <v>34.810319800000002</v>
      </c>
      <c r="C9992" s="18">
        <v>682958.14</v>
      </c>
      <c r="D9992" s="18">
        <v>2746667.26</v>
      </c>
      <c r="E9992" s="18">
        <v>336.69</v>
      </c>
      <c r="F9992" s="18">
        <v>41881.550000000003</v>
      </c>
      <c r="G9992" s="18">
        <v>111532</v>
      </c>
      <c r="H9992" s="18">
        <f t="shared" si="212"/>
        <v>41856.550000000003</v>
      </c>
    </row>
    <row r="9993" spans="1:8" ht="19.5" customHeight="1" x14ac:dyDescent="0.55000000000000004">
      <c r="A9993" s="18">
        <v>24.8239664</v>
      </c>
      <c r="B9993" s="18">
        <v>34.810310800000003</v>
      </c>
      <c r="C9993" s="18">
        <v>682957.2</v>
      </c>
      <c r="D9993" s="18">
        <v>2746669.75</v>
      </c>
      <c r="E9993" s="18">
        <v>336.82</v>
      </c>
      <c r="F9993" s="18">
        <v>41887.21</v>
      </c>
      <c r="G9993" s="18">
        <v>111534</v>
      </c>
      <c r="H9993" s="18">
        <f t="shared" si="212"/>
        <v>41862.21</v>
      </c>
    </row>
    <row r="9994" spans="1:8" ht="19.5" customHeight="1" x14ac:dyDescent="0.55000000000000004">
      <c r="A9994" s="18">
        <v>24.823989699999998</v>
      </c>
      <c r="B9994" s="18">
        <v>34.810303500000003</v>
      </c>
      <c r="C9994" s="18">
        <v>682956.43</v>
      </c>
      <c r="D9994" s="18">
        <v>2746672.33</v>
      </c>
      <c r="E9994" s="18">
        <v>336.91</v>
      </c>
      <c r="F9994" s="18">
        <v>41887.730000000003</v>
      </c>
      <c r="G9994" s="18">
        <v>111536</v>
      </c>
      <c r="H9994" s="18">
        <f t="shared" si="212"/>
        <v>41862.730000000003</v>
      </c>
    </row>
    <row r="9995" spans="1:8" ht="19.5" customHeight="1" x14ac:dyDescent="0.55000000000000004">
      <c r="A9995" s="18">
        <v>24.824012799999998</v>
      </c>
      <c r="B9995" s="18">
        <v>34.810296100000002</v>
      </c>
      <c r="C9995" s="18">
        <v>682955.64</v>
      </c>
      <c r="D9995" s="18">
        <v>2746674.87</v>
      </c>
      <c r="E9995" s="18">
        <v>337.03</v>
      </c>
      <c r="F9995" s="18">
        <v>41880.129999999997</v>
      </c>
      <c r="G9995" s="18">
        <v>111538</v>
      </c>
      <c r="H9995" s="18">
        <f t="shared" si="212"/>
        <v>41855.129999999997</v>
      </c>
    </row>
    <row r="9996" spans="1:8" ht="19.5" customHeight="1" x14ac:dyDescent="0.55000000000000004">
      <c r="A9996" s="18">
        <v>24.824036100000001</v>
      </c>
      <c r="B9996" s="18">
        <v>34.810288700000001</v>
      </c>
      <c r="C9996" s="18">
        <v>682954.86</v>
      </c>
      <c r="D9996" s="18">
        <v>2746677.45</v>
      </c>
      <c r="E9996" s="18">
        <v>337.08</v>
      </c>
      <c r="F9996" s="18">
        <v>41882.519999999997</v>
      </c>
      <c r="G9996" s="18">
        <v>111540</v>
      </c>
      <c r="H9996" s="18">
        <f t="shared" si="212"/>
        <v>41857.519999999997</v>
      </c>
    </row>
    <row r="9997" spans="1:8" ht="19.5" customHeight="1" x14ac:dyDescent="0.55000000000000004">
      <c r="A9997" s="18">
        <v>24.824058399999998</v>
      </c>
      <c r="B9997" s="18">
        <v>34.810279899999998</v>
      </c>
      <c r="C9997" s="18">
        <v>682953.94</v>
      </c>
      <c r="D9997" s="18">
        <v>2746679.91</v>
      </c>
      <c r="E9997" s="18">
        <v>336.96</v>
      </c>
      <c r="F9997" s="18">
        <v>41883.65</v>
      </c>
      <c r="G9997" s="18">
        <v>111542</v>
      </c>
      <c r="H9997" s="18">
        <f t="shared" si="212"/>
        <v>41858.65</v>
      </c>
    </row>
    <row r="9998" spans="1:8" ht="19.5" customHeight="1" x14ac:dyDescent="0.55000000000000004">
      <c r="A9998" s="18">
        <v>24.824079099999999</v>
      </c>
      <c r="B9998" s="18">
        <v>34.810273500000001</v>
      </c>
      <c r="C9998" s="18">
        <v>682953.27</v>
      </c>
      <c r="D9998" s="18">
        <v>2746682.19</v>
      </c>
      <c r="E9998" s="18">
        <v>336.92</v>
      </c>
      <c r="F9998" s="18">
        <v>41885.120000000003</v>
      </c>
      <c r="G9998" s="18">
        <v>111544</v>
      </c>
      <c r="H9998" s="18">
        <f t="shared" si="212"/>
        <v>41860.120000000003</v>
      </c>
    </row>
    <row r="9999" spans="1:8" ht="19.5" customHeight="1" x14ac:dyDescent="0.55000000000000004">
      <c r="A9999" s="18">
        <v>24.824100600000001</v>
      </c>
      <c r="B9999" s="18">
        <v>34.810265999999999</v>
      </c>
      <c r="C9999" s="18">
        <v>682952.47</v>
      </c>
      <c r="D9999" s="18">
        <v>2746684.56</v>
      </c>
      <c r="E9999" s="18">
        <v>336.77</v>
      </c>
      <c r="F9999" s="18">
        <v>41890.199999999997</v>
      </c>
      <c r="G9999" s="18">
        <v>111546</v>
      </c>
      <c r="H9999" s="18">
        <f t="shared" si="212"/>
        <v>41865.199999999997</v>
      </c>
    </row>
    <row r="10000" spans="1:8" ht="19.5" customHeight="1" x14ac:dyDescent="0.55000000000000004">
      <c r="A10000" s="18">
        <v>24.824122200000001</v>
      </c>
      <c r="B10000" s="18">
        <v>34.810255900000001</v>
      </c>
      <c r="C10000" s="18">
        <v>682951.42</v>
      </c>
      <c r="D10000" s="18">
        <v>2746686.94</v>
      </c>
      <c r="E10000" s="18">
        <v>336.76</v>
      </c>
      <c r="F10000" s="18">
        <v>41910.26</v>
      </c>
      <c r="G10000" s="18">
        <v>111548</v>
      </c>
      <c r="H10000" s="18">
        <f t="shared" si="212"/>
        <v>41885.26</v>
      </c>
    </row>
    <row r="10001" spans="1:8" ht="19.5" customHeight="1" x14ac:dyDescent="0.55000000000000004">
      <c r="A10001" s="18">
        <v>24.824142999999999</v>
      </c>
      <c r="B10001" s="18">
        <v>34.810245899999998</v>
      </c>
      <c r="C10001" s="18">
        <v>682950.38</v>
      </c>
      <c r="D10001" s="18">
        <v>2746689.23</v>
      </c>
      <c r="E10001" s="18">
        <v>336.73</v>
      </c>
      <c r="F10001" s="18">
        <v>41929.47</v>
      </c>
      <c r="G10001" s="18">
        <v>111550</v>
      </c>
      <c r="H10001" s="18">
        <f t="shared" si="212"/>
        <v>41904.47</v>
      </c>
    </row>
    <row r="10002" spans="1:8" ht="19.5" customHeight="1" x14ac:dyDescent="0.55000000000000004">
      <c r="A10002" s="18">
        <v>24.824165000000001</v>
      </c>
      <c r="B10002" s="18">
        <v>34.810237000000001</v>
      </c>
      <c r="C10002" s="18">
        <v>682949.44</v>
      </c>
      <c r="D10002" s="18">
        <v>2746691.66</v>
      </c>
      <c r="E10002" s="18">
        <v>336.62</v>
      </c>
      <c r="F10002" s="18">
        <v>42002.47</v>
      </c>
      <c r="G10002" s="18">
        <v>111552</v>
      </c>
      <c r="H10002" s="18">
        <f t="shared" si="212"/>
        <v>41977.47</v>
      </c>
    </row>
    <row r="10003" spans="1:8" ht="19.5" customHeight="1" x14ac:dyDescent="0.55000000000000004">
      <c r="A10003" s="18">
        <v>24.824185799999999</v>
      </c>
      <c r="B10003" s="18">
        <v>34.810226999999998</v>
      </c>
      <c r="C10003" s="18">
        <v>682948.4</v>
      </c>
      <c r="D10003" s="18">
        <v>2746693.94</v>
      </c>
      <c r="E10003" s="18">
        <v>336.68</v>
      </c>
      <c r="F10003" s="18">
        <v>42199.96</v>
      </c>
      <c r="G10003" s="18">
        <v>111554</v>
      </c>
      <c r="H10003" s="18">
        <f t="shared" si="212"/>
        <v>42174.96</v>
      </c>
    </row>
    <row r="10004" spans="1:8" ht="19.5" customHeight="1" x14ac:dyDescent="0.55000000000000004">
      <c r="A10004" s="18">
        <v>24.824204999999999</v>
      </c>
      <c r="B10004" s="18">
        <v>34.810216199999999</v>
      </c>
      <c r="C10004" s="18">
        <v>682947.29</v>
      </c>
      <c r="D10004" s="18">
        <v>2746696.06</v>
      </c>
      <c r="E10004" s="18">
        <v>336.64</v>
      </c>
      <c r="F10004" s="18">
        <v>42126.45</v>
      </c>
      <c r="G10004" s="18">
        <v>111556</v>
      </c>
      <c r="H10004" s="18">
        <f t="shared" si="212"/>
        <v>42101.45</v>
      </c>
    </row>
    <row r="10005" spans="1:8" ht="19.5" customHeight="1" x14ac:dyDescent="0.55000000000000004">
      <c r="A10005" s="18">
        <v>24.824226400000001</v>
      </c>
      <c r="B10005" s="18">
        <v>34.810205799999999</v>
      </c>
      <c r="C10005" s="18">
        <v>682946.2</v>
      </c>
      <c r="D10005" s="18">
        <v>2746698.42</v>
      </c>
      <c r="E10005" s="18">
        <v>336.64</v>
      </c>
      <c r="F10005" s="18">
        <v>41873.129999999997</v>
      </c>
      <c r="G10005" s="18">
        <v>111558</v>
      </c>
      <c r="H10005" s="18">
        <f t="shared" ref="H10005:H10048" si="213">SUM(F10005-25)</f>
        <v>41848.129999999997</v>
      </c>
    </row>
    <row r="10006" spans="1:8" ht="19.5" customHeight="1" x14ac:dyDescent="0.55000000000000004">
      <c r="A10006" s="18">
        <v>24.824248099999998</v>
      </c>
      <c r="B10006" s="18">
        <v>34.810195100000001</v>
      </c>
      <c r="C10006" s="18">
        <v>682945.09</v>
      </c>
      <c r="D10006" s="18">
        <v>2746700.81</v>
      </c>
      <c r="E10006" s="18">
        <v>336.65</v>
      </c>
      <c r="F10006" s="18">
        <v>41838.14</v>
      </c>
      <c r="G10006" s="18">
        <v>111600</v>
      </c>
      <c r="H10006" s="18">
        <f t="shared" si="213"/>
        <v>41813.14</v>
      </c>
    </row>
    <row r="10007" spans="1:8" ht="19.5" customHeight="1" x14ac:dyDescent="0.55000000000000004">
      <c r="A10007" s="18">
        <v>24.824270299999998</v>
      </c>
      <c r="B10007" s="18">
        <v>34.810186999999999</v>
      </c>
      <c r="C10007" s="18">
        <v>682944.24</v>
      </c>
      <c r="D10007" s="18">
        <v>2746703.26</v>
      </c>
      <c r="E10007" s="18">
        <v>336.6</v>
      </c>
      <c r="F10007" s="18">
        <v>41851.57</v>
      </c>
      <c r="G10007" s="18">
        <v>111602</v>
      </c>
      <c r="H10007" s="18">
        <f t="shared" si="213"/>
        <v>41826.57</v>
      </c>
    </row>
    <row r="10008" spans="1:8" ht="19.5" customHeight="1" x14ac:dyDescent="0.55000000000000004">
      <c r="A10008" s="18">
        <v>24.824291800000001</v>
      </c>
      <c r="B10008" s="18">
        <v>34.810178800000003</v>
      </c>
      <c r="C10008" s="18">
        <v>682943.38</v>
      </c>
      <c r="D10008" s="18">
        <v>2746705.62</v>
      </c>
      <c r="E10008" s="18">
        <v>336.62</v>
      </c>
      <c r="F10008" s="18">
        <v>41862.230000000003</v>
      </c>
      <c r="G10008" s="18">
        <v>111604</v>
      </c>
      <c r="H10008" s="18">
        <f t="shared" si="213"/>
        <v>41837.230000000003</v>
      </c>
    </row>
    <row r="10009" spans="1:8" ht="19.5" customHeight="1" x14ac:dyDescent="0.55000000000000004">
      <c r="A10009" s="18">
        <v>24.8243142</v>
      </c>
      <c r="B10009" s="18">
        <v>34.810172199999997</v>
      </c>
      <c r="C10009" s="18">
        <v>682942.68</v>
      </c>
      <c r="D10009" s="18">
        <v>2746708.09</v>
      </c>
      <c r="E10009" s="18">
        <v>336.62</v>
      </c>
      <c r="F10009" s="18">
        <v>41867.160000000003</v>
      </c>
      <c r="G10009" s="18">
        <v>111606</v>
      </c>
      <c r="H10009" s="18">
        <f t="shared" si="213"/>
        <v>41842.160000000003</v>
      </c>
    </row>
    <row r="10010" spans="1:8" ht="19.5" customHeight="1" x14ac:dyDescent="0.55000000000000004">
      <c r="A10010" s="18">
        <v>24.8243373</v>
      </c>
      <c r="B10010" s="18">
        <v>34.810167499999999</v>
      </c>
      <c r="C10010" s="18">
        <v>682942.17</v>
      </c>
      <c r="D10010" s="18">
        <v>2746710.65</v>
      </c>
      <c r="E10010" s="18">
        <v>336.56</v>
      </c>
      <c r="F10010" s="18">
        <v>41872.9</v>
      </c>
      <c r="G10010" s="18">
        <v>111608</v>
      </c>
      <c r="H10010" s="18">
        <f t="shared" si="213"/>
        <v>41847.9</v>
      </c>
    </row>
    <row r="10011" spans="1:8" ht="19.5" customHeight="1" x14ac:dyDescent="0.55000000000000004">
      <c r="A10011" s="18">
        <v>24.824358700000001</v>
      </c>
      <c r="B10011" s="18">
        <v>34.8101585</v>
      </c>
      <c r="C10011" s="18">
        <v>682941.23</v>
      </c>
      <c r="D10011" s="18">
        <v>2746713.01</v>
      </c>
      <c r="E10011" s="18">
        <v>336.64</v>
      </c>
      <c r="F10011" s="18">
        <v>41877.660000000003</v>
      </c>
      <c r="G10011" s="18">
        <v>111610</v>
      </c>
      <c r="H10011" s="18">
        <f t="shared" si="213"/>
        <v>41852.660000000003</v>
      </c>
    </row>
    <row r="10012" spans="1:8" ht="19.5" customHeight="1" x14ac:dyDescent="0.55000000000000004">
      <c r="A10012" s="18">
        <v>24.8243771</v>
      </c>
      <c r="B10012" s="18">
        <v>34.810146199999998</v>
      </c>
      <c r="C10012" s="18">
        <v>682939.96</v>
      </c>
      <c r="D10012" s="18">
        <v>2746715.03</v>
      </c>
      <c r="E10012" s="18">
        <v>336.7</v>
      </c>
      <c r="F10012" s="18">
        <v>41879.35</v>
      </c>
      <c r="G10012" s="18">
        <v>111612</v>
      </c>
      <c r="H10012" s="18">
        <f t="shared" si="213"/>
        <v>41854.35</v>
      </c>
    </row>
    <row r="10013" spans="1:8" ht="19.5" customHeight="1" x14ac:dyDescent="0.55000000000000004">
      <c r="A10013" s="18">
        <v>24.824394099999999</v>
      </c>
      <c r="B10013" s="18">
        <v>34.8101311</v>
      </c>
      <c r="C10013" s="18">
        <v>682938.41</v>
      </c>
      <c r="D10013" s="18">
        <v>2746716.89</v>
      </c>
      <c r="E10013" s="18">
        <v>336.7</v>
      </c>
      <c r="F10013" s="18">
        <v>41878.980000000003</v>
      </c>
      <c r="G10013" s="18">
        <v>111614</v>
      </c>
      <c r="H10013" s="18">
        <f t="shared" si="213"/>
        <v>41853.980000000003</v>
      </c>
    </row>
    <row r="10014" spans="1:8" ht="19.5" customHeight="1" x14ac:dyDescent="0.55000000000000004">
      <c r="A10014" s="18">
        <v>24.824404000000001</v>
      </c>
      <c r="B10014" s="18">
        <v>34.810113600000001</v>
      </c>
      <c r="C10014" s="18">
        <v>682936.62</v>
      </c>
      <c r="D10014" s="18">
        <v>2746717.96</v>
      </c>
      <c r="E10014" s="18">
        <v>336.89</v>
      </c>
      <c r="F10014" s="18">
        <v>41878.410000000003</v>
      </c>
      <c r="G10014" s="18">
        <v>111616</v>
      </c>
      <c r="H10014" s="18">
        <f t="shared" si="213"/>
        <v>41853.410000000003</v>
      </c>
    </row>
    <row r="10015" spans="1:8" ht="19.5" customHeight="1" x14ac:dyDescent="0.55000000000000004">
      <c r="A10015" s="18">
        <v>24.8244142</v>
      </c>
      <c r="B10015" s="18">
        <v>34.810101400000001</v>
      </c>
      <c r="C10015" s="18">
        <v>682935.38</v>
      </c>
      <c r="D10015" s="18">
        <v>2746719.08</v>
      </c>
      <c r="E10015" s="18">
        <v>336.98</v>
      </c>
      <c r="F10015" s="18">
        <v>41879.68</v>
      </c>
      <c r="G10015" s="18">
        <v>111618</v>
      </c>
      <c r="H10015" s="18">
        <f t="shared" si="213"/>
        <v>41854.68</v>
      </c>
    </row>
    <row r="10016" spans="1:8" ht="19.5" customHeight="1" x14ac:dyDescent="0.55000000000000004">
      <c r="A10016" s="18">
        <v>24.824427799999999</v>
      </c>
      <c r="B10016" s="18">
        <v>34.810086099999999</v>
      </c>
      <c r="C10016" s="18">
        <v>682933.81</v>
      </c>
      <c r="D10016" s="18">
        <v>2746720.56</v>
      </c>
      <c r="E10016" s="18">
        <v>337.17</v>
      </c>
      <c r="F10016" s="18">
        <v>41879.230000000003</v>
      </c>
      <c r="G10016" s="18">
        <v>111620</v>
      </c>
      <c r="H10016" s="18">
        <f t="shared" si="213"/>
        <v>41854.230000000003</v>
      </c>
    </row>
    <row r="10017" spans="1:8" ht="19.5" customHeight="1" x14ac:dyDescent="0.55000000000000004">
      <c r="A10017" s="18">
        <v>24.8244431</v>
      </c>
      <c r="B10017" s="18">
        <v>34.810071100000002</v>
      </c>
      <c r="C10017" s="18">
        <v>682932.27</v>
      </c>
      <c r="D10017" s="18">
        <v>2746722.23</v>
      </c>
      <c r="E10017" s="18">
        <v>337.2</v>
      </c>
      <c r="F10017" s="18">
        <v>41881.72</v>
      </c>
      <c r="G10017" s="18">
        <v>111622</v>
      </c>
      <c r="H10017" s="18">
        <f t="shared" si="213"/>
        <v>41856.720000000001</v>
      </c>
    </row>
    <row r="10018" spans="1:8" ht="19.5" customHeight="1" x14ac:dyDescent="0.55000000000000004">
      <c r="A10018" s="18">
        <v>24.824460999999999</v>
      </c>
      <c r="B10018" s="18">
        <v>34.810062000000002</v>
      </c>
      <c r="C10018" s="18">
        <v>682931.32</v>
      </c>
      <c r="D10018" s="18">
        <v>2746724.21</v>
      </c>
      <c r="E10018" s="18">
        <v>337.16</v>
      </c>
      <c r="F10018" s="18">
        <v>41879.86</v>
      </c>
      <c r="G10018" s="18">
        <v>111624</v>
      </c>
      <c r="H10018" s="18">
        <f t="shared" si="213"/>
        <v>41854.86</v>
      </c>
    </row>
    <row r="10019" spans="1:8" ht="19.5" customHeight="1" x14ac:dyDescent="0.55000000000000004">
      <c r="A10019" s="18">
        <v>24.824476600000001</v>
      </c>
      <c r="B10019" s="18">
        <v>34.810048000000002</v>
      </c>
      <c r="C10019" s="18">
        <v>682929.89</v>
      </c>
      <c r="D10019" s="18">
        <v>2746725.92</v>
      </c>
      <c r="E10019" s="18">
        <v>337.29</v>
      </c>
      <c r="F10019" s="18">
        <v>41880.239999999998</v>
      </c>
      <c r="G10019" s="18">
        <v>111626</v>
      </c>
      <c r="H10019" s="18">
        <f t="shared" si="213"/>
        <v>41855.24</v>
      </c>
    </row>
    <row r="10020" spans="1:8" ht="19.5" customHeight="1" x14ac:dyDescent="0.55000000000000004">
      <c r="A10020" s="18">
        <v>24.8244936</v>
      </c>
      <c r="B10020" s="18">
        <v>34.810032700000001</v>
      </c>
      <c r="C10020" s="18">
        <v>682928.32</v>
      </c>
      <c r="D10020" s="18">
        <v>2746727.78</v>
      </c>
      <c r="E10020" s="18">
        <v>337.36</v>
      </c>
      <c r="F10020" s="18">
        <v>41882.04</v>
      </c>
      <c r="G10020" s="18">
        <v>111628</v>
      </c>
      <c r="H10020" s="18">
        <f t="shared" si="213"/>
        <v>41857.040000000001</v>
      </c>
    </row>
    <row r="10021" spans="1:8" ht="19.5" customHeight="1" x14ac:dyDescent="0.55000000000000004">
      <c r="A10021" s="18">
        <v>24.824510499999999</v>
      </c>
      <c r="B10021" s="18">
        <v>34.810016099999999</v>
      </c>
      <c r="C10021" s="18">
        <v>682926.61</v>
      </c>
      <c r="D10021" s="18">
        <v>2746729.63</v>
      </c>
      <c r="E10021" s="18">
        <v>337.38</v>
      </c>
      <c r="F10021" s="18">
        <v>41883.08</v>
      </c>
      <c r="G10021" s="18">
        <v>111630</v>
      </c>
      <c r="H10021" s="18">
        <f t="shared" si="213"/>
        <v>41858.080000000002</v>
      </c>
    </row>
    <row r="10022" spans="1:8" ht="19.5" customHeight="1" x14ac:dyDescent="0.55000000000000004">
      <c r="A10022" s="18">
        <v>24.8245279</v>
      </c>
      <c r="B10022" s="18">
        <v>34.809999500000004</v>
      </c>
      <c r="C10022" s="18">
        <v>682924.91</v>
      </c>
      <c r="D10022" s="18">
        <v>2746731.53</v>
      </c>
      <c r="E10022" s="18">
        <v>337.46</v>
      </c>
      <c r="F10022" s="18">
        <v>41882.089999999997</v>
      </c>
      <c r="G10022" s="18">
        <v>111632</v>
      </c>
      <c r="H10022" s="18">
        <f t="shared" si="213"/>
        <v>41857.089999999997</v>
      </c>
    </row>
    <row r="10023" spans="1:8" ht="19.5" customHeight="1" x14ac:dyDescent="0.55000000000000004">
      <c r="A10023" s="18">
        <v>24.824542600000001</v>
      </c>
      <c r="B10023" s="18">
        <v>34.809981800000003</v>
      </c>
      <c r="C10023" s="18">
        <v>682923.1</v>
      </c>
      <c r="D10023" s="18">
        <v>2746733.14</v>
      </c>
      <c r="E10023" s="18">
        <v>337.61</v>
      </c>
      <c r="F10023" s="18">
        <v>41883.39</v>
      </c>
      <c r="G10023" s="18">
        <v>111634</v>
      </c>
      <c r="H10023" s="18">
        <f t="shared" si="213"/>
        <v>41858.39</v>
      </c>
    </row>
    <row r="10024" spans="1:8" ht="19.5" customHeight="1" x14ac:dyDescent="0.55000000000000004">
      <c r="A10024" s="18">
        <v>24.824561800000001</v>
      </c>
      <c r="B10024" s="18">
        <v>34.809969299999999</v>
      </c>
      <c r="C10024" s="18">
        <v>682921.81</v>
      </c>
      <c r="D10024" s="18">
        <v>2746735.25</v>
      </c>
      <c r="E10024" s="18">
        <v>337.65</v>
      </c>
      <c r="F10024" s="18">
        <v>41884.230000000003</v>
      </c>
      <c r="G10024" s="18">
        <v>111636</v>
      </c>
      <c r="H10024" s="18">
        <f t="shared" si="213"/>
        <v>41859.230000000003</v>
      </c>
    </row>
    <row r="10025" spans="1:8" ht="19.5" customHeight="1" x14ac:dyDescent="0.55000000000000004">
      <c r="A10025" s="18">
        <v>24.824581800000001</v>
      </c>
      <c r="B10025" s="18">
        <v>34.809964299999997</v>
      </c>
      <c r="C10025" s="18">
        <v>682921.27</v>
      </c>
      <c r="D10025" s="18">
        <v>2746737.46</v>
      </c>
      <c r="E10025" s="18">
        <v>337.86</v>
      </c>
      <c r="F10025" s="18">
        <v>41884.589999999997</v>
      </c>
      <c r="G10025" s="18">
        <v>111638</v>
      </c>
      <c r="H10025" s="18">
        <f t="shared" si="213"/>
        <v>41859.589999999997</v>
      </c>
    </row>
    <row r="10026" spans="1:8" ht="19.5" customHeight="1" x14ac:dyDescent="0.55000000000000004">
      <c r="A10026" s="18">
        <v>24.824598300000002</v>
      </c>
      <c r="B10026" s="18">
        <v>34.809955600000002</v>
      </c>
      <c r="C10026" s="18">
        <v>682920.37</v>
      </c>
      <c r="D10026" s="18">
        <v>2746739.27</v>
      </c>
      <c r="E10026" s="18">
        <v>337.83</v>
      </c>
      <c r="F10026" s="18">
        <v>41890.43</v>
      </c>
      <c r="G10026" s="18">
        <v>111640</v>
      </c>
      <c r="H10026" s="18">
        <f t="shared" si="213"/>
        <v>41865.43</v>
      </c>
    </row>
    <row r="10027" spans="1:8" ht="19.5" customHeight="1" x14ac:dyDescent="0.55000000000000004">
      <c r="A10027" s="18">
        <v>24.824616800000001</v>
      </c>
      <c r="B10027" s="18">
        <v>34.8099481</v>
      </c>
      <c r="C10027" s="18">
        <v>682919.58</v>
      </c>
      <c r="D10027" s="18">
        <v>2746741.31</v>
      </c>
      <c r="E10027" s="18">
        <v>337.91</v>
      </c>
      <c r="F10027" s="18">
        <v>41901.53</v>
      </c>
      <c r="G10027" s="18">
        <v>111642</v>
      </c>
      <c r="H10027" s="18">
        <f t="shared" si="213"/>
        <v>41876.53</v>
      </c>
    </row>
    <row r="10028" spans="1:8" ht="19.5" customHeight="1" x14ac:dyDescent="0.55000000000000004">
      <c r="A10028" s="18">
        <v>24.8246313</v>
      </c>
      <c r="B10028" s="18">
        <v>34.809938600000002</v>
      </c>
      <c r="C10028" s="18">
        <v>682918.6</v>
      </c>
      <c r="D10028" s="18">
        <v>2746742.9</v>
      </c>
      <c r="E10028" s="18">
        <v>337.99</v>
      </c>
      <c r="F10028" s="18">
        <v>41925.74</v>
      </c>
      <c r="G10028" s="18">
        <v>111644</v>
      </c>
      <c r="H10028" s="18">
        <f t="shared" si="213"/>
        <v>41900.74</v>
      </c>
    </row>
    <row r="10029" spans="1:8" ht="19.5" customHeight="1" x14ac:dyDescent="0.55000000000000004">
      <c r="A10029" s="18">
        <v>24.824651100000001</v>
      </c>
      <c r="B10029" s="18">
        <v>34.809924899999999</v>
      </c>
      <c r="C10029" s="18">
        <v>682917.18</v>
      </c>
      <c r="D10029" s="18">
        <v>2746745.08</v>
      </c>
      <c r="E10029" s="18">
        <v>337.85</v>
      </c>
      <c r="F10029" s="18">
        <v>41952.39</v>
      </c>
      <c r="G10029" s="18">
        <v>111646</v>
      </c>
      <c r="H10029" s="18">
        <f t="shared" si="213"/>
        <v>41927.39</v>
      </c>
    </row>
    <row r="10030" spans="1:8" ht="19.5" customHeight="1" x14ac:dyDescent="0.55000000000000004">
      <c r="A10030" s="18">
        <v>24.8246672</v>
      </c>
      <c r="B10030" s="18">
        <v>34.809909300000001</v>
      </c>
      <c r="C10030" s="18">
        <v>682915.58</v>
      </c>
      <c r="D10030" s="18">
        <v>2746746.84</v>
      </c>
      <c r="E10030" s="18">
        <v>338.02</v>
      </c>
      <c r="F10030" s="18">
        <v>41883.46</v>
      </c>
      <c r="G10030" s="18">
        <v>111648</v>
      </c>
      <c r="H10030" s="18">
        <f t="shared" si="213"/>
        <v>41858.46</v>
      </c>
    </row>
    <row r="10031" spans="1:8" ht="19.5" customHeight="1" x14ac:dyDescent="0.55000000000000004">
      <c r="A10031" s="18">
        <v>24.824683100000001</v>
      </c>
      <c r="B10031" s="18">
        <v>34.809894499999999</v>
      </c>
      <c r="C10031" s="18">
        <v>682914.07</v>
      </c>
      <c r="D10031" s="18">
        <v>2746748.58</v>
      </c>
      <c r="E10031" s="18">
        <v>338.19</v>
      </c>
      <c r="F10031" s="18">
        <v>41872.68</v>
      </c>
      <c r="G10031" s="18">
        <v>111650</v>
      </c>
      <c r="H10031" s="18">
        <f t="shared" si="213"/>
        <v>41847.68</v>
      </c>
    </row>
    <row r="10032" spans="1:8" ht="19.5" customHeight="1" x14ac:dyDescent="0.55000000000000004">
      <c r="A10032" s="18">
        <v>24.824699200000001</v>
      </c>
      <c r="B10032" s="18">
        <v>34.8098776</v>
      </c>
      <c r="C10032" s="18">
        <v>682912.33</v>
      </c>
      <c r="D10032" s="18">
        <v>2746750.34</v>
      </c>
      <c r="E10032" s="18">
        <v>338.29</v>
      </c>
      <c r="F10032" s="18">
        <v>41877.980000000003</v>
      </c>
      <c r="G10032" s="18">
        <v>111652</v>
      </c>
      <c r="H10032" s="18">
        <f t="shared" si="213"/>
        <v>41852.980000000003</v>
      </c>
    </row>
    <row r="10033" spans="1:8" ht="19.5" customHeight="1" x14ac:dyDescent="0.55000000000000004">
      <c r="A10033" s="18">
        <v>24.8247161</v>
      </c>
      <c r="B10033" s="18">
        <v>34.809865100000003</v>
      </c>
      <c r="C10033" s="18">
        <v>682911.05</v>
      </c>
      <c r="D10033" s="18">
        <v>2746752.2</v>
      </c>
      <c r="E10033" s="18">
        <v>338.4</v>
      </c>
      <c r="F10033" s="18">
        <v>41879.129999999997</v>
      </c>
      <c r="G10033" s="18">
        <v>111654</v>
      </c>
      <c r="H10033" s="18">
        <f t="shared" si="213"/>
        <v>41854.129999999997</v>
      </c>
    </row>
    <row r="10034" spans="1:8" ht="19.5" customHeight="1" x14ac:dyDescent="0.55000000000000004">
      <c r="A10034" s="18">
        <v>24.8247322</v>
      </c>
      <c r="B10034" s="18">
        <v>34.809854799999997</v>
      </c>
      <c r="C10034" s="18">
        <v>682909.98</v>
      </c>
      <c r="D10034" s="18">
        <v>2746753.97</v>
      </c>
      <c r="E10034" s="18">
        <v>338.4</v>
      </c>
      <c r="F10034" s="18">
        <v>41880.21</v>
      </c>
      <c r="G10034" s="18">
        <v>111656</v>
      </c>
      <c r="H10034" s="18">
        <f t="shared" si="213"/>
        <v>41855.21</v>
      </c>
    </row>
    <row r="10035" spans="1:8" ht="19.5" customHeight="1" x14ac:dyDescent="0.55000000000000004">
      <c r="A10035" s="18">
        <v>24.824750099999999</v>
      </c>
      <c r="B10035" s="18">
        <v>34.809843299999997</v>
      </c>
      <c r="C10035" s="18">
        <v>682908.79</v>
      </c>
      <c r="D10035" s="18">
        <v>2746755.94</v>
      </c>
      <c r="E10035" s="18">
        <v>338.43</v>
      </c>
      <c r="F10035" s="18">
        <v>41882.79</v>
      </c>
      <c r="G10035" s="18">
        <v>111658</v>
      </c>
      <c r="H10035" s="18">
        <f t="shared" si="213"/>
        <v>41857.79</v>
      </c>
    </row>
    <row r="10036" spans="1:8" ht="19.5" customHeight="1" x14ac:dyDescent="0.55000000000000004">
      <c r="A10036" s="18">
        <v>24.824764699999999</v>
      </c>
      <c r="B10036" s="18">
        <v>34.8098326</v>
      </c>
      <c r="C10036" s="18">
        <v>682907.69</v>
      </c>
      <c r="D10036" s="18">
        <v>2746757.54</v>
      </c>
      <c r="E10036" s="18">
        <v>338.65</v>
      </c>
      <c r="F10036" s="18">
        <v>41881.449999999997</v>
      </c>
      <c r="G10036" s="18">
        <v>111700</v>
      </c>
      <c r="H10036" s="18">
        <f t="shared" si="213"/>
        <v>41856.449999999997</v>
      </c>
    </row>
    <row r="10037" spans="1:8" ht="19.5" customHeight="1" x14ac:dyDescent="0.55000000000000004">
      <c r="A10037" s="18">
        <v>24.824778299999998</v>
      </c>
      <c r="B10037" s="18">
        <v>34.809817500000001</v>
      </c>
      <c r="C10037" s="18">
        <v>682906.14</v>
      </c>
      <c r="D10037" s="18">
        <v>2746759.03</v>
      </c>
      <c r="E10037" s="18">
        <v>338.66</v>
      </c>
      <c r="F10037" s="18">
        <v>41878.879999999997</v>
      </c>
      <c r="G10037" s="18">
        <v>111702</v>
      </c>
      <c r="H10037" s="18">
        <f t="shared" si="213"/>
        <v>41853.879999999997</v>
      </c>
    </row>
    <row r="10038" spans="1:8" ht="19.5" customHeight="1" x14ac:dyDescent="0.55000000000000004">
      <c r="A10038" s="18">
        <v>24.824793199999998</v>
      </c>
      <c r="B10038" s="18">
        <v>34.809804999999997</v>
      </c>
      <c r="C10038" s="18">
        <v>682904.85</v>
      </c>
      <c r="D10038" s="18">
        <v>2746760.65</v>
      </c>
      <c r="E10038" s="18">
        <v>338.7</v>
      </c>
      <c r="F10038" s="18">
        <v>41878.22</v>
      </c>
      <c r="G10038" s="18">
        <v>111704</v>
      </c>
      <c r="H10038" s="18">
        <f t="shared" si="213"/>
        <v>41853.22</v>
      </c>
    </row>
    <row r="10039" spans="1:8" ht="19.5" customHeight="1" x14ac:dyDescent="0.55000000000000004">
      <c r="A10039" s="18">
        <v>24.824811700000001</v>
      </c>
      <c r="B10039" s="18">
        <v>34.809793599999999</v>
      </c>
      <c r="C10039" s="18">
        <v>682903.68</v>
      </c>
      <c r="D10039" s="18">
        <v>2746762.7</v>
      </c>
      <c r="E10039" s="18">
        <v>338.7</v>
      </c>
      <c r="F10039" s="18">
        <v>41882.46</v>
      </c>
      <c r="G10039" s="18">
        <v>111706</v>
      </c>
      <c r="H10039" s="18">
        <f t="shared" si="213"/>
        <v>41857.46</v>
      </c>
    </row>
    <row r="10040" spans="1:8" ht="19.5" customHeight="1" x14ac:dyDescent="0.55000000000000004">
      <c r="A10040" s="18">
        <v>24.824828799999999</v>
      </c>
      <c r="B10040" s="18">
        <v>34.809778899999998</v>
      </c>
      <c r="C10040" s="18">
        <v>682902.16</v>
      </c>
      <c r="D10040" s="18">
        <v>2746764.57</v>
      </c>
      <c r="E10040" s="18">
        <v>338.79</v>
      </c>
      <c r="F10040" s="18">
        <v>41881.730000000003</v>
      </c>
      <c r="G10040" s="18">
        <v>111708</v>
      </c>
      <c r="H10040" s="18">
        <f t="shared" si="213"/>
        <v>41856.730000000003</v>
      </c>
    </row>
    <row r="10041" spans="1:8" ht="19.5" customHeight="1" x14ac:dyDescent="0.55000000000000004">
      <c r="A10041" s="18">
        <v>24.824844800000001</v>
      </c>
      <c r="B10041" s="18">
        <v>34.809762499999998</v>
      </c>
      <c r="C10041" s="18">
        <v>682900.49</v>
      </c>
      <c r="D10041" s="18">
        <v>2746766.31</v>
      </c>
      <c r="E10041" s="18">
        <v>338.86</v>
      </c>
      <c r="F10041" s="18">
        <v>41885.040000000001</v>
      </c>
      <c r="G10041" s="18">
        <v>111710</v>
      </c>
      <c r="H10041" s="18">
        <f t="shared" si="213"/>
        <v>41860.04</v>
      </c>
    </row>
    <row r="10042" spans="1:8" ht="19.5" customHeight="1" x14ac:dyDescent="0.55000000000000004">
      <c r="A10042" s="18">
        <v>24.824857000000002</v>
      </c>
      <c r="B10042" s="18">
        <v>34.8097438</v>
      </c>
      <c r="C10042" s="18">
        <v>682898.58</v>
      </c>
      <c r="D10042" s="18">
        <v>2746767.64</v>
      </c>
      <c r="E10042" s="18">
        <v>338.94</v>
      </c>
      <c r="F10042" s="18">
        <v>41889.379999999997</v>
      </c>
      <c r="G10042" s="18">
        <v>111712</v>
      </c>
      <c r="H10042" s="18">
        <f t="shared" si="213"/>
        <v>41864.379999999997</v>
      </c>
    </row>
    <row r="10043" spans="1:8" ht="19.5" customHeight="1" x14ac:dyDescent="0.55000000000000004">
      <c r="A10043" s="18">
        <v>24.8248754</v>
      </c>
      <c r="B10043" s="18">
        <v>34.809732699999998</v>
      </c>
      <c r="C10043" s="18">
        <v>682897.43</v>
      </c>
      <c r="D10043" s="18">
        <v>2746769.66</v>
      </c>
      <c r="E10043" s="18">
        <v>338.92</v>
      </c>
      <c r="F10043" s="18">
        <v>41890.080000000002</v>
      </c>
      <c r="G10043" s="18">
        <v>111714</v>
      </c>
      <c r="H10043" s="18">
        <f t="shared" si="213"/>
        <v>41865.08</v>
      </c>
    </row>
    <row r="10044" spans="1:8" ht="19.5" customHeight="1" x14ac:dyDescent="0.55000000000000004">
      <c r="A10044" s="18">
        <v>24.824894400000002</v>
      </c>
      <c r="B10044" s="18">
        <v>34.809720800000001</v>
      </c>
      <c r="C10044" s="18">
        <v>682896.19</v>
      </c>
      <c r="D10044" s="18">
        <v>2746771.75</v>
      </c>
      <c r="E10044" s="18">
        <v>338.86</v>
      </c>
      <c r="F10044" s="18">
        <v>41885.089999999997</v>
      </c>
      <c r="G10044" s="18">
        <v>111716</v>
      </c>
      <c r="H10044" s="18">
        <f t="shared" si="213"/>
        <v>41860.089999999997</v>
      </c>
    </row>
    <row r="10045" spans="1:8" ht="19.5" customHeight="1" x14ac:dyDescent="0.55000000000000004">
      <c r="A10045" s="18">
        <v>24.824911499999999</v>
      </c>
      <c r="B10045" s="18">
        <v>34.809706200000001</v>
      </c>
      <c r="C10045" s="18">
        <v>682894.69</v>
      </c>
      <c r="D10045" s="18">
        <v>2746773.62</v>
      </c>
      <c r="E10045" s="18">
        <v>338.87</v>
      </c>
      <c r="F10045" s="18">
        <v>41883.93</v>
      </c>
      <c r="G10045" s="18">
        <v>111718</v>
      </c>
      <c r="H10045" s="18">
        <f t="shared" si="213"/>
        <v>41858.93</v>
      </c>
    </row>
    <row r="10046" spans="1:8" ht="19.5" customHeight="1" x14ac:dyDescent="0.55000000000000004">
      <c r="A10046" s="18">
        <v>24.8249283</v>
      </c>
      <c r="B10046" s="18">
        <v>34.809692400000003</v>
      </c>
      <c r="C10046" s="18">
        <v>682893.27</v>
      </c>
      <c r="D10046" s="18">
        <v>2746775.47</v>
      </c>
      <c r="E10046" s="18">
        <v>338.87</v>
      </c>
      <c r="F10046" s="18">
        <v>41884.32</v>
      </c>
      <c r="G10046" s="18">
        <v>111720</v>
      </c>
      <c r="H10046" s="18">
        <f t="shared" si="213"/>
        <v>41859.32</v>
      </c>
    </row>
    <row r="10047" spans="1:8" ht="19.5" customHeight="1" x14ac:dyDescent="0.55000000000000004">
      <c r="A10047" s="18">
        <v>24.824942499999999</v>
      </c>
      <c r="B10047" s="18">
        <v>34.809677100000002</v>
      </c>
      <c r="C10047" s="18">
        <v>682891.71</v>
      </c>
      <c r="D10047" s="18">
        <v>2746777.02</v>
      </c>
      <c r="E10047" s="18">
        <v>338.88</v>
      </c>
      <c r="F10047" s="18">
        <v>41882.25</v>
      </c>
      <c r="G10047" s="18">
        <v>111722</v>
      </c>
      <c r="H10047" s="18">
        <f t="shared" si="213"/>
        <v>41857.25</v>
      </c>
    </row>
    <row r="10048" spans="1:8" ht="19.5" customHeight="1" x14ac:dyDescent="0.55000000000000004">
      <c r="A10048" s="18">
        <v>24.824956199999999</v>
      </c>
      <c r="B10048" s="18">
        <v>34.809662400000001</v>
      </c>
      <c r="C10048" s="18">
        <v>682890.2</v>
      </c>
      <c r="D10048" s="18">
        <v>2746778.52</v>
      </c>
      <c r="E10048" s="18">
        <v>338.77</v>
      </c>
      <c r="F10048" s="18">
        <v>41882.370000000003</v>
      </c>
      <c r="G10048" s="18">
        <v>111724</v>
      </c>
      <c r="H10048" s="18">
        <f t="shared" si="213"/>
        <v>41857.370000000003</v>
      </c>
    </row>
    <row r="10049" spans="1:9" s="4" customFormat="1" ht="20.25" customHeight="1" x14ac:dyDescent="0.55000000000000004">
      <c r="A10049" s="18">
        <v>24.8029425</v>
      </c>
      <c r="B10049" s="18">
        <v>34.957669899999999</v>
      </c>
      <c r="C10049" s="18">
        <v>697886.94</v>
      </c>
      <c r="D10049" s="18">
        <v>2744546.71</v>
      </c>
      <c r="E10049" s="18">
        <v>49.05</v>
      </c>
      <c r="F10049" s="18">
        <v>41862.18</v>
      </c>
      <c r="G10049" s="18">
        <v>133434</v>
      </c>
      <c r="H10049" s="18">
        <f>SUM(F10049-35)</f>
        <v>41827.18</v>
      </c>
      <c r="I10049" s="3"/>
    </row>
    <row r="10050" spans="1:9" s="4" customFormat="1" ht="20.25" customHeight="1" x14ac:dyDescent="0.55000000000000004">
      <c r="A10050" s="18">
        <v>24.802940599999999</v>
      </c>
      <c r="B10050" s="18">
        <v>34.957666600000003</v>
      </c>
      <c r="C10050" s="18">
        <v>697886.6</v>
      </c>
      <c r="D10050" s="18">
        <v>2744546.48</v>
      </c>
      <c r="E10050" s="18">
        <v>48.33</v>
      </c>
      <c r="F10050" s="18">
        <v>41858.99</v>
      </c>
      <c r="G10050" s="18">
        <v>133446</v>
      </c>
      <c r="H10050" s="18">
        <f t="shared" ref="H10050:H10059" si="214">SUM(F10050-35)</f>
        <v>41823.99</v>
      </c>
      <c r="I10050" s="3"/>
    </row>
    <row r="10051" spans="1:9" s="4" customFormat="1" ht="20.25" customHeight="1" x14ac:dyDescent="0.55000000000000004">
      <c r="A10051" s="18">
        <v>24.804870000000001</v>
      </c>
      <c r="B10051" s="18">
        <v>34.9571313</v>
      </c>
      <c r="C10051" s="18">
        <v>697829.42</v>
      </c>
      <c r="D10051" s="18">
        <v>2744759.42</v>
      </c>
      <c r="E10051" s="18">
        <v>55.78</v>
      </c>
      <c r="F10051" s="18">
        <v>41829.43</v>
      </c>
      <c r="G10051" s="18">
        <v>133631</v>
      </c>
      <c r="H10051" s="18">
        <f t="shared" si="214"/>
        <v>41794.43</v>
      </c>
      <c r="I10051" s="3"/>
    </row>
    <row r="10052" spans="1:9" s="4" customFormat="1" ht="20.25" customHeight="1" x14ac:dyDescent="0.55000000000000004">
      <c r="A10052" s="18">
        <v>24.8048669</v>
      </c>
      <c r="B10052" s="18">
        <v>34.957131500000003</v>
      </c>
      <c r="C10052" s="18">
        <v>697829.45</v>
      </c>
      <c r="D10052" s="18">
        <v>2744759.08</v>
      </c>
      <c r="E10052" s="18">
        <v>55.82</v>
      </c>
      <c r="F10052" s="18">
        <v>41829.57</v>
      </c>
      <c r="G10052" s="18">
        <v>133643</v>
      </c>
      <c r="H10052" s="18">
        <f t="shared" si="214"/>
        <v>41794.57</v>
      </c>
      <c r="I10052" s="3"/>
    </row>
    <row r="10053" spans="1:9" s="4" customFormat="1" ht="20.25" customHeight="1" x14ac:dyDescent="0.55000000000000004">
      <c r="A10053" s="18">
        <v>24.806526999999999</v>
      </c>
      <c r="B10053" s="18">
        <v>34.956459500000001</v>
      </c>
      <c r="C10053" s="18">
        <v>697758.87</v>
      </c>
      <c r="D10053" s="18">
        <v>2744941.99</v>
      </c>
      <c r="E10053" s="18">
        <v>62.37</v>
      </c>
      <c r="F10053" s="18">
        <v>41841.26</v>
      </c>
      <c r="G10053" s="18">
        <v>133810</v>
      </c>
      <c r="H10053" s="18">
        <f t="shared" si="214"/>
        <v>41806.26</v>
      </c>
      <c r="I10053" s="3"/>
    </row>
    <row r="10054" spans="1:9" s="4" customFormat="1" ht="20.25" customHeight="1" x14ac:dyDescent="0.55000000000000004">
      <c r="A10054" s="18">
        <v>24.806527200000001</v>
      </c>
      <c r="B10054" s="18">
        <v>34.956459000000002</v>
      </c>
      <c r="C10054" s="18">
        <v>697758.82</v>
      </c>
      <c r="D10054" s="18">
        <v>2744942.01</v>
      </c>
      <c r="E10054" s="18">
        <v>62.57</v>
      </c>
      <c r="F10054" s="18">
        <v>41841.17</v>
      </c>
      <c r="G10054" s="18">
        <v>133819</v>
      </c>
      <c r="H10054" s="18">
        <f t="shared" si="214"/>
        <v>41806.17</v>
      </c>
      <c r="I10054" s="3"/>
    </row>
    <row r="10055" spans="1:9" s="4" customFormat="1" ht="20.25" customHeight="1" x14ac:dyDescent="0.55000000000000004">
      <c r="A10055" s="18">
        <v>24.808122099999999</v>
      </c>
      <c r="B10055" s="18">
        <v>34.955452999999999</v>
      </c>
      <c r="C10055" s="18">
        <v>697654.57</v>
      </c>
      <c r="D10055" s="18">
        <v>2745117.23</v>
      </c>
      <c r="E10055" s="18">
        <v>65.819999999999993</v>
      </c>
      <c r="F10055" s="18">
        <v>41843.08</v>
      </c>
      <c r="G10055" s="18">
        <v>133949</v>
      </c>
      <c r="H10055" s="18">
        <f t="shared" si="214"/>
        <v>41808.080000000002</v>
      </c>
      <c r="I10055" s="3"/>
    </row>
    <row r="10056" spans="1:9" s="4" customFormat="1" ht="20.25" customHeight="1" x14ac:dyDescent="0.55000000000000004">
      <c r="A10056" s="18">
        <v>24.809332900000001</v>
      </c>
      <c r="B10056" s="18">
        <v>34.953617100000002</v>
      </c>
      <c r="C10056" s="18">
        <v>697467.04</v>
      </c>
      <c r="D10056" s="18">
        <v>2745248.69</v>
      </c>
      <c r="E10056" s="18">
        <v>73.3</v>
      </c>
      <c r="F10056" s="18">
        <v>41866.769999999997</v>
      </c>
      <c r="G10056" s="18">
        <v>134122</v>
      </c>
      <c r="H10056" s="18">
        <f t="shared" si="214"/>
        <v>41831.769999999997</v>
      </c>
      <c r="I10056" s="3"/>
    </row>
    <row r="10057" spans="1:9" s="4" customFormat="1" ht="20.25" customHeight="1" x14ac:dyDescent="0.55000000000000004">
      <c r="A10057" s="18">
        <v>24.809332399999999</v>
      </c>
      <c r="B10057" s="18">
        <v>34.953617100000002</v>
      </c>
      <c r="C10057" s="18">
        <v>697467.03</v>
      </c>
      <c r="D10057" s="18">
        <v>2745248.62</v>
      </c>
      <c r="E10057" s="18">
        <v>73.45</v>
      </c>
      <c r="F10057" s="18">
        <v>41866.720000000001</v>
      </c>
      <c r="G10057" s="18">
        <v>134131</v>
      </c>
      <c r="H10057" s="18">
        <f t="shared" si="214"/>
        <v>41831.72</v>
      </c>
      <c r="I10057" s="3"/>
    </row>
    <row r="10058" spans="1:9" s="4" customFormat="1" ht="20.25" customHeight="1" x14ac:dyDescent="0.55000000000000004">
      <c r="A10058" s="18">
        <v>24.810253299999999</v>
      </c>
      <c r="B10058" s="18">
        <v>34.952170000000002</v>
      </c>
      <c r="C10058" s="18">
        <v>697319.27</v>
      </c>
      <c r="D10058" s="18">
        <v>2745348.54</v>
      </c>
      <c r="E10058" s="18">
        <v>79.37</v>
      </c>
      <c r="F10058" s="18">
        <v>41880.92</v>
      </c>
      <c r="G10058" s="18">
        <v>134252</v>
      </c>
      <c r="H10058" s="18">
        <f t="shared" si="214"/>
        <v>41845.919999999998</v>
      </c>
      <c r="I10058" s="3"/>
    </row>
    <row r="10059" spans="1:9" s="4" customFormat="1" ht="20.25" customHeight="1" x14ac:dyDescent="0.55000000000000004">
      <c r="A10059" s="18">
        <v>24.8102549</v>
      </c>
      <c r="B10059" s="18">
        <v>34.952168200000003</v>
      </c>
      <c r="C10059" s="18">
        <v>697319.09</v>
      </c>
      <c r="D10059" s="18">
        <v>2745348.71</v>
      </c>
      <c r="E10059" s="18">
        <v>78.959999999999994</v>
      </c>
      <c r="F10059" s="18">
        <v>41880.33</v>
      </c>
      <c r="G10059" s="18">
        <v>134301</v>
      </c>
      <c r="H10059" s="18">
        <f t="shared" si="214"/>
        <v>41845.33</v>
      </c>
      <c r="I10059" s="3"/>
    </row>
    <row r="10060" spans="1:9" s="4" customFormat="1" ht="20.25" customHeight="1" x14ac:dyDescent="0.55000000000000004">
      <c r="A10060" s="18">
        <v>24.811503600000002</v>
      </c>
      <c r="B10060" s="18">
        <v>34.950976099999998</v>
      </c>
      <c r="C10060" s="18">
        <v>697196.59</v>
      </c>
      <c r="D10060" s="18">
        <v>2745485.3</v>
      </c>
      <c r="E10060" s="18">
        <v>86.28</v>
      </c>
      <c r="F10060" s="18">
        <v>41919.129999999997</v>
      </c>
      <c r="G10060" s="18">
        <v>134731</v>
      </c>
      <c r="H10060" s="18">
        <f>SUM(F10060-45)</f>
        <v>41874.129999999997</v>
      </c>
      <c r="I10060" s="3"/>
    </row>
    <row r="10061" spans="1:9" s="4" customFormat="1" ht="20.25" customHeight="1" x14ac:dyDescent="0.55000000000000004">
      <c r="A10061" s="18">
        <v>24.8115022</v>
      </c>
      <c r="B10061" s="18">
        <v>34.950974899999999</v>
      </c>
      <c r="C10061" s="18">
        <v>697196.47</v>
      </c>
      <c r="D10061" s="18">
        <v>2745485.15</v>
      </c>
      <c r="E10061" s="18">
        <v>86.47</v>
      </c>
      <c r="F10061" s="18">
        <v>41918.92</v>
      </c>
      <c r="G10061" s="18">
        <v>134740</v>
      </c>
      <c r="H10061" s="18">
        <f t="shared" ref="H10061:H10073" si="215">SUM(F10061-45)</f>
        <v>41873.919999999998</v>
      </c>
      <c r="I10061" s="3"/>
    </row>
    <row r="10062" spans="1:9" s="4" customFormat="1" ht="20.25" customHeight="1" x14ac:dyDescent="0.55000000000000004">
      <c r="A10062" s="18">
        <v>24.813136799999999</v>
      </c>
      <c r="B10062" s="18">
        <v>34.950151200000001</v>
      </c>
      <c r="C10062" s="18">
        <v>697110.61</v>
      </c>
      <c r="D10062" s="18">
        <v>2745665.01</v>
      </c>
      <c r="E10062" s="18">
        <v>92.45</v>
      </c>
      <c r="F10062" s="18">
        <v>41867.71</v>
      </c>
      <c r="G10062" s="18">
        <v>134904</v>
      </c>
      <c r="H10062" s="18">
        <f t="shared" si="215"/>
        <v>41822.71</v>
      </c>
      <c r="I10062" s="3"/>
    </row>
    <row r="10063" spans="1:9" s="4" customFormat="1" ht="20.25" customHeight="1" x14ac:dyDescent="0.55000000000000004">
      <c r="A10063" s="18">
        <v>24.813136199999999</v>
      </c>
      <c r="B10063" s="18">
        <v>34.950152600000003</v>
      </c>
      <c r="C10063" s="18">
        <v>697110.75</v>
      </c>
      <c r="D10063" s="18">
        <v>2745664.95</v>
      </c>
      <c r="E10063" s="18">
        <v>92.5</v>
      </c>
      <c r="F10063" s="18">
        <v>41868.46</v>
      </c>
      <c r="G10063" s="18">
        <v>134913</v>
      </c>
      <c r="H10063" s="18">
        <f t="shared" si="215"/>
        <v>41823.46</v>
      </c>
      <c r="I10063" s="3"/>
    </row>
    <row r="10064" spans="1:9" s="4" customFormat="1" ht="20.25" customHeight="1" x14ac:dyDescent="0.55000000000000004">
      <c r="A10064" s="18">
        <v>24.814773800000001</v>
      </c>
      <c r="B10064" s="18">
        <v>34.949532400000002</v>
      </c>
      <c r="C10064" s="18">
        <v>697045.46</v>
      </c>
      <c r="D10064" s="18">
        <v>2745845.45</v>
      </c>
      <c r="E10064" s="18">
        <v>96.68</v>
      </c>
      <c r="F10064" s="18">
        <v>41900.17</v>
      </c>
      <c r="G10064" s="18">
        <v>135149</v>
      </c>
      <c r="H10064" s="18">
        <f t="shared" si="215"/>
        <v>41855.17</v>
      </c>
      <c r="I10064" s="3"/>
    </row>
    <row r="10065" spans="1:9" s="4" customFormat="1" ht="20.25" customHeight="1" x14ac:dyDescent="0.55000000000000004">
      <c r="A10065" s="18">
        <v>24.814773599999999</v>
      </c>
      <c r="B10065" s="18">
        <v>34.949533700000003</v>
      </c>
      <c r="C10065" s="18">
        <v>697045.59</v>
      </c>
      <c r="D10065" s="18">
        <v>2745845.44</v>
      </c>
      <c r="E10065" s="18">
        <v>96.63</v>
      </c>
      <c r="F10065" s="18">
        <v>41899.629999999997</v>
      </c>
      <c r="G10065" s="18">
        <v>135158</v>
      </c>
      <c r="H10065" s="18">
        <f t="shared" si="215"/>
        <v>41854.629999999997</v>
      </c>
      <c r="I10065" s="3"/>
    </row>
    <row r="10066" spans="1:9" s="4" customFormat="1" ht="20.25" customHeight="1" x14ac:dyDescent="0.55000000000000004">
      <c r="A10066" s="18">
        <v>24.816552900000001</v>
      </c>
      <c r="B10066" s="18">
        <v>34.949374499999998</v>
      </c>
      <c r="C10066" s="18">
        <v>697026.67</v>
      </c>
      <c r="D10066" s="18">
        <v>2746042.29</v>
      </c>
      <c r="E10066" s="18">
        <v>101.98</v>
      </c>
      <c r="F10066" s="18">
        <v>41904.559999999998</v>
      </c>
      <c r="G10066" s="18">
        <v>135322</v>
      </c>
      <c r="H10066" s="18">
        <f t="shared" si="215"/>
        <v>41859.56</v>
      </c>
      <c r="I10066" s="3"/>
    </row>
    <row r="10067" spans="1:9" s="4" customFormat="1" ht="20.25" customHeight="1" x14ac:dyDescent="0.55000000000000004">
      <c r="A10067" s="18">
        <v>24.816550299999999</v>
      </c>
      <c r="B10067" s="18">
        <v>34.949377300000002</v>
      </c>
      <c r="C10067" s="18">
        <v>697026.96</v>
      </c>
      <c r="D10067" s="18">
        <v>2746042.01</v>
      </c>
      <c r="E10067" s="18">
        <v>102.07</v>
      </c>
      <c r="F10067" s="18">
        <v>41905.629999999997</v>
      </c>
      <c r="G10067" s="18">
        <v>135334</v>
      </c>
      <c r="H10067" s="18">
        <f t="shared" si="215"/>
        <v>41860.629999999997</v>
      </c>
      <c r="I10067" s="3"/>
    </row>
    <row r="10068" spans="1:9" s="4" customFormat="1" ht="20.25" customHeight="1" x14ac:dyDescent="0.55000000000000004">
      <c r="A10068" s="18">
        <v>24.8182762</v>
      </c>
      <c r="B10068" s="18">
        <v>34.949313600000004</v>
      </c>
      <c r="C10068" s="18">
        <v>697017.79</v>
      </c>
      <c r="D10068" s="18">
        <v>2746233.09</v>
      </c>
      <c r="E10068" s="18">
        <v>107.9</v>
      </c>
      <c r="F10068" s="18">
        <v>41884.21</v>
      </c>
      <c r="G10068" s="18">
        <v>135452</v>
      </c>
      <c r="H10068" s="18">
        <f t="shared" si="215"/>
        <v>41839.21</v>
      </c>
      <c r="I10068" s="3"/>
    </row>
    <row r="10069" spans="1:9" s="4" customFormat="1" ht="20.25" customHeight="1" x14ac:dyDescent="0.55000000000000004">
      <c r="A10069" s="18">
        <v>24.818275499999999</v>
      </c>
      <c r="B10069" s="18">
        <v>34.949314700000002</v>
      </c>
      <c r="C10069" s="18">
        <v>697017.91</v>
      </c>
      <c r="D10069" s="18">
        <v>2746233.01</v>
      </c>
      <c r="E10069" s="18">
        <v>107.97</v>
      </c>
      <c r="F10069" s="18">
        <v>41883.620000000003</v>
      </c>
      <c r="G10069" s="18">
        <v>135504</v>
      </c>
      <c r="H10069" s="18">
        <f t="shared" si="215"/>
        <v>41838.620000000003</v>
      </c>
      <c r="I10069" s="3"/>
    </row>
    <row r="10070" spans="1:9" s="4" customFormat="1" ht="20.25" customHeight="1" x14ac:dyDescent="0.55000000000000004">
      <c r="A10070" s="18">
        <v>24.820239999999998</v>
      </c>
      <c r="B10070" s="18">
        <v>34.949626600000002</v>
      </c>
      <c r="C10070" s="18">
        <v>697046.33</v>
      </c>
      <c r="D10070" s="18">
        <v>2746451.07</v>
      </c>
      <c r="E10070" s="18">
        <v>116</v>
      </c>
      <c r="F10070" s="18">
        <v>41861</v>
      </c>
      <c r="G10070" s="18">
        <v>135625</v>
      </c>
      <c r="H10070" s="18">
        <f t="shared" si="215"/>
        <v>41816</v>
      </c>
      <c r="I10070" s="3"/>
    </row>
    <row r="10071" spans="1:9" s="4" customFormat="1" ht="20.25" customHeight="1" x14ac:dyDescent="0.55000000000000004">
      <c r="A10071" s="18">
        <v>24.8202386</v>
      </c>
      <c r="B10071" s="18">
        <v>34.949626299999998</v>
      </c>
      <c r="C10071" s="18">
        <v>697046.29</v>
      </c>
      <c r="D10071" s="18">
        <v>2746450.91</v>
      </c>
      <c r="E10071" s="18">
        <v>116.26</v>
      </c>
      <c r="F10071" s="18">
        <v>41867.879999999997</v>
      </c>
      <c r="G10071" s="18">
        <v>135634</v>
      </c>
      <c r="H10071" s="18">
        <f t="shared" si="215"/>
        <v>41822.879999999997</v>
      </c>
      <c r="I10071" s="3"/>
    </row>
    <row r="10072" spans="1:9" s="4" customFormat="1" ht="20.25" customHeight="1" x14ac:dyDescent="0.55000000000000004">
      <c r="A10072" s="18">
        <v>24.821841800000001</v>
      </c>
      <c r="B10072" s="18">
        <v>34.949113500000003</v>
      </c>
      <c r="C10072" s="18">
        <v>696991.92</v>
      </c>
      <c r="D10072" s="18">
        <v>2746627.75</v>
      </c>
      <c r="E10072" s="18">
        <v>120.13</v>
      </c>
      <c r="F10072" s="18">
        <v>41915.129999999997</v>
      </c>
      <c r="G10072" s="18">
        <v>135925</v>
      </c>
      <c r="H10072" s="18">
        <f t="shared" si="215"/>
        <v>41870.129999999997</v>
      </c>
      <c r="I10072" s="3"/>
    </row>
    <row r="10073" spans="1:9" s="4" customFormat="1" ht="20.25" customHeight="1" x14ac:dyDescent="0.55000000000000004">
      <c r="A10073" s="18">
        <v>24.821903500000001</v>
      </c>
      <c r="B10073" s="18">
        <v>34.9490932</v>
      </c>
      <c r="C10073" s="18">
        <v>696989.77</v>
      </c>
      <c r="D10073" s="18">
        <v>2746634.56</v>
      </c>
      <c r="E10073" s="18">
        <v>120.09</v>
      </c>
      <c r="F10073" s="18">
        <v>41920.74</v>
      </c>
      <c r="G10073" s="18">
        <v>135955</v>
      </c>
      <c r="H10073" s="18">
        <f t="shared" si="215"/>
        <v>41875.74</v>
      </c>
      <c r="I10073" s="3"/>
    </row>
    <row r="10074" spans="1:9" s="4" customFormat="1" ht="20.25" customHeight="1" x14ac:dyDescent="0.55000000000000004">
      <c r="A10074" s="18">
        <v>24.823517200000001</v>
      </c>
      <c r="B10074" s="18">
        <v>34.949127099999998</v>
      </c>
      <c r="C10074" s="18">
        <v>696990.64</v>
      </c>
      <c r="D10074" s="18">
        <v>2746813.35</v>
      </c>
      <c r="E10074" s="18">
        <v>125.27</v>
      </c>
      <c r="F10074" s="18">
        <v>41877.279999999999</v>
      </c>
      <c r="G10074" s="18">
        <v>140119</v>
      </c>
      <c r="H10074" s="18">
        <f>SUM(F10074-50)</f>
        <v>41827.279999999999</v>
      </c>
      <c r="I10074" s="3"/>
    </row>
    <row r="10075" spans="1:9" s="4" customFormat="1" ht="20.25" customHeight="1" x14ac:dyDescent="0.55000000000000004">
      <c r="A10075" s="18">
        <v>24.825203500000001</v>
      </c>
      <c r="B10075" s="18">
        <v>34.948432500000003</v>
      </c>
      <c r="C10075" s="18">
        <v>696917.76</v>
      </c>
      <c r="D10075" s="18">
        <v>2746999.14</v>
      </c>
      <c r="E10075" s="18">
        <v>130.80000000000001</v>
      </c>
      <c r="F10075" s="18">
        <v>41888.239999999998</v>
      </c>
      <c r="G10075" s="18">
        <v>140246</v>
      </c>
      <c r="H10075" s="18">
        <f t="shared" ref="H10075:H10087" si="216">SUM(F10075-50)</f>
        <v>41838.239999999998</v>
      </c>
      <c r="I10075" s="3"/>
    </row>
    <row r="10076" spans="1:9" s="4" customFormat="1" ht="20.25" customHeight="1" x14ac:dyDescent="0.55000000000000004">
      <c r="A10076" s="18">
        <v>24.826934000000001</v>
      </c>
      <c r="B10076" s="18">
        <v>34.947249200000002</v>
      </c>
      <c r="C10076" s="18">
        <v>696795.4</v>
      </c>
      <c r="D10076" s="18">
        <v>2747189.11</v>
      </c>
      <c r="E10076" s="18">
        <v>136.5</v>
      </c>
      <c r="F10076" s="18">
        <v>41913.410000000003</v>
      </c>
      <c r="G10076" s="18">
        <v>140419</v>
      </c>
      <c r="H10076" s="18">
        <f t="shared" si="216"/>
        <v>41863.410000000003</v>
      </c>
      <c r="I10076" s="3"/>
    </row>
    <row r="10077" spans="1:9" s="4" customFormat="1" ht="20.25" customHeight="1" x14ac:dyDescent="0.55000000000000004">
      <c r="A10077" s="18">
        <v>24.826934399999999</v>
      </c>
      <c r="B10077" s="18">
        <v>34.947251100000003</v>
      </c>
      <c r="C10077" s="18">
        <v>696795.59</v>
      </c>
      <c r="D10077" s="18">
        <v>2747189.15</v>
      </c>
      <c r="E10077" s="18">
        <v>136.33000000000001</v>
      </c>
      <c r="F10077" s="18">
        <v>41914.32</v>
      </c>
      <c r="G10077" s="18">
        <v>140434</v>
      </c>
      <c r="H10077" s="18">
        <f t="shared" si="216"/>
        <v>41864.32</v>
      </c>
      <c r="I10077" s="3"/>
    </row>
    <row r="10078" spans="1:9" s="4" customFormat="1" ht="20.25" customHeight="1" x14ac:dyDescent="0.55000000000000004">
      <c r="A10078" s="18">
        <v>24.828636700000001</v>
      </c>
      <c r="B10078" s="18">
        <v>34.947012999999998</v>
      </c>
      <c r="C10078" s="18">
        <v>696768.83</v>
      </c>
      <c r="D10078" s="18">
        <v>2747377.38</v>
      </c>
      <c r="E10078" s="18">
        <v>140.32</v>
      </c>
      <c r="F10078" s="18">
        <v>41881.71</v>
      </c>
      <c r="G10078" s="18">
        <v>140604</v>
      </c>
      <c r="H10078" s="18">
        <f t="shared" si="216"/>
        <v>41831.71</v>
      </c>
      <c r="I10078" s="3"/>
    </row>
    <row r="10079" spans="1:9" s="4" customFormat="1" ht="20.25" customHeight="1" x14ac:dyDescent="0.55000000000000004">
      <c r="A10079" s="18">
        <v>24.8286373</v>
      </c>
      <c r="B10079" s="18">
        <v>34.947013800000001</v>
      </c>
      <c r="C10079" s="18">
        <v>696768.91</v>
      </c>
      <c r="D10079" s="18">
        <v>2747377.45</v>
      </c>
      <c r="E10079" s="18">
        <v>140.35</v>
      </c>
      <c r="F10079" s="18">
        <v>41881.67</v>
      </c>
      <c r="G10079" s="18">
        <v>140616</v>
      </c>
      <c r="H10079" s="18">
        <f t="shared" si="216"/>
        <v>41831.67</v>
      </c>
      <c r="I10079" s="3"/>
    </row>
    <row r="10080" spans="1:9" s="4" customFormat="1" ht="20.25" customHeight="1" x14ac:dyDescent="0.55000000000000004">
      <c r="A10080" s="18">
        <v>24.8299564</v>
      </c>
      <c r="B10080" s="18">
        <v>34.9459394</v>
      </c>
      <c r="C10080" s="18">
        <v>696658.22</v>
      </c>
      <c r="D10080" s="18">
        <v>2747522.01</v>
      </c>
      <c r="E10080" s="18">
        <v>143.76</v>
      </c>
      <c r="F10080" s="18">
        <v>41904.25</v>
      </c>
      <c r="G10080" s="18">
        <v>140816</v>
      </c>
      <c r="H10080" s="18">
        <f t="shared" si="216"/>
        <v>41854.25</v>
      </c>
      <c r="I10080" s="3"/>
    </row>
    <row r="10081" spans="1:9" s="4" customFormat="1" ht="20.25" customHeight="1" x14ac:dyDescent="0.55000000000000004">
      <c r="A10081" s="18">
        <v>24.829955999999999</v>
      </c>
      <c r="B10081" s="18">
        <v>34.945939600000003</v>
      </c>
      <c r="C10081" s="18">
        <v>696658.24</v>
      </c>
      <c r="D10081" s="18">
        <v>2747521.96</v>
      </c>
      <c r="E10081" s="18">
        <v>143.87</v>
      </c>
      <c r="F10081" s="18">
        <v>41904.29</v>
      </c>
      <c r="G10081" s="18">
        <v>140828</v>
      </c>
      <c r="H10081" s="18">
        <f t="shared" si="216"/>
        <v>41854.29</v>
      </c>
      <c r="I10081" s="3"/>
    </row>
    <row r="10082" spans="1:9" s="4" customFormat="1" ht="20.25" customHeight="1" x14ac:dyDescent="0.55000000000000004">
      <c r="A10082" s="18">
        <v>24.831671799999999</v>
      </c>
      <c r="B10082" s="18">
        <v>34.944709000000003</v>
      </c>
      <c r="C10082" s="18">
        <v>696531.13</v>
      </c>
      <c r="D10082" s="18">
        <v>2747710.24</v>
      </c>
      <c r="E10082" s="18">
        <v>150.6</v>
      </c>
      <c r="F10082" s="18">
        <v>41911.519999999997</v>
      </c>
      <c r="G10082" s="18">
        <v>141004</v>
      </c>
      <c r="H10082" s="18">
        <f t="shared" si="216"/>
        <v>41861.519999999997</v>
      </c>
      <c r="I10082" s="3"/>
    </row>
    <row r="10083" spans="1:9" s="4" customFormat="1" ht="20.25" customHeight="1" x14ac:dyDescent="0.55000000000000004">
      <c r="A10083" s="18">
        <v>24.8316725</v>
      </c>
      <c r="B10083" s="18">
        <v>34.944709799999998</v>
      </c>
      <c r="C10083" s="18">
        <v>696531.21</v>
      </c>
      <c r="D10083" s="18">
        <v>2747710.33</v>
      </c>
      <c r="E10083" s="18">
        <v>150.57</v>
      </c>
      <c r="F10083" s="18">
        <v>41911.019999999997</v>
      </c>
      <c r="G10083" s="18">
        <v>141013</v>
      </c>
      <c r="H10083" s="18">
        <f t="shared" si="216"/>
        <v>41861.019999999997</v>
      </c>
      <c r="I10083" s="3"/>
    </row>
    <row r="10084" spans="1:9" s="4" customFormat="1" ht="20.25" customHeight="1" x14ac:dyDescent="0.55000000000000004">
      <c r="A10084" s="18">
        <v>24.832530299999998</v>
      </c>
      <c r="B10084" s="18">
        <v>34.943121499999997</v>
      </c>
      <c r="C10084" s="18">
        <v>696369.3</v>
      </c>
      <c r="D10084" s="18">
        <v>2747803.05</v>
      </c>
      <c r="E10084" s="18">
        <v>154.69</v>
      </c>
      <c r="F10084" s="18">
        <v>41917.730000000003</v>
      </c>
      <c r="G10084" s="18">
        <v>141134</v>
      </c>
      <c r="H10084" s="18">
        <f t="shared" si="216"/>
        <v>41867.730000000003</v>
      </c>
      <c r="I10084" s="3"/>
    </row>
    <row r="10085" spans="1:9" s="4" customFormat="1" ht="20.25" customHeight="1" x14ac:dyDescent="0.55000000000000004">
      <c r="A10085" s="18">
        <v>24.833525900000001</v>
      </c>
      <c r="B10085" s="18">
        <v>34.941870299999998</v>
      </c>
      <c r="C10085" s="18">
        <v>696241.26</v>
      </c>
      <c r="D10085" s="18">
        <v>2747911.53</v>
      </c>
      <c r="E10085" s="18">
        <v>158.41</v>
      </c>
      <c r="F10085" s="18">
        <v>41908.17</v>
      </c>
      <c r="G10085" s="18">
        <v>141258</v>
      </c>
      <c r="H10085" s="18">
        <f t="shared" si="216"/>
        <v>41858.17</v>
      </c>
      <c r="I10085" s="3"/>
    </row>
    <row r="10086" spans="1:9" s="4" customFormat="1" ht="20.25" customHeight="1" x14ac:dyDescent="0.55000000000000004">
      <c r="A10086" s="18">
        <v>24.834477</v>
      </c>
      <c r="B10086" s="18">
        <v>34.939951800000003</v>
      </c>
      <c r="C10086" s="18">
        <v>696045.83</v>
      </c>
      <c r="D10086" s="18">
        <v>2748014.12</v>
      </c>
      <c r="E10086" s="18">
        <v>164.14</v>
      </c>
      <c r="F10086" s="18">
        <v>41913.269999999997</v>
      </c>
      <c r="G10086" s="18">
        <v>141434</v>
      </c>
      <c r="H10086" s="18">
        <f t="shared" si="216"/>
        <v>41863.269999999997</v>
      </c>
      <c r="I10086" s="3"/>
    </row>
    <row r="10087" spans="1:9" s="4" customFormat="1" ht="20.25" customHeight="1" x14ac:dyDescent="0.55000000000000004">
      <c r="A10087" s="18">
        <v>24.834476899999999</v>
      </c>
      <c r="B10087" s="18">
        <v>34.939951700000002</v>
      </c>
      <c r="C10087" s="18">
        <v>696045.82</v>
      </c>
      <c r="D10087" s="18">
        <v>2748014.1</v>
      </c>
      <c r="E10087" s="18">
        <v>164.15</v>
      </c>
      <c r="F10087" s="18">
        <v>41911.83</v>
      </c>
      <c r="G10087" s="18">
        <v>141446</v>
      </c>
      <c r="H10087" s="18">
        <f t="shared" si="216"/>
        <v>41861.83</v>
      </c>
      <c r="I10087" s="3"/>
    </row>
    <row r="10088" spans="1:9" s="4" customFormat="1" ht="20.25" customHeight="1" x14ac:dyDescent="0.55000000000000004">
      <c r="A10088" s="18">
        <v>24.8346017</v>
      </c>
      <c r="B10088" s="18">
        <v>34.9386194</v>
      </c>
      <c r="C10088" s="18">
        <v>695910.96</v>
      </c>
      <c r="D10088" s="18">
        <v>2748026.02</v>
      </c>
      <c r="E10088" s="18">
        <v>168.16</v>
      </c>
      <c r="F10088" s="18">
        <v>41895.019999999997</v>
      </c>
      <c r="G10088" s="18">
        <v>141640</v>
      </c>
      <c r="H10088" s="18">
        <f>SUM(F10088-70)</f>
        <v>41825.019999999997</v>
      </c>
      <c r="I10088" s="3"/>
    </row>
    <row r="10089" spans="1:9" s="4" customFormat="1" ht="20.25" customHeight="1" x14ac:dyDescent="0.55000000000000004">
      <c r="A10089" s="18">
        <v>24.834601500000002</v>
      </c>
      <c r="B10089" s="18">
        <v>34.938619600000003</v>
      </c>
      <c r="C10089" s="18">
        <v>695910.98</v>
      </c>
      <c r="D10089" s="18">
        <v>2748025.99</v>
      </c>
      <c r="E10089" s="18">
        <v>168.14</v>
      </c>
      <c r="F10089" s="18">
        <v>41896.67</v>
      </c>
      <c r="G10089" s="18">
        <v>141649</v>
      </c>
      <c r="H10089" s="18">
        <f t="shared" ref="H10089:H10091" si="217">SUM(F10089-70)</f>
        <v>41826.67</v>
      </c>
      <c r="I10089" s="3"/>
    </row>
    <row r="10090" spans="1:9" s="4" customFormat="1" ht="20.25" customHeight="1" x14ac:dyDescent="0.55000000000000004">
      <c r="A10090" s="18">
        <v>24.8343764</v>
      </c>
      <c r="B10090" s="18">
        <v>34.936599600000001</v>
      </c>
      <c r="C10090" s="18">
        <v>695707.14</v>
      </c>
      <c r="D10090" s="18">
        <v>2747998.16</v>
      </c>
      <c r="E10090" s="18">
        <v>174.31</v>
      </c>
      <c r="F10090" s="18">
        <v>41889.86</v>
      </c>
      <c r="G10090" s="18">
        <v>141810</v>
      </c>
      <c r="H10090" s="18">
        <f t="shared" si="217"/>
        <v>41819.86</v>
      </c>
      <c r="I10090" s="3"/>
    </row>
    <row r="10091" spans="1:9" s="4" customFormat="1" ht="20.25" customHeight="1" x14ac:dyDescent="0.55000000000000004">
      <c r="A10091" s="18">
        <v>24.834375999999999</v>
      </c>
      <c r="B10091" s="18">
        <v>34.936600800000001</v>
      </c>
      <c r="C10091" s="18">
        <v>695707.27</v>
      </c>
      <c r="D10091" s="18">
        <v>2747998.11</v>
      </c>
      <c r="E10091" s="18">
        <v>174.42</v>
      </c>
      <c r="F10091" s="18">
        <v>41889.339999999997</v>
      </c>
      <c r="G10091" s="18">
        <v>141822</v>
      </c>
      <c r="H10091" s="18">
        <f t="shared" si="217"/>
        <v>41819.339999999997</v>
      </c>
      <c r="I10091" s="3"/>
    </row>
    <row r="10092" spans="1:9" s="4" customFormat="1" ht="20.25" customHeight="1" x14ac:dyDescent="0.55000000000000004">
      <c r="A10092" s="18">
        <v>24.8343472</v>
      </c>
      <c r="B10092" s="18">
        <v>34.936546999999997</v>
      </c>
      <c r="C10092" s="18">
        <v>695701.87</v>
      </c>
      <c r="D10092" s="18">
        <v>2747994.85</v>
      </c>
      <c r="E10092" s="18">
        <v>174.62</v>
      </c>
      <c r="F10092" s="18">
        <v>41883.300000000003</v>
      </c>
      <c r="G10092" s="18">
        <v>142140</v>
      </c>
      <c r="H10092" s="18">
        <f>SUM(F10092-80)</f>
        <v>41803.300000000003</v>
      </c>
      <c r="I10092" s="3"/>
    </row>
    <row r="10093" spans="1:9" s="4" customFormat="1" ht="20.25" customHeight="1" x14ac:dyDescent="0.55000000000000004">
      <c r="A10093" s="18">
        <v>24.833815900000001</v>
      </c>
      <c r="B10093" s="18">
        <v>34.934316099999997</v>
      </c>
      <c r="C10093" s="18">
        <v>695477.21</v>
      </c>
      <c r="D10093" s="18">
        <v>2747932.8</v>
      </c>
      <c r="E10093" s="18">
        <v>181.28</v>
      </c>
      <c r="F10093" s="18">
        <v>41864.93</v>
      </c>
      <c r="G10093" s="18">
        <v>142307</v>
      </c>
      <c r="H10093" s="18">
        <f t="shared" ref="H10093:H10094" si="218">SUM(F10093-80)</f>
        <v>41784.93</v>
      </c>
      <c r="I10093" s="3"/>
    </row>
    <row r="10094" spans="1:9" s="4" customFormat="1" ht="20.25" customHeight="1" x14ac:dyDescent="0.55000000000000004">
      <c r="A10094" s="18">
        <v>24.8338158</v>
      </c>
      <c r="B10094" s="18">
        <v>34.934316899999999</v>
      </c>
      <c r="C10094" s="18">
        <v>695477.28</v>
      </c>
      <c r="D10094" s="18">
        <v>2747932.79</v>
      </c>
      <c r="E10094" s="18">
        <v>181.23</v>
      </c>
      <c r="F10094" s="18">
        <v>41864.949999999997</v>
      </c>
      <c r="G10094" s="18">
        <v>142316</v>
      </c>
      <c r="H10094" s="18">
        <f t="shared" si="218"/>
        <v>41784.949999999997</v>
      </c>
      <c r="I10094" s="3"/>
    </row>
    <row r="10095" spans="1:9" s="9" customFormat="1" ht="21" customHeight="1" x14ac:dyDescent="0.6">
      <c r="A10095" s="7">
        <v>24.7709875</v>
      </c>
      <c r="B10095" s="7">
        <v>34.893196699999997</v>
      </c>
      <c r="C10095" s="7">
        <v>691417.28</v>
      </c>
      <c r="D10095" s="7">
        <v>2740915.28</v>
      </c>
      <c r="E10095" s="7">
        <v>176.26</v>
      </c>
      <c r="F10095" s="7">
        <v>42461.98</v>
      </c>
      <c r="G10095" s="7">
        <v>80252</v>
      </c>
      <c r="H10095" s="7">
        <f>SUM(F10095-3)</f>
        <v>42458.98</v>
      </c>
      <c r="I10095" s="16"/>
    </row>
    <row r="10096" spans="1:9" s="9" customFormat="1" ht="21" customHeight="1" x14ac:dyDescent="0.6">
      <c r="A10096" s="7">
        <v>24.770989199999999</v>
      </c>
      <c r="B10096" s="7">
        <v>34.893198099999999</v>
      </c>
      <c r="C10096" s="7">
        <v>691417.42</v>
      </c>
      <c r="D10096" s="7">
        <v>2740915.47</v>
      </c>
      <c r="E10096" s="7">
        <v>176.87</v>
      </c>
      <c r="F10096" s="7">
        <v>42462.22</v>
      </c>
      <c r="G10096" s="7">
        <v>80304</v>
      </c>
      <c r="H10096" s="7">
        <f t="shared" ref="H10096:H10097" si="219">SUM(F10096-3)</f>
        <v>42459.22</v>
      </c>
      <c r="I10096" s="16"/>
    </row>
    <row r="10097" spans="1:9" s="9" customFormat="1" ht="21" customHeight="1" x14ac:dyDescent="0.6">
      <c r="A10097" s="7">
        <v>24.769858899999999</v>
      </c>
      <c r="B10097" s="7">
        <v>34.893898800000002</v>
      </c>
      <c r="C10097" s="7">
        <v>691490.01</v>
      </c>
      <c r="D10097" s="7">
        <v>2740791.25</v>
      </c>
      <c r="E10097" s="7">
        <v>185.19</v>
      </c>
      <c r="F10097" s="7">
        <v>42393.56</v>
      </c>
      <c r="G10097" s="7">
        <v>80425</v>
      </c>
      <c r="H10097" s="7">
        <f t="shared" si="219"/>
        <v>42390.559999999998</v>
      </c>
      <c r="I10097" s="16"/>
    </row>
    <row r="10098" spans="1:9" s="9" customFormat="1" ht="21" customHeight="1" x14ac:dyDescent="0.6">
      <c r="A10098" s="7">
        <v>24.768403599999999</v>
      </c>
      <c r="B10098" s="7">
        <v>34.895148200000001</v>
      </c>
      <c r="C10098" s="7">
        <v>691618.6</v>
      </c>
      <c r="D10098" s="7">
        <v>2740631.8</v>
      </c>
      <c r="E10098" s="7">
        <v>188.69</v>
      </c>
      <c r="F10098" s="7">
        <v>42282.78</v>
      </c>
      <c r="G10098" s="7">
        <v>80558</v>
      </c>
      <c r="H10098" s="7">
        <f>SUM(F10098-2)</f>
        <v>42280.78</v>
      </c>
      <c r="I10098" s="16"/>
    </row>
    <row r="10099" spans="1:9" s="9" customFormat="1" ht="21" customHeight="1" x14ac:dyDescent="0.6">
      <c r="A10099" s="7">
        <v>24.768404</v>
      </c>
      <c r="B10099" s="7">
        <v>34.895148300000002</v>
      </c>
      <c r="C10099" s="7">
        <v>691618.62</v>
      </c>
      <c r="D10099" s="7">
        <v>2740631.85</v>
      </c>
      <c r="E10099" s="7">
        <v>188.69</v>
      </c>
      <c r="F10099" s="7">
        <v>42282.74</v>
      </c>
      <c r="G10099" s="7">
        <v>80607</v>
      </c>
      <c r="H10099" s="7">
        <f t="shared" ref="H10099:H10102" si="220">SUM(F10099-2)</f>
        <v>42280.74</v>
      </c>
      <c r="I10099" s="16"/>
    </row>
    <row r="10100" spans="1:9" s="9" customFormat="1" ht="21" customHeight="1" x14ac:dyDescent="0.6">
      <c r="A10100" s="7">
        <v>24.766983100000001</v>
      </c>
      <c r="B10100" s="7">
        <v>34.894733799999997</v>
      </c>
      <c r="C10100" s="7">
        <v>691578.88</v>
      </c>
      <c r="D10100" s="7">
        <v>2740473.88</v>
      </c>
      <c r="E10100" s="7">
        <v>187.9</v>
      </c>
      <c r="F10100" s="7">
        <v>42189.74</v>
      </c>
      <c r="G10100" s="7">
        <v>80728</v>
      </c>
      <c r="H10100" s="7">
        <f t="shared" si="220"/>
        <v>42187.74</v>
      </c>
      <c r="I10100" s="16"/>
    </row>
    <row r="10101" spans="1:9" s="9" customFormat="1" ht="21" customHeight="1" x14ac:dyDescent="0.6">
      <c r="A10101" s="7">
        <v>24.7672311</v>
      </c>
      <c r="B10101" s="7">
        <v>34.892809300000003</v>
      </c>
      <c r="C10101" s="7">
        <v>691383.86</v>
      </c>
      <c r="D10101" s="7">
        <v>2740498.65</v>
      </c>
      <c r="E10101" s="7">
        <v>189.48</v>
      </c>
      <c r="F10101" s="7">
        <v>42209.29</v>
      </c>
      <c r="G10101" s="7">
        <v>80846</v>
      </c>
      <c r="H10101" s="7">
        <f t="shared" si="220"/>
        <v>42207.29</v>
      </c>
      <c r="I10101" s="16"/>
    </row>
    <row r="10102" spans="1:9" s="9" customFormat="1" ht="21" customHeight="1" x14ac:dyDescent="0.6">
      <c r="A10102" s="7">
        <v>24.767161000000002</v>
      </c>
      <c r="B10102" s="7">
        <v>34.8928327</v>
      </c>
      <c r="C10102" s="7">
        <v>691386.34</v>
      </c>
      <c r="D10102" s="7">
        <v>2740490.93</v>
      </c>
      <c r="E10102" s="7">
        <v>190.04</v>
      </c>
      <c r="F10102" s="7">
        <v>42206.58</v>
      </c>
      <c r="G10102" s="7">
        <v>80904</v>
      </c>
      <c r="H10102" s="7">
        <f t="shared" si="220"/>
        <v>42204.58</v>
      </c>
      <c r="I10102" s="16"/>
    </row>
    <row r="10103" spans="1:9" s="9" customFormat="1" ht="21" customHeight="1" x14ac:dyDescent="0.6">
      <c r="A10103" s="7">
        <v>24.766302499999998</v>
      </c>
      <c r="B10103" s="7">
        <v>34.891582800000002</v>
      </c>
      <c r="C10103" s="7">
        <v>691261.24</v>
      </c>
      <c r="D10103" s="7">
        <v>2740394.08</v>
      </c>
      <c r="E10103" s="7">
        <v>193.92</v>
      </c>
      <c r="F10103" s="7">
        <v>42156.2</v>
      </c>
      <c r="G10103" s="7">
        <v>81043</v>
      </c>
      <c r="H10103" s="7">
        <f>SUM(F10103-4)</f>
        <v>42152.2</v>
      </c>
      <c r="I10103" s="16"/>
    </row>
    <row r="10104" spans="1:9" s="9" customFormat="1" ht="21" customHeight="1" x14ac:dyDescent="0.6">
      <c r="A10104" s="7">
        <v>24.765524599999999</v>
      </c>
      <c r="B10104" s="7">
        <v>34.893085300000003</v>
      </c>
      <c r="C10104" s="7">
        <v>691414.39</v>
      </c>
      <c r="D10104" s="7">
        <v>2740310.02</v>
      </c>
      <c r="E10104" s="7">
        <v>196.68</v>
      </c>
      <c r="F10104" s="7">
        <v>42189.73</v>
      </c>
      <c r="G10104" s="7">
        <v>81213</v>
      </c>
      <c r="H10104" s="7">
        <f t="shared" ref="H10104:H10167" si="221">SUM(F10104-4)</f>
        <v>42185.73</v>
      </c>
      <c r="I10104" s="16"/>
    </row>
    <row r="10105" spans="1:9" s="9" customFormat="1" ht="21" customHeight="1" x14ac:dyDescent="0.6">
      <c r="A10105" s="7">
        <v>24.7655235</v>
      </c>
      <c r="B10105" s="7">
        <v>34.893087800000004</v>
      </c>
      <c r="C10105" s="7">
        <v>691414.65</v>
      </c>
      <c r="D10105" s="7">
        <v>2740309.9</v>
      </c>
      <c r="E10105" s="7">
        <v>196.38</v>
      </c>
      <c r="F10105" s="7">
        <v>42185.96</v>
      </c>
      <c r="G10105" s="7">
        <v>81222</v>
      </c>
      <c r="H10105" s="7">
        <f t="shared" si="221"/>
        <v>42181.96</v>
      </c>
      <c r="I10105" s="16"/>
    </row>
    <row r="10106" spans="1:9" s="9" customFormat="1" ht="21" customHeight="1" x14ac:dyDescent="0.6">
      <c r="A10106" s="7">
        <v>24.764553100000001</v>
      </c>
      <c r="B10106" s="7">
        <v>34.894950100000003</v>
      </c>
      <c r="C10106" s="7">
        <v>691604.47999999998</v>
      </c>
      <c r="D10106" s="7">
        <v>2740205.03</v>
      </c>
      <c r="E10106" s="7">
        <v>199.41</v>
      </c>
      <c r="F10106" s="7">
        <v>42201.16</v>
      </c>
      <c r="G10106" s="7">
        <v>81346</v>
      </c>
      <c r="H10106" s="7">
        <f t="shared" si="221"/>
        <v>42197.16</v>
      </c>
      <c r="I10106" s="16"/>
    </row>
    <row r="10107" spans="1:9" s="9" customFormat="1" ht="21" customHeight="1" x14ac:dyDescent="0.6">
      <c r="A10107" s="7">
        <v>24.764551300000001</v>
      </c>
      <c r="B10107" s="7">
        <v>34.894948200000002</v>
      </c>
      <c r="C10107" s="7">
        <v>691604.29</v>
      </c>
      <c r="D10107" s="7">
        <v>2740204.82</v>
      </c>
      <c r="E10107" s="7">
        <v>199.39</v>
      </c>
      <c r="F10107" s="7">
        <v>42206.54</v>
      </c>
      <c r="G10107" s="7">
        <v>81355</v>
      </c>
      <c r="H10107" s="7">
        <f t="shared" si="221"/>
        <v>42202.54</v>
      </c>
      <c r="I10107" s="16"/>
    </row>
    <row r="10108" spans="1:9" s="9" customFormat="1" ht="21" customHeight="1" x14ac:dyDescent="0.6">
      <c r="A10108" s="7">
        <v>24.7634203</v>
      </c>
      <c r="B10108" s="7">
        <v>34.894345100000002</v>
      </c>
      <c r="C10108" s="7">
        <v>691545.03</v>
      </c>
      <c r="D10108" s="7">
        <v>2740078.71</v>
      </c>
      <c r="E10108" s="7">
        <v>199.53</v>
      </c>
      <c r="F10108" s="7">
        <v>42226.61</v>
      </c>
      <c r="G10108" s="7">
        <v>81504</v>
      </c>
      <c r="H10108" s="7">
        <f t="shared" si="221"/>
        <v>42222.61</v>
      </c>
      <c r="I10108" s="16"/>
    </row>
    <row r="10109" spans="1:9" s="9" customFormat="1" ht="21" customHeight="1" x14ac:dyDescent="0.6">
      <c r="A10109" s="7">
        <v>24.763416200000002</v>
      </c>
      <c r="B10109" s="7">
        <v>34.8943479</v>
      </c>
      <c r="C10109" s="7">
        <v>691545.32</v>
      </c>
      <c r="D10109" s="7">
        <v>2740078.26</v>
      </c>
      <c r="E10109" s="7">
        <v>198.69</v>
      </c>
      <c r="F10109" s="7">
        <v>42223.77</v>
      </c>
      <c r="G10109" s="7">
        <v>81516</v>
      </c>
      <c r="H10109" s="7">
        <f t="shared" si="221"/>
        <v>42219.77</v>
      </c>
      <c r="I10109" s="16"/>
    </row>
    <row r="10110" spans="1:9" s="9" customFormat="1" ht="21" customHeight="1" x14ac:dyDescent="0.6">
      <c r="A10110" s="7">
        <v>24.762627800000001</v>
      </c>
      <c r="B10110" s="7">
        <v>34.891800199999999</v>
      </c>
      <c r="C10110" s="7">
        <v>691288.86</v>
      </c>
      <c r="D10110" s="7">
        <v>2739987.37</v>
      </c>
      <c r="E10110" s="7">
        <v>204.47</v>
      </c>
      <c r="F10110" s="7">
        <v>42135.28</v>
      </c>
      <c r="G10110" s="7">
        <v>81655</v>
      </c>
      <c r="H10110" s="7">
        <f t="shared" si="221"/>
        <v>42131.28</v>
      </c>
      <c r="I10110" s="16"/>
    </row>
    <row r="10111" spans="1:9" s="9" customFormat="1" ht="21" customHeight="1" x14ac:dyDescent="0.6">
      <c r="A10111" s="7">
        <v>24.762629100000002</v>
      </c>
      <c r="B10111" s="7">
        <v>34.8918003</v>
      </c>
      <c r="C10111" s="7">
        <v>691288.87</v>
      </c>
      <c r="D10111" s="7">
        <v>2739987.51</v>
      </c>
      <c r="E10111" s="7">
        <v>204.47</v>
      </c>
      <c r="F10111" s="7">
        <v>42134.53</v>
      </c>
      <c r="G10111" s="7">
        <v>81704</v>
      </c>
      <c r="H10111" s="7">
        <f t="shared" si="221"/>
        <v>42130.53</v>
      </c>
      <c r="I10111" s="16"/>
    </row>
    <row r="10112" spans="1:9" s="9" customFormat="1" ht="21" customHeight="1" x14ac:dyDescent="0.6">
      <c r="A10112" s="7">
        <v>24.760380399999999</v>
      </c>
      <c r="B10112" s="7">
        <v>34.8898771</v>
      </c>
      <c r="C10112" s="7">
        <v>691097.8</v>
      </c>
      <c r="D10112" s="7">
        <v>2739735.74</v>
      </c>
      <c r="E10112" s="7">
        <v>208.64</v>
      </c>
      <c r="F10112" s="7">
        <v>42066.44</v>
      </c>
      <c r="G10112" s="7">
        <v>81849</v>
      </c>
      <c r="H10112" s="7">
        <f t="shared" si="221"/>
        <v>42062.44</v>
      </c>
      <c r="I10112" s="16"/>
    </row>
    <row r="10113" spans="1:9" s="9" customFormat="1" ht="21" customHeight="1" x14ac:dyDescent="0.6">
      <c r="A10113" s="7">
        <v>24.760376999999998</v>
      </c>
      <c r="B10113" s="7">
        <v>34.889875699999997</v>
      </c>
      <c r="C10113" s="7">
        <v>691097.66</v>
      </c>
      <c r="D10113" s="7">
        <v>2739735.36</v>
      </c>
      <c r="E10113" s="7">
        <v>208.64</v>
      </c>
      <c r="F10113" s="7">
        <v>42071.97</v>
      </c>
      <c r="G10113" s="7">
        <v>81858</v>
      </c>
      <c r="H10113" s="7">
        <f t="shared" si="221"/>
        <v>42067.97</v>
      </c>
      <c r="I10113" s="16"/>
    </row>
    <row r="10114" spans="1:9" s="9" customFormat="1" ht="21" customHeight="1" x14ac:dyDescent="0.6">
      <c r="A10114" s="7">
        <v>24.760044600000001</v>
      </c>
      <c r="B10114" s="7">
        <v>34.888486399999998</v>
      </c>
      <c r="C10114" s="7">
        <v>690957.66</v>
      </c>
      <c r="D10114" s="7">
        <v>2739696.6</v>
      </c>
      <c r="E10114" s="7">
        <v>210.58</v>
      </c>
      <c r="F10114" s="7">
        <v>42083.76</v>
      </c>
      <c r="G10114" s="7">
        <v>82743</v>
      </c>
      <c r="H10114" s="7">
        <f t="shared" si="221"/>
        <v>42079.76</v>
      </c>
      <c r="I10114" s="16"/>
    </row>
    <row r="10115" spans="1:9" s="9" customFormat="1" ht="21" customHeight="1" x14ac:dyDescent="0.6">
      <c r="A10115" s="7">
        <v>24.7600449</v>
      </c>
      <c r="B10115" s="7">
        <v>34.888485699999997</v>
      </c>
      <c r="C10115" s="7">
        <v>690957.58</v>
      </c>
      <c r="D10115" s="7">
        <v>2739696.63</v>
      </c>
      <c r="E10115" s="7">
        <v>210.57</v>
      </c>
      <c r="F10115" s="7">
        <v>42080.05</v>
      </c>
      <c r="G10115" s="7">
        <v>82752</v>
      </c>
      <c r="H10115" s="7">
        <f t="shared" si="221"/>
        <v>42076.05</v>
      </c>
      <c r="I10115" s="16"/>
    </row>
    <row r="10116" spans="1:9" s="9" customFormat="1" ht="21" customHeight="1" x14ac:dyDescent="0.6">
      <c r="A10116" s="7">
        <v>24.7605848</v>
      </c>
      <c r="B10116" s="7">
        <v>34.886941299999997</v>
      </c>
      <c r="C10116" s="7">
        <v>690800.56</v>
      </c>
      <c r="D10116" s="7">
        <v>2739754.28</v>
      </c>
      <c r="E10116" s="7">
        <v>212.58</v>
      </c>
      <c r="F10116" s="7">
        <v>42105.33</v>
      </c>
      <c r="G10116" s="7">
        <v>82949</v>
      </c>
      <c r="H10116" s="7">
        <f t="shared" si="221"/>
        <v>42101.33</v>
      </c>
      <c r="I10116" s="16"/>
    </row>
    <row r="10117" spans="1:9" s="9" customFormat="1" ht="21" customHeight="1" x14ac:dyDescent="0.6">
      <c r="A10117" s="7">
        <v>24.760582500000002</v>
      </c>
      <c r="B10117" s="7">
        <v>34.886941499999999</v>
      </c>
      <c r="C10117" s="7">
        <v>690800.58</v>
      </c>
      <c r="D10117" s="7">
        <v>2739754.02</v>
      </c>
      <c r="E10117" s="7">
        <v>212.46</v>
      </c>
      <c r="F10117" s="7">
        <v>42105.7</v>
      </c>
      <c r="G10117" s="7">
        <v>82958</v>
      </c>
      <c r="H10117" s="7">
        <f t="shared" si="221"/>
        <v>42101.7</v>
      </c>
      <c r="I10117" s="16"/>
    </row>
    <row r="10118" spans="1:9" s="9" customFormat="1" ht="21" customHeight="1" x14ac:dyDescent="0.6">
      <c r="A10118" s="7">
        <v>24.759693800000001</v>
      </c>
      <c r="B10118" s="7">
        <v>34.885728999999998</v>
      </c>
      <c r="C10118" s="7">
        <v>690679.3</v>
      </c>
      <c r="D10118" s="7">
        <v>2739653.9</v>
      </c>
      <c r="E10118" s="7">
        <v>214.15</v>
      </c>
      <c r="F10118" s="7">
        <v>42042.26</v>
      </c>
      <c r="G10118" s="7">
        <v>83119</v>
      </c>
      <c r="H10118" s="7">
        <f t="shared" si="221"/>
        <v>42038.26</v>
      </c>
      <c r="I10118" s="16"/>
    </row>
    <row r="10119" spans="1:9" s="9" customFormat="1" ht="21" customHeight="1" x14ac:dyDescent="0.6">
      <c r="A10119" s="7">
        <v>24.759692999999999</v>
      </c>
      <c r="B10119" s="7">
        <v>34.885729300000001</v>
      </c>
      <c r="C10119" s="7">
        <v>690679.35</v>
      </c>
      <c r="D10119" s="7">
        <v>2739653.81</v>
      </c>
      <c r="E10119" s="7">
        <v>213.94</v>
      </c>
      <c r="F10119" s="7">
        <v>42043.040000000001</v>
      </c>
      <c r="G10119" s="7">
        <v>83131</v>
      </c>
      <c r="H10119" s="7">
        <f t="shared" si="221"/>
        <v>42039.040000000001</v>
      </c>
      <c r="I10119" s="16"/>
    </row>
    <row r="10120" spans="1:9" s="9" customFormat="1" ht="21" customHeight="1" x14ac:dyDescent="0.6">
      <c r="A10120" s="7">
        <v>24.758212400000001</v>
      </c>
      <c r="B10120" s="7">
        <v>34.884204599999997</v>
      </c>
      <c r="C10120" s="7">
        <v>690527.39</v>
      </c>
      <c r="D10120" s="7">
        <v>2739487.69</v>
      </c>
      <c r="E10120" s="7">
        <v>217.26</v>
      </c>
      <c r="F10120" s="7">
        <v>42034.16</v>
      </c>
      <c r="G10120" s="7">
        <v>83307</v>
      </c>
      <c r="H10120" s="7">
        <f t="shared" si="221"/>
        <v>42030.16</v>
      </c>
      <c r="I10120" s="16"/>
    </row>
    <row r="10121" spans="1:9" s="9" customFormat="1" ht="21" customHeight="1" x14ac:dyDescent="0.6">
      <c r="A10121" s="7">
        <v>24.758214200000001</v>
      </c>
      <c r="B10121" s="7">
        <v>34.884205199999997</v>
      </c>
      <c r="C10121" s="7">
        <v>690527.45</v>
      </c>
      <c r="D10121" s="7">
        <v>2739487.89</v>
      </c>
      <c r="E10121" s="7">
        <v>217.54</v>
      </c>
      <c r="F10121" s="7">
        <v>42033.919999999998</v>
      </c>
      <c r="G10121" s="7">
        <v>83316</v>
      </c>
      <c r="H10121" s="7">
        <f t="shared" si="221"/>
        <v>42029.919999999998</v>
      </c>
      <c r="I10121" s="16"/>
    </row>
    <row r="10122" spans="1:9" s="9" customFormat="1" ht="21" customHeight="1" x14ac:dyDescent="0.6">
      <c r="A10122" s="7">
        <v>24.756848399999999</v>
      </c>
      <c r="B10122" s="7">
        <v>34.884979600000001</v>
      </c>
      <c r="C10122" s="7">
        <v>690607.85</v>
      </c>
      <c r="D10122" s="7">
        <v>2739337.68</v>
      </c>
      <c r="E10122" s="7">
        <v>221.27</v>
      </c>
      <c r="F10122" s="7">
        <v>42029.35</v>
      </c>
      <c r="G10122" s="7">
        <v>83443</v>
      </c>
      <c r="H10122" s="7">
        <f t="shared" si="221"/>
        <v>42025.35</v>
      </c>
      <c r="I10122" s="16"/>
    </row>
    <row r="10123" spans="1:9" s="9" customFormat="1" ht="21" customHeight="1" x14ac:dyDescent="0.6">
      <c r="A10123" s="7">
        <v>24.756848600000001</v>
      </c>
      <c r="B10123" s="7">
        <v>34.884980599999999</v>
      </c>
      <c r="C10123" s="7">
        <v>690607.96</v>
      </c>
      <c r="D10123" s="7">
        <v>2739337.71</v>
      </c>
      <c r="E10123" s="7">
        <v>221.62</v>
      </c>
      <c r="F10123" s="7">
        <v>42028.66</v>
      </c>
      <c r="G10123" s="7">
        <v>83452</v>
      </c>
      <c r="H10123" s="7">
        <f t="shared" si="221"/>
        <v>42024.66</v>
      </c>
      <c r="I10123" s="16"/>
    </row>
    <row r="10124" spans="1:9" s="9" customFormat="1" ht="21" customHeight="1" x14ac:dyDescent="0.6">
      <c r="A10124" s="7">
        <v>24.755661100000001</v>
      </c>
      <c r="B10124" s="7">
        <v>34.884644600000001</v>
      </c>
      <c r="C10124" s="7">
        <v>690575.78</v>
      </c>
      <c r="D10124" s="7">
        <v>2739205.71</v>
      </c>
      <c r="E10124" s="7">
        <v>223.83</v>
      </c>
      <c r="F10124" s="7">
        <v>42017.13</v>
      </c>
      <c r="G10124" s="7">
        <v>83625</v>
      </c>
      <c r="H10124" s="7">
        <f t="shared" si="221"/>
        <v>42013.13</v>
      </c>
      <c r="I10124" s="16"/>
    </row>
    <row r="10125" spans="1:9" s="9" customFormat="1" ht="21" customHeight="1" x14ac:dyDescent="0.6">
      <c r="A10125" s="7">
        <v>24.755662099999999</v>
      </c>
      <c r="B10125" s="7">
        <v>34.884643500000003</v>
      </c>
      <c r="C10125" s="7">
        <v>690575.68</v>
      </c>
      <c r="D10125" s="7">
        <v>2739205.82</v>
      </c>
      <c r="E10125" s="7">
        <v>223.9</v>
      </c>
      <c r="F10125" s="7">
        <v>42017.120000000003</v>
      </c>
      <c r="G10125" s="7">
        <v>83634</v>
      </c>
      <c r="H10125" s="7">
        <f t="shared" si="221"/>
        <v>42013.120000000003</v>
      </c>
      <c r="I10125" s="16"/>
    </row>
    <row r="10126" spans="1:9" s="9" customFormat="1" ht="21" customHeight="1" x14ac:dyDescent="0.6">
      <c r="A10126" s="7">
        <v>24.7540409</v>
      </c>
      <c r="B10126" s="7">
        <v>34.883081900000001</v>
      </c>
      <c r="C10126" s="7">
        <v>690420.2</v>
      </c>
      <c r="D10126" s="7">
        <v>2739024.07</v>
      </c>
      <c r="E10126" s="7">
        <v>226.54</v>
      </c>
      <c r="F10126" s="7">
        <v>41983.8</v>
      </c>
      <c r="G10126" s="7">
        <v>83813</v>
      </c>
      <c r="H10126" s="7">
        <f t="shared" si="221"/>
        <v>41979.8</v>
      </c>
      <c r="I10126" s="16"/>
    </row>
    <row r="10127" spans="1:9" s="9" customFormat="1" ht="21" customHeight="1" x14ac:dyDescent="0.6">
      <c r="A10127" s="7">
        <v>24.754042299999998</v>
      </c>
      <c r="B10127" s="7">
        <v>34.883081699999998</v>
      </c>
      <c r="C10127" s="7">
        <v>690420.17</v>
      </c>
      <c r="D10127" s="7">
        <v>2739024.22</v>
      </c>
      <c r="E10127" s="7">
        <v>226.77</v>
      </c>
      <c r="F10127" s="7">
        <v>41984.22</v>
      </c>
      <c r="G10127" s="7">
        <v>83822</v>
      </c>
      <c r="H10127" s="7">
        <f t="shared" si="221"/>
        <v>41980.22</v>
      </c>
      <c r="I10127" s="16"/>
    </row>
    <row r="10128" spans="1:9" s="9" customFormat="1" ht="21" customHeight="1" x14ac:dyDescent="0.6">
      <c r="A10128" s="7">
        <v>24.752226799999999</v>
      </c>
      <c r="B10128" s="7">
        <v>34.882724699999997</v>
      </c>
      <c r="C10128" s="7">
        <v>690386.83</v>
      </c>
      <c r="D10128" s="7">
        <v>2738822.64</v>
      </c>
      <c r="E10128" s="7">
        <v>228.14</v>
      </c>
      <c r="F10128" s="7">
        <v>41985.83</v>
      </c>
      <c r="G10128" s="7">
        <v>83958</v>
      </c>
      <c r="H10128" s="7">
        <f t="shared" si="221"/>
        <v>41981.83</v>
      </c>
      <c r="I10128" s="16"/>
    </row>
    <row r="10129" spans="1:9" s="9" customFormat="1" ht="21" customHeight="1" x14ac:dyDescent="0.6">
      <c r="A10129" s="7">
        <v>24.752229400000001</v>
      </c>
      <c r="B10129" s="7">
        <v>34.882725700000002</v>
      </c>
      <c r="C10129" s="7">
        <v>690386.93</v>
      </c>
      <c r="D10129" s="7">
        <v>2738822.93</v>
      </c>
      <c r="E10129" s="7">
        <v>228.56</v>
      </c>
      <c r="F10129" s="7">
        <v>41985.8</v>
      </c>
      <c r="G10129" s="7">
        <v>84007</v>
      </c>
      <c r="H10129" s="7">
        <f t="shared" si="221"/>
        <v>41981.8</v>
      </c>
      <c r="I10129" s="16"/>
    </row>
    <row r="10130" spans="1:9" s="9" customFormat="1" ht="21" customHeight="1" x14ac:dyDescent="0.6">
      <c r="A10130" s="7">
        <v>24.749409400000001</v>
      </c>
      <c r="B10130" s="7">
        <v>34.882378600000003</v>
      </c>
      <c r="C10130" s="7">
        <v>690356.12</v>
      </c>
      <c r="D10130" s="7">
        <v>2738510.09</v>
      </c>
      <c r="E10130" s="7">
        <v>233.18</v>
      </c>
      <c r="F10130" s="7">
        <v>41962.65</v>
      </c>
      <c r="G10130" s="7">
        <v>84152</v>
      </c>
      <c r="H10130" s="7">
        <f t="shared" si="221"/>
        <v>41958.65</v>
      </c>
      <c r="I10130" s="16"/>
    </row>
    <row r="10131" spans="1:9" s="9" customFormat="1" ht="21" customHeight="1" x14ac:dyDescent="0.6">
      <c r="A10131" s="7">
        <v>24.749410699999999</v>
      </c>
      <c r="B10131" s="7">
        <v>34.882377300000002</v>
      </c>
      <c r="C10131" s="7">
        <v>690355.99</v>
      </c>
      <c r="D10131" s="7">
        <v>2738510.23</v>
      </c>
      <c r="E10131" s="7">
        <v>233.37</v>
      </c>
      <c r="F10131" s="7">
        <v>41961.599999999999</v>
      </c>
      <c r="G10131" s="7">
        <v>84201</v>
      </c>
      <c r="H10131" s="7">
        <f t="shared" si="221"/>
        <v>41957.599999999999</v>
      </c>
      <c r="I10131" s="16"/>
    </row>
    <row r="10132" spans="1:9" s="9" customFormat="1" ht="21" customHeight="1" x14ac:dyDescent="0.6">
      <c r="A10132" s="7">
        <v>24.7486262</v>
      </c>
      <c r="B10132" s="7">
        <v>34.884461700000003</v>
      </c>
      <c r="C10132" s="7">
        <v>690568.02</v>
      </c>
      <c r="D10132" s="7">
        <v>2738426.24</v>
      </c>
      <c r="E10132" s="7">
        <v>236.72</v>
      </c>
      <c r="F10132" s="7">
        <v>41974.54</v>
      </c>
      <c r="G10132" s="7">
        <v>84346</v>
      </c>
      <c r="H10132" s="7">
        <f t="shared" si="221"/>
        <v>41970.54</v>
      </c>
      <c r="I10132" s="16"/>
    </row>
    <row r="10133" spans="1:9" s="9" customFormat="1" ht="21" customHeight="1" x14ac:dyDescent="0.6">
      <c r="A10133" s="7">
        <v>24.748624899999999</v>
      </c>
      <c r="B10133" s="7">
        <v>34.884461399999999</v>
      </c>
      <c r="C10133" s="7">
        <v>690567.99</v>
      </c>
      <c r="D10133" s="7">
        <v>2738426.09</v>
      </c>
      <c r="E10133" s="7">
        <v>236.26</v>
      </c>
      <c r="F10133" s="7">
        <v>41976.03</v>
      </c>
      <c r="G10133" s="7">
        <v>84355</v>
      </c>
      <c r="H10133" s="7">
        <f t="shared" si="221"/>
        <v>41972.03</v>
      </c>
      <c r="I10133" s="16"/>
    </row>
    <row r="10134" spans="1:9" s="9" customFormat="1" ht="21" customHeight="1" x14ac:dyDescent="0.6">
      <c r="A10134" s="7">
        <v>24.747649599999999</v>
      </c>
      <c r="B10134" s="7">
        <v>34.883641900000001</v>
      </c>
      <c r="C10134" s="7">
        <v>690486.59</v>
      </c>
      <c r="D10134" s="7">
        <v>2738316.93</v>
      </c>
      <c r="E10134" s="7">
        <v>235.04</v>
      </c>
      <c r="F10134" s="7">
        <v>41940.43</v>
      </c>
      <c r="G10134" s="7">
        <v>84516</v>
      </c>
      <c r="H10134" s="7">
        <f t="shared" si="221"/>
        <v>41936.43</v>
      </c>
      <c r="I10134" s="16"/>
    </row>
    <row r="10135" spans="1:9" s="9" customFormat="1" ht="21" customHeight="1" x14ac:dyDescent="0.6">
      <c r="A10135" s="7">
        <v>24.747651699999999</v>
      </c>
      <c r="B10135" s="7">
        <v>34.883641699999998</v>
      </c>
      <c r="C10135" s="7">
        <v>690486.57</v>
      </c>
      <c r="D10135" s="7">
        <v>2738317.15</v>
      </c>
      <c r="E10135" s="7">
        <v>235.01</v>
      </c>
      <c r="F10135" s="7">
        <v>41944.08</v>
      </c>
      <c r="G10135" s="7">
        <v>84528</v>
      </c>
      <c r="H10135" s="7">
        <f t="shared" si="221"/>
        <v>41940.080000000002</v>
      </c>
      <c r="I10135" s="16"/>
    </row>
    <row r="10136" spans="1:9" s="9" customFormat="1" ht="21" customHeight="1" x14ac:dyDescent="0.6">
      <c r="A10136" s="7">
        <v>24.746720799999999</v>
      </c>
      <c r="B10136" s="7">
        <v>34.882378899999999</v>
      </c>
      <c r="C10136" s="7">
        <v>690360.25</v>
      </c>
      <c r="D10136" s="7">
        <v>2738212.29</v>
      </c>
      <c r="E10136" s="7">
        <v>239.94</v>
      </c>
      <c r="F10136" s="7">
        <v>41928.94</v>
      </c>
      <c r="G10136" s="7">
        <v>84701</v>
      </c>
      <c r="H10136" s="7">
        <f t="shared" si="221"/>
        <v>41924.94</v>
      </c>
      <c r="I10136" s="16"/>
    </row>
    <row r="10137" spans="1:9" s="9" customFormat="1" ht="21" customHeight="1" x14ac:dyDescent="0.6">
      <c r="A10137" s="7">
        <v>24.746722699999999</v>
      </c>
      <c r="B10137" s="7">
        <v>34.882378600000003</v>
      </c>
      <c r="C10137" s="7">
        <v>690360.22</v>
      </c>
      <c r="D10137" s="7">
        <v>2738212.5</v>
      </c>
      <c r="E10137" s="7">
        <v>240.27</v>
      </c>
      <c r="F10137" s="7">
        <v>41925.9</v>
      </c>
      <c r="G10137" s="7">
        <v>84710</v>
      </c>
      <c r="H10137" s="7">
        <f t="shared" si="221"/>
        <v>41921.9</v>
      </c>
      <c r="I10137" s="16"/>
    </row>
    <row r="10138" spans="1:9" s="9" customFormat="1" ht="21" customHeight="1" x14ac:dyDescent="0.6">
      <c r="A10138" s="7">
        <v>24.745066099999999</v>
      </c>
      <c r="B10138" s="7">
        <v>34.882730700000003</v>
      </c>
      <c r="C10138" s="7">
        <v>690398.36</v>
      </c>
      <c r="D10138" s="7">
        <v>2738029.5</v>
      </c>
      <c r="E10138" s="7">
        <v>245.53</v>
      </c>
      <c r="F10138" s="7">
        <v>41974.98</v>
      </c>
      <c r="G10138" s="7">
        <v>84937</v>
      </c>
      <c r="H10138" s="7">
        <f t="shared" si="221"/>
        <v>41970.98</v>
      </c>
      <c r="I10138" s="16"/>
    </row>
    <row r="10139" spans="1:9" s="9" customFormat="1" ht="21" customHeight="1" x14ac:dyDescent="0.6">
      <c r="A10139" s="7">
        <v>24.7450665</v>
      </c>
      <c r="B10139" s="7">
        <v>34.8827298</v>
      </c>
      <c r="C10139" s="7">
        <v>690398.26</v>
      </c>
      <c r="D10139" s="7">
        <v>2738029.54</v>
      </c>
      <c r="E10139" s="7">
        <v>245.58</v>
      </c>
      <c r="F10139" s="7">
        <v>41974.52</v>
      </c>
      <c r="G10139" s="7">
        <v>84946</v>
      </c>
      <c r="H10139" s="7">
        <f t="shared" si="221"/>
        <v>41970.52</v>
      </c>
      <c r="I10139" s="16"/>
    </row>
    <row r="10140" spans="1:9" s="9" customFormat="1" ht="21" customHeight="1" x14ac:dyDescent="0.6">
      <c r="A10140" s="7">
        <v>24.745066999999999</v>
      </c>
      <c r="B10140" s="7">
        <v>34.882729900000001</v>
      </c>
      <c r="C10140" s="7">
        <v>690398.28</v>
      </c>
      <c r="D10140" s="7">
        <v>2738029.59</v>
      </c>
      <c r="E10140" s="7">
        <v>245.73</v>
      </c>
      <c r="F10140" s="7">
        <v>41976.28</v>
      </c>
      <c r="G10140" s="7">
        <v>85001</v>
      </c>
      <c r="H10140" s="7">
        <f t="shared" si="221"/>
        <v>41972.28</v>
      </c>
      <c r="I10140" s="16"/>
    </row>
    <row r="10141" spans="1:9" s="9" customFormat="1" ht="21" customHeight="1" x14ac:dyDescent="0.6">
      <c r="A10141" s="7">
        <v>24.743446299999999</v>
      </c>
      <c r="B10141" s="7">
        <v>34.884989500000003</v>
      </c>
      <c r="C10141" s="7">
        <v>690629.31</v>
      </c>
      <c r="D10141" s="7">
        <v>2737853.23</v>
      </c>
      <c r="E10141" s="7">
        <v>249.86</v>
      </c>
      <c r="F10141" s="7">
        <v>41920.9</v>
      </c>
      <c r="G10141" s="7">
        <v>85255</v>
      </c>
      <c r="H10141" s="7">
        <f t="shared" si="221"/>
        <v>41916.9</v>
      </c>
      <c r="I10141" s="16"/>
    </row>
    <row r="10142" spans="1:9" s="9" customFormat="1" ht="21" customHeight="1" x14ac:dyDescent="0.6">
      <c r="A10142" s="7">
        <v>24.743446599999999</v>
      </c>
      <c r="B10142" s="7">
        <v>34.884989400000002</v>
      </c>
      <c r="C10142" s="7">
        <v>690629.31</v>
      </c>
      <c r="D10142" s="7">
        <v>2737853.26</v>
      </c>
      <c r="E10142" s="7">
        <v>249.86</v>
      </c>
      <c r="F10142" s="7">
        <v>41920.769999999997</v>
      </c>
      <c r="G10142" s="7">
        <v>85304</v>
      </c>
      <c r="H10142" s="7">
        <f t="shared" si="221"/>
        <v>41916.769999999997</v>
      </c>
      <c r="I10142" s="16"/>
    </row>
    <row r="10143" spans="1:9" s="9" customFormat="1" ht="21" customHeight="1" x14ac:dyDescent="0.6">
      <c r="A10143" s="7">
        <v>24.742253600000002</v>
      </c>
      <c r="B10143" s="7">
        <v>34.883921100000002</v>
      </c>
      <c r="C10143" s="7">
        <v>690523.06</v>
      </c>
      <c r="D10143" s="7">
        <v>2737719.64</v>
      </c>
      <c r="E10143" s="7">
        <v>249.35</v>
      </c>
      <c r="F10143" s="7">
        <v>41919.78</v>
      </c>
      <c r="G10143" s="7">
        <v>85434</v>
      </c>
      <c r="H10143" s="7">
        <f t="shared" si="221"/>
        <v>41915.78</v>
      </c>
      <c r="I10143" s="16"/>
    </row>
    <row r="10144" spans="1:9" s="9" customFormat="1" ht="21" customHeight="1" x14ac:dyDescent="0.6">
      <c r="A10144" s="7">
        <v>24.742254500000001</v>
      </c>
      <c r="B10144" s="7">
        <v>34.883920600000003</v>
      </c>
      <c r="C10144" s="7">
        <v>690523</v>
      </c>
      <c r="D10144" s="7">
        <v>2737719.73</v>
      </c>
      <c r="E10144" s="7">
        <v>249.28</v>
      </c>
      <c r="F10144" s="7">
        <v>41919.78</v>
      </c>
      <c r="G10144" s="7">
        <v>85443</v>
      </c>
      <c r="H10144" s="7">
        <f t="shared" si="221"/>
        <v>41915.78</v>
      </c>
      <c r="I10144" s="16"/>
    </row>
    <row r="10145" spans="1:9" s="9" customFormat="1" ht="21" customHeight="1" x14ac:dyDescent="0.6">
      <c r="A10145" s="7">
        <v>24.741409600000001</v>
      </c>
      <c r="B10145" s="7">
        <v>34.881767799999999</v>
      </c>
      <c r="C10145" s="7">
        <v>690306.52</v>
      </c>
      <c r="D10145" s="7">
        <v>2737623.15</v>
      </c>
      <c r="E10145" s="7">
        <v>253.31</v>
      </c>
      <c r="F10145" s="7">
        <v>41922.81</v>
      </c>
      <c r="G10145" s="7">
        <v>85616</v>
      </c>
      <c r="H10145" s="7">
        <f t="shared" si="221"/>
        <v>41918.81</v>
      </c>
      <c r="I10145" s="16"/>
    </row>
    <row r="10146" spans="1:9" s="9" customFormat="1" ht="21" customHeight="1" x14ac:dyDescent="0.6">
      <c r="A10146" s="7">
        <v>24.741409900000001</v>
      </c>
      <c r="B10146" s="7">
        <v>34.881767500000002</v>
      </c>
      <c r="C10146" s="7">
        <v>690306.5</v>
      </c>
      <c r="D10146" s="7">
        <v>2737623.18</v>
      </c>
      <c r="E10146" s="7">
        <v>253.46</v>
      </c>
      <c r="F10146" s="7">
        <v>41923.040000000001</v>
      </c>
      <c r="G10146" s="7">
        <v>85625</v>
      </c>
      <c r="H10146" s="7">
        <f t="shared" si="221"/>
        <v>41919.040000000001</v>
      </c>
      <c r="I10146" s="16"/>
    </row>
    <row r="10147" spans="1:9" s="9" customFormat="1" ht="21" customHeight="1" x14ac:dyDescent="0.6">
      <c r="A10147" s="7">
        <v>24.739349199999999</v>
      </c>
      <c r="B10147" s="7">
        <v>34.8802308</v>
      </c>
      <c r="C10147" s="7">
        <v>690154.19</v>
      </c>
      <c r="D10147" s="7">
        <v>2737392.79</v>
      </c>
      <c r="E10147" s="7">
        <v>256.11</v>
      </c>
      <c r="F10147" s="7">
        <v>41909.769999999997</v>
      </c>
      <c r="G10147" s="7">
        <v>85825</v>
      </c>
      <c r="H10147" s="7">
        <f t="shared" si="221"/>
        <v>41905.769999999997</v>
      </c>
      <c r="I10147" s="16"/>
    </row>
    <row r="10148" spans="1:9" s="9" customFormat="1" ht="21" customHeight="1" x14ac:dyDescent="0.6">
      <c r="A10148" s="7">
        <v>24.739352</v>
      </c>
      <c r="B10148" s="7">
        <v>34.880228700000004</v>
      </c>
      <c r="C10148" s="7">
        <v>690153.97</v>
      </c>
      <c r="D10148" s="7">
        <v>2737393.11</v>
      </c>
      <c r="E10148" s="7">
        <v>256.45</v>
      </c>
      <c r="F10148" s="7">
        <v>41907.58</v>
      </c>
      <c r="G10148" s="7">
        <v>85837</v>
      </c>
      <c r="H10148" s="7">
        <f t="shared" si="221"/>
        <v>41903.58</v>
      </c>
      <c r="I10148" s="16"/>
    </row>
    <row r="10149" spans="1:9" s="9" customFormat="1" ht="21" customHeight="1" x14ac:dyDescent="0.6">
      <c r="A10149" s="7">
        <v>24.737367299999999</v>
      </c>
      <c r="B10149" s="7">
        <v>34.880418499999998</v>
      </c>
      <c r="C10149" s="7">
        <v>690176.19</v>
      </c>
      <c r="D10149" s="7">
        <v>2737173.53</v>
      </c>
      <c r="E10149" s="7">
        <v>256.36</v>
      </c>
      <c r="F10149" s="7">
        <v>41893.019999999997</v>
      </c>
      <c r="G10149" s="7">
        <v>85958</v>
      </c>
      <c r="H10149" s="7">
        <f t="shared" si="221"/>
        <v>41889.019999999997</v>
      </c>
      <c r="I10149" s="16"/>
    </row>
    <row r="10150" spans="1:9" s="9" customFormat="1" ht="21" customHeight="1" x14ac:dyDescent="0.6">
      <c r="A10150" s="7">
        <v>24.737368700000001</v>
      </c>
      <c r="B10150" s="7">
        <v>34.880419199999999</v>
      </c>
      <c r="C10150" s="7">
        <v>690176.26</v>
      </c>
      <c r="D10150" s="7">
        <v>2737173.69</v>
      </c>
      <c r="E10150" s="7">
        <v>257.12</v>
      </c>
      <c r="F10150" s="7">
        <v>41893.18</v>
      </c>
      <c r="G10150" s="7">
        <v>90007</v>
      </c>
      <c r="H10150" s="7">
        <f t="shared" si="221"/>
        <v>41889.18</v>
      </c>
      <c r="I10150" s="16"/>
    </row>
    <row r="10151" spans="1:9" s="9" customFormat="1" ht="21" customHeight="1" x14ac:dyDescent="0.6">
      <c r="A10151" s="7">
        <v>24.735040999999999</v>
      </c>
      <c r="B10151" s="7">
        <v>34.880671</v>
      </c>
      <c r="C10151" s="7">
        <v>690205.27</v>
      </c>
      <c r="D10151" s="7">
        <v>2736916.22</v>
      </c>
      <c r="E10151" s="7">
        <v>257.33</v>
      </c>
      <c r="F10151" s="7">
        <v>41881.85</v>
      </c>
      <c r="G10151" s="7">
        <v>90155</v>
      </c>
      <c r="H10151" s="7">
        <f t="shared" si="221"/>
        <v>41877.85</v>
      </c>
      <c r="I10151" s="16"/>
    </row>
    <row r="10152" spans="1:9" s="9" customFormat="1" ht="21" customHeight="1" x14ac:dyDescent="0.6">
      <c r="A10152" s="7">
        <v>24.735035700000001</v>
      </c>
      <c r="B10152" s="7">
        <v>34.880670700000003</v>
      </c>
      <c r="C10152" s="7">
        <v>690205.25</v>
      </c>
      <c r="D10152" s="7">
        <v>2736915.63</v>
      </c>
      <c r="E10152" s="7">
        <v>257.60000000000002</v>
      </c>
      <c r="F10152" s="7">
        <v>41883.279999999999</v>
      </c>
      <c r="G10152" s="7">
        <v>90204</v>
      </c>
      <c r="H10152" s="7">
        <f t="shared" si="221"/>
        <v>41879.279999999999</v>
      </c>
      <c r="I10152" s="16"/>
    </row>
    <row r="10153" spans="1:9" s="9" customFormat="1" ht="21" customHeight="1" x14ac:dyDescent="0.6">
      <c r="A10153" s="7">
        <v>24.732897900000001</v>
      </c>
      <c r="B10153" s="7">
        <v>34.879992100000003</v>
      </c>
      <c r="C10153" s="7">
        <v>690139.86</v>
      </c>
      <c r="D10153" s="7">
        <v>2736677.89</v>
      </c>
      <c r="E10153" s="7">
        <v>259.86</v>
      </c>
      <c r="F10153" s="7">
        <v>41883.089999999997</v>
      </c>
      <c r="G10153" s="7">
        <v>90340</v>
      </c>
      <c r="H10153" s="7">
        <f t="shared" si="221"/>
        <v>41879.089999999997</v>
      </c>
      <c r="I10153" s="16"/>
    </row>
    <row r="10154" spans="1:9" s="9" customFormat="1" ht="21" customHeight="1" x14ac:dyDescent="0.6">
      <c r="A10154" s="7">
        <v>24.732903</v>
      </c>
      <c r="B10154" s="7">
        <v>34.879992299999998</v>
      </c>
      <c r="C10154" s="7">
        <v>690139.87</v>
      </c>
      <c r="D10154" s="7">
        <v>2736678.45</v>
      </c>
      <c r="E10154" s="7">
        <v>261.08999999999997</v>
      </c>
      <c r="F10154" s="7">
        <v>41883.040000000001</v>
      </c>
      <c r="G10154" s="7">
        <v>90352</v>
      </c>
      <c r="H10154" s="7">
        <f t="shared" si="221"/>
        <v>41879.040000000001</v>
      </c>
      <c r="I10154" s="16"/>
    </row>
    <row r="10155" spans="1:9" s="9" customFormat="1" ht="21" customHeight="1" x14ac:dyDescent="0.6">
      <c r="A10155" s="7">
        <v>24.730869599999998</v>
      </c>
      <c r="B10155" s="7">
        <v>34.880160600000004</v>
      </c>
      <c r="C10155" s="7">
        <v>690159.99</v>
      </c>
      <c r="D10155" s="7">
        <v>2736453.46</v>
      </c>
      <c r="E10155" s="7">
        <v>262.45</v>
      </c>
      <c r="F10155" s="7">
        <v>41874.769999999997</v>
      </c>
      <c r="G10155" s="7">
        <v>90516</v>
      </c>
      <c r="H10155" s="7">
        <f t="shared" si="221"/>
        <v>41870.769999999997</v>
      </c>
      <c r="I10155" s="16"/>
    </row>
    <row r="10156" spans="1:9" s="9" customFormat="1" ht="21" customHeight="1" x14ac:dyDescent="0.6">
      <c r="A10156" s="7">
        <v>24.730870800000002</v>
      </c>
      <c r="B10156" s="7">
        <v>34.880159399999997</v>
      </c>
      <c r="C10156" s="7">
        <v>690159.86</v>
      </c>
      <c r="D10156" s="7">
        <v>2736453.6</v>
      </c>
      <c r="E10156" s="7">
        <v>262.89999999999998</v>
      </c>
      <c r="F10156" s="7">
        <v>41875.11</v>
      </c>
      <c r="G10156" s="7">
        <v>90525</v>
      </c>
      <c r="H10156" s="7">
        <f t="shared" si="221"/>
        <v>41871.11</v>
      </c>
      <c r="I10156" s="16"/>
    </row>
    <row r="10157" spans="1:9" s="9" customFormat="1" ht="21" customHeight="1" x14ac:dyDescent="0.6">
      <c r="A10157" s="7">
        <v>24.7277974</v>
      </c>
      <c r="B10157" s="7">
        <v>34.879097399999999</v>
      </c>
      <c r="C10157" s="7">
        <v>690057.1</v>
      </c>
      <c r="D10157" s="7">
        <v>2736111.7</v>
      </c>
      <c r="E10157" s="7">
        <v>267.13</v>
      </c>
      <c r="F10157" s="7">
        <v>41866.449999999997</v>
      </c>
      <c r="G10157" s="7">
        <v>90737</v>
      </c>
      <c r="H10157" s="7">
        <f t="shared" si="221"/>
        <v>41862.449999999997</v>
      </c>
      <c r="I10157" s="16"/>
    </row>
    <row r="10158" spans="1:9" s="9" customFormat="1" ht="21" customHeight="1" x14ac:dyDescent="0.6">
      <c r="A10158" s="7">
        <v>24.7276718</v>
      </c>
      <c r="B10158" s="7">
        <v>34.879133099999997</v>
      </c>
      <c r="C10158" s="7">
        <v>690060.91</v>
      </c>
      <c r="D10158" s="7">
        <v>2736097.84</v>
      </c>
      <c r="E10158" s="7">
        <v>268.83999999999997</v>
      </c>
      <c r="F10158" s="7">
        <v>41867.160000000003</v>
      </c>
      <c r="G10158" s="7">
        <v>90801</v>
      </c>
      <c r="H10158" s="7">
        <f t="shared" si="221"/>
        <v>41863.160000000003</v>
      </c>
      <c r="I10158" s="16"/>
    </row>
    <row r="10159" spans="1:9" s="9" customFormat="1" ht="21" customHeight="1" x14ac:dyDescent="0.6">
      <c r="A10159" s="7">
        <v>24.729099699999999</v>
      </c>
      <c r="B10159" s="7">
        <v>34.877762199999999</v>
      </c>
      <c r="C10159" s="7">
        <v>689920.05</v>
      </c>
      <c r="D10159" s="7">
        <v>2736254.09</v>
      </c>
      <c r="E10159" s="7">
        <v>271.99</v>
      </c>
      <c r="F10159" s="7">
        <v>41876.82</v>
      </c>
      <c r="G10159" s="7">
        <v>91001</v>
      </c>
      <c r="H10159" s="7">
        <f t="shared" si="221"/>
        <v>41872.82</v>
      </c>
      <c r="I10159" s="16"/>
    </row>
    <row r="10160" spans="1:9" s="9" customFormat="1" ht="21" customHeight="1" x14ac:dyDescent="0.6">
      <c r="A10160" s="7">
        <v>24.729099699999999</v>
      </c>
      <c r="B10160" s="7">
        <v>34.877763299999998</v>
      </c>
      <c r="C10160" s="7">
        <v>689920.16</v>
      </c>
      <c r="D10160" s="7">
        <v>2736254.1</v>
      </c>
      <c r="E10160" s="7">
        <v>271.89</v>
      </c>
      <c r="F10160" s="7">
        <v>41878.230000000003</v>
      </c>
      <c r="G10160" s="7">
        <v>91010</v>
      </c>
      <c r="H10160" s="7">
        <f t="shared" si="221"/>
        <v>41874.230000000003</v>
      </c>
      <c r="I10160" s="16"/>
    </row>
    <row r="10161" spans="1:9" s="9" customFormat="1" ht="21" customHeight="1" x14ac:dyDescent="0.6">
      <c r="A10161" s="7">
        <v>24.728244499999999</v>
      </c>
      <c r="B10161" s="7">
        <v>34.875569400000003</v>
      </c>
      <c r="C10161" s="7">
        <v>689699.51</v>
      </c>
      <c r="D10161" s="7">
        <v>2736156.33</v>
      </c>
      <c r="E10161" s="7">
        <v>269.64</v>
      </c>
      <c r="F10161" s="7">
        <v>41876.9</v>
      </c>
      <c r="G10161" s="7">
        <v>91143</v>
      </c>
      <c r="H10161" s="7">
        <f t="shared" si="221"/>
        <v>41872.9</v>
      </c>
      <c r="I10161" s="16"/>
    </row>
    <row r="10162" spans="1:9" s="9" customFormat="1" ht="21" customHeight="1" x14ac:dyDescent="0.6">
      <c r="A10162" s="7">
        <v>24.7282385</v>
      </c>
      <c r="B10162" s="7">
        <v>34.875568999999999</v>
      </c>
      <c r="C10162" s="7">
        <v>689699.47</v>
      </c>
      <c r="D10162" s="7">
        <v>2736155.67</v>
      </c>
      <c r="E10162" s="7">
        <v>268.64</v>
      </c>
      <c r="F10162" s="7">
        <v>41877.56</v>
      </c>
      <c r="G10162" s="7">
        <v>91155</v>
      </c>
      <c r="H10162" s="7">
        <f t="shared" si="221"/>
        <v>41873.56</v>
      </c>
      <c r="I10162" s="16"/>
    </row>
    <row r="10163" spans="1:9" s="9" customFormat="1" ht="21" customHeight="1" x14ac:dyDescent="0.6">
      <c r="A10163" s="7">
        <v>24.727275299999999</v>
      </c>
      <c r="B10163" s="7">
        <v>34.873831000000003</v>
      </c>
      <c r="C10163" s="7">
        <v>689525.11</v>
      </c>
      <c r="D10163" s="7">
        <v>2736046.57</v>
      </c>
      <c r="E10163" s="7">
        <v>269.79000000000002</v>
      </c>
      <c r="F10163" s="7">
        <v>41873.53</v>
      </c>
      <c r="G10163" s="7">
        <v>91458</v>
      </c>
      <c r="H10163" s="7">
        <f t="shared" si="221"/>
        <v>41869.53</v>
      </c>
      <c r="I10163" s="16"/>
    </row>
    <row r="10164" spans="1:9" s="9" customFormat="1" ht="21" customHeight="1" x14ac:dyDescent="0.6">
      <c r="A10164" s="7">
        <v>24.727276100000001</v>
      </c>
      <c r="B10164" s="7">
        <v>34.873832200000003</v>
      </c>
      <c r="C10164" s="7">
        <v>689525.23</v>
      </c>
      <c r="D10164" s="7">
        <v>2736046.66</v>
      </c>
      <c r="E10164" s="7">
        <v>269.95</v>
      </c>
      <c r="F10164" s="7">
        <v>41874.519999999997</v>
      </c>
      <c r="G10164" s="7">
        <v>91507</v>
      </c>
      <c r="H10164" s="7">
        <f t="shared" si="221"/>
        <v>41870.519999999997</v>
      </c>
      <c r="I10164" s="16"/>
    </row>
    <row r="10165" spans="1:9" s="9" customFormat="1" ht="21" customHeight="1" x14ac:dyDescent="0.6">
      <c r="A10165" s="7">
        <v>24.726495400000001</v>
      </c>
      <c r="B10165" s="7">
        <v>34.872077400000002</v>
      </c>
      <c r="C10165" s="7">
        <v>689348.88</v>
      </c>
      <c r="D10165" s="7">
        <v>2735957.76</v>
      </c>
      <c r="E10165" s="7">
        <v>272.25</v>
      </c>
      <c r="F10165" s="7">
        <v>41869.980000000003</v>
      </c>
      <c r="G10165" s="7">
        <v>91625</v>
      </c>
      <c r="H10165" s="7">
        <f t="shared" si="221"/>
        <v>41865.980000000003</v>
      </c>
      <c r="I10165" s="16"/>
    </row>
    <row r="10166" spans="1:9" s="9" customFormat="1" ht="21" customHeight="1" x14ac:dyDescent="0.6">
      <c r="A10166" s="7">
        <v>24.726496999999998</v>
      </c>
      <c r="B10166" s="7">
        <v>34.872071300000002</v>
      </c>
      <c r="C10166" s="7">
        <v>689348.26</v>
      </c>
      <c r="D10166" s="7">
        <v>2735957.93</v>
      </c>
      <c r="E10166" s="7">
        <v>272.17</v>
      </c>
      <c r="F10166" s="7">
        <v>41868.99</v>
      </c>
      <c r="G10166" s="7">
        <v>91634</v>
      </c>
      <c r="H10166" s="7">
        <f t="shared" si="221"/>
        <v>41864.99</v>
      </c>
      <c r="I10166" s="16"/>
    </row>
    <row r="10167" spans="1:9" s="9" customFormat="1" ht="21" customHeight="1" x14ac:dyDescent="0.6">
      <c r="A10167" s="7">
        <v>24.7251303</v>
      </c>
      <c r="B10167" s="7">
        <v>34.870127400000001</v>
      </c>
      <c r="C10167" s="7">
        <v>689153.67</v>
      </c>
      <c r="D10167" s="7">
        <v>2735803.86</v>
      </c>
      <c r="E10167" s="7">
        <v>274.31</v>
      </c>
      <c r="F10167" s="7">
        <v>41856.35</v>
      </c>
      <c r="G10167" s="7">
        <v>91804</v>
      </c>
      <c r="H10167" s="7">
        <f t="shared" si="221"/>
        <v>41852.35</v>
      </c>
      <c r="I10167" s="16"/>
    </row>
    <row r="10168" spans="1:9" s="9" customFormat="1" ht="21" customHeight="1" x14ac:dyDescent="0.6">
      <c r="A10168" s="7">
        <v>24.7251294</v>
      </c>
      <c r="B10168" s="7">
        <v>34.870130500000002</v>
      </c>
      <c r="C10168" s="7">
        <v>689153.99</v>
      </c>
      <c r="D10168" s="7">
        <v>2735803.77</v>
      </c>
      <c r="E10168" s="7">
        <v>274.77</v>
      </c>
      <c r="F10168" s="7">
        <v>41866.879999999997</v>
      </c>
      <c r="G10168" s="7">
        <v>91816</v>
      </c>
      <c r="H10168" s="7">
        <f t="shared" ref="H10168:H10231" si="222">SUM(F10168-4)</f>
        <v>41862.879999999997</v>
      </c>
      <c r="I10168" s="16"/>
    </row>
    <row r="10169" spans="1:9" s="9" customFormat="1" ht="21" customHeight="1" x14ac:dyDescent="0.6">
      <c r="A10169" s="7">
        <v>24.723877999999999</v>
      </c>
      <c r="B10169" s="7">
        <v>34.867675400000003</v>
      </c>
      <c r="C10169" s="7">
        <v>688907.5</v>
      </c>
      <c r="D10169" s="7">
        <v>2735661.77</v>
      </c>
      <c r="E10169" s="7">
        <v>276.24</v>
      </c>
      <c r="F10169" s="7">
        <v>41860.629999999997</v>
      </c>
      <c r="G10169" s="7">
        <v>92025</v>
      </c>
      <c r="H10169" s="7">
        <f t="shared" si="222"/>
        <v>41856.629999999997</v>
      </c>
      <c r="I10169" s="16"/>
    </row>
    <row r="10170" spans="1:9" s="9" customFormat="1" ht="21" customHeight="1" x14ac:dyDescent="0.6">
      <c r="A10170" s="7">
        <v>24.723878200000001</v>
      </c>
      <c r="B10170" s="7">
        <v>34.867675699999999</v>
      </c>
      <c r="C10170" s="7">
        <v>688907.53</v>
      </c>
      <c r="D10170" s="7">
        <v>2735661.79</v>
      </c>
      <c r="E10170" s="7">
        <v>276.16000000000003</v>
      </c>
      <c r="F10170" s="7">
        <v>41859.620000000003</v>
      </c>
      <c r="G10170" s="7">
        <v>92043</v>
      </c>
      <c r="H10170" s="7">
        <f t="shared" si="222"/>
        <v>41855.620000000003</v>
      </c>
      <c r="I10170" s="16"/>
    </row>
    <row r="10171" spans="1:9" s="9" customFormat="1" ht="21" customHeight="1" x14ac:dyDescent="0.6">
      <c r="A10171" s="7">
        <v>24.7234695</v>
      </c>
      <c r="B10171" s="7">
        <v>34.864585499999997</v>
      </c>
      <c r="C10171" s="7">
        <v>688595.51</v>
      </c>
      <c r="D10171" s="7">
        <v>2735612.26</v>
      </c>
      <c r="E10171" s="7">
        <v>279</v>
      </c>
      <c r="F10171" s="7">
        <v>41863.46</v>
      </c>
      <c r="G10171" s="7">
        <v>92237</v>
      </c>
      <c r="H10171" s="7">
        <f t="shared" si="222"/>
        <v>41859.46</v>
      </c>
      <c r="I10171" s="16"/>
    </row>
    <row r="10172" spans="1:9" s="9" customFormat="1" ht="21" customHeight="1" x14ac:dyDescent="0.6">
      <c r="A10172" s="7">
        <v>24.7234704</v>
      </c>
      <c r="B10172" s="7">
        <v>34.864585499999997</v>
      </c>
      <c r="C10172" s="7">
        <v>688595.51</v>
      </c>
      <c r="D10172" s="7">
        <v>2735612.36</v>
      </c>
      <c r="E10172" s="7">
        <v>279.10000000000002</v>
      </c>
      <c r="F10172" s="7">
        <v>41864.639999999999</v>
      </c>
      <c r="G10172" s="7">
        <v>92249</v>
      </c>
      <c r="H10172" s="7">
        <f t="shared" si="222"/>
        <v>41860.639999999999</v>
      </c>
      <c r="I10172" s="16"/>
    </row>
    <row r="10173" spans="1:9" s="9" customFormat="1" ht="21" customHeight="1" x14ac:dyDescent="0.6">
      <c r="A10173" s="7">
        <v>24.722707199999999</v>
      </c>
      <c r="B10173" s="7">
        <v>34.862201599999999</v>
      </c>
      <c r="C10173" s="7">
        <v>688355.48</v>
      </c>
      <c r="D10173" s="7">
        <v>2735524.54</v>
      </c>
      <c r="E10173" s="7">
        <v>281.97000000000003</v>
      </c>
      <c r="F10173" s="7">
        <v>41855.46</v>
      </c>
      <c r="G10173" s="7">
        <v>92428</v>
      </c>
      <c r="H10173" s="7">
        <f t="shared" si="222"/>
        <v>41851.46</v>
      </c>
      <c r="I10173" s="16"/>
    </row>
    <row r="10174" spans="1:9" s="9" customFormat="1" ht="21" customHeight="1" x14ac:dyDescent="0.6">
      <c r="A10174" s="7">
        <v>24.722707499999999</v>
      </c>
      <c r="B10174" s="7">
        <v>34.8622011</v>
      </c>
      <c r="C10174" s="7">
        <v>688355.44</v>
      </c>
      <c r="D10174" s="7">
        <v>2735524.58</v>
      </c>
      <c r="E10174" s="7">
        <v>281.94</v>
      </c>
      <c r="F10174" s="7">
        <v>41855.72</v>
      </c>
      <c r="G10174" s="7">
        <v>92437</v>
      </c>
      <c r="H10174" s="7">
        <f t="shared" si="222"/>
        <v>41851.72</v>
      </c>
      <c r="I10174" s="16"/>
    </row>
    <row r="10175" spans="1:9" s="9" customFormat="1" ht="21" customHeight="1" x14ac:dyDescent="0.6">
      <c r="A10175" s="7">
        <v>24.7220379</v>
      </c>
      <c r="B10175" s="7">
        <v>34.859598699999999</v>
      </c>
      <c r="C10175" s="7">
        <v>688093.15</v>
      </c>
      <c r="D10175" s="7">
        <v>2735446.83</v>
      </c>
      <c r="E10175" s="7">
        <v>284.62</v>
      </c>
      <c r="F10175" s="7">
        <v>41854.69</v>
      </c>
      <c r="G10175" s="7">
        <v>92616</v>
      </c>
      <c r="H10175" s="7">
        <f t="shared" si="222"/>
        <v>41850.69</v>
      </c>
      <c r="I10175" s="16"/>
    </row>
    <row r="10176" spans="1:9" s="9" customFormat="1" ht="21" customHeight="1" x14ac:dyDescent="0.6">
      <c r="A10176" s="7">
        <v>24.7220382</v>
      </c>
      <c r="B10176" s="7">
        <v>34.859598599999998</v>
      </c>
      <c r="C10176" s="7">
        <v>688093.15</v>
      </c>
      <c r="D10176" s="7">
        <v>2735446.87</v>
      </c>
      <c r="E10176" s="7">
        <v>284.66000000000003</v>
      </c>
      <c r="F10176" s="7">
        <v>41861.32</v>
      </c>
      <c r="G10176" s="7">
        <v>92625</v>
      </c>
      <c r="H10176" s="7">
        <f t="shared" si="222"/>
        <v>41857.32</v>
      </c>
      <c r="I10176" s="16"/>
    </row>
    <row r="10177" spans="1:9" s="9" customFormat="1" ht="21" customHeight="1" x14ac:dyDescent="0.6">
      <c r="A10177" s="7">
        <v>24.722695099999999</v>
      </c>
      <c r="B10177" s="7">
        <v>34.857568700000002</v>
      </c>
      <c r="C10177" s="7">
        <v>687886.79</v>
      </c>
      <c r="D10177" s="7">
        <v>2735516.84</v>
      </c>
      <c r="E10177" s="7">
        <v>290.04000000000002</v>
      </c>
      <c r="F10177" s="7">
        <v>41858.959999999999</v>
      </c>
      <c r="G10177" s="7">
        <v>92807</v>
      </c>
      <c r="H10177" s="7">
        <f t="shared" si="222"/>
        <v>41854.959999999999</v>
      </c>
      <c r="I10177" s="16"/>
    </row>
    <row r="10178" spans="1:9" s="9" customFormat="1" ht="21" customHeight="1" x14ac:dyDescent="0.6">
      <c r="A10178" s="7">
        <v>24.722694400000002</v>
      </c>
      <c r="B10178" s="7">
        <v>34.857568700000002</v>
      </c>
      <c r="C10178" s="7">
        <v>687886.8</v>
      </c>
      <c r="D10178" s="7">
        <v>2735516.76</v>
      </c>
      <c r="E10178" s="7">
        <v>290.11</v>
      </c>
      <c r="F10178" s="7">
        <v>41859.370000000003</v>
      </c>
      <c r="G10178" s="7">
        <v>92816</v>
      </c>
      <c r="H10178" s="7">
        <f t="shared" si="222"/>
        <v>41855.370000000003</v>
      </c>
      <c r="I10178" s="16"/>
    </row>
    <row r="10179" spans="1:9" s="9" customFormat="1" ht="21" customHeight="1" x14ac:dyDescent="0.6">
      <c r="A10179" s="7">
        <v>24.722361899999999</v>
      </c>
      <c r="B10179" s="7">
        <v>34.855718000000003</v>
      </c>
      <c r="C10179" s="7">
        <v>687700.05</v>
      </c>
      <c r="D10179" s="7">
        <v>2735477.39</v>
      </c>
      <c r="E10179" s="7">
        <v>292.8</v>
      </c>
      <c r="F10179" s="7">
        <v>41859.31</v>
      </c>
      <c r="G10179" s="7">
        <v>92946</v>
      </c>
      <c r="H10179" s="7">
        <f t="shared" si="222"/>
        <v>41855.31</v>
      </c>
      <c r="I10179" s="16"/>
    </row>
    <row r="10180" spans="1:9" s="9" customFormat="1" ht="21" customHeight="1" x14ac:dyDescent="0.6">
      <c r="A10180" s="7">
        <v>24.722362499999999</v>
      </c>
      <c r="B10180" s="7">
        <v>34.855718000000003</v>
      </c>
      <c r="C10180" s="7">
        <v>687700.06</v>
      </c>
      <c r="D10180" s="7">
        <v>2735477.46</v>
      </c>
      <c r="E10180" s="7">
        <v>292.76</v>
      </c>
      <c r="F10180" s="7">
        <v>41858.15</v>
      </c>
      <c r="G10180" s="7">
        <v>92955</v>
      </c>
      <c r="H10180" s="7">
        <f t="shared" si="222"/>
        <v>41854.15</v>
      </c>
      <c r="I10180" s="16"/>
    </row>
    <row r="10181" spans="1:9" s="9" customFormat="1" ht="21" customHeight="1" x14ac:dyDescent="0.6">
      <c r="A10181" s="7">
        <v>24.722986599999999</v>
      </c>
      <c r="B10181" s="7">
        <v>34.8529725</v>
      </c>
      <c r="C10181" s="7">
        <v>687421.36</v>
      </c>
      <c r="D10181" s="7">
        <v>2735542.82</v>
      </c>
      <c r="E10181" s="7">
        <v>296.87</v>
      </c>
      <c r="F10181" s="7">
        <v>41860.39</v>
      </c>
      <c r="G10181" s="7">
        <v>93152</v>
      </c>
      <c r="H10181" s="7">
        <f t="shared" si="222"/>
        <v>41856.39</v>
      </c>
      <c r="I10181" s="16"/>
    </row>
    <row r="10182" spans="1:9" s="9" customFormat="1" ht="21" customHeight="1" x14ac:dyDescent="0.6">
      <c r="A10182" s="7">
        <v>24.7229867</v>
      </c>
      <c r="B10182" s="7">
        <v>34.852972700000002</v>
      </c>
      <c r="C10182" s="7">
        <v>687421.37</v>
      </c>
      <c r="D10182" s="7">
        <v>2735542.84</v>
      </c>
      <c r="E10182" s="7">
        <v>296.91000000000003</v>
      </c>
      <c r="F10182" s="7">
        <v>41868.1</v>
      </c>
      <c r="G10182" s="7">
        <v>93158</v>
      </c>
      <c r="H10182" s="7">
        <f t="shared" si="222"/>
        <v>41864.1</v>
      </c>
      <c r="I10182" s="16"/>
    </row>
    <row r="10183" spans="1:9" s="9" customFormat="1" ht="21" customHeight="1" x14ac:dyDescent="0.6">
      <c r="A10183" s="7">
        <v>24.722189700000001</v>
      </c>
      <c r="B10183" s="7">
        <v>34.851063199999999</v>
      </c>
      <c r="C10183" s="7">
        <v>687229.39</v>
      </c>
      <c r="D10183" s="7">
        <v>2735451.95</v>
      </c>
      <c r="E10183" s="7">
        <v>299.27</v>
      </c>
      <c r="F10183" s="7">
        <v>41857.199999999997</v>
      </c>
      <c r="G10183" s="7">
        <v>93331</v>
      </c>
      <c r="H10183" s="7">
        <f t="shared" si="222"/>
        <v>41853.199999999997</v>
      </c>
      <c r="I10183" s="16"/>
    </row>
    <row r="10184" spans="1:9" s="9" customFormat="1" ht="21" customHeight="1" x14ac:dyDescent="0.6">
      <c r="A10184" s="7">
        <v>24.7221905</v>
      </c>
      <c r="B10184" s="7">
        <v>34.851061700000002</v>
      </c>
      <c r="C10184" s="7">
        <v>687229.23</v>
      </c>
      <c r="D10184" s="7">
        <v>2735452.04</v>
      </c>
      <c r="E10184" s="7">
        <v>299.36</v>
      </c>
      <c r="F10184" s="7">
        <v>41858.18</v>
      </c>
      <c r="G10184" s="7">
        <v>93343</v>
      </c>
      <c r="H10184" s="7">
        <f t="shared" si="222"/>
        <v>41854.18</v>
      </c>
      <c r="I10184" s="16"/>
    </row>
    <row r="10185" spans="1:9" s="9" customFormat="1" ht="21" customHeight="1" x14ac:dyDescent="0.6">
      <c r="A10185" s="7">
        <v>24.720421300000002</v>
      </c>
      <c r="B10185" s="7">
        <v>34.849850500000002</v>
      </c>
      <c r="C10185" s="7">
        <v>687109.34</v>
      </c>
      <c r="D10185" s="7">
        <v>2735254.42</v>
      </c>
      <c r="E10185" s="7">
        <v>302.02</v>
      </c>
      <c r="F10185" s="7">
        <v>41858.49</v>
      </c>
      <c r="G10185" s="7">
        <v>93501</v>
      </c>
      <c r="H10185" s="7">
        <f t="shared" si="222"/>
        <v>41854.49</v>
      </c>
      <c r="I10185" s="16"/>
    </row>
    <row r="10186" spans="1:9" s="9" customFormat="1" ht="21" customHeight="1" x14ac:dyDescent="0.6">
      <c r="A10186" s="7">
        <v>24.720417699999999</v>
      </c>
      <c r="B10186" s="7">
        <v>34.849848899999998</v>
      </c>
      <c r="C10186" s="7">
        <v>687109.19</v>
      </c>
      <c r="D10186" s="7">
        <v>2735254.02</v>
      </c>
      <c r="E10186" s="7">
        <v>301.95999999999998</v>
      </c>
      <c r="F10186" s="7">
        <v>41844.879999999997</v>
      </c>
      <c r="G10186" s="7">
        <v>93516</v>
      </c>
      <c r="H10186" s="7">
        <f t="shared" si="222"/>
        <v>41840.879999999997</v>
      </c>
      <c r="I10186" s="16"/>
    </row>
    <row r="10187" spans="1:9" s="9" customFormat="1" ht="21" customHeight="1" x14ac:dyDescent="0.6">
      <c r="A10187" s="7">
        <v>24.720388100000001</v>
      </c>
      <c r="B10187" s="7">
        <v>34.847988200000003</v>
      </c>
      <c r="C10187" s="7">
        <v>686920.98</v>
      </c>
      <c r="D10187" s="7">
        <v>2735248.2</v>
      </c>
      <c r="E10187" s="7">
        <v>304.8</v>
      </c>
      <c r="F10187" s="7">
        <v>41851.800000000003</v>
      </c>
      <c r="G10187" s="7">
        <v>93640</v>
      </c>
      <c r="H10187" s="7">
        <f t="shared" si="222"/>
        <v>41847.800000000003</v>
      </c>
      <c r="I10187" s="16"/>
    </row>
    <row r="10188" spans="1:9" s="9" customFormat="1" ht="21" customHeight="1" x14ac:dyDescent="0.6">
      <c r="A10188" s="7">
        <v>24.720388499999999</v>
      </c>
      <c r="B10188" s="7">
        <v>34.847988800000003</v>
      </c>
      <c r="C10188" s="7">
        <v>686921.05</v>
      </c>
      <c r="D10188" s="7">
        <v>2735248.24</v>
      </c>
      <c r="E10188" s="7">
        <v>304.91000000000003</v>
      </c>
      <c r="F10188" s="7">
        <v>41851.19</v>
      </c>
      <c r="G10188" s="7">
        <v>93649</v>
      </c>
      <c r="H10188" s="7">
        <f t="shared" si="222"/>
        <v>41847.19</v>
      </c>
      <c r="I10188" s="16"/>
    </row>
    <row r="10189" spans="1:9" s="9" customFormat="1" ht="21" customHeight="1" x14ac:dyDescent="0.6">
      <c r="A10189" s="7">
        <v>24.721553499999999</v>
      </c>
      <c r="B10189" s="7">
        <v>34.846446800000002</v>
      </c>
      <c r="C10189" s="7">
        <v>686763.3</v>
      </c>
      <c r="D10189" s="7">
        <v>2735375.18</v>
      </c>
      <c r="E10189" s="7">
        <v>309.51</v>
      </c>
      <c r="F10189" s="7">
        <v>41854.89</v>
      </c>
      <c r="G10189" s="7">
        <v>93807</v>
      </c>
      <c r="H10189" s="7">
        <f t="shared" si="222"/>
        <v>41850.89</v>
      </c>
      <c r="I10189" s="16"/>
    </row>
    <row r="10190" spans="1:9" s="9" customFormat="1" ht="21" customHeight="1" x14ac:dyDescent="0.6">
      <c r="A10190" s="7">
        <v>24.7215533</v>
      </c>
      <c r="B10190" s="7">
        <v>34.846446700000001</v>
      </c>
      <c r="C10190" s="7">
        <v>686763.29</v>
      </c>
      <c r="D10190" s="7">
        <v>2735375.16</v>
      </c>
      <c r="E10190" s="7">
        <v>309.81</v>
      </c>
      <c r="F10190" s="7">
        <v>41855.78</v>
      </c>
      <c r="G10190" s="7">
        <v>93816</v>
      </c>
      <c r="H10190" s="7">
        <f t="shared" si="222"/>
        <v>41851.78</v>
      </c>
      <c r="I10190" s="16"/>
    </row>
    <row r="10191" spans="1:9" s="9" customFormat="1" ht="21" customHeight="1" x14ac:dyDescent="0.6">
      <c r="A10191" s="7">
        <v>24.7212329</v>
      </c>
      <c r="B10191" s="7">
        <v>34.844794399999998</v>
      </c>
      <c r="C10191" s="7">
        <v>686596.6</v>
      </c>
      <c r="D10191" s="7">
        <v>2735337.41</v>
      </c>
      <c r="E10191" s="7">
        <v>312.74</v>
      </c>
      <c r="F10191" s="7">
        <v>41852.69</v>
      </c>
      <c r="G10191" s="7">
        <v>93946</v>
      </c>
      <c r="H10191" s="7">
        <f t="shared" si="222"/>
        <v>41848.69</v>
      </c>
      <c r="I10191" s="16"/>
    </row>
    <row r="10192" spans="1:9" s="9" customFormat="1" ht="21" customHeight="1" x14ac:dyDescent="0.6">
      <c r="A10192" s="7">
        <v>24.721233399999999</v>
      </c>
      <c r="B10192" s="7">
        <v>34.844796799999997</v>
      </c>
      <c r="C10192" s="7">
        <v>686596.85</v>
      </c>
      <c r="D10192" s="7">
        <v>2735337.47</v>
      </c>
      <c r="E10192" s="7">
        <v>312.8</v>
      </c>
      <c r="F10192" s="7">
        <v>41853.589999999997</v>
      </c>
      <c r="G10192" s="7">
        <v>93955</v>
      </c>
      <c r="H10192" s="7">
        <f t="shared" si="222"/>
        <v>41849.589999999997</v>
      </c>
      <c r="I10192" s="16"/>
    </row>
    <row r="10193" spans="1:9" s="9" customFormat="1" ht="21" customHeight="1" x14ac:dyDescent="0.6">
      <c r="A10193" s="7">
        <v>24.7221057</v>
      </c>
      <c r="B10193" s="7">
        <v>34.843876700000003</v>
      </c>
      <c r="C10193" s="7">
        <v>686502.46</v>
      </c>
      <c r="D10193" s="7">
        <v>2735432.83</v>
      </c>
      <c r="E10193" s="7">
        <v>314.43</v>
      </c>
      <c r="F10193" s="7">
        <v>41862.68</v>
      </c>
      <c r="G10193" s="7">
        <v>94101</v>
      </c>
      <c r="H10193" s="7">
        <f t="shared" si="222"/>
        <v>41858.68</v>
      </c>
      <c r="I10193" s="16"/>
    </row>
    <row r="10194" spans="1:9" s="9" customFormat="1" ht="21" customHeight="1" x14ac:dyDescent="0.6">
      <c r="A10194" s="7">
        <v>24.722106</v>
      </c>
      <c r="B10194" s="7">
        <v>34.843877300000003</v>
      </c>
      <c r="C10194" s="7">
        <v>686502.52</v>
      </c>
      <c r="D10194" s="7">
        <v>2735432.87</v>
      </c>
      <c r="E10194" s="7">
        <v>314.45</v>
      </c>
      <c r="F10194" s="7">
        <v>41863.440000000002</v>
      </c>
      <c r="G10194" s="7">
        <v>94110</v>
      </c>
      <c r="H10194" s="7">
        <f t="shared" si="222"/>
        <v>41859.440000000002</v>
      </c>
      <c r="I10194" s="16"/>
    </row>
    <row r="10195" spans="1:9" s="9" customFormat="1" ht="21" customHeight="1" x14ac:dyDescent="0.6">
      <c r="A10195" s="7">
        <v>24.722657900000002</v>
      </c>
      <c r="B10195" s="7">
        <v>34.841808299999997</v>
      </c>
      <c r="C10195" s="7">
        <v>686292.38</v>
      </c>
      <c r="D10195" s="7">
        <v>2735491.18</v>
      </c>
      <c r="E10195" s="7">
        <v>317.77</v>
      </c>
      <c r="F10195" s="7">
        <v>41864.01</v>
      </c>
      <c r="G10195" s="7">
        <v>94234</v>
      </c>
      <c r="H10195" s="7">
        <f t="shared" si="222"/>
        <v>41860.01</v>
      </c>
      <c r="I10195" s="16"/>
    </row>
    <row r="10196" spans="1:9" s="9" customFormat="1" ht="21" customHeight="1" x14ac:dyDescent="0.6">
      <c r="A10196" s="7">
        <v>24.722665500000002</v>
      </c>
      <c r="B10196" s="7">
        <v>34.841798300000001</v>
      </c>
      <c r="C10196" s="7">
        <v>686291.35</v>
      </c>
      <c r="D10196" s="7">
        <v>2735492.02</v>
      </c>
      <c r="E10196" s="7">
        <v>318.01</v>
      </c>
      <c r="F10196" s="7">
        <v>41863.1</v>
      </c>
      <c r="G10196" s="7">
        <v>94243</v>
      </c>
      <c r="H10196" s="7">
        <f t="shared" si="222"/>
        <v>41859.1</v>
      </c>
      <c r="I10196" s="16"/>
    </row>
    <row r="10197" spans="1:9" s="9" customFormat="1" ht="21" customHeight="1" x14ac:dyDescent="0.6">
      <c r="A10197" s="7">
        <v>24.723611600000002</v>
      </c>
      <c r="B10197" s="7">
        <v>34.840377400000001</v>
      </c>
      <c r="C10197" s="7">
        <v>686146.19</v>
      </c>
      <c r="D10197" s="7">
        <v>2735594.87</v>
      </c>
      <c r="E10197" s="7">
        <v>320.94</v>
      </c>
      <c r="F10197" s="7">
        <v>41877.24</v>
      </c>
      <c r="G10197" s="7">
        <v>94346</v>
      </c>
      <c r="H10197" s="7">
        <f t="shared" si="222"/>
        <v>41873.24</v>
      </c>
      <c r="I10197" s="16"/>
    </row>
    <row r="10198" spans="1:9" s="9" customFormat="1" ht="21" customHeight="1" x14ac:dyDescent="0.6">
      <c r="A10198" s="7">
        <v>24.723612200000002</v>
      </c>
      <c r="B10198" s="7">
        <v>34.8403785</v>
      </c>
      <c r="C10198" s="7">
        <v>686146.3</v>
      </c>
      <c r="D10198" s="7">
        <v>2735594.94</v>
      </c>
      <c r="E10198" s="7">
        <v>321.12</v>
      </c>
      <c r="F10198" s="7">
        <v>41876.47</v>
      </c>
      <c r="G10198" s="7">
        <v>94355</v>
      </c>
      <c r="H10198" s="7">
        <f t="shared" si="222"/>
        <v>41872.47</v>
      </c>
      <c r="I10198" s="16"/>
    </row>
    <row r="10199" spans="1:9" s="9" customFormat="1" ht="21" customHeight="1" x14ac:dyDescent="0.6">
      <c r="A10199" s="7">
        <v>24.724778400000002</v>
      </c>
      <c r="B10199" s="7">
        <v>34.838601400000002</v>
      </c>
      <c r="C10199" s="7">
        <v>685964.78</v>
      </c>
      <c r="D10199" s="7">
        <v>2735721.69</v>
      </c>
      <c r="E10199" s="7">
        <v>325.27999999999997</v>
      </c>
      <c r="F10199" s="7">
        <v>41869.550000000003</v>
      </c>
      <c r="G10199" s="7">
        <v>94528</v>
      </c>
      <c r="H10199" s="7">
        <f t="shared" si="222"/>
        <v>41865.550000000003</v>
      </c>
      <c r="I10199" s="16"/>
    </row>
    <row r="10200" spans="1:9" s="9" customFormat="1" ht="21" customHeight="1" x14ac:dyDescent="0.6">
      <c r="A10200" s="7">
        <v>24.7247837</v>
      </c>
      <c r="B10200" s="7">
        <v>34.838599299999998</v>
      </c>
      <c r="C10200" s="7">
        <v>685964.56</v>
      </c>
      <c r="D10200" s="7">
        <v>2735722.27</v>
      </c>
      <c r="E10200" s="7">
        <v>325.25</v>
      </c>
      <c r="F10200" s="7">
        <v>41864.550000000003</v>
      </c>
      <c r="G10200" s="7">
        <v>94540</v>
      </c>
      <c r="H10200" s="7">
        <f t="shared" si="222"/>
        <v>41860.550000000003</v>
      </c>
      <c r="I10200" s="16"/>
    </row>
    <row r="10201" spans="1:9" s="9" customFormat="1" ht="21" customHeight="1" x14ac:dyDescent="0.6">
      <c r="A10201" s="7">
        <v>24.725293099999998</v>
      </c>
      <c r="B10201" s="7">
        <v>34.8373244</v>
      </c>
      <c r="C10201" s="7">
        <v>685834.82</v>
      </c>
      <c r="D10201" s="7">
        <v>2735776.97</v>
      </c>
      <c r="E10201" s="7">
        <v>328.16</v>
      </c>
      <c r="F10201" s="7">
        <v>41857.14</v>
      </c>
      <c r="G10201" s="7">
        <v>95419</v>
      </c>
      <c r="H10201" s="7">
        <f t="shared" si="222"/>
        <v>41853.14</v>
      </c>
      <c r="I10201" s="16"/>
    </row>
    <row r="10202" spans="1:9" s="9" customFormat="1" ht="21" customHeight="1" x14ac:dyDescent="0.6">
      <c r="A10202" s="7">
        <v>24.725294300000002</v>
      </c>
      <c r="B10202" s="7">
        <v>34.837324500000001</v>
      </c>
      <c r="C10202" s="7">
        <v>685834.83</v>
      </c>
      <c r="D10202" s="7">
        <v>2735777.1</v>
      </c>
      <c r="E10202" s="7">
        <v>327.85</v>
      </c>
      <c r="F10202" s="7">
        <v>41858.550000000003</v>
      </c>
      <c r="G10202" s="7">
        <v>95431</v>
      </c>
      <c r="H10202" s="7">
        <f t="shared" si="222"/>
        <v>41854.550000000003</v>
      </c>
      <c r="I10202" s="16"/>
    </row>
    <row r="10203" spans="1:9" s="9" customFormat="1" ht="21" customHeight="1" x14ac:dyDescent="0.6">
      <c r="A10203" s="7">
        <v>24.726837700000001</v>
      </c>
      <c r="B10203" s="7">
        <v>34.837528399999997</v>
      </c>
      <c r="C10203" s="7">
        <v>685853.17</v>
      </c>
      <c r="D10203" s="7">
        <v>2735948.33</v>
      </c>
      <c r="E10203" s="7">
        <v>327.72</v>
      </c>
      <c r="F10203" s="7">
        <v>41864.03</v>
      </c>
      <c r="G10203" s="7">
        <v>95619</v>
      </c>
      <c r="H10203" s="7">
        <f t="shared" si="222"/>
        <v>41860.03</v>
      </c>
      <c r="I10203" s="16"/>
    </row>
    <row r="10204" spans="1:9" s="9" customFormat="1" ht="21" customHeight="1" x14ac:dyDescent="0.6">
      <c r="A10204" s="7">
        <v>24.726837799999998</v>
      </c>
      <c r="B10204" s="7">
        <v>34.837529600000003</v>
      </c>
      <c r="C10204" s="7">
        <v>685853.29</v>
      </c>
      <c r="D10204" s="7">
        <v>2735948.35</v>
      </c>
      <c r="E10204" s="7">
        <v>327.79</v>
      </c>
      <c r="F10204" s="7">
        <v>41867.53</v>
      </c>
      <c r="G10204" s="7">
        <v>95628</v>
      </c>
      <c r="H10204" s="7">
        <f t="shared" si="222"/>
        <v>41863.53</v>
      </c>
      <c r="I10204" s="16"/>
    </row>
    <row r="10205" spans="1:9" s="9" customFormat="1" ht="21" customHeight="1" x14ac:dyDescent="0.6">
      <c r="A10205" s="7">
        <v>24.727050500000001</v>
      </c>
      <c r="B10205" s="7">
        <v>34.838547400000003</v>
      </c>
      <c r="C10205" s="7">
        <v>685955.94</v>
      </c>
      <c r="D10205" s="7">
        <v>2735973.28</v>
      </c>
      <c r="E10205" s="7">
        <v>327.71</v>
      </c>
      <c r="F10205" s="7">
        <v>41877.5</v>
      </c>
      <c r="G10205" s="7">
        <v>95943</v>
      </c>
      <c r="H10205" s="7">
        <f t="shared" si="222"/>
        <v>41873.5</v>
      </c>
      <c r="I10205" s="16"/>
    </row>
    <row r="10206" spans="1:9" s="9" customFormat="1" ht="21" customHeight="1" x14ac:dyDescent="0.6">
      <c r="A10206" s="7">
        <v>24.727050800000001</v>
      </c>
      <c r="B10206" s="7">
        <v>34.838548500000002</v>
      </c>
      <c r="C10206" s="7">
        <v>685956.05</v>
      </c>
      <c r="D10206" s="7">
        <v>2735973.32</v>
      </c>
      <c r="E10206" s="7">
        <v>327.61</v>
      </c>
      <c r="F10206" s="7">
        <v>41881.550000000003</v>
      </c>
      <c r="G10206" s="7">
        <v>95952</v>
      </c>
      <c r="H10206" s="7">
        <f t="shared" si="222"/>
        <v>41877.550000000003</v>
      </c>
      <c r="I10206" s="16"/>
    </row>
    <row r="10207" spans="1:9" s="9" customFormat="1" ht="21" customHeight="1" x14ac:dyDescent="0.6">
      <c r="A10207" s="7">
        <v>24.726739599999998</v>
      </c>
      <c r="B10207" s="7">
        <v>34.840535299999999</v>
      </c>
      <c r="C10207" s="7">
        <v>686157.51</v>
      </c>
      <c r="D10207" s="7">
        <v>2735941.55</v>
      </c>
      <c r="E10207" s="7">
        <v>324.33999999999997</v>
      </c>
      <c r="F10207" s="7">
        <v>41870.449999999997</v>
      </c>
      <c r="G10207" s="7">
        <v>100122</v>
      </c>
      <c r="H10207" s="7">
        <f t="shared" si="222"/>
        <v>41866.449999999997</v>
      </c>
      <c r="I10207" s="16"/>
    </row>
    <row r="10208" spans="1:9" s="9" customFormat="1" ht="21" customHeight="1" x14ac:dyDescent="0.6">
      <c r="A10208" s="7">
        <v>24.726739999999999</v>
      </c>
      <c r="B10208" s="7">
        <v>34.840536299999997</v>
      </c>
      <c r="C10208" s="7">
        <v>686157.61</v>
      </c>
      <c r="D10208" s="7">
        <v>2735941.59</v>
      </c>
      <c r="E10208" s="7">
        <v>324.16000000000003</v>
      </c>
      <c r="F10208" s="7">
        <v>41870.69</v>
      </c>
      <c r="G10208" s="7">
        <v>100128</v>
      </c>
      <c r="H10208" s="7">
        <f t="shared" si="222"/>
        <v>41866.69</v>
      </c>
      <c r="I10208" s="16"/>
    </row>
    <row r="10209" spans="1:9" s="9" customFormat="1" ht="21" customHeight="1" x14ac:dyDescent="0.6">
      <c r="A10209" s="7">
        <v>24.728350899999999</v>
      </c>
      <c r="B10209" s="7">
        <v>34.842094000000003</v>
      </c>
      <c r="C10209" s="7">
        <v>686312.79</v>
      </c>
      <c r="D10209" s="7">
        <v>2736122.14</v>
      </c>
      <c r="E10209" s="7">
        <v>321.55</v>
      </c>
      <c r="F10209" s="7">
        <v>41866.449999999997</v>
      </c>
      <c r="G10209" s="7">
        <v>100301</v>
      </c>
      <c r="H10209" s="7">
        <f t="shared" si="222"/>
        <v>41862.449999999997</v>
      </c>
      <c r="I10209" s="16"/>
    </row>
    <row r="10210" spans="1:9" s="9" customFormat="1" ht="21" customHeight="1" x14ac:dyDescent="0.6">
      <c r="A10210" s="7">
        <v>24.7283534</v>
      </c>
      <c r="B10210" s="7">
        <v>34.842097500000001</v>
      </c>
      <c r="C10210" s="7">
        <v>686313.14</v>
      </c>
      <c r="D10210" s="7">
        <v>2736122.42</v>
      </c>
      <c r="E10210" s="7">
        <v>321.66000000000003</v>
      </c>
      <c r="F10210" s="7">
        <v>41867.07</v>
      </c>
      <c r="G10210" s="7">
        <v>100310</v>
      </c>
      <c r="H10210" s="7">
        <f t="shared" si="222"/>
        <v>41863.07</v>
      </c>
      <c r="I10210" s="16"/>
    </row>
    <row r="10211" spans="1:9" s="9" customFormat="1" ht="21" customHeight="1" x14ac:dyDescent="0.6">
      <c r="A10211" s="7">
        <v>24.729326700000001</v>
      </c>
      <c r="B10211" s="7">
        <v>34.844404599999997</v>
      </c>
      <c r="C10211" s="7">
        <v>686545.09</v>
      </c>
      <c r="D10211" s="7">
        <v>2736233.37</v>
      </c>
      <c r="E10211" s="7">
        <v>319.39999999999998</v>
      </c>
      <c r="F10211" s="7">
        <v>41886.589999999997</v>
      </c>
      <c r="G10211" s="7">
        <v>100455</v>
      </c>
      <c r="H10211" s="7">
        <f t="shared" si="222"/>
        <v>41882.589999999997</v>
      </c>
      <c r="I10211" s="16"/>
    </row>
    <row r="10212" spans="1:9" s="9" customFormat="1" ht="21" customHeight="1" x14ac:dyDescent="0.6">
      <c r="A10212" s="7">
        <v>24.729325800000002</v>
      </c>
      <c r="B10212" s="7">
        <v>34.8444042</v>
      </c>
      <c r="C10212" s="7">
        <v>686545.05</v>
      </c>
      <c r="D10212" s="7">
        <v>2736233.27</v>
      </c>
      <c r="E10212" s="7">
        <v>319.68</v>
      </c>
      <c r="F10212" s="7">
        <v>41888.559999999998</v>
      </c>
      <c r="G10212" s="7">
        <v>100504</v>
      </c>
      <c r="H10212" s="7">
        <f t="shared" si="222"/>
        <v>41884.559999999998</v>
      </c>
      <c r="I10212" s="16"/>
    </row>
    <row r="10213" spans="1:9" s="9" customFormat="1" ht="21" customHeight="1" x14ac:dyDescent="0.6">
      <c r="A10213" s="7">
        <v>24.727607599999999</v>
      </c>
      <c r="B10213" s="7">
        <v>34.846091899999998</v>
      </c>
      <c r="C10213" s="7">
        <v>686718.35</v>
      </c>
      <c r="D10213" s="7">
        <v>2736045.25</v>
      </c>
      <c r="E10213" s="7">
        <v>316.02</v>
      </c>
      <c r="F10213" s="7">
        <v>41867.760000000002</v>
      </c>
      <c r="G10213" s="7">
        <v>100628</v>
      </c>
      <c r="H10213" s="7">
        <f t="shared" si="222"/>
        <v>41863.760000000002</v>
      </c>
      <c r="I10213" s="16"/>
    </row>
    <row r="10214" spans="1:9" s="9" customFormat="1" ht="21" customHeight="1" x14ac:dyDescent="0.6">
      <c r="A10214" s="7">
        <v>24.7276092</v>
      </c>
      <c r="B10214" s="7">
        <v>34.846093400000001</v>
      </c>
      <c r="C10214" s="7">
        <v>686718.5</v>
      </c>
      <c r="D10214" s="7">
        <v>2736045.44</v>
      </c>
      <c r="E10214" s="7">
        <v>315.83999999999997</v>
      </c>
      <c r="F10214" s="7">
        <v>41865.26</v>
      </c>
      <c r="G10214" s="7">
        <v>100637</v>
      </c>
      <c r="H10214" s="7">
        <f t="shared" si="222"/>
        <v>41861.26</v>
      </c>
      <c r="I10214" s="16"/>
    </row>
    <row r="10215" spans="1:9" s="9" customFormat="1" ht="21" customHeight="1" x14ac:dyDescent="0.6">
      <c r="A10215" s="7">
        <v>24.728785500000001</v>
      </c>
      <c r="B10215" s="7">
        <v>34.848085900000001</v>
      </c>
      <c r="C10215" s="7">
        <v>686918.32</v>
      </c>
      <c r="D10215" s="7">
        <v>2736178.44</v>
      </c>
      <c r="E10215" s="7">
        <v>311.60000000000002</v>
      </c>
      <c r="F10215" s="7">
        <v>41858.81</v>
      </c>
      <c r="G10215" s="7">
        <v>100813</v>
      </c>
      <c r="H10215" s="7">
        <f t="shared" si="222"/>
        <v>41854.81</v>
      </c>
      <c r="I10215" s="16"/>
    </row>
    <row r="10216" spans="1:9" s="9" customFormat="1" ht="21" customHeight="1" x14ac:dyDescent="0.6">
      <c r="A10216" s="7">
        <v>24.728789299999999</v>
      </c>
      <c r="B10216" s="7">
        <v>34.848089899999998</v>
      </c>
      <c r="C10216" s="7">
        <v>686918.72</v>
      </c>
      <c r="D10216" s="7">
        <v>2736178.87</v>
      </c>
      <c r="E10216" s="7">
        <v>311.52</v>
      </c>
      <c r="F10216" s="7">
        <v>41858.46</v>
      </c>
      <c r="G10216" s="7">
        <v>100822</v>
      </c>
      <c r="H10216" s="7">
        <f t="shared" si="222"/>
        <v>41854.46</v>
      </c>
      <c r="I10216" s="16"/>
    </row>
    <row r="10217" spans="1:9" s="9" customFormat="1" ht="21" customHeight="1" x14ac:dyDescent="0.6">
      <c r="A10217" s="7">
        <v>24.731299400000001</v>
      </c>
      <c r="B10217" s="7">
        <v>34.849497700000001</v>
      </c>
      <c r="C10217" s="7">
        <v>687057.38</v>
      </c>
      <c r="D10217" s="7">
        <v>2736458.82</v>
      </c>
      <c r="E10217" s="7">
        <v>309.43</v>
      </c>
      <c r="F10217" s="7">
        <v>41876.69</v>
      </c>
      <c r="G10217" s="7">
        <v>100952</v>
      </c>
      <c r="H10217" s="7">
        <f t="shared" si="222"/>
        <v>41872.69</v>
      </c>
      <c r="I10217" s="16"/>
    </row>
    <row r="10218" spans="1:9" s="9" customFormat="1" ht="21" customHeight="1" x14ac:dyDescent="0.6">
      <c r="A10218" s="7">
        <v>24.731299400000001</v>
      </c>
      <c r="B10218" s="7">
        <v>34.849497599999999</v>
      </c>
      <c r="C10218" s="7">
        <v>687057.37</v>
      </c>
      <c r="D10218" s="7">
        <v>2736458.82</v>
      </c>
      <c r="E10218" s="7">
        <v>309.43</v>
      </c>
      <c r="F10218" s="7">
        <v>41873.949999999997</v>
      </c>
      <c r="G10218" s="7">
        <v>101001</v>
      </c>
      <c r="H10218" s="7">
        <f t="shared" si="222"/>
        <v>41869.949999999997</v>
      </c>
      <c r="I10218" s="16"/>
    </row>
    <row r="10219" spans="1:9" s="9" customFormat="1" ht="21" customHeight="1" x14ac:dyDescent="0.6">
      <c r="A10219" s="7">
        <v>24.7329519</v>
      </c>
      <c r="B10219" s="7">
        <v>34.850624799999999</v>
      </c>
      <c r="C10219" s="7">
        <v>687168.93</v>
      </c>
      <c r="D10219" s="7">
        <v>2736643.39</v>
      </c>
      <c r="E10219" s="7">
        <v>307.2</v>
      </c>
      <c r="F10219" s="7">
        <v>41880.22</v>
      </c>
      <c r="G10219" s="7">
        <v>101119</v>
      </c>
      <c r="H10219" s="7">
        <f t="shared" si="222"/>
        <v>41876.22</v>
      </c>
      <c r="I10219" s="16"/>
    </row>
    <row r="10220" spans="1:9" s="9" customFormat="1" ht="21" customHeight="1" x14ac:dyDescent="0.6">
      <c r="A10220" s="7">
        <v>24.732950800000001</v>
      </c>
      <c r="B10220" s="7">
        <v>34.850624199999999</v>
      </c>
      <c r="C10220" s="7">
        <v>687168.87</v>
      </c>
      <c r="D10220" s="7">
        <v>2736643.27</v>
      </c>
      <c r="E10220" s="7">
        <v>307.35000000000002</v>
      </c>
      <c r="F10220" s="7">
        <v>41880.230000000003</v>
      </c>
      <c r="G10220" s="7">
        <v>101128</v>
      </c>
      <c r="H10220" s="7">
        <f t="shared" si="222"/>
        <v>41876.230000000003</v>
      </c>
      <c r="I10220" s="16"/>
    </row>
    <row r="10221" spans="1:9" s="9" customFormat="1" ht="21" customHeight="1" x14ac:dyDescent="0.6">
      <c r="A10221" s="7">
        <v>24.734479100000001</v>
      </c>
      <c r="B10221" s="7">
        <v>34.852385300000002</v>
      </c>
      <c r="C10221" s="7">
        <v>687344.73</v>
      </c>
      <c r="D10221" s="7">
        <v>2736814.96</v>
      </c>
      <c r="E10221" s="7">
        <v>305.18</v>
      </c>
      <c r="F10221" s="7">
        <v>41875.89</v>
      </c>
      <c r="G10221" s="7">
        <v>101343</v>
      </c>
      <c r="H10221" s="7">
        <f t="shared" si="222"/>
        <v>41871.89</v>
      </c>
      <c r="I10221" s="16"/>
    </row>
    <row r="10222" spans="1:9" s="9" customFormat="1" ht="21" customHeight="1" x14ac:dyDescent="0.6">
      <c r="A10222" s="7">
        <v>24.734480399999999</v>
      </c>
      <c r="B10222" s="7">
        <v>34.852386899999999</v>
      </c>
      <c r="C10222" s="7">
        <v>687344.88</v>
      </c>
      <c r="D10222" s="7">
        <v>2736815.11</v>
      </c>
      <c r="E10222" s="7">
        <v>305.23</v>
      </c>
      <c r="F10222" s="7">
        <v>41854.82</v>
      </c>
      <c r="G10222" s="7">
        <v>101352</v>
      </c>
      <c r="H10222" s="7">
        <f t="shared" si="222"/>
        <v>41850.82</v>
      </c>
      <c r="I10222" s="16"/>
    </row>
    <row r="10223" spans="1:9" s="9" customFormat="1" ht="21" customHeight="1" x14ac:dyDescent="0.6">
      <c r="A10223" s="7">
        <v>24.734642900000001</v>
      </c>
      <c r="B10223" s="7">
        <v>34.854141499999997</v>
      </c>
      <c r="C10223" s="7">
        <v>687522.14</v>
      </c>
      <c r="D10223" s="7">
        <v>2736835.51</v>
      </c>
      <c r="E10223" s="7">
        <v>302.27999999999997</v>
      </c>
      <c r="F10223" s="7">
        <v>41874.89</v>
      </c>
      <c r="G10223" s="7">
        <v>101537</v>
      </c>
      <c r="H10223" s="7">
        <f t="shared" si="222"/>
        <v>41870.89</v>
      </c>
      <c r="I10223" s="16"/>
    </row>
    <row r="10224" spans="1:9" s="9" customFormat="1" ht="21" customHeight="1" x14ac:dyDescent="0.6">
      <c r="A10224" s="7">
        <v>24.734642099999999</v>
      </c>
      <c r="B10224" s="7">
        <v>34.854144499999997</v>
      </c>
      <c r="C10224" s="7">
        <v>687522.44</v>
      </c>
      <c r="D10224" s="7">
        <v>2736835.42</v>
      </c>
      <c r="E10224" s="7">
        <v>302.54000000000002</v>
      </c>
      <c r="F10224" s="7">
        <v>41872.47</v>
      </c>
      <c r="G10224" s="7">
        <v>101546</v>
      </c>
      <c r="H10224" s="7">
        <f t="shared" si="222"/>
        <v>41868.47</v>
      </c>
      <c r="I10224" s="16"/>
    </row>
    <row r="10225" spans="1:9" s="9" customFormat="1" ht="21" customHeight="1" x14ac:dyDescent="0.6">
      <c r="A10225" s="7">
        <v>24.733538800000002</v>
      </c>
      <c r="B10225" s="7">
        <v>34.856413400000001</v>
      </c>
      <c r="C10225" s="7">
        <v>687753.62</v>
      </c>
      <c r="D10225" s="7">
        <v>2736716.33</v>
      </c>
      <c r="E10225" s="7">
        <v>299.01</v>
      </c>
      <c r="F10225" s="7">
        <v>41884.76</v>
      </c>
      <c r="G10225" s="7">
        <v>101719</v>
      </c>
      <c r="H10225" s="7">
        <f t="shared" si="222"/>
        <v>41880.76</v>
      </c>
      <c r="I10225" s="16"/>
    </row>
    <row r="10226" spans="1:9" s="9" customFormat="1" ht="21" customHeight="1" x14ac:dyDescent="0.6">
      <c r="A10226" s="7">
        <v>24.733539499999999</v>
      </c>
      <c r="B10226" s="7">
        <v>34.856418300000001</v>
      </c>
      <c r="C10226" s="7">
        <v>687754.12</v>
      </c>
      <c r="D10226" s="7">
        <v>2736716.41</v>
      </c>
      <c r="E10226" s="7">
        <v>298.81</v>
      </c>
      <c r="F10226" s="7">
        <v>41885.49</v>
      </c>
      <c r="G10226" s="7">
        <v>101731</v>
      </c>
      <c r="H10226" s="7">
        <f t="shared" si="222"/>
        <v>41881.49</v>
      </c>
      <c r="I10226" s="16"/>
    </row>
    <row r="10227" spans="1:9" s="9" customFormat="1" ht="21" customHeight="1" x14ac:dyDescent="0.6">
      <c r="A10227" s="7">
        <v>24.734895999999999</v>
      </c>
      <c r="B10227" s="7">
        <v>34.858315500000003</v>
      </c>
      <c r="C10227" s="7">
        <v>687944</v>
      </c>
      <c r="D10227" s="7">
        <v>2736869.27</v>
      </c>
      <c r="E10227" s="7">
        <v>294.95</v>
      </c>
      <c r="F10227" s="7">
        <v>41879.879999999997</v>
      </c>
      <c r="G10227" s="7">
        <v>102140</v>
      </c>
      <c r="H10227" s="7">
        <f t="shared" si="222"/>
        <v>41875.879999999997</v>
      </c>
      <c r="I10227" s="16"/>
    </row>
    <row r="10228" spans="1:9" s="9" customFormat="1" ht="21" customHeight="1" x14ac:dyDescent="0.6">
      <c r="A10228" s="7">
        <v>24.734896200000001</v>
      </c>
      <c r="B10228" s="7">
        <v>34.858314999999997</v>
      </c>
      <c r="C10228" s="7">
        <v>687943.95</v>
      </c>
      <c r="D10228" s="7">
        <v>2736869.29</v>
      </c>
      <c r="E10228" s="7">
        <v>295.02</v>
      </c>
      <c r="F10228" s="7">
        <v>41879.35</v>
      </c>
      <c r="G10228" s="7">
        <v>102158</v>
      </c>
      <c r="H10228" s="7">
        <f t="shared" si="222"/>
        <v>41875.35</v>
      </c>
      <c r="I10228" s="16"/>
    </row>
    <row r="10229" spans="1:9" s="9" customFormat="1" ht="21" customHeight="1" x14ac:dyDescent="0.6">
      <c r="A10229" s="7">
        <v>24.735373299999999</v>
      </c>
      <c r="B10229" s="7">
        <v>34.860296900000002</v>
      </c>
      <c r="C10229" s="7">
        <v>688143.73</v>
      </c>
      <c r="D10229" s="7">
        <v>2736924.86</v>
      </c>
      <c r="E10229" s="7">
        <v>292.63</v>
      </c>
      <c r="F10229" s="7">
        <v>41891.879999999997</v>
      </c>
      <c r="G10229" s="7">
        <v>102334</v>
      </c>
      <c r="H10229" s="7">
        <f t="shared" si="222"/>
        <v>41887.879999999997</v>
      </c>
      <c r="I10229" s="16"/>
    </row>
    <row r="10230" spans="1:9" s="9" customFormat="1" ht="21" customHeight="1" x14ac:dyDescent="0.6">
      <c r="A10230" s="7">
        <v>24.735373500000001</v>
      </c>
      <c r="B10230" s="7">
        <v>34.860296099999999</v>
      </c>
      <c r="C10230" s="7">
        <v>688143.64</v>
      </c>
      <c r="D10230" s="7">
        <v>2736924.88</v>
      </c>
      <c r="E10230" s="7">
        <v>292.64</v>
      </c>
      <c r="F10230" s="7">
        <v>41893.4</v>
      </c>
      <c r="G10230" s="7">
        <v>102343</v>
      </c>
      <c r="H10230" s="7">
        <f t="shared" si="222"/>
        <v>41889.4</v>
      </c>
      <c r="I10230" s="16"/>
    </row>
    <row r="10231" spans="1:9" s="9" customFormat="1" ht="21" customHeight="1" x14ac:dyDescent="0.6">
      <c r="A10231" s="7">
        <v>24.735660899999999</v>
      </c>
      <c r="B10231" s="7">
        <v>34.862136700000001</v>
      </c>
      <c r="C10231" s="7">
        <v>688329.4</v>
      </c>
      <c r="D10231" s="7">
        <v>2736959.24</v>
      </c>
      <c r="E10231" s="7">
        <v>289.02999999999997</v>
      </c>
      <c r="F10231" s="7">
        <v>41889.919999999998</v>
      </c>
      <c r="G10231" s="7">
        <v>102537</v>
      </c>
      <c r="H10231" s="7">
        <f t="shared" si="222"/>
        <v>41885.919999999998</v>
      </c>
      <c r="I10231" s="16"/>
    </row>
    <row r="10232" spans="1:9" s="9" customFormat="1" ht="21" customHeight="1" x14ac:dyDescent="0.6">
      <c r="A10232" s="7">
        <v>24.735661799999999</v>
      </c>
      <c r="B10232" s="7">
        <v>34.862135700000003</v>
      </c>
      <c r="C10232" s="7">
        <v>688329.3</v>
      </c>
      <c r="D10232" s="7">
        <v>2736959.34</v>
      </c>
      <c r="E10232" s="7">
        <v>288.95999999999998</v>
      </c>
      <c r="F10232" s="7">
        <v>41890.879999999997</v>
      </c>
      <c r="G10232" s="7">
        <v>102546</v>
      </c>
      <c r="H10232" s="7">
        <f t="shared" ref="H10232" si="223">SUM(F10232-4)</f>
        <v>41886.879999999997</v>
      </c>
      <c r="I10232" s="16"/>
    </row>
    <row r="10233" spans="1:9" s="9" customFormat="1" ht="21" customHeight="1" x14ac:dyDescent="0.6">
      <c r="A10233" s="7">
        <v>24.737841199999998</v>
      </c>
      <c r="B10233" s="7">
        <v>34.861932099999997</v>
      </c>
      <c r="C10233" s="7">
        <v>688305.42</v>
      </c>
      <c r="D10233" s="7">
        <v>2737200.46</v>
      </c>
      <c r="E10233" s="7">
        <v>285.93</v>
      </c>
      <c r="F10233" s="7">
        <v>41892.97</v>
      </c>
      <c r="G10233" s="7">
        <v>102731</v>
      </c>
      <c r="H10233" s="7">
        <f>SUM(F10233-8)</f>
        <v>41884.97</v>
      </c>
      <c r="I10233" s="16"/>
    </row>
    <row r="10234" spans="1:9" s="9" customFormat="1" ht="21" customHeight="1" x14ac:dyDescent="0.6">
      <c r="A10234" s="7">
        <v>24.737840500000001</v>
      </c>
      <c r="B10234" s="7">
        <v>34.861931800000001</v>
      </c>
      <c r="C10234" s="7">
        <v>688305.39</v>
      </c>
      <c r="D10234" s="7">
        <v>2737200.38</v>
      </c>
      <c r="E10234" s="7">
        <v>285.83999999999997</v>
      </c>
      <c r="F10234" s="7">
        <v>41893.160000000003</v>
      </c>
      <c r="G10234" s="7">
        <v>102740</v>
      </c>
      <c r="H10234" s="7">
        <f t="shared" ref="H10234:H10236" si="224">SUM(F10234-8)</f>
        <v>41885.160000000003</v>
      </c>
      <c r="I10234" s="16"/>
    </row>
    <row r="10235" spans="1:9" s="9" customFormat="1" ht="21" customHeight="1" x14ac:dyDescent="0.6">
      <c r="A10235" s="7">
        <v>24.739114099999998</v>
      </c>
      <c r="B10235" s="7">
        <v>34.863846199999998</v>
      </c>
      <c r="C10235" s="7">
        <v>688497.13</v>
      </c>
      <c r="D10235" s="7">
        <v>2737344.08</v>
      </c>
      <c r="E10235" s="7">
        <v>282.31</v>
      </c>
      <c r="F10235" s="7">
        <v>41898.589999999997</v>
      </c>
      <c r="G10235" s="7">
        <v>102934</v>
      </c>
      <c r="H10235" s="7">
        <f t="shared" si="224"/>
        <v>41890.589999999997</v>
      </c>
      <c r="I10235" s="16"/>
    </row>
    <row r="10236" spans="1:9" s="9" customFormat="1" ht="21" customHeight="1" x14ac:dyDescent="0.6">
      <c r="A10236" s="7">
        <v>24.739113400000001</v>
      </c>
      <c r="B10236" s="7">
        <v>34.863845400000002</v>
      </c>
      <c r="C10236" s="7">
        <v>688497.05</v>
      </c>
      <c r="D10236" s="7">
        <v>2737344</v>
      </c>
      <c r="E10236" s="7">
        <v>282.27</v>
      </c>
      <c r="F10236" s="7">
        <v>41899.11</v>
      </c>
      <c r="G10236" s="7">
        <v>102943</v>
      </c>
      <c r="H10236" s="7">
        <f t="shared" si="224"/>
        <v>41891.11</v>
      </c>
      <c r="I10236" s="16"/>
    </row>
    <row r="10237" spans="1:9" s="9" customFormat="1" ht="21" customHeight="1" x14ac:dyDescent="0.6">
      <c r="A10237" s="7">
        <v>24.738166700000001</v>
      </c>
      <c r="B10237" s="7">
        <v>34.865969900000003</v>
      </c>
      <c r="C10237" s="7">
        <v>688713.38</v>
      </c>
      <c r="D10237" s="7">
        <v>2737242.07</v>
      </c>
      <c r="E10237" s="7">
        <v>277.52999999999997</v>
      </c>
      <c r="F10237" s="7">
        <v>41896</v>
      </c>
      <c r="G10237" s="7">
        <v>103149</v>
      </c>
      <c r="H10237" s="7">
        <f>SUM(F10237-12)</f>
        <v>41884</v>
      </c>
      <c r="I10237" s="16"/>
    </row>
    <row r="10238" spans="1:9" s="9" customFormat="1" ht="21" customHeight="1" x14ac:dyDescent="0.6">
      <c r="A10238" s="7">
        <v>24.7381685</v>
      </c>
      <c r="B10238" s="7">
        <v>34.8659733</v>
      </c>
      <c r="C10238" s="7">
        <v>688713.72</v>
      </c>
      <c r="D10238" s="7">
        <v>2737242.28</v>
      </c>
      <c r="E10238" s="7">
        <v>277.45</v>
      </c>
      <c r="F10238" s="7">
        <v>41894.730000000003</v>
      </c>
      <c r="G10238" s="7">
        <v>103158</v>
      </c>
      <c r="H10238" s="7">
        <f t="shared" ref="H10238:H10252" si="225">SUM(F10238-12)</f>
        <v>41882.730000000003</v>
      </c>
      <c r="I10238" s="16"/>
    </row>
    <row r="10239" spans="1:9" s="9" customFormat="1" ht="21" customHeight="1" x14ac:dyDescent="0.6">
      <c r="A10239" s="7">
        <v>24.739036800000001</v>
      </c>
      <c r="B10239" s="7">
        <v>34.867727500000001</v>
      </c>
      <c r="C10239" s="7">
        <v>688889.87</v>
      </c>
      <c r="D10239" s="7">
        <v>2737340.87</v>
      </c>
      <c r="E10239" s="7">
        <v>275.68</v>
      </c>
      <c r="F10239" s="7">
        <v>41912.79</v>
      </c>
      <c r="G10239" s="7">
        <v>103310</v>
      </c>
      <c r="H10239" s="7">
        <f t="shared" si="225"/>
        <v>41900.79</v>
      </c>
      <c r="I10239" s="16"/>
    </row>
    <row r="10240" spans="1:9" s="9" customFormat="1" ht="21" customHeight="1" x14ac:dyDescent="0.6">
      <c r="A10240" s="7">
        <v>24.7390358</v>
      </c>
      <c r="B10240" s="7">
        <v>34.8677268</v>
      </c>
      <c r="C10240" s="7">
        <v>688889.79</v>
      </c>
      <c r="D10240" s="7">
        <v>2737340.76</v>
      </c>
      <c r="E10240" s="7">
        <v>275.74</v>
      </c>
      <c r="F10240" s="7">
        <v>41913.769999999997</v>
      </c>
      <c r="G10240" s="7">
        <v>103319</v>
      </c>
      <c r="H10240" s="7">
        <f t="shared" si="225"/>
        <v>41901.769999999997</v>
      </c>
      <c r="I10240" s="16"/>
    </row>
    <row r="10241" spans="1:9" s="9" customFormat="1" ht="21" customHeight="1" x14ac:dyDescent="0.6">
      <c r="A10241" s="7">
        <v>24.739477600000001</v>
      </c>
      <c r="B10241" s="7">
        <v>34.870091899999998</v>
      </c>
      <c r="C10241" s="7">
        <v>689128.38</v>
      </c>
      <c r="D10241" s="7">
        <v>2737392.97</v>
      </c>
      <c r="E10241" s="7">
        <v>271.70999999999998</v>
      </c>
      <c r="F10241" s="7">
        <v>41894.97</v>
      </c>
      <c r="G10241" s="7">
        <v>103446</v>
      </c>
      <c r="H10241" s="7">
        <f t="shared" si="225"/>
        <v>41882.97</v>
      </c>
      <c r="I10241" s="16"/>
    </row>
    <row r="10242" spans="1:9" s="9" customFormat="1" ht="21" customHeight="1" x14ac:dyDescent="0.6">
      <c r="A10242" s="7">
        <v>24.739478699999999</v>
      </c>
      <c r="B10242" s="7">
        <v>34.870101900000002</v>
      </c>
      <c r="C10242" s="7">
        <v>689129.38</v>
      </c>
      <c r="D10242" s="7">
        <v>2737393.1</v>
      </c>
      <c r="E10242" s="7">
        <v>271.60000000000002</v>
      </c>
      <c r="F10242" s="7">
        <v>41892.67</v>
      </c>
      <c r="G10242" s="7">
        <v>103455</v>
      </c>
      <c r="H10242" s="7">
        <f t="shared" si="225"/>
        <v>41880.67</v>
      </c>
      <c r="I10242" s="16"/>
    </row>
    <row r="10243" spans="1:9" s="9" customFormat="1" ht="21" customHeight="1" x14ac:dyDescent="0.6">
      <c r="A10243" s="7">
        <v>24.739286799999999</v>
      </c>
      <c r="B10243" s="7">
        <v>34.8718504</v>
      </c>
      <c r="C10243" s="7">
        <v>689306.55</v>
      </c>
      <c r="D10243" s="7">
        <v>2737374.26</v>
      </c>
      <c r="E10243" s="7">
        <v>269.19</v>
      </c>
      <c r="F10243" s="7">
        <v>41902.57</v>
      </c>
      <c r="G10243" s="7">
        <v>103607</v>
      </c>
      <c r="H10243" s="7">
        <f t="shared" si="225"/>
        <v>41890.57</v>
      </c>
      <c r="I10243" s="16"/>
    </row>
    <row r="10244" spans="1:9" s="9" customFormat="1" ht="21" customHeight="1" x14ac:dyDescent="0.6">
      <c r="A10244" s="7">
        <v>24.7392851</v>
      </c>
      <c r="B10244" s="7">
        <v>34.871849300000001</v>
      </c>
      <c r="C10244" s="7">
        <v>689306.44</v>
      </c>
      <c r="D10244" s="7">
        <v>2737374.07</v>
      </c>
      <c r="E10244" s="7">
        <v>269.17</v>
      </c>
      <c r="F10244" s="7">
        <v>41900.949999999997</v>
      </c>
      <c r="G10244" s="7">
        <v>103616</v>
      </c>
      <c r="H10244" s="7">
        <f t="shared" si="225"/>
        <v>41888.949999999997</v>
      </c>
      <c r="I10244" s="16"/>
    </row>
    <row r="10245" spans="1:9" s="9" customFormat="1" ht="21" customHeight="1" x14ac:dyDescent="0.6">
      <c r="A10245" s="7">
        <v>24.739897500000001</v>
      </c>
      <c r="B10245" s="7">
        <v>34.873559700000001</v>
      </c>
      <c r="C10245" s="7">
        <v>689478.53</v>
      </c>
      <c r="D10245" s="7">
        <v>2737444.27</v>
      </c>
      <c r="E10245" s="7">
        <v>266.29000000000002</v>
      </c>
      <c r="F10245" s="7">
        <v>41920.410000000003</v>
      </c>
      <c r="G10245" s="7">
        <v>103740</v>
      </c>
      <c r="H10245" s="7">
        <f t="shared" si="225"/>
        <v>41908.410000000003</v>
      </c>
      <c r="I10245" s="16"/>
    </row>
    <row r="10246" spans="1:9" s="9" customFormat="1" ht="21" customHeight="1" x14ac:dyDescent="0.6">
      <c r="A10246" s="7">
        <v>24.739898700000001</v>
      </c>
      <c r="B10246" s="7">
        <v>34.873558500000001</v>
      </c>
      <c r="C10246" s="7">
        <v>689478.4</v>
      </c>
      <c r="D10246" s="7">
        <v>2737444.4</v>
      </c>
      <c r="E10246" s="7">
        <v>266.41000000000003</v>
      </c>
      <c r="F10246" s="7">
        <v>41923.01</v>
      </c>
      <c r="G10246" s="7">
        <v>103749</v>
      </c>
      <c r="H10246" s="7">
        <f t="shared" si="225"/>
        <v>41911.01</v>
      </c>
      <c r="I10246" s="16"/>
    </row>
    <row r="10247" spans="1:9" s="9" customFormat="1" ht="21" customHeight="1" x14ac:dyDescent="0.6">
      <c r="A10247" s="7">
        <v>24.7417345</v>
      </c>
      <c r="B10247" s="7">
        <v>34.873901199999999</v>
      </c>
      <c r="C10247" s="7">
        <v>689510.29</v>
      </c>
      <c r="D10247" s="7">
        <v>2737648.22</v>
      </c>
      <c r="E10247" s="7">
        <v>263.99</v>
      </c>
      <c r="F10247" s="7">
        <v>41908.03</v>
      </c>
      <c r="G10247" s="7">
        <v>103901</v>
      </c>
      <c r="H10247" s="7">
        <f t="shared" si="225"/>
        <v>41896.03</v>
      </c>
      <c r="I10247" s="16"/>
    </row>
    <row r="10248" spans="1:9" s="9" customFormat="1" ht="21" customHeight="1" x14ac:dyDescent="0.6">
      <c r="A10248" s="7">
        <v>24.7417689</v>
      </c>
      <c r="B10248" s="7">
        <v>34.874117699999999</v>
      </c>
      <c r="C10248" s="7">
        <v>689532.13</v>
      </c>
      <c r="D10248" s="7">
        <v>2737652.33</v>
      </c>
      <c r="E10248" s="7">
        <v>263.92</v>
      </c>
      <c r="F10248" s="7">
        <v>41905.97</v>
      </c>
      <c r="G10248" s="7">
        <v>103925</v>
      </c>
      <c r="H10248" s="7">
        <f t="shared" si="225"/>
        <v>41893.97</v>
      </c>
      <c r="I10248" s="16"/>
    </row>
    <row r="10249" spans="1:9" s="9" customFormat="1" ht="21" customHeight="1" x14ac:dyDescent="0.6">
      <c r="A10249" s="7">
        <v>24.743640500000001</v>
      </c>
      <c r="B10249" s="7">
        <v>34.873475200000001</v>
      </c>
      <c r="C10249" s="7">
        <v>689464.31</v>
      </c>
      <c r="D10249" s="7">
        <v>2737858.74</v>
      </c>
      <c r="E10249" s="7">
        <v>259.56</v>
      </c>
      <c r="F10249" s="7">
        <v>41911.71</v>
      </c>
      <c r="G10249" s="7">
        <v>104101</v>
      </c>
      <c r="H10249" s="7">
        <f t="shared" si="225"/>
        <v>41899.71</v>
      </c>
      <c r="I10249" s="16"/>
    </row>
    <row r="10250" spans="1:9" s="9" customFormat="1" ht="21" customHeight="1" x14ac:dyDescent="0.6">
      <c r="A10250" s="7">
        <v>24.744317500000001</v>
      </c>
      <c r="B10250" s="7">
        <v>34.873487300000001</v>
      </c>
      <c r="C10250" s="7">
        <v>689464.5</v>
      </c>
      <c r="D10250" s="7">
        <v>2737933.75</v>
      </c>
      <c r="E10250" s="7">
        <v>259.05</v>
      </c>
      <c r="F10250" s="7">
        <v>41916.31</v>
      </c>
      <c r="G10250" s="7">
        <v>104213</v>
      </c>
      <c r="H10250" s="7">
        <f t="shared" si="225"/>
        <v>41904.31</v>
      </c>
      <c r="I10250" s="16"/>
    </row>
    <row r="10251" spans="1:9" s="9" customFormat="1" ht="21" customHeight="1" x14ac:dyDescent="0.6">
      <c r="A10251" s="7">
        <v>24.745468800000001</v>
      </c>
      <c r="B10251" s="7">
        <v>34.8746595</v>
      </c>
      <c r="C10251" s="7">
        <v>689581.32</v>
      </c>
      <c r="D10251" s="7">
        <v>2738062.9</v>
      </c>
      <c r="E10251" s="7">
        <v>254.73</v>
      </c>
      <c r="F10251" s="7">
        <v>41931.449999999997</v>
      </c>
      <c r="G10251" s="7">
        <v>104437</v>
      </c>
      <c r="H10251" s="7">
        <f t="shared" si="225"/>
        <v>41919.449999999997</v>
      </c>
      <c r="I10251" s="16"/>
    </row>
    <row r="10252" spans="1:9" s="9" customFormat="1" ht="21" customHeight="1" x14ac:dyDescent="0.6">
      <c r="A10252" s="7">
        <v>24.7454687</v>
      </c>
      <c r="B10252" s="7">
        <v>34.874659899999997</v>
      </c>
      <c r="C10252" s="7">
        <v>689581.36</v>
      </c>
      <c r="D10252" s="7">
        <v>2738062.88</v>
      </c>
      <c r="E10252" s="7">
        <v>254.71</v>
      </c>
      <c r="F10252" s="7">
        <v>41931.58</v>
      </c>
      <c r="G10252" s="7">
        <v>104446</v>
      </c>
      <c r="H10252" s="7">
        <f t="shared" si="225"/>
        <v>41919.58</v>
      </c>
      <c r="I10252" s="16"/>
    </row>
    <row r="10253" spans="1:9" s="9" customFormat="1" ht="21" customHeight="1" x14ac:dyDescent="0.6">
      <c r="A10253" s="7">
        <v>24.694629299999999</v>
      </c>
      <c r="B10253" s="7">
        <v>34.885489100000001</v>
      </c>
      <c r="C10253" s="7">
        <v>690754.28</v>
      </c>
      <c r="D10253" s="7">
        <v>2732446.77</v>
      </c>
      <c r="E10253" s="7">
        <v>243.27</v>
      </c>
      <c r="F10253" s="7">
        <v>41819.870000000003</v>
      </c>
      <c r="G10253" s="7">
        <v>113740</v>
      </c>
      <c r="H10253" s="7">
        <f>SUM(F10253-11)</f>
        <v>41808.870000000003</v>
      </c>
      <c r="I10253" s="16"/>
    </row>
    <row r="10254" spans="1:9" s="9" customFormat="1" ht="21" customHeight="1" x14ac:dyDescent="0.6">
      <c r="A10254" s="7">
        <v>24.694626700000001</v>
      </c>
      <c r="B10254" s="7">
        <v>34.885492499999998</v>
      </c>
      <c r="C10254" s="7">
        <v>690754.63</v>
      </c>
      <c r="D10254" s="7">
        <v>2732446.49</v>
      </c>
      <c r="E10254" s="7">
        <v>242.43</v>
      </c>
      <c r="F10254" s="7">
        <v>41818.550000000003</v>
      </c>
      <c r="G10254" s="7">
        <v>113752</v>
      </c>
      <c r="H10254" s="7">
        <f t="shared" ref="H10254:H10317" si="226">SUM(F10254-11)</f>
        <v>41807.550000000003</v>
      </c>
      <c r="I10254" s="16"/>
    </row>
    <row r="10255" spans="1:9" s="9" customFormat="1" ht="21" customHeight="1" x14ac:dyDescent="0.6">
      <c r="A10255" s="7">
        <v>24.695653799999999</v>
      </c>
      <c r="B10255" s="7">
        <v>34.884914700000003</v>
      </c>
      <c r="C10255" s="7">
        <v>690694.6</v>
      </c>
      <c r="D10255" s="7">
        <v>2732559.45</v>
      </c>
      <c r="E10255" s="7">
        <v>243.66</v>
      </c>
      <c r="F10255" s="7">
        <v>41808.29</v>
      </c>
      <c r="G10255" s="7">
        <v>113907</v>
      </c>
      <c r="H10255" s="7">
        <f t="shared" si="226"/>
        <v>41797.29</v>
      </c>
      <c r="I10255" s="16"/>
    </row>
    <row r="10256" spans="1:9" s="9" customFormat="1" ht="21" customHeight="1" x14ac:dyDescent="0.6">
      <c r="A10256" s="7">
        <v>24.695654999999999</v>
      </c>
      <c r="B10256" s="7">
        <v>34.884914299999998</v>
      </c>
      <c r="C10256" s="7">
        <v>690694.56</v>
      </c>
      <c r="D10256" s="7">
        <v>2732559.59</v>
      </c>
      <c r="E10256" s="7">
        <v>243.84</v>
      </c>
      <c r="F10256" s="7">
        <v>41810.400000000001</v>
      </c>
      <c r="G10256" s="7">
        <v>113916</v>
      </c>
      <c r="H10256" s="7">
        <f t="shared" si="226"/>
        <v>41799.4</v>
      </c>
      <c r="I10256" s="16"/>
    </row>
    <row r="10257" spans="1:9" s="9" customFormat="1" ht="21" customHeight="1" x14ac:dyDescent="0.6">
      <c r="A10257" s="7">
        <v>24.697327900000001</v>
      </c>
      <c r="B10257" s="7">
        <v>34.884592400000002</v>
      </c>
      <c r="C10257" s="7">
        <v>690659.44</v>
      </c>
      <c r="D10257" s="7">
        <v>2732744.43</v>
      </c>
      <c r="E10257" s="7">
        <v>248.26</v>
      </c>
      <c r="F10257" s="7">
        <v>41793.4</v>
      </c>
      <c r="G10257" s="7">
        <v>114043</v>
      </c>
      <c r="H10257" s="7">
        <f t="shared" si="226"/>
        <v>41782.400000000001</v>
      </c>
      <c r="I10257" s="16"/>
    </row>
    <row r="10258" spans="1:9" s="9" customFormat="1" ht="21" customHeight="1" x14ac:dyDescent="0.6">
      <c r="A10258" s="7">
        <v>24.697331299999998</v>
      </c>
      <c r="B10258" s="7">
        <v>34.8845916</v>
      </c>
      <c r="C10258" s="7">
        <v>690659.35</v>
      </c>
      <c r="D10258" s="7">
        <v>2732744.81</v>
      </c>
      <c r="E10258" s="7">
        <v>248.14</v>
      </c>
      <c r="F10258" s="7">
        <v>41790.36</v>
      </c>
      <c r="G10258" s="7">
        <v>114052</v>
      </c>
      <c r="H10258" s="7">
        <f t="shared" si="226"/>
        <v>41779.360000000001</v>
      </c>
      <c r="I10258" s="16"/>
    </row>
    <row r="10259" spans="1:9" s="9" customFormat="1" ht="21" customHeight="1" x14ac:dyDescent="0.6">
      <c r="A10259" s="7">
        <v>24.697353199999998</v>
      </c>
      <c r="B10259" s="7">
        <v>34.884575599999998</v>
      </c>
      <c r="C10259" s="7">
        <v>690657.7</v>
      </c>
      <c r="D10259" s="7">
        <v>2732747.21</v>
      </c>
      <c r="E10259" s="7">
        <v>248.98</v>
      </c>
      <c r="F10259" s="7">
        <v>41785.300000000003</v>
      </c>
      <c r="G10259" s="7">
        <v>114119</v>
      </c>
      <c r="H10259" s="7">
        <f t="shared" si="226"/>
        <v>41774.300000000003</v>
      </c>
      <c r="I10259" s="16"/>
    </row>
    <row r="10260" spans="1:9" s="9" customFormat="1" ht="21" customHeight="1" x14ac:dyDescent="0.6">
      <c r="A10260" s="7">
        <v>24.699014600000002</v>
      </c>
      <c r="B10260" s="7">
        <v>34.883325599999999</v>
      </c>
      <c r="C10260" s="7">
        <v>690528.68</v>
      </c>
      <c r="D10260" s="7">
        <v>2732929.49</v>
      </c>
      <c r="E10260" s="7">
        <v>249.1</v>
      </c>
      <c r="F10260" s="7">
        <v>41794.94</v>
      </c>
      <c r="G10260" s="7">
        <v>114240</v>
      </c>
      <c r="H10260" s="7">
        <f t="shared" si="226"/>
        <v>41783.94</v>
      </c>
      <c r="I10260" s="16"/>
    </row>
    <row r="10261" spans="1:9" s="9" customFormat="1" ht="21" customHeight="1" x14ac:dyDescent="0.6">
      <c r="A10261" s="7">
        <v>24.699013999999998</v>
      </c>
      <c r="B10261" s="7">
        <v>34.883329000000003</v>
      </c>
      <c r="C10261" s="7">
        <v>690529.03</v>
      </c>
      <c r="D10261" s="7">
        <v>2732929.44</v>
      </c>
      <c r="E10261" s="7">
        <v>248.15</v>
      </c>
      <c r="F10261" s="7">
        <v>41797.26</v>
      </c>
      <c r="G10261" s="7">
        <v>114249</v>
      </c>
      <c r="H10261" s="7">
        <f t="shared" si="226"/>
        <v>41786.26</v>
      </c>
      <c r="I10261" s="16"/>
    </row>
    <row r="10262" spans="1:9" s="9" customFormat="1" ht="21" customHeight="1" x14ac:dyDescent="0.6">
      <c r="A10262" s="7">
        <v>24.7015551</v>
      </c>
      <c r="B10262" s="7">
        <v>34.881619899999997</v>
      </c>
      <c r="C10262" s="7">
        <v>690352.21</v>
      </c>
      <c r="D10262" s="7">
        <v>2733208.52</v>
      </c>
      <c r="E10262" s="7">
        <v>252.5</v>
      </c>
      <c r="F10262" s="7">
        <v>41765.96</v>
      </c>
      <c r="G10262" s="7">
        <v>114431</v>
      </c>
      <c r="H10262" s="7">
        <f t="shared" si="226"/>
        <v>41754.959999999999</v>
      </c>
      <c r="I10262" s="16"/>
    </row>
    <row r="10263" spans="1:9" s="9" customFormat="1" ht="21" customHeight="1" x14ac:dyDescent="0.6">
      <c r="A10263" s="7">
        <v>24.703408</v>
      </c>
      <c r="B10263" s="7">
        <v>34.880091200000003</v>
      </c>
      <c r="C10263" s="7">
        <v>690194.72</v>
      </c>
      <c r="D10263" s="7">
        <v>2733411.63</v>
      </c>
      <c r="E10263" s="7">
        <v>256.49</v>
      </c>
      <c r="F10263" s="7">
        <v>41799.339999999997</v>
      </c>
      <c r="G10263" s="7">
        <v>114610</v>
      </c>
      <c r="H10263" s="7">
        <f t="shared" si="226"/>
        <v>41788.339999999997</v>
      </c>
      <c r="I10263" s="16"/>
    </row>
    <row r="10264" spans="1:9" s="9" customFormat="1" ht="21" customHeight="1" x14ac:dyDescent="0.6">
      <c r="A10264" s="7">
        <v>24.703403900000001</v>
      </c>
      <c r="B10264" s="7">
        <v>34.880090600000003</v>
      </c>
      <c r="C10264" s="7">
        <v>690194.66</v>
      </c>
      <c r="D10264" s="7">
        <v>2733411.17</v>
      </c>
      <c r="E10264" s="7">
        <v>256.69</v>
      </c>
      <c r="F10264" s="7">
        <v>41798.94</v>
      </c>
      <c r="G10264" s="7">
        <v>114619</v>
      </c>
      <c r="H10264" s="7">
        <f t="shared" si="226"/>
        <v>41787.94</v>
      </c>
      <c r="I10264" s="16"/>
    </row>
    <row r="10265" spans="1:9" s="9" customFormat="1" ht="21" customHeight="1" x14ac:dyDescent="0.6">
      <c r="A10265" s="7">
        <v>24.704447800000001</v>
      </c>
      <c r="B10265" s="7">
        <v>34.878431999999997</v>
      </c>
      <c r="C10265" s="7">
        <v>690025.25</v>
      </c>
      <c r="D10265" s="7">
        <v>2733524.49</v>
      </c>
      <c r="E10265" s="7">
        <v>260.27999999999997</v>
      </c>
      <c r="F10265" s="7">
        <v>41811.81</v>
      </c>
      <c r="G10265" s="7">
        <v>114743</v>
      </c>
      <c r="H10265" s="7">
        <f t="shared" si="226"/>
        <v>41800.81</v>
      </c>
      <c r="I10265" s="16"/>
    </row>
    <row r="10266" spans="1:9" s="9" customFormat="1" ht="21" customHeight="1" x14ac:dyDescent="0.6">
      <c r="A10266" s="7">
        <v>24.704450300000001</v>
      </c>
      <c r="B10266" s="7">
        <v>34.8784329</v>
      </c>
      <c r="C10266" s="7">
        <v>690025.33</v>
      </c>
      <c r="D10266" s="7">
        <v>2733524.77</v>
      </c>
      <c r="E10266" s="7">
        <v>259.72000000000003</v>
      </c>
      <c r="F10266" s="7">
        <v>41812.25</v>
      </c>
      <c r="G10266" s="7">
        <v>114755</v>
      </c>
      <c r="H10266" s="7">
        <f t="shared" si="226"/>
        <v>41801.25</v>
      </c>
      <c r="I10266" s="16"/>
    </row>
    <row r="10267" spans="1:9" s="9" customFormat="1" ht="21" customHeight="1" x14ac:dyDescent="0.6">
      <c r="A10267" s="7">
        <v>24.705919000000002</v>
      </c>
      <c r="B10267" s="7">
        <v>34.877726099999997</v>
      </c>
      <c r="C10267" s="7">
        <v>689951.59</v>
      </c>
      <c r="D10267" s="7">
        <v>2733686.48</v>
      </c>
      <c r="E10267" s="7">
        <v>260.86</v>
      </c>
      <c r="F10267" s="7">
        <v>41807.35</v>
      </c>
      <c r="G10267" s="7">
        <v>114907</v>
      </c>
      <c r="H10267" s="7">
        <f t="shared" si="226"/>
        <v>41796.35</v>
      </c>
      <c r="I10267" s="16"/>
    </row>
    <row r="10268" spans="1:9" s="9" customFormat="1" ht="21" customHeight="1" x14ac:dyDescent="0.6">
      <c r="A10268" s="7">
        <v>24.707755599999999</v>
      </c>
      <c r="B10268" s="7">
        <v>34.877412399999997</v>
      </c>
      <c r="C10268" s="7">
        <v>689917.06</v>
      </c>
      <c r="D10268" s="7">
        <v>2733889.46</v>
      </c>
      <c r="E10268" s="7">
        <v>262.39</v>
      </c>
      <c r="F10268" s="7">
        <v>41828.22</v>
      </c>
      <c r="G10268" s="7">
        <v>115028</v>
      </c>
      <c r="H10268" s="7">
        <f t="shared" si="226"/>
        <v>41817.22</v>
      </c>
      <c r="I10268" s="16"/>
    </row>
    <row r="10269" spans="1:9" s="9" customFormat="1" ht="21" customHeight="1" x14ac:dyDescent="0.6">
      <c r="A10269" s="7">
        <v>24.707718100000001</v>
      </c>
      <c r="B10269" s="7">
        <v>34.877405500000002</v>
      </c>
      <c r="C10269" s="7">
        <v>689916.42</v>
      </c>
      <c r="D10269" s="7">
        <v>2733885.3</v>
      </c>
      <c r="E10269" s="7">
        <v>262.36</v>
      </c>
      <c r="F10269" s="7">
        <v>41826.699999999997</v>
      </c>
      <c r="G10269" s="7">
        <v>115040</v>
      </c>
      <c r="H10269" s="7">
        <f t="shared" si="226"/>
        <v>41815.699999999997</v>
      </c>
      <c r="I10269" s="16"/>
    </row>
    <row r="10270" spans="1:9" s="9" customFormat="1" ht="21" customHeight="1" x14ac:dyDescent="0.6">
      <c r="A10270" s="7">
        <v>24.709572600000001</v>
      </c>
      <c r="B10270" s="7">
        <v>34.877258599999998</v>
      </c>
      <c r="C10270" s="7">
        <v>689898.74</v>
      </c>
      <c r="D10270" s="7">
        <v>2734090.51</v>
      </c>
      <c r="E10270" s="7">
        <v>266.43</v>
      </c>
      <c r="F10270" s="7">
        <v>41824.83</v>
      </c>
      <c r="G10270" s="7">
        <v>115207</v>
      </c>
      <c r="H10270" s="7">
        <f t="shared" si="226"/>
        <v>41813.83</v>
      </c>
      <c r="I10270" s="16"/>
    </row>
    <row r="10271" spans="1:9" s="9" customFormat="1" ht="21" customHeight="1" x14ac:dyDescent="0.6">
      <c r="A10271" s="7">
        <v>24.709569800000001</v>
      </c>
      <c r="B10271" s="7">
        <v>34.8772582</v>
      </c>
      <c r="C10271" s="7">
        <v>689898.7</v>
      </c>
      <c r="D10271" s="7">
        <v>2734090.2</v>
      </c>
      <c r="E10271" s="7">
        <v>267.22000000000003</v>
      </c>
      <c r="F10271" s="7">
        <v>41823.879999999997</v>
      </c>
      <c r="G10271" s="7">
        <v>115216</v>
      </c>
      <c r="H10271" s="7">
        <f t="shared" si="226"/>
        <v>41812.879999999997</v>
      </c>
      <c r="I10271" s="16"/>
    </row>
    <row r="10272" spans="1:9" s="9" customFormat="1" ht="21" customHeight="1" x14ac:dyDescent="0.6">
      <c r="A10272" s="7">
        <v>24.711048999999999</v>
      </c>
      <c r="B10272" s="7">
        <v>34.876466700000002</v>
      </c>
      <c r="C10272" s="7">
        <v>689816.38</v>
      </c>
      <c r="D10272" s="7">
        <v>2734252.95</v>
      </c>
      <c r="E10272" s="7">
        <v>272.70999999999998</v>
      </c>
      <c r="F10272" s="7">
        <v>41825</v>
      </c>
      <c r="G10272" s="7">
        <v>115340</v>
      </c>
      <c r="H10272" s="7">
        <f t="shared" si="226"/>
        <v>41814</v>
      </c>
      <c r="I10272" s="16"/>
    </row>
    <row r="10273" spans="1:9" s="9" customFormat="1" ht="21" customHeight="1" x14ac:dyDescent="0.6">
      <c r="A10273" s="7">
        <v>24.711049299999999</v>
      </c>
      <c r="B10273" s="7">
        <v>34.876467099999999</v>
      </c>
      <c r="C10273" s="7">
        <v>689816.42</v>
      </c>
      <c r="D10273" s="7">
        <v>2734252.97</v>
      </c>
      <c r="E10273" s="7">
        <v>272.18</v>
      </c>
      <c r="F10273" s="7">
        <v>41826.339999999997</v>
      </c>
      <c r="G10273" s="7">
        <v>115349</v>
      </c>
      <c r="H10273" s="7">
        <f t="shared" si="226"/>
        <v>41815.339999999997</v>
      </c>
      <c r="I10273" s="16"/>
    </row>
    <row r="10274" spans="1:9" s="9" customFormat="1" ht="21" customHeight="1" x14ac:dyDescent="0.6">
      <c r="A10274" s="7">
        <v>24.7129455</v>
      </c>
      <c r="B10274" s="7">
        <v>34.875763300000003</v>
      </c>
      <c r="C10274" s="7">
        <v>689742.33</v>
      </c>
      <c r="D10274" s="7">
        <v>2734462.03</v>
      </c>
      <c r="E10274" s="7">
        <v>266.95999999999998</v>
      </c>
      <c r="F10274" s="7">
        <v>41837.660000000003</v>
      </c>
      <c r="G10274" s="7">
        <v>115516</v>
      </c>
      <c r="H10274" s="7">
        <f t="shared" si="226"/>
        <v>41826.660000000003</v>
      </c>
      <c r="I10274" s="16"/>
    </row>
    <row r="10275" spans="1:9" s="9" customFormat="1" ht="21" customHeight="1" x14ac:dyDescent="0.6">
      <c r="A10275" s="7">
        <v>24.7129461</v>
      </c>
      <c r="B10275" s="7">
        <v>34.875767600000003</v>
      </c>
      <c r="C10275" s="7">
        <v>689742.76</v>
      </c>
      <c r="D10275" s="7">
        <v>2734462.1</v>
      </c>
      <c r="E10275" s="7">
        <v>265.57</v>
      </c>
      <c r="F10275" s="7">
        <v>41838.61</v>
      </c>
      <c r="G10275" s="7">
        <v>115525</v>
      </c>
      <c r="H10275" s="7">
        <f t="shared" si="226"/>
        <v>41827.61</v>
      </c>
      <c r="I10275" s="16"/>
    </row>
    <row r="10276" spans="1:9" s="9" customFormat="1" ht="21" customHeight="1" x14ac:dyDescent="0.6">
      <c r="A10276" s="7">
        <v>24.713996699999999</v>
      </c>
      <c r="B10276" s="7">
        <v>34.874247599999997</v>
      </c>
      <c r="C10276" s="7">
        <v>689587.39</v>
      </c>
      <c r="D10276" s="7">
        <v>2734576.36</v>
      </c>
      <c r="E10276" s="7">
        <v>271.04000000000002</v>
      </c>
      <c r="F10276" s="7">
        <v>41850.449999999997</v>
      </c>
      <c r="G10276" s="7">
        <v>115637</v>
      </c>
      <c r="H10276" s="7">
        <f t="shared" si="226"/>
        <v>41839.449999999997</v>
      </c>
      <c r="I10276" s="16"/>
    </row>
    <row r="10277" spans="1:9" s="9" customFormat="1" ht="21" customHeight="1" x14ac:dyDescent="0.6">
      <c r="A10277" s="7">
        <v>24.715338299999999</v>
      </c>
      <c r="B10277" s="7">
        <v>34.872385899999998</v>
      </c>
      <c r="C10277" s="7">
        <v>689396.99</v>
      </c>
      <c r="D10277" s="7">
        <v>2734722.39</v>
      </c>
      <c r="E10277" s="7">
        <v>274.70999999999998</v>
      </c>
      <c r="F10277" s="7">
        <v>41845.300000000003</v>
      </c>
      <c r="G10277" s="7">
        <v>115810</v>
      </c>
      <c r="H10277" s="7">
        <f t="shared" si="226"/>
        <v>41834.300000000003</v>
      </c>
      <c r="I10277" s="16"/>
    </row>
    <row r="10278" spans="1:9" s="9" customFormat="1" ht="21" customHeight="1" x14ac:dyDescent="0.6">
      <c r="A10278" s="7">
        <v>24.715336700000002</v>
      </c>
      <c r="B10278" s="7">
        <v>34.872383999999997</v>
      </c>
      <c r="C10278" s="7">
        <v>689396.8</v>
      </c>
      <c r="D10278" s="7">
        <v>2734722.21</v>
      </c>
      <c r="E10278" s="7">
        <v>274.81</v>
      </c>
      <c r="F10278" s="7">
        <v>41846.730000000003</v>
      </c>
      <c r="G10278" s="7">
        <v>115819</v>
      </c>
      <c r="H10278" s="7">
        <f t="shared" si="226"/>
        <v>41835.730000000003</v>
      </c>
      <c r="I10278" s="16"/>
    </row>
    <row r="10279" spans="1:9" s="9" customFormat="1" ht="21" customHeight="1" x14ac:dyDescent="0.6">
      <c r="A10279" s="7">
        <v>24.7172807</v>
      </c>
      <c r="B10279" s="7">
        <v>34.871228799999997</v>
      </c>
      <c r="C10279" s="7">
        <v>689276.98</v>
      </c>
      <c r="D10279" s="7">
        <v>2734935.94</v>
      </c>
      <c r="E10279" s="7">
        <v>279.23</v>
      </c>
      <c r="F10279" s="7">
        <v>41824.800000000003</v>
      </c>
      <c r="G10279" s="7">
        <v>115955</v>
      </c>
      <c r="H10279" s="7">
        <f t="shared" si="226"/>
        <v>41813.800000000003</v>
      </c>
      <c r="I10279" s="16"/>
    </row>
    <row r="10280" spans="1:9" s="9" customFormat="1" ht="21" customHeight="1" x14ac:dyDescent="0.6">
      <c r="A10280" s="7">
        <v>24.717281400000001</v>
      </c>
      <c r="B10280" s="7">
        <v>34.8712315</v>
      </c>
      <c r="C10280" s="7">
        <v>689277.25</v>
      </c>
      <c r="D10280" s="7">
        <v>2734936.02</v>
      </c>
      <c r="E10280" s="7">
        <v>279.02</v>
      </c>
      <c r="F10280" s="7">
        <v>41825.81</v>
      </c>
      <c r="G10280" s="7">
        <v>120004</v>
      </c>
      <c r="H10280" s="7">
        <f t="shared" si="226"/>
        <v>41814.81</v>
      </c>
      <c r="I10280" s="16"/>
    </row>
    <row r="10281" spans="1:9" s="9" customFormat="1" ht="21" customHeight="1" x14ac:dyDescent="0.6">
      <c r="A10281" s="7">
        <v>24.718792799999999</v>
      </c>
      <c r="B10281" s="7">
        <v>34.8697576</v>
      </c>
      <c r="C10281" s="7">
        <v>689125.85</v>
      </c>
      <c r="D10281" s="7">
        <v>2735101.39</v>
      </c>
      <c r="E10281" s="7">
        <v>282.11</v>
      </c>
      <c r="F10281" s="7">
        <v>41845.56</v>
      </c>
      <c r="G10281" s="7">
        <v>120140</v>
      </c>
      <c r="H10281" s="7">
        <f t="shared" si="226"/>
        <v>41834.559999999998</v>
      </c>
      <c r="I10281" s="16"/>
    </row>
    <row r="10282" spans="1:9" s="9" customFormat="1" ht="21" customHeight="1" x14ac:dyDescent="0.6">
      <c r="A10282" s="7">
        <v>24.718795700000001</v>
      </c>
      <c r="B10282" s="7">
        <v>34.869759000000002</v>
      </c>
      <c r="C10282" s="7">
        <v>689125.98</v>
      </c>
      <c r="D10282" s="7">
        <v>2735101.72</v>
      </c>
      <c r="E10282" s="7">
        <v>281.82</v>
      </c>
      <c r="F10282" s="7">
        <v>41845.94</v>
      </c>
      <c r="G10282" s="7">
        <v>120149</v>
      </c>
      <c r="H10282" s="7">
        <f t="shared" si="226"/>
        <v>41834.94</v>
      </c>
      <c r="I10282" s="16"/>
    </row>
    <row r="10283" spans="1:9" s="9" customFormat="1" ht="21" customHeight="1" x14ac:dyDescent="0.6">
      <c r="A10283" s="7">
        <v>24.7204774</v>
      </c>
      <c r="B10283" s="7">
        <v>34.868876399999998</v>
      </c>
      <c r="C10283" s="7">
        <v>689034.15</v>
      </c>
      <c r="D10283" s="7">
        <v>2735286.77</v>
      </c>
      <c r="E10283" s="7">
        <v>285.77999999999997</v>
      </c>
      <c r="F10283" s="7">
        <v>41854.839999999997</v>
      </c>
      <c r="G10283" s="7">
        <v>120316</v>
      </c>
      <c r="H10283" s="7">
        <f t="shared" si="226"/>
        <v>41843.839999999997</v>
      </c>
      <c r="I10283" s="16"/>
    </row>
    <row r="10284" spans="1:9" s="9" customFormat="1" ht="21" customHeight="1" x14ac:dyDescent="0.6">
      <c r="A10284" s="7">
        <v>24.720475</v>
      </c>
      <c r="B10284" s="7">
        <v>34.8688766</v>
      </c>
      <c r="C10284" s="7">
        <v>689034.17</v>
      </c>
      <c r="D10284" s="7">
        <v>2735286.5</v>
      </c>
      <c r="E10284" s="7">
        <v>285.57</v>
      </c>
      <c r="F10284" s="7">
        <v>41854.94</v>
      </c>
      <c r="G10284" s="7">
        <v>120325</v>
      </c>
      <c r="H10284" s="7">
        <f t="shared" si="226"/>
        <v>41843.94</v>
      </c>
      <c r="I10284" s="16"/>
    </row>
    <row r="10285" spans="1:9" s="9" customFormat="1" ht="21" customHeight="1" x14ac:dyDescent="0.6">
      <c r="A10285" s="7">
        <v>24.721741099999999</v>
      </c>
      <c r="B10285" s="7">
        <v>34.867868299999998</v>
      </c>
      <c r="C10285" s="7">
        <v>688930.24</v>
      </c>
      <c r="D10285" s="7">
        <v>2735425.34</v>
      </c>
      <c r="E10285" s="7">
        <v>287.64</v>
      </c>
      <c r="F10285" s="7">
        <v>41852.050000000003</v>
      </c>
      <c r="G10285" s="7">
        <v>120440</v>
      </c>
      <c r="H10285" s="7">
        <f t="shared" si="226"/>
        <v>41841.050000000003</v>
      </c>
      <c r="I10285" s="16"/>
    </row>
    <row r="10286" spans="1:9" s="9" customFormat="1" ht="21" customHeight="1" x14ac:dyDescent="0.6">
      <c r="A10286" s="7">
        <v>24.721740799999999</v>
      </c>
      <c r="B10286" s="7">
        <v>34.867868999999999</v>
      </c>
      <c r="C10286" s="7">
        <v>688930.31</v>
      </c>
      <c r="D10286" s="7">
        <v>2735425.31</v>
      </c>
      <c r="E10286" s="7">
        <v>288.08</v>
      </c>
      <c r="F10286" s="7">
        <v>41851.79</v>
      </c>
      <c r="G10286" s="7">
        <v>120449</v>
      </c>
      <c r="H10286" s="7">
        <f t="shared" si="226"/>
        <v>41840.79</v>
      </c>
      <c r="I10286" s="16"/>
    </row>
    <row r="10287" spans="1:9" s="9" customFormat="1" ht="21" customHeight="1" x14ac:dyDescent="0.6">
      <c r="A10287" s="7">
        <v>24.7232296</v>
      </c>
      <c r="B10287" s="7">
        <v>34.866731299999998</v>
      </c>
      <c r="C10287" s="7">
        <v>688812.97</v>
      </c>
      <c r="D10287" s="7">
        <v>2735588.65</v>
      </c>
      <c r="E10287" s="7">
        <v>285.06</v>
      </c>
      <c r="F10287" s="7">
        <v>41856.639999999999</v>
      </c>
      <c r="G10287" s="7">
        <v>120643</v>
      </c>
      <c r="H10287" s="7">
        <f t="shared" si="226"/>
        <v>41845.64</v>
      </c>
      <c r="I10287" s="16"/>
    </row>
    <row r="10288" spans="1:9" s="9" customFormat="1" ht="21" customHeight="1" x14ac:dyDescent="0.6">
      <c r="A10288" s="7">
        <v>24.7232305</v>
      </c>
      <c r="B10288" s="7">
        <v>34.866731600000001</v>
      </c>
      <c r="C10288" s="7">
        <v>688813</v>
      </c>
      <c r="D10288" s="7">
        <v>2735588.75</v>
      </c>
      <c r="E10288" s="7">
        <v>285.14</v>
      </c>
      <c r="F10288" s="7">
        <v>41858.480000000003</v>
      </c>
      <c r="G10288" s="7">
        <v>120652</v>
      </c>
      <c r="H10288" s="7">
        <f t="shared" si="226"/>
        <v>41847.480000000003</v>
      </c>
      <c r="I10288" s="16"/>
    </row>
    <row r="10289" spans="1:9" s="9" customFormat="1" ht="21" customHeight="1" x14ac:dyDescent="0.6">
      <c r="A10289" s="7">
        <v>24.724793500000001</v>
      </c>
      <c r="B10289" s="7">
        <v>34.865366600000002</v>
      </c>
      <c r="C10289" s="7">
        <v>688672.53</v>
      </c>
      <c r="D10289" s="7">
        <v>2735759.99</v>
      </c>
      <c r="E10289" s="7">
        <v>288</v>
      </c>
      <c r="F10289" s="7">
        <v>41861.360000000001</v>
      </c>
      <c r="G10289" s="7">
        <v>120831</v>
      </c>
      <c r="H10289" s="7">
        <f t="shared" si="226"/>
        <v>41850.36</v>
      </c>
      <c r="I10289" s="16"/>
    </row>
    <row r="10290" spans="1:9" s="9" customFormat="1" ht="21" customHeight="1" x14ac:dyDescent="0.6">
      <c r="A10290" s="7">
        <v>24.726549299999999</v>
      </c>
      <c r="B10290" s="7">
        <v>34.864156700000002</v>
      </c>
      <c r="C10290" s="7">
        <v>688547.48</v>
      </c>
      <c r="D10290" s="7">
        <v>2735952.8</v>
      </c>
      <c r="E10290" s="7">
        <v>290</v>
      </c>
      <c r="F10290" s="7">
        <v>41862.65</v>
      </c>
      <c r="G10290" s="7">
        <v>121001</v>
      </c>
      <c r="H10290" s="7">
        <f t="shared" si="226"/>
        <v>41851.65</v>
      </c>
      <c r="I10290" s="16"/>
    </row>
    <row r="10291" spans="1:9" s="9" customFormat="1" ht="21" customHeight="1" x14ac:dyDescent="0.6">
      <c r="A10291" s="7">
        <v>24.726553500000001</v>
      </c>
      <c r="B10291" s="7">
        <v>34.864153399999999</v>
      </c>
      <c r="C10291" s="7">
        <v>688547.15</v>
      </c>
      <c r="D10291" s="7">
        <v>2735953.26</v>
      </c>
      <c r="E10291" s="7">
        <v>289.56</v>
      </c>
      <c r="F10291" s="7">
        <v>41863.46</v>
      </c>
      <c r="G10291" s="7">
        <v>121010</v>
      </c>
      <c r="H10291" s="7">
        <f t="shared" si="226"/>
        <v>41852.46</v>
      </c>
      <c r="I10291" s="16"/>
    </row>
    <row r="10292" spans="1:9" s="9" customFormat="1" ht="21" customHeight="1" x14ac:dyDescent="0.6">
      <c r="A10292" s="7">
        <v>24.728590199999999</v>
      </c>
      <c r="B10292" s="7">
        <v>34.862867299999998</v>
      </c>
      <c r="C10292" s="7">
        <v>688413.97</v>
      </c>
      <c r="D10292" s="7">
        <v>2736177.08</v>
      </c>
      <c r="E10292" s="7">
        <v>294.06</v>
      </c>
      <c r="F10292" s="7">
        <v>41871.160000000003</v>
      </c>
      <c r="G10292" s="7">
        <v>121140</v>
      </c>
      <c r="H10292" s="7">
        <f t="shared" si="226"/>
        <v>41860.160000000003</v>
      </c>
      <c r="I10292" s="16"/>
    </row>
    <row r="10293" spans="1:9" s="9" customFormat="1" ht="21" customHeight="1" x14ac:dyDescent="0.6">
      <c r="A10293" s="7">
        <v>24.7285921</v>
      </c>
      <c r="B10293" s="7">
        <v>34.862870600000001</v>
      </c>
      <c r="C10293" s="7">
        <v>688414.3</v>
      </c>
      <c r="D10293" s="7">
        <v>2736177.3</v>
      </c>
      <c r="E10293" s="7">
        <v>294.18</v>
      </c>
      <c r="F10293" s="7">
        <v>41869.08</v>
      </c>
      <c r="G10293" s="7">
        <v>121149</v>
      </c>
      <c r="H10293" s="7">
        <f t="shared" si="226"/>
        <v>41858.080000000002</v>
      </c>
      <c r="I10293" s="16"/>
    </row>
    <row r="10294" spans="1:9" s="9" customFormat="1" ht="21" customHeight="1" x14ac:dyDescent="0.6">
      <c r="A10294" s="7">
        <v>24.7297975</v>
      </c>
      <c r="B10294" s="7">
        <v>34.861728300000003</v>
      </c>
      <c r="C10294" s="7">
        <v>688296.92</v>
      </c>
      <c r="D10294" s="7">
        <v>2736309.23</v>
      </c>
      <c r="E10294" s="7">
        <v>297.70999999999998</v>
      </c>
      <c r="F10294" s="7">
        <v>41873.97</v>
      </c>
      <c r="G10294" s="7">
        <v>121301</v>
      </c>
      <c r="H10294" s="7">
        <f t="shared" si="226"/>
        <v>41862.97</v>
      </c>
      <c r="I10294" s="16"/>
    </row>
    <row r="10295" spans="1:9" s="9" customFormat="1" ht="21" customHeight="1" x14ac:dyDescent="0.6">
      <c r="A10295" s="7">
        <v>24.729799199999999</v>
      </c>
      <c r="B10295" s="7">
        <v>34.861727000000002</v>
      </c>
      <c r="C10295" s="7">
        <v>688296.79</v>
      </c>
      <c r="D10295" s="7">
        <v>2736309.42</v>
      </c>
      <c r="E10295" s="7">
        <v>297.48</v>
      </c>
      <c r="F10295" s="7">
        <v>41875.74</v>
      </c>
      <c r="G10295" s="7">
        <v>121310</v>
      </c>
      <c r="H10295" s="7">
        <f t="shared" si="226"/>
        <v>41864.74</v>
      </c>
      <c r="I10295" s="16"/>
    </row>
    <row r="10296" spans="1:9" s="9" customFormat="1" ht="21" customHeight="1" x14ac:dyDescent="0.6">
      <c r="A10296" s="7">
        <v>24.731394999999999</v>
      </c>
      <c r="B10296" s="7">
        <v>34.860367699999998</v>
      </c>
      <c r="C10296" s="7">
        <v>688156.87</v>
      </c>
      <c r="D10296" s="7">
        <v>2736484.31</v>
      </c>
      <c r="E10296" s="7">
        <v>302.02</v>
      </c>
      <c r="F10296" s="7">
        <v>41883.83</v>
      </c>
      <c r="G10296" s="7">
        <v>121625</v>
      </c>
      <c r="H10296" s="7">
        <f t="shared" si="226"/>
        <v>41872.83</v>
      </c>
      <c r="I10296" s="16"/>
    </row>
    <row r="10297" spans="1:9" s="9" customFormat="1" ht="21" customHeight="1" x14ac:dyDescent="0.6">
      <c r="A10297" s="7">
        <v>24.731395299999999</v>
      </c>
      <c r="B10297" s="7">
        <v>34.860370199999998</v>
      </c>
      <c r="C10297" s="7">
        <v>688157.12</v>
      </c>
      <c r="D10297" s="7">
        <v>2736484.34</v>
      </c>
      <c r="E10297" s="7">
        <v>301.94</v>
      </c>
      <c r="F10297" s="7">
        <v>41885.35</v>
      </c>
      <c r="G10297" s="7">
        <v>121634</v>
      </c>
      <c r="H10297" s="7">
        <f t="shared" si="226"/>
        <v>41874.35</v>
      </c>
      <c r="I10297" s="16"/>
    </row>
    <row r="10298" spans="1:9" s="9" customFormat="1" ht="21" customHeight="1" x14ac:dyDescent="0.6">
      <c r="A10298" s="7">
        <v>24.732457799999999</v>
      </c>
      <c r="B10298" s="7">
        <v>34.859304399999999</v>
      </c>
      <c r="C10298" s="7">
        <v>688047.7</v>
      </c>
      <c r="D10298" s="7">
        <v>2736600.57</v>
      </c>
      <c r="E10298" s="7">
        <v>297.33999999999997</v>
      </c>
      <c r="F10298" s="7">
        <v>41883.769999999997</v>
      </c>
      <c r="G10298" s="7">
        <v>121749</v>
      </c>
      <c r="H10298" s="7">
        <f t="shared" si="226"/>
        <v>41872.769999999997</v>
      </c>
      <c r="I10298" s="16"/>
    </row>
    <row r="10299" spans="1:9" s="9" customFormat="1" ht="21" customHeight="1" x14ac:dyDescent="0.6">
      <c r="A10299" s="7">
        <v>24.732461799999999</v>
      </c>
      <c r="B10299" s="7">
        <v>34.859305300000003</v>
      </c>
      <c r="C10299" s="7">
        <v>688047.8</v>
      </c>
      <c r="D10299" s="7">
        <v>2736601.01</v>
      </c>
      <c r="E10299" s="7">
        <v>297.42</v>
      </c>
      <c r="F10299" s="7">
        <v>41884.410000000003</v>
      </c>
      <c r="G10299" s="7">
        <v>121758</v>
      </c>
      <c r="H10299" s="7">
        <f t="shared" si="226"/>
        <v>41873.410000000003</v>
      </c>
      <c r="I10299" s="16"/>
    </row>
    <row r="10300" spans="1:9" s="9" customFormat="1" ht="21" customHeight="1" x14ac:dyDescent="0.6">
      <c r="A10300" s="7">
        <v>24.733680199999998</v>
      </c>
      <c r="B10300" s="7">
        <v>34.8577607</v>
      </c>
      <c r="C10300" s="7">
        <v>687889.71</v>
      </c>
      <c r="D10300" s="7">
        <v>2736733.84</v>
      </c>
      <c r="E10300" s="7">
        <v>294.95999999999998</v>
      </c>
      <c r="F10300" s="7">
        <v>41885.93</v>
      </c>
      <c r="G10300" s="7">
        <v>121946</v>
      </c>
      <c r="H10300" s="7">
        <f t="shared" si="226"/>
        <v>41874.93</v>
      </c>
      <c r="I10300" s="16"/>
    </row>
    <row r="10301" spans="1:9" s="9" customFormat="1" ht="21" customHeight="1" x14ac:dyDescent="0.6">
      <c r="A10301" s="7">
        <v>24.7336843</v>
      </c>
      <c r="B10301" s="7">
        <v>34.857764400000001</v>
      </c>
      <c r="C10301" s="7">
        <v>687890.08</v>
      </c>
      <c r="D10301" s="7">
        <v>2736734.3</v>
      </c>
      <c r="E10301" s="7">
        <v>295.18</v>
      </c>
      <c r="F10301" s="7">
        <v>41886.76</v>
      </c>
      <c r="G10301" s="7">
        <v>121958</v>
      </c>
      <c r="H10301" s="7">
        <f t="shared" si="226"/>
        <v>41875.760000000002</v>
      </c>
      <c r="I10301" s="16"/>
    </row>
    <row r="10302" spans="1:9" s="9" customFormat="1" ht="21" customHeight="1" x14ac:dyDescent="0.6">
      <c r="A10302" s="7">
        <v>24.735389399999999</v>
      </c>
      <c r="B10302" s="7">
        <v>34.855680599999999</v>
      </c>
      <c r="C10302" s="7">
        <v>687676.71</v>
      </c>
      <c r="D10302" s="7">
        <v>2736920.3</v>
      </c>
      <c r="E10302" s="7">
        <v>297.74</v>
      </c>
      <c r="F10302" s="7">
        <v>41890.769999999997</v>
      </c>
      <c r="G10302" s="7">
        <v>122222</v>
      </c>
      <c r="H10302" s="7">
        <f t="shared" si="226"/>
        <v>41879.769999999997</v>
      </c>
      <c r="I10302" s="16"/>
    </row>
    <row r="10303" spans="1:9" s="9" customFormat="1" ht="21" customHeight="1" x14ac:dyDescent="0.6">
      <c r="A10303" s="7">
        <v>24.7353852</v>
      </c>
      <c r="B10303" s="7">
        <v>34.855682700000003</v>
      </c>
      <c r="C10303" s="7">
        <v>687676.93</v>
      </c>
      <c r="D10303" s="7">
        <v>2736919.84</v>
      </c>
      <c r="E10303" s="7">
        <v>297.7</v>
      </c>
      <c r="F10303" s="7">
        <v>41890.42</v>
      </c>
      <c r="G10303" s="7">
        <v>122237</v>
      </c>
      <c r="H10303" s="7">
        <f t="shared" si="226"/>
        <v>41879.42</v>
      </c>
      <c r="I10303" s="16"/>
    </row>
    <row r="10304" spans="1:9" s="9" customFormat="1" ht="21" customHeight="1" x14ac:dyDescent="0.6">
      <c r="A10304" s="7">
        <v>24.735385300000001</v>
      </c>
      <c r="B10304" s="7">
        <v>34.855682399999999</v>
      </c>
      <c r="C10304" s="7">
        <v>687676.9</v>
      </c>
      <c r="D10304" s="7">
        <v>2736919.85</v>
      </c>
      <c r="E10304" s="7">
        <v>297.67</v>
      </c>
      <c r="F10304" s="7">
        <v>41890.080000000002</v>
      </c>
      <c r="G10304" s="7">
        <v>122255</v>
      </c>
      <c r="H10304" s="7">
        <f t="shared" si="226"/>
        <v>41879.08</v>
      </c>
      <c r="I10304" s="16"/>
    </row>
    <row r="10305" spans="1:9" s="9" customFormat="1" ht="21" customHeight="1" x14ac:dyDescent="0.6">
      <c r="A10305" s="7">
        <v>24.736675399999999</v>
      </c>
      <c r="B10305" s="7">
        <v>34.854132999999997</v>
      </c>
      <c r="C10305" s="7">
        <v>687518.24</v>
      </c>
      <c r="D10305" s="7">
        <v>2737060.62</v>
      </c>
      <c r="E10305" s="7">
        <v>299.87</v>
      </c>
      <c r="F10305" s="7">
        <v>41885.53</v>
      </c>
      <c r="G10305" s="7">
        <v>122913</v>
      </c>
      <c r="H10305" s="7">
        <f t="shared" si="226"/>
        <v>41874.53</v>
      </c>
      <c r="I10305" s="16"/>
    </row>
    <row r="10306" spans="1:9" s="9" customFormat="1" ht="21" customHeight="1" x14ac:dyDescent="0.6">
      <c r="A10306" s="7">
        <v>24.736677</v>
      </c>
      <c r="B10306" s="7">
        <v>34.8541332</v>
      </c>
      <c r="C10306" s="7">
        <v>687518.25</v>
      </c>
      <c r="D10306" s="7">
        <v>2737060.8</v>
      </c>
      <c r="E10306" s="7">
        <v>299.73</v>
      </c>
      <c r="F10306" s="7">
        <v>41886.26</v>
      </c>
      <c r="G10306" s="7">
        <v>122922</v>
      </c>
      <c r="H10306" s="7">
        <f t="shared" si="226"/>
        <v>41875.26</v>
      </c>
      <c r="I10306" s="16"/>
    </row>
    <row r="10307" spans="1:9" s="9" customFormat="1" ht="21" customHeight="1" x14ac:dyDescent="0.6">
      <c r="A10307" s="7">
        <v>24.737592299999999</v>
      </c>
      <c r="B10307" s="7">
        <v>34.8529184</v>
      </c>
      <c r="C10307" s="7">
        <v>687393.99</v>
      </c>
      <c r="D10307" s="7">
        <v>2737160.52</v>
      </c>
      <c r="E10307" s="7">
        <v>303.74</v>
      </c>
      <c r="F10307" s="7">
        <v>41886.53</v>
      </c>
      <c r="G10307" s="7">
        <v>123107</v>
      </c>
      <c r="H10307" s="7">
        <f t="shared" si="226"/>
        <v>41875.53</v>
      </c>
      <c r="I10307" s="16"/>
    </row>
    <row r="10308" spans="1:9" s="9" customFormat="1" ht="21" customHeight="1" x14ac:dyDescent="0.6">
      <c r="A10308" s="7">
        <v>24.7375182</v>
      </c>
      <c r="B10308" s="7">
        <v>34.852907100000003</v>
      </c>
      <c r="C10308" s="7">
        <v>687392.95</v>
      </c>
      <c r="D10308" s="7">
        <v>2737152.3</v>
      </c>
      <c r="E10308" s="7">
        <v>303.27999999999997</v>
      </c>
      <c r="F10308" s="7">
        <v>41889.26</v>
      </c>
      <c r="G10308" s="7">
        <v>123134</v>
      </c>
      <c r="H10308" s="7">
        <f t="shared" si="226"/>
        <v>41878.26</v>
      </c>
      <c r="I10308" s="16"/>
    </row>
    <row r="10309" spans="1:9" s="9" customFormat="1" ht="21" customHeight="1" x14ac:dyDescent="0.6">
      <c r="A10309" s="7">
        <v>24.738996700000001</v>
      </c>
      <c r="B10309" s="7">
        <v>34.851408399999997</v>
      </c>
      <c r="C10309" s="7">
        <v>687239.14</v>
      </c>
      <c r="D10309" s="7">
        <v>2737314.01</v>
      </c>
      <c r="E10309" s="7">
        <v>310.05</v>
      </c>
      <c r="F10309" s="7">
        <v>41889.629999999997</v>
      </c>
      <c r="G10309" s="7">
        <v>123728</v>
      </c>
      <c r="H10309" s="7">
        <f t="shared" si="226"/>
        <v>41878.629999999997</v>
      </c>
      <c r="I10309" s="16"/>
    </row>
    <row r="10310" spans="1:9" s="9" customFormat="1" ht="21" customHeight="1" x14ac:dyDescent="0.6">
      <c r="A10310" s="7">
        <v>24.7389993</v>
      </c>
      <c r="B10310" s="7">
        <v>34.851409199999999</v>
      </c>
      <c r="C10310" s="7">
        <v>687239.21</v>
      </c>
      <c r="D10310" s="7">
        <v>2737314.29</v>
      </c>
      <c r="E10310" s="7">
        <v>309.99</v>
      </c>
      <c r="F10310" s="7">
        <v>41889.97</v>
      </c>
      <c r="G10310" s="7">
        <v>123737</v>
      </c>
      <c r="H10310" s="7">
        <f t="shared" si="226"/>
        <v>41878.97</v>
      </c>
      <c r="I10310" s="16"/>
    </row>
    <row r="10311" spans="1:9" s="9" customFormat="1" ht="21" customHeight="1" x14ac:dyDescent="0.6">
      <c r="A10311" s="7">
        <v>24.739993399999999</v>
      </c>
      <c r="B10311" s="7">
        <v>34.850219899999999</v>
      </c>
      <c r="C10311" s="7">
        <v>687117.42</v>
      </c>
      <c r="D10311" s="7">
        <v>2737422.78</v>
      </c>
      <c r="E10311" s="7">
        <v>317.2</v>
      </c>
      <c r="F10311" s="7">
        <v>41886.35</v>
      </c>
      <c r="G10311" s="7">
        <v>123958</v>
      </c>
      <c r="H10311" s="7">
        <f t="shared" si="226"/>
        <v>41875.35</v>
      </c>
      <c r="I10311" s="16"/>
    </row>
    <row r="10312" spans="1:9" s="9" customFormat="1" ht="21" customHeight="1" x14ac:dyDescent="0.6">
      <c r="A10312" s="7">
        <v>24.739996900000001</v>
      </c>
      <c r="B10312" s="7">
        <v>34.850211700000003</v>
      </c>
      <c r="C10312" s="7">
        <v>687116.59</v>
      </c>
      <c r="D10312" s="7">
        <v>2737423.15</v>
      </c>
      <c r="E10312" s="7">
        <v>317.39999999999998</v>
      </c>
      <c r="F10312" s="7">
        <v>41890.39</v>
      </c>
      <c r="G10312" s="7">
        <v>124016</v>
      </c>
      <c r="H10312" s="7">
        <f t="shared" si="226"/>
        <v>41879.39</v>
      </c>
      <c r="I10312" s="16"/>
    </row>
    <row r="10313" spans="1:9" s="9" customFormat="1" ht="21" customHeight="1" x14ac:dyDescent="0.6">
      <c r="A10313" s="7">
        <v>24.7414393</v>
      </c>
      <c r="B10313" s="7">
        <v>34.848755699999998</v>
      </c>
      <c r="C10313" s="7">
        <v>686967.15</v>
      </c>
      <c r="D10313" s="7">
        <v>2737580.93</v>
      </c>
      <c r="E10313" s="7">
        <v>306.75</v>
      </c>
      <c r="F10313" s="7">
        <v>41900.18</v>
      </c>
      <c r="G10313" s="7">
        <v>124210</v>
      </c>
      <c r="H10313" s="7">
        <f t="shared" si="226"/>
        <v>41889.18</v>
      </c>
      <c r="I10313" s="16"/>
    </row>
    <row r="10314" spans="1:9" s="9" customFormat="1" ht="21" customHeight="1" x14ac:dyDescent="0.6">
      <c r="A10314" s="7">
        <v>24.7414378</v>
      </c>
      <c r="B10314" s="7">
        <v>34.848757200000001</v>
      </c>
      <c r="C10314" s="7">
        <v>686967.3</v>
      </c>
      <c r="D10314" s="7">
        <v>2737580.76</v>
      </c>
      <c r="E10314" s="7">
        <v>306.98</v>
      </c>
      <c r="F10314" s="7">
        <v>41899.019999999997</v>
      </c>
      <c r="G10314" s="7">
        <v>124225</v>
      </c>
      <c r="H10314" s="7">
        <f t="shared" si="226"/>
        <v>41888.019999999997</v>
      </c>
      <c r="I10314" s="16"/>
    </row>
    <row r="10315" spans="1:9" s="9" customFormat="1" ht="21" customHeight="1" x14ac:dyDescent="0.6">
      <c r="A10315" s="7">
        <v>24.743151999999998</v>
      </c>
      <c r="B10315" s="7">
        <v>34.849167299999998</v>
      </c>
      <c r="C10315" s="7">
        <v>687006.22</v>
      </c>
      <c r="D10315" s="7">
        <v>2737771.19</v>
      </c>
      <c r="E10315" s="7">
        <v>303.58</v>
      </c>
      <c r="F10315" s="7">
        <v>41863.57</v>
      </c>
      <c r="G10315" s="7">
        <v>124510</v>
      </c>
      <c r="H10315" s="7">
        <f t="shared" si="226"/>
        <v>41852.57</v>
      </c>
      <c r="I10315" s="16"/>
    </row>
    <row r="10316" spans="1:9" s="9" customFormat="1" ht="21" customHeight="1" x14ac:dyDescent="0.6">
      <c r="A10316" s="7">
        <v>24.743151699999999</v>
      </c>
      <c r="B10316" s="7">
        <v>34.849167299999998</v>
      </c>
      <c r="C10316" s="7">
        <v>687006.22</v>
      </c>
      <c r="D10316" s="7">
        <v>2737771.16</v>
      </c>
      <c r="E10316" s="7">
        <v>303.55</v>
      </c>
      <c r="F10316" s="7">
        <v>41863.980000000003</v>
      </c>
      <c r="G10316" s="7">
        <v>124519</v>
      </c>
      <c r="H10316" s="7">
        <f t="shared" si="226"/>
        <v>41852.980000000003</v>
      </c>
      <c r="I10316" s="16"/>
    </row>
    <row r="10317" spans="1:9" s="9" customFormat="1" ht="21" customHeight="1" x14ac:dyDescent="0.6">
      <c r="A10317" s="7">
        <v>24.744651399999999</v>
      </c>
      <c r="B10317" s="7">
        <v>34.850687299999997</v>
      </c>
      <c r="C10317" s="7">
        <v>687157.72</v>
      </c>
      <c r="D10317" s="7">
        <v>2737939.35</v>
      </c>
      <c r="E10317" s="7">
        <v>297.75</v>
      </c>
      <c r="F10317" s="7">
        <v>41873.67</v>
      </c>
      <c r="G10317" s="7">
        <v>124731</v>
      </c>
      <c r="H10317" s="7">
        <f t="shared" si="226"/>
        <v>41862.67</v>
      </c>
      <c r="I10317" s="16"/>
    </row>
    <row r="10318" spans="1:9" s="9" customFormat="1" ht="21" customHeight="1" x14ac:dyDescent="0.6">
      <c r="A10318" s="7">
        <v>24.744649200000001</v>
      </c>
      <c r="B10318" s="7">
        <v>34.850684800000003</v>
      </c>
      <c r="C10318" s="7">
        <v>687157.48</v>
      </c>
      <c r="D10318" s="7">
        <v>2737939.1</v>
      </c>
      <c r="E10318" s="7">
        <v>298.27</v>
      </c>
      <c r="F10318" s="7">
        <v>41877.75</v>
      </c>
      <c r="G10318" s="7">
        <v>124740</v>
      </c>
      <c r="H10318" s="7">
        <f t="shared" ref="H10318:H10329" si="227">SUM(F10318-11)</f>
        <v>41866.75</v>
      </c>
      <c r="I10318" s="16"/>
    </row>
    <row r="10319" spans="1:9" s="9" customFormat="1" ht="21" customHeight="1" x14ac:dyDescent="0.6">
      <c r="A10319" s="7">
        <v>24.7446327</v>
      </c>
      <c r="B10319" s="7">
        <v>34.853819100000003</v>
      </c>
      <c r="C10319" s="7">
        <v>687474.54</v>
      </c>
      <c r="D10319" s="7">
        <v>2737941.56</v>
      </c>
      <c r="E10319" s="7">
        <v>290.98</v>
      </c>
      <c r="F10319" s="7">
        <v>41902.550000000003</v>
      </c>
      <c r="G10319" s="7">
        <v>125034</v>
      </c>
      <c r="H10319" s="7">
        <f t="shared" si="227"/>
        <v>41891.550000000003</v>
      </c>
      <c r="I10319" s="16"/>
    </row>
    <row r="10320" spans="1:9" s="9" customFormat="1" ht="21" customHeight="1" x14ac:dyDescent="0.6">
      <c r="A10320" s="7">
        <v>24.744632599999999</v>
      </c>
      <c r="B10320" s="7">
        <v>34.8538201</v>
      </c>
      <c r="C10320" s="7">
        <v>687474.64</v>
      </c>
      <c r="D10320" s="7">
        <v>2737941.55</v>
      </c>
      <c r="E10320" s="7">
        <v>290.79000000000002</v>
      </c>
      <c r="F10320" s="7">
        <v>41902.42</v>
      </c>
      <c r="G10320" s="7">
        <v>125049</v>
      </c>
      <c r="H10320" s="7">
        <f t="shared" si="227"/>
        <v>41891.42</v>
      </c>
      <c r="I10320" s="16"/>
    </row>
    <row r="10321" spans="1:9" s="9" customFormat="1" ht="21" customHeight="1" x14ac:dyDescent="0.6">
      <c r="A10321" s="7">
        <v>24.746412500000002</v>
      </c>
      <c r="B10321" s="7">
        <v>34.8538754</v>
      </c>
      <c r="C10321" s="7">
        <v>687477.56</v>
      </c>
      <c r="D10321" s="7">
        <v>2738138.78</v>
      </c>
      <c r="E10321" s="7">
        <v>289.89999999999998</v>
      </c>
      <c r="F10321" s="7">
        <v>41916.19</v>
      </c>
      <c r="G10321" s="7">
        <v>125304</v>
      </c>
      <c r="H10321" s="7">
        <f t="shared" si="227"/>
        <v>41905.19</v>
      </c>
      <c r="I10321" s="16"/>
    </row>
    <row r="10322" spans="1:9" s="9" customFormat="1" ht="21" customHeight="1" x14ac:dyDescent="0.6">
      <c r="A10322" s="7">
        <v>24.7464139</v>
      </c>
      <c r="B10322" s="7">
        <v>34.853874500000003</v>
      </c>
      <c r="C10322" s="7">
        <v>687477.47</v>
      </c>
      <c r="D10322" s="7">
        <v>2738138.93</v>
      </c>
      <c r="E10322" s="7">
        <v>289.54000000000002</v>
      </c>
      <c r="F10322" s="7">
        <v>41919.33</v>
      </c>
      <c r="G10322" s="7">
        <v>125313</v>
      </c>
      <c r="H10322" s="7">
        <f t="shared" si="227"/>
        <v>41908.33</v>
      </c>
      <c r="I10322" s="16"/>
    </row>
    <row r="10323" spans="1:9" s="9" customFormat="1" ht="21" customHeight="1" x14ac:dyDescent="0.6">
      <c r="A10323" s="7">
        <v>24.747377499999999</v>
      </c>
      <c r="B10323" s="7">
        <v>34.853941900000002</v>
      </c>
      <c r="C10323" s="7">
        <v>687482.84</v>
      </c>
      <c r="D10323" s="7">
        <v>2738245.76</v>
      </c>
      <c r="E10323" s="7">
        <v>286.60000000000002</v>
      </c>
      <c r="F10323" s="7">
        <v>41898.36</v>
      </c>
      <c r="G10323" s="7">
        <v>125540</v>
      </c>
      <c r="H10323" s="7">
        <f t="shared" si="227"/>
        <v>41887.360000000001</v>
      </c>
      <c r="I10323" s="16"/>
    </row>
    <row r="10324" spans="1:9" s="9" customFormat="1" ht="21" customHeight="1" x14ac:dyDescent="0.6">
      <c r="A10324" s="7">
        <v>24.7475998</v>
      </c>
      <c r="B10324" s="7">
        <v>34.854571399999998</v>
      </c>
      <c r="C10324" s="7">
        <v>687546.18</v>
      </c>
      <c r="D10324" s="7">
        <v>2738271.24</v>
      </c>
      <c r="E10324" s="7">
        <v>285.04000000000002</v>
      </c>
      <c r="F10324" s="7">
        <v>41901.480000000003</v>
      </c>
      <c r="G10324" s="7">
        <v>125643</v>
      </c>
      <c r="H10324" s="7">
        <f t="shared" si="227"/>
        <v>41890.480000000003</v>
      </c>
      <c r="I10324" s="16"/>
    </row>
    <row r="10325" spans="1:9" s="9" customFormat="1" ht="21" customHeight="1" x14ac:dyDescent="0.6">
      <c r="A10325" s="7">
        <v>24.748259000000001</v>
      </c>
      <c r="B10325" s="7">
        <v>34.8548087</v>
      </c>
      <c r="C10325" s="7">
        <v>687569.19</v>
      </c>
      <c r="D10325" s="7">
        <v>2738344.58</v>
      </c>
      <c r="E10325" s="7">
        <v>283.49</v>
      </c>
      <c r="F10325" s="7">
        <v>41909.89</v>
      </c>
      <c r="G10325" s="7">
        <v>125807</v>
      </c>
      <c r="H10325" s="7">
        <f t="shared" si="227"/>
        <v>41898.89</v>
      </c>
      <c r="I10325" s="16"/>
    </row>
    <row r="10326" spans="1:9" s="9" customFormat="1" ht="21" customHeight="1" x14ac:dyDescent="0.6">
      <c r="A10326" s="7">
        <v>24.7491761</v>
      </c>
      <c r="B10326" s="7">
        <v>34.854649700000003</v>
      </c>
      <c r="C10326" s="7">
        <v>687551.73</v>
      </c>
      <c r="D10326" s="7">
        <v>2738445.94</v>
      </c>
      <c r="E10326" s="7">
        <v>281.73</v>
      </c>
      <c r="F10326" s="7">
        <v>41910.550000000003</v>
      </c>
      <c r="G10326" s="7">
        <v>125934</v>
      </c>
      <c r="H10326" s="7">
        <f t="shared" si="227"/>
        <v>41899.550000000003</v>
      </c>
      <c r="I10326" s="16"/>
    </row>
    <row r="10327" spans="1:9" s="9" customFormat="1" ht="21" customHeight="1" x14ac:dyDescent="0.6">
      <c r="A10327" s="7">
        <v>24.749984399999999</v>
      </c>
      <c r="B10327" s="7">
        <v>34.854896400000001</v>
      </c>
      <c r="C10327" s="7">
        <v>687575.48</v>
      </c>
      <c r="D10327" s="7">
        <v>2738535.81</v>
      </c>
      <c r="E10327" s="7">
        <v>279.86</v>
      </c>
      <c r="F10327" s="7">
        <v>41909.49</v>
      </c>
      <c r="G10327" s="7">
        <v>130110</v>
      </c>
      <c r="H10327" s="7">
        <f t="shared" si="227"/>
        <v>41898.49</v>
      </c>
      <c r="I10327" s="16"/>
    </row>
    <row r="10328" spans="1:9" s="9" customFormat="1" ht="21" customHeight="1" x14ac:dyDescent="0.6">
      <c r="A10328" s="7">
        <v>24.749675700000001</v>
      </c>
      <c r="B10328" s="7">
        <v>34.854767699999996</v>
      </c>
      <c r="C10328" s="7">
        <v>687562.92</v>
      </c>
      <c r="D10328" s="7">
        <v>2738501.45</v>
      </c>
      <c r="E10328" s="7">
        <v>281.31</v>
      </c>
      <c r="F10328" s="7">
        <v>41906.31</v>
      </c>
      <c r="G10328" s="7">
        <v>130158</v>
      </c>
      <c r="H10328" s="7">
        <f t="shared" si="227"/>
        <v>41895.31</v>
      </c>
      <c r="I10328" s="16"/>
    </row>
    <row r="10329" spans="1:9" s="9" customFormat="1" ht="21" customHeight="1" x14ac:dyDescent="0.6">
      <c r="A10329" s="7">
        <v>24.7427356</v>
      </c>
      <c r="B10329" s="7">
        <v>34.847590500000003</v>
      </c>
      <c r="C10329" s="7">
        <v>686847.34</v>
      </c>
      <c r="D10329" s="7">
        <v>2737722.92</v>
      </c>
      <c r="E10329" s="7">
        <v>304.72000000000003</v>
      </c>
      <c r="F10329" s="7">
        <v>41890.269999999997</v>
      </c>
      <c r="G10329" s="7">
        <v>131516</v>
      </c>
      <c r="H10329" s="7">
        <f t="shared" si="227"/>
        <v>41879.269999999997</v>
      </c>
      <c r="I10329" s="16"/>
    </row>
    <row r="10330" spans="1:9" s="9" customFormat="1" ht="21" customHeight="1" x14ac:dyDescent="0.6">
      <c r="A10330" s="7">
        <v>24.743775100000001</v>
      </c>
      <c r="B10330" s="7">
        <v>34.8460356</v>
      </c>
      <c r="C10330" s="7">
        <v>686688.5</v>
      </c>
      <c r="D10330" s="7">
        <v>2737835.93</v>
      </c>
      <c r="E10330" s="7">
        <v>306.61</v>
      </c>
      <c r="F10330" s="7">
        <v>41883.01</v>
      </c>
      <c r="G10330" s="7">
        <v>131640</v>
      </c>
      <c r="H10330" s="7">
        <f>SUM(F10330-8)</f>
        <v>41875.01</v>
      </c>
      <c r="I10330" s="16"/>
    </row>
    <row r="10331" spans="1:9" s="9" customFormat="1" ht="21" customHeight="1" x14ac:dyDescent="0.6">
      <c r="A10331" s="7">
        <v>24.743774899999998</v>
      </c>
      <c r="B10331" s="7">
        <v>34.846033599999998</v>
      </c>
      <c r="C10331" s="7">
        <v>686688.31</v>
      </c>
      <c r="D10331" s="7">
        <v>2737835.91</v>
      </c>
      <c r="E10331" s="7">
        <v>306.58</v>
      </c>
      <c r="F10331" s="7">
        <v>41878.51</v>
      </c>
      <c r="G10331" s="7">
        <v>131649</v>
      </c>
      <c r="H10331" s="7">
        <f t="shared" ref="H10331:H10344" si="228">SUM(F10331-8)</f>
        <v>41870.51</v>
      </c>
      <c r="I10331" s="16"/>
    </row>
    <row r="10332" spans="1:9" s="9" customFormat="1" ht="21" customHeight="1" x14ac:dyDescent="0.6">
      <c r="A10332" s="7">
        <v>24.745304900000001</v>
      </c>
      <c r="B10332" s="7">
        <v>34.844777800000003</v>
      </c>
      <c r="C10332" s="7">
        <v>686558.99</v>
      </c>
      <c r="D10332" s="7">
        <v>2738003.66</v>
      </c>
      <c r="E10332" s="7">
        <v>311.81</v>
      </c>
      <c r="F10332" s="7">
        <v>41885.629999999997</v>
      </c>
      <c r="G10332" s="7">
        <v>131813</v>
      </c>
      <c r="H10332" s="7">
        <f t="shared" si="228"/>
        <v>41877.629999999997</v>
      </c>
      <c r="I10332" s="16"/>
    </row>
    <row r="10333" spans="1:9" s="9" customFormat="1" ht="21" customHeight="1" x14ac:dyDescent="0.6">
      <c r="A10333" s="7">
        <v>24.74532</v>
      </c>
      <c r="B10333" s="7">
        <v>34.844766499999999</v>
      </c>
      <c r="C10333" s="7">
        <v>686557.83</v>
      </c>
      <c r="D10333" s="7">
        <v>2738005.32</v>
      </c>
      <c r="E10333" s="7">
        <v>311.85000000000002</v>
      </c>
      <c r="F10333" s="7">
        <v>41886.699999999997</v>
      </c>
      <c r="G10333" s="7">
        <v>131822</v>
      </c>
      <c r="H10333" s="7">
        <f t="shared" si="228"/>
        <v>41878.699999999997</v>
      </c>
      <c r="I10333" s="16"/>
    </row>
    <row r="10334" spans="1:9" s="9" customFormat="1" ht="21" customHeight="1" x14ac:dyDescent="0.6">
      <c r="A10334" s="7">
        <v>24.748582200000001</v>
      </c>
      <c r="B10334" s="7">
        <v>34.842410899999997</v>
      </c>
      <c r="C10334" s="7">
        <v>686314.69</v>
      </c>
      <c r="D10334" s="7">
        <v>2738363.44</v>
      </c>
      <c r="E10334" s="7">
        <v>310.74</v>
      </c>
      <c r="F10334" s="7">
        <v>41893.25</v>
      </c>
      <c r="G10334" s="7">
        <v>132119</v>
      </c>
      <c r="H10334" s="7">
        <f t="shared" si="228"/>
        <v>41885.25</v>
      </c>
      <c r="I10334" s="16"/>
    </row>
    <row r="10335" spans="1:9" s="9" customFormat="1" ht="21" customHeight="1" x14ac:dyDescent="0.6">
      <c r="A10335" s="7">
        <v>24.748594799999999</v>
      </c>
      <c r="B10335" s="7">
        <v>34.842407000000001</v>
      </c>
      <c r="C10335" s="7">
        <v>686314.28</v>
      </c>
      <c r="D10335" s="7">
        <v>2738364.82</v>
      </c>
      <c r="E10335" s="7">
        <v>310.77</v>
      </c>
      <c r="F10335" s="7">
        <v>41897.53</v>
      </c>
      <c r="G10335" s="7">
        <v>132128</v>
      </c>
      <c r="H10335" s="7">
        <f t="shared" si="228"/>
        <v>41889.53</v>
      </c>
      <c r="I10335" s="16"/>
    </row>
    <row r="10336" spans="1:9" s="9" customFormat="1" ht="21" customHeight="1" x14ac:dyDescent="0.6">
      <c r="A10336" s="7">
        <v>24.750165500000001</v>
      </c>
      <c r="B10336" s="7">
        <v>34.842040099999998</v>
      </c>
      <c r="C10336" s="7">
        <v>686274.83</v>
      </c>
      <c r="D10336" s="7">
        <v>2738538.29</v>
      </c>
      <c r="E10336" s="7">
        <v>315.18</v>
      </c>
      <c r="F10336" s="7">
        <v>41901.5</v>
      </c>
      <c r="G10336" s="7">
        <v>132249</v>
      </c>
      <c r="H10336" s="7">
        <f t="shared" si="228"/>
        <v>41893.5</v>
      </c>
      <c r="I10336" s="16"/>
    </row>
    <row r="10337" spans="1:9" s="9" customFormat="1" ht="21" customHeight="1" x14ac:dyDescent="0.6">
      <c r="A10337" s="7">
        <v>24.751626699999999</v>
      </c>
      <c r="B10337" s="7">
        <v>34.841870900000004</v>
      </c>
      <c r="C10337" s="7">
        <v>686255.53</v>
      </c>
      <c r="D10337" s="7">
        <v>2738699.91</v>
      </c>
      <c r="E10337" s="7">
        <v>307.64999999999998</v>
      </c>
      <c r="F10337" s="7">
        <v>41909.949999999997</v>
      </c>
      <c r="G10337" s="7">
        <v>132425</v>
      </c>
      <c r="H10337" s="7">
        <f t="shared" si="228"/>
        <v>41901.949999999997</v>
      </c>
      <c r="I10337" s="16"/>
    </row>
    <row r="10338" spans="1:9" s="9" customFormat="1" ht="21" customHeight="1" x14ac:dyDescent="0.6">
      <c r="A10338" s="7">
        <v>24.751630899999999</v>
      </c>
      <c r="B10338" s="7">
        <v>34.841870700000001</v>
      </c>
      <c r="C10338" s="7">
        <v>686255.51</v>
      </c>
      <c r="D10338" s="7">
        <v>2738700.38</v>
      </c>
      <c r="E10338" s="7">
        <v>307.68</v>
      </c>
      <c r="F10338" s="7">
        <v>41941.19</v>
      </c>
      <c r="G10338" s="7">
        <v>132434</v>
      </c>
      <c r="H10338" s="7">
        <f t="shared" si="228"/>
        <v>41933.19</v>
      </c>
      <c r="I10338" s="16"/>
    </row>
    <row r="10339" spans="1:9" s="9" customFormat="1" ht="21" customHeight="1" x14ac:dyDescent="0.6">
      <c r="A10339" s="7">
        <v>24.7532131</v>
      </c>
      <c r="B10339" s="7">
        <v>34.840939900000002</v>
      </c>
      <c r="C10339" s="7">
        <v>686159</v>
      </c>
      <c r="D10339" s="7">
        <v>2738874.36</v>
      </c>
      <c r="E10339" s="7">
        <v>308.38</v>
      </c>
      <c r="F10339" s="7">
        <v>41913.760000000002</v>
      </c>
      <c r="G10339" s="7">
        <v>132555</v>
      </c>
      <c r="H10339" s="7">
        <f t="shared" si="228"/>
        <v>41905.760000000002</v>
      </c>
      <c r="I10339" s="16"/>
    </row>
    <row r="10340" spans="1:9" s="9" customFormat="1" ht="21" customHeight="1" x14ac:dyDescent="0.6">
      <c r="A10340" s="7">
        <v>24.753213299999999</v>
      </c>
      <c r="B10340" s="7">
        <v>34.840939200000001</v>
      </c>
      <c r="C10340" s="7">
        <v>686158.93</v>
      </c>
      <c r="D10340" s="7">
        <v>2738874.38</v>
      </c>
      <c r="E10340" s="7">
        <v>308.27999999999997</v>
      </c>
      <c r="F10340" s="7">
        <v>41908.67</v>
      </c>
      <c r="G10340" s="7">
        <v>132607</v>
      </c>
      <c r="H10340" s="7">
        <f t="shared" si="228"/>
        <v>41900.67</v>
      </c>
      <c r="I10340" s="16"/>
    </row>
    <row r="10341" spans="1:9" s="9" customFormat="1" ht="21" customHeight="1" x14ac:dyDescent="0.6">
      <c r="A10341" s="7">
        <v>24.754962299999999</v>
      </c>
      <c r="B10341" s="7">
        <v>34.840162900000003</v>
      </c>
      <c r="C10341" s="7">
        <v>686077.8</v>
      </c>
      <c r="D10341" s="7">
        <v>2739067.05</v>
      </c>
      <c r="E10341" s="7">
        <v>305.10000000000002</v>
      </c>
      <c r="F10341" s="7">
        <v>41914.61</v>
      </c>
      <c r="G10341" s="7">
        <v>132740</v>
      </c>
      <c r="H10341" s="7">
        <f t="shared" si="228"/>
        <v>41906.61</v>
      </c>
      <c r="I10341" s="16"/>
    </row>
    <row r="10342" spans="1:9" s="9" customFormat="1" ht="21" customHeight="1" x14ac:dyDescent="0.6">
      <c r="A10342" s="7">
        <v>24.754961399999999</v>
      </c>
      <c r="B10342" s="7">
        <v>34.8401627</v>
      </c>
      <c r="C10342" s="7">
        <v>686077.79</v>
      </c>
      <c r="D10342" s="7">
        <v>2739066.95</v>
      </c>
      <c r="E10342" s="7">
        <v>305.02</v>
      </c>
      <c r="F10342" s="7">
        <v>41915.43</v>
      </c>
      <c r="G10342" s="7">
        <v>132746</v>
      </c>
      <c r="H10342" s="7">
        <f t="shared" si="228"/>
        <v>41907.43</v>
      </c>
      <c r="I10342" s="16"/>
    </row>
    <row r="10343" spans="1:9" s="9" customFormat="1" ht="21" customHeight="1" x14ac:dyDescent="0.6">
      <c r="A10343" s="7">
        <v>24.7565724</v>
      </c>
      <c r="B10343" s="7">
        <v>34.838937799999997</v>
      </c>
      <c r="C10343" s="7">
        <v>685951.5</v>
      </c>
      <c r="D10343" s="7">
        <v>2739243.72</v>
      </c>
      <c r="E10343" s="7">
        <v>298.61</v>
      </c>
      <c r="F10343" s="7">
        <v>41918.11</v>
      </c>
      <c r="G10343" s="7">
        <v>132925</v>
      </c>
      <c r="H10343" s="7">
        <f t="shared" si="228"/>
        <v>41910.11</v>
      </c>
      <c r="I10343" s="16"/>
    </row>
    <row r="10344" spans="1:9" s="9" customFormat="1" ht="21" customHeight="1" x14ac:dyDescent="0.6">
      <c r="A10344" s="7">
        <v>24.756572299999998</v>
      </c>
      <c r="B10344" s="7">
        <v>34.838937399999999</v>
      </c>
      <c r="C10344" s="7">
        <v>685951.45</v>
      </c>
      <c r="D10344" s="7">
        <v>2739243.71</v>
      </c>
      <c r="E10344" s="7">
        <v>298.5</v>
      </c>
      <c r="F10344" s="7">
        <v>41903.43</v>
      </c>
      <c r="G10344" s="7">
        <v>132934</v>
      </c>
      <c r="H10344" s="7">
        <f t="shared" si="228"/>
        <v>41895.43</v>
      </c>
      <c r="I10344" s="16"/>
    </row>
    <row r="10345" spans="1:9" s="9" customFormat="1" ht="21" customHeight="1" x14ac:dyDescent="0.6">
      <c r="A10345" s="7">
        <v>24.7576717</v>
      </c>
      <c r="B10345" s="7">
        <v>34.837943500000002</v>
      </c>
      <c r="C10345" s="7">
        <v>685849.29</v>
      </c>
      <c r="D10345" s="7">
        <v>2739364.13</v>
      </c>
      <c r="E10345" s="7">
        <v>295.73</v>
      </c>
      <c r="F10345" s="7">
        <v>41924.620000000003</v>
      </c>
      <c r="G10345" s="7">
        <v>133107</v>
      </c>
      <c r="H10345" s="7">
        <f>SUM(F10345-6)</f>
        <v>41918.620000000003</v>
      </c>
      <c r="I10345" s="16"/>
    </row>
    <row r="10346" spans="1:9" s="9" customFormat="1" ht="21" customHeight="1" x14ac:dyDescent="0.6">
      <c r="A10346" s="7">
        <v>24.757677000000001</v>
      </c>
      <c r="B10346" s="7">
        <v>34.837938700000002</v>
      </c>
      <c r="C10346" s="7">
        <v>685848.8</v>
      </c>
      <c r="D10346" s="7">
        <v>2739364.71</v>
      </c>
      <c r="E10346" s="7">
        <v>295.52</v>
      </c>
      <c r="F10346" s="7">
        <v>41926.21</v>
      </c>
      <c r="G10346" s="7">
        <v>133116</v>
      </c>
      <c r="H10346" s="7">
        <f t="shared" ref="H10346:H10359" si="229">SUM(F10346-6)</f>
        <v>41920.21</v>
      </c>
      <c r="I10346" s="16"/>
    </row>
    <row r="10347" spans="1:9" s="9" customFormat="1" ht="21" customHeight="1" x14ac:dyDescent="0.6">
      <c r="A10347" s="7">
        <v>24.759007700000002</v>
      </c>
      <c r="B10347" s="7">
        <v>34.836849299999997</v>
      </c>
      <c r="C10347" s="7">
        <v>685736.64</v>
      </c>
      <c r="D10347" s="7">
        <v>2739510.62</v>
      </c>
      <c r="E10347" s="7">
        <v>293.48</v>
      </c>
      <c r="F10347" s="7">
        <v>41926.46</v>
      </c>
      <c r="G10347" s="7">
        <v>133252</v>
      </c>
      <c r="H10347" s="7">
        <f t="shared" si="229"/>
        <v>41920.46</v>
      </c>
      <c r="I10347" s="16"/>
    </row>
    <row r="10348" spans="1:9" s="9" customFormat="1" ht="21" customHeight="1" x14ac:dyDescent="0.6">
      <c r="A10348" s="7">
        <v>24.759008600000001</v>
      </c>
      <c r="B10348" s="7">
        <v>34.836849899999997</v>
      </c>
      <c r="C10348" s="7">
        <v>685736.7</v>
      </c>
      <c r="D10348" s="7">
        <v>2739510.72</v>
      </c>
      <c r="E10348" s="7">
        <v>293.43</v>
      </c>
      <c r="F10348" s="7">
        <v>41927.1</v>
      </c>
      <c r="G10348" s="7">
        <v>133307</v>
      </c>
      <c r="H10348" s="7">
        <f t="shared" si="229"/>
        <v>41921.1</v>
      </c>
      <c r="I10348" s="16"/>
    </row>
    <row r="10349" spans="1:9" s="9" customFormat="1" ht="21" customHeight="1" x14ac:dyDescent="0.6">
      <c r="A10349" s="7">
        <v>24.760317300000001</v>
      </c>
      <c r="B10349" s="7">
        <v>34.835734799999997</v>
      </c>
      <c r="C10349" s="7">
        <v>685621.97</v>
      </c>
      <c r="D10349" s="7">
        <v>2739654.17</v>
      </c>
      <c r="E10349" s="7">
        <v>290.49</v>
      </c>
      <c r="F10349" s="7">
        <v>41933.82</v>
      </c>
      <c r="G10349" s="7">
        <v>133449</v>
      </c>
      <c r="H10349" s="7">
        <f t="shared" si="229"/>
        <v>41927.82</v>
      </c>
      <c r="I10349" s="16"/>
    </row>
    <row r="10350" spans="1:9" s="9" customFormat="1" ht="21" customHeight="1" x14ac:dyDescent="0.6">
      <c r="A10350" s="7">
        <v>24.760316100000001</v>
      </c>
      <c r="B10350" s="7">
        <v>34.835734899999999</v>
      </c>
      <c r="C10350" s="7">
        <v>685621.98</v>
      </c>
      <c r="D10350" s="7">
        <v>2739654.02</v>
      </c>
      <c r="E10350" s="7">
        <v>290.38</v>
      </c>
      <c r="F10350" s="7">
        <v>41933.39</v>
      </c>
      <c r="G10350" s="7">
        <v>133504</v>
      </c>
      <c r="H10350" s="7">
        <f t="shared" si="229"/>
        <v>41927.39</v>
      </c>
      <c r="I10350" s="16"/>
    </row>
    <row r="10351" spans="1:9" s="9" customFormat="1" ht="21" customHeight="1" x14ac:dyDescent="0.6">
      <c r="A10351" s="7">
        <v>24.760616500000001</v>
      </c>
      <c r="B10351" s="7">
        <v>34.836159600000002</v>
      </c>
      <c r="C10351" s="7">
        <v>685664.49</v>
      </c>
      <c r="D10351" s="7">
        <v>2739687.87</v>
      </c>
      <c r="E10351" s="7">
        <v>290.08</v>
      </c>
      <c r="F10351" s="7">
        <v>41934.339999999997</v>
      </c>
      <c r="G10351" s="7">
        <v>133719</v>
      </c>
      <c r="H10351" s="7">
        <f t="shared" si="229"/>
        <v>41928.339999999997</v>
      </c>
      <c r="I10351" s="16"/>
    </row>
    <row r="10352" spans="1:9" s="9" customFormat="1" ht="21" customHeight="1" x14ac:dyDescent="0.6">
      <c r="A10352" s="7">
        <v>24.760814799999999</v>
      </c>
      <c r="B10352" s="7">
        <v>34.838803499999997</v>
      </c>
      <c r="C10352" s="7">
        <v>685931.59</v>
      </c>
      <c r="D10352" s="7">
        <v>2739713.44</v>
      </c>
      <c r="E10352" s="7">
        <v>285.74</v>
      </c>
      <c r="F10352" s="7">
        <v>41933.800000000003</v>
      </c>
      <c r="G10352" s="7">
        <v>133919</v>
      </c>
      <c r="H10352" s="7">
        <f t="shared" si="229"/>
        <v>41927.800000000003</v>
      </c>
      <c r="I10352" s="16"/>
    </row>
    <row r="10353" spans="1:9" s="9" customFormat="1" ht="21" customHeight="1" x14ac:dyDescent="0.6">
      <c r="A10353" s="7">
        <v>24.760813899999999</v>
      </c>
      <c r="B10353" s="7">
        <v>34.838802899999997</v>
      </c>
      <c r="C10353" s="7">
        <v>685931.53</v>
      </c>
      <c r="D10353" s="7">
        <v>2739713.33</v>
      </c>
      <c r="E10353" s="7">
        <v>285.97000000000003</v>
      </c>
      <c r="F10353" s="7">
        <v>41934.33</v>
      </c>
      <c r="G10353" s="7">
        <v>133928</v>
      </c>
      <c r="H10353" s="7">
        <f t="shared" si="229"/>
        <v>41928.33</v>
      </c>
      <c r="I10353" s="16"/>
    </row>
    <row r="10354" spans="1:9" s="9" customFormat="1" ht="21" customHeight="1" x14ac:dyDescent="0.6">
      <c r="A10354" s="7">
        <v>24.760565199999998</v>
      </c>
      <c r="B10354" s="7">
        <v>34.841053700000003</v>
      </c>
      <c r="C10354" s="7">
        <v>686159.54</v>
      </c>
      <c r="D10354" s="7">
        <v>2739688.85</v>
      </c>
      <c r="E10354" s="7">
        <v>284.92</v>
      </c>
      <c r="F10354" s="7">
        <v>41928.92</v>
      </c>
      <c r="G10354" s="7">
        <v>134101</v>
      </c>
      <c r="H10354" s="7">
        <f t="shared" si="229"/>
        <v>41922.92</v>
      </c>
      <c r="I10354" s="16"/>
    </row>
    <row r="10355" spans="1:9" s="9" customFormat="1" ht="21" customHeight="1" x14ac:dyDescent="0.6">
      <c r="A10355" s="7">
        <v>24.760565</v>
      </c>
      <c r="B10355" s="7">
        <v>34.841054900000003</v>
      </c>
      <c r="C10355" s="7">
        <v>686159.67</v>
      </c>
      <c r="D10355" s="7">
        <v>2739688.83</v>
      </c>
      <c r="E10355" s="7">
        <v>284.16000000000003</v>
      </c>
      <c r="F10355" s="7">
        <v>41930.28</v>
      </c>
      <c r="G10355" s="7">
        <v>134110</v>
      </c>
      <c r="H10355" s="7">
        <f t="shared" si="229"/>
        <v>41924.28</v>
      </c>
      <c r="I10355" s="16"/>
    </row>
    <row r="10356" spans="1:9" s="9" customFormat="1" ht="21" customHeight="1" x14ac:dyDescent="0.6">
      <c r="A10356" s="7">
        <v>24.7601063</v>
      </c>
      <c r="B10356" s="7">
        <v>34.842589099999998</v>
      </c>
      <c r="C10356" s="7">
        <v>686315.52000000002</v>
      </c>
      <c r="D10356" s="7">
        <v>2739640.11</v>
      </c>
      <c r="E10356" s="7">
        <v>282.8</v>
      </c>
      <c r="F10356" s="7">
        <v>41904.839999999997</v>
      </c>
      <c r="G10356" s="7">
        <v>134304</v>
      </c>
      <c r="H10356" s="7">
        <f t="shared" si="229"/>
        <v>41898.839999999997</v>
      </c>
      <c r="I10356" s="16"/>
    </row>
    <row r="10357" spans="1:9" s="9" customFormat="1" ht="21" customHeight="1" x14ac:dyDescent="0.6">
      <c r="A10357" s="7">
        <v>24.7601078</v>
      </c>
      <c r="B10357" s="7">
        <v>34.842592500000002</v>
      </c>
      <c r="C10357" s="7">
        <v>686315.86</v>
      </c>
      <c r="D10357" s="7">
        <v>2739640.28</v>
      </c>
      <c r="E10357" s="7">
        <v>282.41000000000003</v>
      </c>
      <c r="F10357" s="7">
        <v>41897.64</v>
      </c>
      <c r="G10357" s="7">
        <v>134316</v>
      </c>
      <c r="H10357" s="7">
        <f t="shared" si="229"/>
        <v>41891.64</v>
      </c>
      <c r="I10357" s="16"/>
    </row>
    <row r="10358" spans="1:9" s="9" customFormat="1" ht="21" customHeight="1" x14ac:dyDescent="0.6">
      <c r="A10358" s="7">
        <v>24.7594569</v>
      </c>
      <c r="B10358" s="7">
        <v>34.844720299999999</v>
      </c>
      <c r="C10358" s="7">
        <v>686532.04</v>
      </c>
      <c r="D10358" s="7">
        <v>2739571.08</v>
      </c>
      <c r="E10358" s="7">
        <v>279.57</v>
      </c>
      <c r="F10358" s="7">
        <v>41937.1</v>
      </c>
      <c r="G10358" s="7">
        <v>134455</v>
      </c>
      <c r="H10358" s="7">
        <f t="shared" si="229"/>
        <v>41931.1</v>
      </c>
      <c r="I10358" s="16"/>
    </row>
    <row r="10359" spans="1:9" s="9" customFormat="1" ht="21" customHeight="1" x14ac:dyDescent="0.6">
      <c r="A10359" s="7">
        <v>24.759456799999999</v>
      </c>
      <c r="B10359" s="7">
        <v>34.844720700000003</v>
      </c>
      <c r="C10359" s="7">
        <v>686532.08</v>
      </c>
      <c r="D10359" s="7">
        <v>2739571.08</v>
      </c>
      <c r="E10359" s="7">
        <v>279.47000000000003</v>
      </c>
      <c r="F10359" s="7">
        <v>41934.92</v>
      </c>
      <c r="G10359" s="7">
        <v>134504</v>
      </c>
      <c r="H10359" s="7">
        <f t="shared" si="229"/>
        <v>41928.92</v>
      </c>
      <c r="I10359" s="16"/>
    </row>
    <row r="10360" spans="1:9" s="9" customFormat="1" ht="21" customHeight="1" x14ac:dyDescent="0.6">
      <c r="A10360" s="7">
        <v>24.759586299999999</v>
      </c>
      <c r="B10360" s="7">
        <v>34.846688800000003</v>
      </c>
      <c r="C10360" s="7">
        <v>686730.93</v>
      </c>
      <c r="D10360" s="7">
        <v>2739588.11</v>
      </c>
      <c r="E10360" s="7">
        <v>275.83</v>
      </c>
      <c r="F10360" s="7">
        <v>41939.760000000002</v>
      </c>
      <c r="G10360" s="7">
        <v>134646</v>
      </c>
      <c r="H10360" s="7">
        <f>SUM(F10360-4)</f>
        <v>41935.760000000002</v>
      </c>
      <c r="I10360" s="16"/>
    </row>
    <row r="10361" spans="1:9" s="9" customFormat="1" ht="21" customHeight="1" x14ac:dyDescent="0.6">
      <c r="A10361" s="7">
        <v>24.759586200000001</v>
      </c>
      <c r="B10361" s="7">
        <v>34.8466892</v>
      </c>
      <c r="C10361" s="7">
        <v>686730.98</v>
      </c>
      <c r="D10361" s="7">
        <v>2739588.09</v>
      </c>
      <c r="E10361" s="7">
        <v>275.43</v>
      </c>
      <c r="F10361" s="7">
        <v>41939.980000000003</v>
      </c>
      <c r="G10361" s="7">
        <v>134655</v>
      </c>
      <c r="H10361" s="7">
        <f t="shared" ref="H10361:H10378" si="230">SUM(F10361-4)</f>
        <v>41935.980000000003</v>
      </c>
      <c r="I10361" s="16"/>
    </row>
    <row r="10362" spans="1:9" s="9" customFormat="1" ht="21" customHeight="1" x14ac:dyDescent="0.6">
      <c r="A10362" s="7">
        <v>24.760829699999999</v>
      </c>
      <c r="B10362" s="7">
        <v>34.847666799999999</v>
      </c>
      <c r="C10362" s="7">
        <v>686828</v>
      </c>
      <c r="D10362" s="7">
        <v>2739727.17</v>
      </c>
      <c r="E10362" s="7">
        <v>273.55</v>
      </c>
      <c r="F10362" s="7">
        <v>41936.629999999997</v>
      </c>
      <c r="G10362" s="7">
        <v>134822</v>
      </c>
      <c r="H10362" s="7">
        <f t="shared" si="230"/>
        <v>41932.629999999997</v>
      </c>
      <c r="I10362" s="16"/>
    </row>
    <row r="10363" spans="1:9" s="9" customFormat="1" ht="21" customHeight="1" x14ac:dyDescent="0.6">
      <c r="A10363" s="7">
        <v>24.7608313</v>
      </c>
      <c r="B10363" s="7">
        <v>34.847665499999998</v>
      </c>
      <c r="C10363" s="7">
        <v>686827.86</v>
      </c>
      <c r="D10363" s="7">
        <v>2739727.34</v>
      </c>
      <c r="E10363" s="7">
        <v>273.63</v>
      </c>
      <c r="F10363" s="7">
        <v>41937.870000000003</v>
      </c>
      <c r="G10363" s="7">
        <v>134834</v>
      </c>
      <c r="H10363" s="7">
        <f t="shared" si="230"/>
        <v>41933.870000000003</v>
      </c>
      <c r="I10363" s="16"/>
    </row>
    <row r="10364" spans="1:9" s="9" customFormat="1" ht="21" customHeight="1" x14ac:dyDescent="0.6">
      <c r="A10364" s="7">
        <v>24.760629099999999</v>
      </c>
      <c r="B10364" s="7">
        <v>34.849155600000003</v>
      </c>
      <c r="C10364" s="7">
        <v>686978.87</v>
      </c>
      <c r="D10364" s="7">
        <v>2739706.99</v>
      </c>
      <c r="E10364" s="7">
        <v>270.89</v>
      </c>
      <c r="F10364" s="7">
        <v>41933.25</v>
      </c>
      <c r="G10364" s="7">
        <v>135001</v>
      </c>
      <c r="H10364" s="7">
        <f t="shared" si="230"/>
        <v>41929.25</v>
      </c>
      <c r="I10364" s="16"/>
    </row>
    <row r="10365" spans="1:9" s="9" customFormat="1" ht="21" customHeight="1" x14ac:dyDescent="0.6">
      <c r="A10365" s="7">
        <v>24.7606331</v>
      </c>
      <c r="B10365" s="7">
        <v>34.849156000000001</v>
      </c>
      <c r="C10365" s="7">
        <v>686978.9</v>
      </c>
      <c r="D10365" s="7">
        <v>2739707.43</v>
      </c>
      <c r="E10365" s="7">
        <v>271</v>
      </c>
      <c r="F10365" s="7">
        <v>41936.730000000003</v>
      </c>
      <c r="G10365" s="7">
        <v>135010</v>
      </c>
      <c r="H10365" s="7">
        <f t="shared" si="230"/>
        <v>41932.730000000003</v>
      </c>
      <c r="I10365" s="16"/>
    </row>
    <row r="10366" spans="1:9" s="9" customFormat="1" ht="21" customHeight="1" x14ac:dyDescent="0.6">
      <c r="A10366" s="7">
        <v>24.760056899999999</v>
      </c>
      <c r="B10366" s="7">
        <v>34.850735200000003</v>
      </c>
      <c r="C10366" s="7">
        <v>687139.49</v>
      </c>
      <c r="D10366" s="7">
        <v>2739645.76</v>
      </c>
      <c r="E10366" s="7">
        <v>268.89</v>
      </c>
      <c r="F10366" s="7">
        <v>41934.54</v>
      </c>
      <c r="G10366" s="7">
        <v>135128</v>
      </c>
      <c r="H10366" s="7">
        <f t="shared" si="230"/>
        <v>41930.54</v>
      </c>
      <c r="I10366" s="16"/>
    </row>
    <row r="10367" spans="1:9" s="9" customFormat="1" ht="21" customHeight="1" x14ac:dyDescent="0.6">
      <c r="A10367" s="7">
        <v>24.760056800000001</v>
      </c>
      <c r="B10367" s="7">
        <v>34.850736499999996</v>
      </c>
      <c r="C10367" s="7">
        <v>687139.61</v>
      </c>
      <c r="D10367" s="7">
        <v>2739645.76</v>
      </c>
      <c r="E10367" s="7">
        <v>268.51</v>
      </c>
      <c r="F10367" s="7">
        <v>41936.080000000002</v>
      </c>
      <c r="G10367" s="7">
        <v>135137</v>
      </c>
      <c r="H10367" s="7">
        <f t="shared" si="230"/>
        <v>41932.080000000002</v>
      </c>
      <c r="I10367" s="16"/>
    </row>
    <row r="10368" spans="1:9" s="9" customFormat="1" ht="21" customHeight="1" x14ac:dyDescent="0.6">
      <c r="A10368" s="7">
        <v>24.760648400000001</v>
      </c>
      <c r="B10368" s="7">
        <v>34.852052100000002</v>
      </c>
      <c r="C10368" s="7">
        <v>687271.79</v>
      </c>
      <c r="D10368" s="7">
        <v>2739713.08</v>
      </c>
      <c r="E10368" s="7">
        <v>267.75</v>
      </c>
      <c r="F10368" s="7">
        <v>41956.44</v>
      </c>
      <c r="G10368" s="7">
        <v>135258</v>
      </c>
      <c r="H10368" s="7">
        <f t="shared" si="230"/>
        <v>41952.44</v>
      </c>
      <c r="I10368" s="16"/>
    </row>
    <row r="10369" spans="1:9" s="9" customFormat="1" ht="21" customHeight="1" x14ac:dyDescent="0.6">
      <c r="A10369" s="7">
        <v>24.760649600000001</v>
      </c>
      <c r="B10369" s="7">
        <v>34.852050800000001</v>
      </c>
      <c r="C10369" s="7">
        <v>687271.65</v>
      </c>
      <c r="D10369" s="7">
        <v>2739713.21</v>
      </c>
      <c r="E10369" s="7">
        <v>268.07</v>
      </c>
      <c r="F10369" s="7">
        <v>41956.53</v>
      </c>
      <c r="G10369" s="7">
        <v>135307</v>
      </c>
      <c r="H10369" s="7">
        <f t="shared" si="230"/>
        <v>41952.53</v>
      </c>
      <c r="I10369" s="16"/>
    </row>
    <row r="10370" spans="1:9" s="9" customFormat="1" ht="21" customHeight="1" x14ac:dyDescent="0.6">
      <c r="A10370" s="7">
        <v>24.762363499999999</v>
      </c>
      <c r="B10370" s="7">
        <v>34.851694199999997</v>
      </c>
      <c r="C10370" s="7">
        <v>687233.01</v>
      </c>
      <c r="D10370" s="7">
        <v>2739902.57</v>
      </c>
      <c r="E10370" s="7">
        <v>264.75</v>
      </c>
      <c r="F10370" s="7">
        <v>41916.9</v>
      </c>
      <c r="G10370" s="7">
        <v>135425</v>
      </c>
      <c r="H10370" s="7">
        <f t="shared" si="230"/>
        <v>41912.9</v>
      </c>
      <c r="I10370" s="16"/>
    </row>
    <row r="10371" spans="1:9" s="9" customFormat="1" ht="21" customHeight="1" x14ac:dyDescent="0.6">
      <c r="A10371" s="7">
        <v>24.762364699999999</v>
      </c>
      <c r="B10371" s="7">
        <v>34.851693900000001</v>
      </c>
      <c r="C10371" s="7">
        <v>687232.98</v>
      </c>
      <c r="D10371" s="7">
        <v>2739902.7</v>
      </c>
      <c r="E10371" s="7">
        <v>264.68</v>
      </c>
      <c r="F10371" s="7">
        <v>41919.74</v>
      </c>
      <c r="G10371" s="7">
        <v>135434</v>
      </c>
      <c r="H10371" s="7">
        <f t="shared" si="230"/>
        <v>41915.74</v>
      </c>
      <c r="I10371" s="16"/>
    </row>
    <row r="10372" spans="1:9" s="9" customFormat="1" ht="21" customHeight="1" x14ac:dyDescent="0.6">
      <c r="A10372" s="7">
        <v>24.764117200000001</v>
      </c>
      <c r="B10372" s="7">
        <v>34.851945800000003</v>
      </c>
      <c r="C10372" s="7">
        <v>687255.83</v>
      </c>
      <c r="D10372" s="7">
        <v>2740097.16</v>
      </c>
      <c r="E10372" s="7">
        <v>262.33</v>
      </c>
      <c r="F10372" s="7">
        <v>41926.730000000003</v>
      </c>
      <c r="G10372" s="7">
        <v>135601</v>
      </c>
      <c r="H10372" s="7">
        <f t="shared" si="230"/>
        <v>41922.730000000003</v>
      </c>
      <c r="I10372" s="16"/>
    </row>
    <row r="10373" spans="1:9" s="9" customFormat="1" ht="21" customHeight="1" x14ac:dyDescent="0.6">
      <c r="A10373" s="7">
        <v>24.7641177</v>
      </c>
      <c r="B10373" s="7">
        <v>34.851946300000002</v>
      </c>
      <c r="C10373" s="7">
        <v>687255.88</v>
      </c>
      <c r="D10373" s="7">
        <v>2740097.21</v>
      </c>
      <c r="E10373" s="7">
        <v>262.37</v>
      </c>
      <c r="F10373" s="7">
        <v>41933.9</v>
      </c>
      <c r="G10373" s="7">
        <v>135610</v>
      </c>
      <c r="H10373" s="7">
        <f t="shared" si="230"/>
        <v>41929.9</v>
      </c>
      <c r="I10373" s="16"/>
    </row>
    <row r="10374" spans="1:9" s="9" customFormat="1" ht="21" customHeight="1" x14ac:dyDescent="0.6">
      <c r="A10374" s="7">
        <v>24.765233200000001</v>
      </c>
      <c r="B10374" s="7">
        <v>34.853457499999998</v>
      </c>
      <c r="C10374" s="7">
        <v>687407.04</v>
      </c>
      <c r="D10374" s="7">
        <v>2740222.84</v>
      </c>
      <c r="E10374" s="7">
        <v>259.39</v>
      </c>
      <c r="F10374" s="7">
        <v>41967.69</v>
      </c>
      <c r="G10374" s="7">
        <v>135740</v>
      </c>
      <c r="H10374" s="7">
        <f t="shared" si="230"/>
        <v>41963.69</v>
      </c>
      <c r="I10374" s="16"/>
    </row>
    <row r="10375" spans="1:9" s="9" customFormat="1" ht="21" customHeight="1" x14ac:dyDescent="0.6">
      <c r="A10375" s="7">
        <v>24.7652328</v>
      </c>
      <c r="B10375" s="7">
        <v>34.8534577</v>
      </c>
      <c r="C10375" s="7">
        <v>687407.06</v>
      </c>
      <c r="D10375" s="7">
        <v>2740222.79</v>
      </c>
      <c r="E10375" s="7">
        <v>259.37</v>
      </c>
      <c r="F10375" s="7">
        <v>41966.93</v>
      </c>
      <c r="G10375" s="7">
        <v>135752</v>
      </c>
      <c r="H10375" s="7">
        <f t="shared" si="230"/>
        <v>41962.93</v>
      </c>
      <c r="I10375" s="16"/>
    </row>
    <row r="10376" spans="1:9" s="9" customFormat="1" ht="21" customHeight="1" x14ac:dyDescent="0.6">
      <c r="A10376" s="7">
        <v>24.765248499999998</v>
      </c>
      <c r="B10376" s="7">
        <v>34.8557323</v>
      </c>
      <c r="C10376" s="7">
        <v>687637.08</v>
      </c>
      <c r="D10376" s="7">
        <v>2740227.65</v>
      </c>
      <c r="E10376" s="7">
        <v>256.58</v>
      </c>
      <c r="F10376" s="7">
        <v>41960.13</v>
      </c>
      <c r="G10376" s="7">
        <v>135934</v>
      </c>
      <c r="H10376" s="7">
        <f t="shared" si="230"/>
        <v>41956.13</v>
      </c>
      <c r="I10376" s="16"/>
    </row>
    <row r="10377" spans="1:9" s="9" customFormat="1" ht="21" customHeight="1" x14ac:dyDescent="0.6">
      <c r="A10377" s="7">
        <v>24.765248199999998</v>
      </c>
      <c r="B10377" s="7">
        <v>34.855731800000001</v>
      </c>
      <c r="C10377" s="7">
        <v>687637.04</v>
      </c>
      <c r="D10377" s="7">
        <v>2740227.62</v>
      </c>
      <c r="E10377" s="7">
        <v>256.69</v>
      </c>
      <c r="F10377" s="7">
        <v>41960.94</v>
      </c>
      <c r="G10377" s="7">
        <v>135943</v>
      </c>
      <c r="H10377" s="7">
        <f t="shared" si="230"/>
        <v>41956.94</v>
      </c>
      <c r="I10377" s="16"/>
    </row>
    <row r="10378" spans="1:9" s="9" customFormat="1" ht="21" customHeight="1" x14ac:dyDescent="0.6">
      <c r="A10378" s="7">
        <v>24.7639152</v>
      </c>
      <c r="B10378" s="7">
        <v>34.857363700000001</v>
      </c>
      <c r="C10378" s="7">
        <v>687804.09</v>
      </c>
      <c r="D10378" s="7">
        <v>2740082.21</v>
      </c>
      <c r="E10378" s="7">
        <v>254.59</v>
      </c>
      <c r="F10378" s="7">
        <v>41989.03</v>
      </c>
      <c r="G10378" s="7">
        <v>140119</v>
      </c>
      <c r="H10378" s="7">
        <f t="shared" si="230"/>
        <v>41985.03</v>
      </c>
      <c r="I10378" s="16"/>
    </row>
    <row r="10379" spans="1:9" s="9" customFormat="1" ht="21" customHeight="1" x14ac:dyDescent="0.6">
      <c r="A10379" s="7">
        <v>24.7639149</v>
      </c>
      <c r="B10379" s="7">
        <v>34.857362700000003</v>
      </c>
      <c r="C10379" s="7">
        <v>687803.98</v>
      </c>
      <c r="D10379" s="7">
        <v>2740082.18</v>
      </c>
      <c r="E10379" s="7">
        <v>254.52</v>
      </c>
      <c r="F10379" s="7">
        <v>41988.46</v>
      </c>
      <c r="G10379" s="7">
        <v>140125</v>
      </c>
      <c r="H10379" s="7">
        <f>SUM(F10379-2)</f>
        <v>41986.46</v>
      </c>
      <c r="I10379" s="16"/>
    </row>
    <row r="10380" spans="1:9" s="9" customFormat="1" ht="21" customHeight="1" x14ac:dyDescent="0.6">
      <c r="A10380" s="7">
        <v>24.761383599999998</v>
      </c>
      <c r="B10380" s="7">
        <v>34.8591099</v>
      </c>
      <c r="C10380" s="7">
        <v>687984.5</v>
      </c>
      <c r="D10380" s="7">
        <v>2739804.21</v>
      </c>
      <c r="E10380" s="7">
        <v>248.13</v>
      </c>
      <c r="F10380" s="7">
        <v>41959.13</v>
      </c>
      <c r="G10380" s="7">
        <v>140419</v>
      </c>
      <c r="H10380" s="7">
        <f t="shared" ref="H10380:H10424" si="231">SUM(F10380-2)</f>
        <v>41957.13</v>
      </c>
      <c r="I10380" s="16"/>
    </row>
    <row r="10381" spans="1:9" s="9" customFormat="1" ht="21" customHeight="1" x14ac:dyDescent="0.6">
      <c r="A10381" s="7">
        <v>24.7613834</v>
      </c>
      <c r="B10381" s="7">
        <v>34.859110299999998</v>
      </c>
      <c r="C10381" s="7">
        <v>687984.54</v>
      </c>
      <c r="D10381" s="7">
        <v>2739804.18</v>
      </c>
      <c r="E10381" s="7">
        <v>248.01</v>
      </c>
      <c r="F10381" s="7">
        <v>41959.03</v>
      </c>
      <c r="G10381" s="7">
        <v>140428</v>
      </c>
      <c r="H10381" s="7">
        <f t="shared" si="231"/>
        <v>41957.03</v>
      </c>
      <c r="I10381" s="16"/>
    </row>
    <row r="10382" spans="1:9" s="9" customFormat="1" ht="21" customHeight="1" x14ac:dyDescent="0.6">
      <c r="A10382" s="7">
        <v>24.760239599999998</v>
      </c>
      <c r="B10382" s="7">
        <v>34.858792399999999</v>
      </c>
      <c r="C10382" s="7">
        <v>687954.1</v>
      </c>
      <c r="D10382" s="7">
        <v>2739677.06</v>
      </c>
      <c r="E10382" s="7">
        <v>250.29</v>
      </c>
      <c r="F10382" s="7">
        <v>41971.51</v>
      </c>
      <c r="G10382" s="7">
        <v>140852</v>
      </c>
      <c r="H10382" s="7">
        <f t="shared" si="231"/>
        <v>41969.51</v>
      </c>
      <c r="I10382" s="16"/>
    </row>
    <row r="10383" spans="1:9" s="9" customFormat="1" ht="21" customHeight="1" x14ac:dyDescent="0.6">
      <c r="A10383" s="7">
        <v>24.758969799999999</v>
      </c>
      <c r="B10383" s="7">
        <v>34.859530499999998</v>
      </c>
      <c r="C10383" s="7">
        <v>688030.68</v>
      </c>
      <c r="D10383" s="7">
        <v>2739537.42</v>
      </c>
      <c r="E10383" s="7">
        <v>254.28</v>
      </c>
      <c r="F10383" s="7">
        <v>41935.230000000003</v>
      </c>
      <c r="G10383" s="7">
        <v>141013</v>
      </c>
      <c r="H10383" s="7">
        <f t="shared" si="231"/>
        <v>41933.230000000003</v>
      </c>
      <c r="I10383" s="16"/>
    </row>
    <row r="10384" spans="1:9" s="9" customFormat="1" ht="21" customHeight="1" x14ac:dyDescent="0.6">
      <c r="A10384" s="7">
        <v>24.758969799999999</v>
      </c>
      <c r="B10384" s="7">
        <v>34.859530399999997</v>
      </c>
      <c r="C10384" s="7">
        <v>688030.66</v>
      </c>
      <c r="D10384" s="7">
        <v>2739537.42</v>
      </c>
      <c r="E10384" s="7">
        <v>254.29</v>
      </c>
      <c r="F10384" s="7">
        <v>41935.949999999997</v>
      </c>
      <c r="G10384" s="7">
        <v>141022</v>
      </c>
      <c r="H10384" s="7">
        <f t="shared" si="231"/>
        <v>41933.949999999997</v>
      </c>
      <c r="I10384" s="16"/>
    </row>
    <row r="10385" spans="1:9" s="9" customFormat="1" ht="21" customHeight="1" x14ac:dyDescent="0.6">
      <c r="A10385" s="7">
        <v>24.757722099999999</v>
      </c>
      <c r="B10385" s="7">
        <v>34.859969300000003</v>
      </c>
      <c r="C10385" s="7">
        <v>688076.93</v>
      </c>
      <c r="D10385" s="7">
        <v>2739399.82</v>
      </c>
      <c r="E10385" s="7">
        <v>256.31</v>
      </c>
      <c r="F10385" s="7">
        <v>41933.68</v>
      </c>
      <c r="G10385" s="7">
        <v>141149</v>
      </c>
      <c r="H10385" s="7">
        <f t="shared" si="231"/>
        <v>41931.68</v>
      </c>
      <c r="I10385" s="16"/>
    </row>
    <row r="10386" spans="1:9" s="9" customFormat="1" ht="21" customHeight="1" x14ac:dyDescent="0.6">
      <c r="A10386" s="7">
        <v>24.757714</v>
      </c>
      <c r="B10386" s="7">
        <v>34.859964699999999</v>
      </c>
      <c r="C10386" s="7">
        <v>688076.48</v>
      </c>
      <c r="D10386" s="7">
        <v>2739398.92</v>
      </c>
      <c r="E10386" s="7">
        <v>256.19</v>
      </c>
      <c r="F10386" s="7">
        <v>41934.1</v>
      </c>
      <c r="G10386" s="7">
        <v>141158</v>
      </c>
      <c r="H10386" s="7">
        <f t="shared" si="231"/>
        <v>41932.1</v>
      </c>
      <c r="I10386" s="16"/>
    </row>
    <row r="10387" spans="1:9" s="9" customFormat="1" ht="21" customHeight="1" x14ac:dyDescent="0.6">
      <c r="A10387" s="7">
        <v>24.7566354</v>
      </c>
      <c r="B10387" s="7">
        <v>34.861312099999999</v>
      </c>
      <c r="C10387" s="7">
        <v>688214.39</v>
      </c>
      <c r="D10387" s="7">
        <v>2739281.31</v>
      </c>
      <c r="E10387" s="7">
        <v>258.04000000000002</v>
      </c>
      <c r="F10387" s="7">
        <v>41946.16</v>
      </c>
      <c r="G10387" s="7">
        <v>141343</v>
      </c>
      <c r="H10387" s="7">
        <f t="shared" si="231"/>
        <v>41944.160000000003</v>
      </c>
      <c r="I10387" s="16"/>
    </row>
    <row r="10388" spans="1:9" s="9" customFormat="1" ht="21" customHeight="1" x14ac:dyDescent="0.6">
      <c r="A10388" s="7">
        <v>24.756637000000001</v>
      </c>
      <c r="B10388" s="7">
        <v>34.861313099999997</v>
      </c>
      <c r="C10388" s="7">
        <v>688214.49</v>
      </c>
      <c r="D10388" s="7">
        <v>2739281.49</v>
      </c>
      <c r="E10388" s="7">
        <v>258.16000000000003</v>
      </c>
      <c r="F10388" s="7">
        <v>41944.78</v>
      </c>
      <c r="G10388" s="7">
        <v>141352</v>
      </c>
      <c r="H10388" s="7">
        <f t="shared" si="231"/>
        <v>41942.78</v>
      </c>
      <c r="I10388" s="16"/>
    </row>
    <row r="10389" spans="1:9" s="9" customFormat="1" ht="21" customHeight="1" x14ac:dyDescent="0.6">
      <c r="A10389" s="7">
        <v>24.7554248</v>
      </c>
      <c r="B10389" s="7">
        <v>34.862762799999999</v>
      </c>
      <c r="C10389" s="7">
        <v>688362.94</v>
      </c>
      <c r="D10389" s="7">
        <v>2739149.22</v>
      </c>
      <c r="E10389" s="7">
        <v>260.64</v>
      </c>
      <c r="F10389" s="7">
        <v>41943.18</v>
      </c>
      <c r="G10389" s="7">
        <v>141607</v>
      </c>
      <c r="H10389" s="7">
        <f t="shared" si="231"/>
        <v>41941.18</v>
      </c>
      <c r="I10389" s="16"/>
    </row>
    <row r="10390" spans="1:9" s="9" customFormat="1" ht="21" customHeight="1" x14ac:dyDescent="0.6">
      <c r="A10390" s="7">
        <v>24.755210600000002</v>
      </c>
      <c r="B10390" s="7">
        <v>34.862228799999997</v>
      </c>
      <c r="C10390" s="7">
        <v>688309.25</v>
      </c>
      <c r="D10390" s="7">
        <v>2739124.75</v>
      </c>
      <c r="E10390" s="7">
        <v>261.23</v>
      </c>
      <c r="F10390" s="7">
        <v>41943.72</v>
      </c>
      <c r="G10390" s="7">
        <v>141658</v>
      </c>
      <c r="H10390" s="7">
        <f t="shared" si="231"/>
        <v>41941.72</v>
      </c>
      <c r="I10390" s="16"/>
    </row>
    <row r="10391" spans="1:9" s="9" customFormat="1" ht="21" customHeight="1" x14ac:dyDescent="0.6">
      <c r="A10391" s="7">
        <v>24.755230099999999</v>
      </c>
      <c r="B10391" s="7">
        <v>34.862253699999997</v>
      </c>
      <c r="C10391" s="7">
        <v>688311.74</v>
      </c>
      <c r="D10391" s="7">
        <v>2739126.95</v>
      </c>
      <c r="E10391" s="7">
        <v>260.95999999999998</v>
      </c>
      <c r="F10391" s="7">
        <v>41943.16</v>
      </c>
      <c r="G10391" s="7">
        <v>141710</v>
      </c>
      <c r="H10391" s="7">
        <f t="shared" si="231"/>
        <v>41941.160000000003</v>
      </c>
      <c r="I10391" s="16"/>
    </row>
    <row r="10392" spans="1:9" s="9" customFormat="1" ht="21" customHeight="1" x14ac:dyDescent="0.6">
      <c r="A10392" s="7">
        <v>24.7621374</v>
      </c>
      <c r="B10392" s="7">
        <v>34.8602943</v>
      </c>
      <c r="C10392" s="7">
        <v>688103.15</v>
      </c>
      <c r="D10392" s="7">
        <v>2739889.32</v>
      </c>
      <c r="E10392" s="7">
        <v>246.39</v>
      </c>
      <c r="F10392" s="7">
        <v>41972.41</v>
      </c>
      <c r="G10392" s="7">
        <v>142328</v>
      </c>
      <c r="H10392" s="7">
        <f t="shared" si="231"/>
        <v>41970.41</v>
      </c>
      <c r="I10392" s="16"/>
    </row>
    <row r="10393" spans="1:9" s="9" customFormat="1" ht="21" customHeight="1" x14ac:dyDescent="0.6">
      <c r="A10393" s="7">
        <v>24.762136900000002</v>
      </c>
      <c r="B10393" s="7">
        <v>34.860295499999999</v>
      </c>
      <c r="C10393" s="7">
        <v>688103.28</v>
      </c>
      <c r="D10393" s="7">
        <v>2739889.27</v>
      </c>
      <c r="E10393" s="7">
        <v>246.06</v>
      </c>
      <c r="F10393" s="7">
        <v>41972.81</v>
      </c>
      <c r="G10393" s="7">
        <v>142337</v>
      </c>
      <c r="H10393" s="7">
        <f t="shared" si="231"/>
        <v>41970.81</v>
      </c>
      <c r="I10393" s="16"/>
    </row>
    <row r="10394" spans="1:9" s="9" customFormat="1" ht="21" customHeight="1" x14ac:dyDescent="0.6">
      <c r="A10394" s="7">
        <v>24.7636383</v>
      </c>
      <c r="B10394" s="7">
        <v>34.861015299999998</v>
      </c>
      <c r="C10394" s="7">
        <v>688173.81</v>
      </c>
      <c r="D10394" s="7">
        <v>2740056.56</v>
      </c>
      <c r="E10394" s="7">
        <v>242.7</v>
      </c>
      <c r="F10394" s="7">
        <v>41987.55</v>
      </c>
      <c r="G10394" s="7">
        <v>142501</v>
      </c>
      <c r="H10394" s="7">
        <f t="shared" si="231"/>
        <v>41985.55</v>
      </c>
      <c r="I10394" s="16"/>
    </row>
    <row r="10395" spans="1:9" s="9" customFormat="1" ht="21" customHeight="1" x14ac:dyDescent="0.6">
      <c r="A10395" s="7">
        <v>24.763639600000001</v>
      </c>
      <c r="B10395" s="7">
        <v>34.861016399999997</v>
      </c>
      <c r="C10395" s="7">
        <v>688173.92</v>
      </c>
      <c r="D10395" s="7">
        <v>2740056.71</v>
      </c>
      <c r="E10395" s="7">
        <v>242.7</v>
      </c>
      <c r="F10395" s="7">
        <v>41991.45</v>
      </c>
      <c r="G10395" s="7">
        <v>142510</v>
      </c>
      <c r="H10395" s="7">
        <f t="shared" si="231"/>
        <v>41989.45</v>
      </c>
      <c r="I10395" s="16"/>
    </row>
    <row r="10396" spans="1:9" s="9" customFormat="1" ht="21" customHeight="1" x14ac:dyDescent="0.6">
      <c r="A10396" s="7">
        <v>24.763604999999998</v>
      </c>
      <c r="B10396" s="7">
        <v>34.862341600000001</v>
      </c>
      <c r="C10396" s="7">
        <v>688307.99</v>
      </c>
      <c r="D10396" s="7">
        <v>2740054.7</v>
      </c>
      <c r="E10396" s="7">
        <v>240.92</v>
      </c>
      <c r="F10396" s="7">
        <v>41994.45</v>
      </c>
      <c r="G10396" s="7">
        <v>142637</v>
      </c>
      <c r="H10396" s="7">
        <f t="shared" si="231"/>
        <v>41992.45</v>
      </c>
      <c r="I10396" s="16"/>
    </row>
    <row r="10397" spans="1:9" s="9" customFormat="1" ht="21" customHeight="1" x14ac:dyDescent="0.6">
      <c r="A10397" s="7">
        <v>24.763591900000002</v>
      </c>
      <c r="B10397" s="7">
        <v>34.862347200000002</v>
      </c>
      <c r="C10397" s="7">
        <v>688308.58</v>
      </c>
      <c r="D10397" s="7">
        <v>2740053.26</v>
      </c>
      <c r="E10397" s="7">
        <v>241.52</v>
      </c>
      <c r="F10397" s="7">
        <v>41994.559999999998</v>
      </c>
      <c r="G10397" s="7">
        <v>142701</v>
      </c>
      <c r="H10397" s="7">
        <f t="shared" si="231"/>
        <v>41992.56</v>
      </c>
      <c r="I10397" s="16"/>
    </row>
    <row r="10398" spans="1:9" s="9" customFormat="1" ht="21" customHeight="1" x14ac:dyDescent="0.6">
      <c r="A10398" s="7">
        <v>24.764306600000001</v>
      </c>
      <c r="B10398" s="7">
        <v>34.863646000000003</v>
      </c>
      <c r="C10398" s="7">
        <v>688438.86</v>
      </c>
      <c r="D10398" s="7">
        <v>2740134.21</v>
      </c>
      <c r="E10398" s="7">
        <v>239.35</v>
      </c>
      <c r="F10398" s="7">
        <v>41992.41</v>
      </c>
      <c r="G10398" s="7">
        <v>142828</v>
      </c>
      <c r="H10398" s="7">
        <f t="shared" si="231"/>
        <v>41990.41</v>
      </c>
      <c r="I10398" s="16"/>
    </row>
    <row r="10399" spans="1:9" s="9" customFormat="1" ht="21" customHeight="1" x14ac:dyDescent="0.6">
      <c r="A10399" s="7">
        <v>24.764283500000001</v>
      </c>
      <c r="B10399" s="7">
        <v>34.863579100000003</v>
      </c>
      <c r="C10399" s="7">
        <v>688432.13</v>
      </c>
      <c r="D10399" s="7">
        <v>2740131.56</v>
      </c>
      <c r="E10399" s="7">
        <v>240.34</v>
      </c>
      <c r="F10399" s="7">
        <v>41998.49</v>
      </c>
      <c r="G10399" s="7">
        <v>142843</v>
      </c>
      <c r="H10399" s="7">
        <f t="shared" si="231"/>
        <v>41996.49</v>
      </c>
      <c r="I10399" s="16"/>
    </row>
    <row r="10400" spans="1:9" s="9" customFormat="1" ht="21" customHeight="1" x14ac:dyDescent="0.6">
      <c r="A10400" s="7">
        <v>24.766026799999999</v>
      </c>
      <c r="B10400" s="7">
        <v>34.862551699999997</v>
      </c>
      <c r="C10400" s="7">
        <v>688325.59</v>
      </c>
      <c r="D10400" s="7">
        <v>2740323.24</v>
      </c>
      <c r="E10400" s="7">
        <v>237.73</v>
      </c>
      <c r="F10400" s="7">
        <v>41996.33</v>
      </c>
      <c r="G10400" s="7">
        <v>143007</v>
      </c>
      <c r="H10400" s="7">
        <f t="shared" si="231"/>
        <v>41994.33</v>
      </c>
      <c r="I10400" s="16"/>
    </row>
    <row r="10401" spans="1:9" s="9" customFormat="1" ht="21" customHeight="1" x14ac:dyDescent="0.6">
      <c r="A10401" s="7">
        <v>24.766027000000001</v>
      </c>
      <c r="B10401" s="7">
        <v>34.862549899999998</v>
      </c>
      <c r="C10401" s="7">
        <v>688325.41</v>
      </c>
      <c r="D10401" s="7">
        <v>2740323.26</v>
      </c>
      <c r="E10401" s="7">
        <v>237.55</v>
      </c>
      <c r="F10401" s="7">
        <v>41997.71</v>
      </c>
      <c r="G10401" s="7">
        <v>143016</v>
      </c>
      <c r="H10401" s="7">
        <f t="shared" si="231"/>
        <v>41995.71</v>
      </c>
      <c r="I10401" s="16"/>
    </row>
    <row r="10402" spans="1:9" s="9" customFormat="1" ht="21" customHeight="1" x14ac:dyDescent="0.6">
      <c r="A10402" s="7">
        <v>24.767706400000002</v>
      </c>
      <c r="B10402" s="7">
        <v>34.863469000000002</v>
      </c>
      <c r="C10402" s="7">
        <v>688415.82</v>
      </c>
      <c r="D10402" s="7">
        <v>2740510.54</v>
      </c>
      <c r="E10402" s="7">
        <v>231.06</v>
      </c>
      <c r="F10402" s="7">
        <v>42014.85</v>
      </c>
      <c r="G10402" s="7">
        <v>143155</v>
      </c>
      <c r="H10402" s="7">
        <f t="shared" si="231"/>
        <v>42012.85</v>
      </c>
      <c r="I10402" s="16"/>
    </row>
    <row r="10403" spans="1:9" s="9" customFormat="1" ht="21" customHeight="1" x14ac:dyDescent="0.6">
      <c r="A10403" s="7">
        <v>24.767706</v>
      </c>
      <c r="B10403" s="7">
        <v>34.8634688</v>
      </c>
      <c r="C10403" s="7">
        <v>688415.81</v>
      </c>
      <c r="D10403" s="7">
        <v>2740510.49</v>
      </c>
      <c r="E10403" s="7">
        <v>231.09</v>
      </c>
      <c r="F10403" s="7">
        <v>42017.1</v>
      </c>
      <c r="G10403" s="7">
        <v>143201</v>
      </c>
      <c r="H10403" s="7">
        <f t="shared" si="231"/>
        <v>42015.1</v>
      </c>
      <c r="I10403" s="16"/>
    </row>
    <row r="10404" spans="1:9" s="9" customFormat="1" ht="21" customHeight="1" x14ac:dyDescent="0.6">
      <c r="A10404" s="7">
        <v>24.769659099999998</v>
      </c>
      <c r="B10404" s="7">
        <v>34.863991400000003</v>
      </c>
      <c r="C10404" s="7">
        <v>688465.71</v>
      </c>
      <c r="D10404" s="7">
        <v>2740727.55</v>
      </c>
      <c r="E10404" s="7">
        <v>227.16</v>
      </c>
      <c r="F10404" s="7">
        <v>42026.81</v>
      </c>
      <c r="G10404" s="7">
        <v>143334</v>
      </c>
      <c r="H10404" s="7">
        <f t="shared" si="231"/>
        <v>42024.81</v>
      </c>
      <c r="I10404" s="16"/>
    </row>
    <row r="10405" spans="1:9" s="9" customFormat="1" ht="21" customHeight="1" x14ac:dyDescent="0.6">
      <c r="A10405" s="7">
        <v>24.769659300000001</v>
      </c>
      <c r="B10405" s="7">
        <v>34.863992799999998</v>
      </c>
      <c r="C10405" s="7">
        <v>688465.85</v>
      </c>
      <c r="D10405" s="7">
        <v>2740727.58</v>
      </c>
      <c r="E10405" s="7">
        <v>226.91</v>
      </c>
      <c r="F10405" s="7">
        <v>42026.34</v>
      </c>
      <c r="G10405" s="7">
        <v>143343</v>
      </c>
      <c r="H10405" s="7">
        <f t="shared" si="231"/>
        <v>42024.34</v>
      </c>
      <c r="I10405" s="16"/>
    </row>
    <row r="10406" spans="1:9" s="9" customFormat="1" ht="21" customHeight="1" x14ac:dyDescent="0.6">
      <c r="A10406" s="7">
        <v>24.769722000000002</v>
      </c>
      <c r="B10406" s="7">
        <v>34.864021999999999</v>
      </c>
      <c r="C10406" s="7">
        <v>688468.71</v>
      </c>
      <c r="D10406" s="7">
        <v>2740734.56</v>
      </c>
      <c r="E10406" s="7">
        <v>226.57</v>
      </c>
      <c r="F10406" s="7">
        <v>42032.31</v>
      </c>
      <c r="G10406" s="7">
        <v>143355</v>
      </c>
      <c r="H10406" s="7">
        <f t="shared" si="231"/>
        <v>42030.31</v>
      </c>
      <c r="I10406" s="16"/>
    </row>
    <row r="10407" spans="1:9" s="9" customFormat="1" ht="21" customHeight="1" x14ac:dyDescent="0.6">
      <c r="A10407" s="7">
        <v>24.771694400000001</v>
      </c>
      <c r="B10407" s="7">
        <v>34.864897499999998</v>
      </c>
      <c r="C10407" s="7">
        <v>688554.27</v>
      </c>
      <c r="D10407" s="7">
        <v>2740954.23</v>
      </c>
      <c r="E10407" s="7">
        <v>225.32</v>
      </c>
      <c r="F10407" s="7">
        <v>42031.3</v>
      </c>
      <c r="G10407" s="7">
        <v>143537</v>
      </c>
      <c r="H10407" s="7">
        <f t="shared" si="231"/>
        <v>42029.3</v>
      </c>
      <c r="I10407" s="16"/>
    </row>
    <row r="10408" spans="1:9" s="9" customFormat="1" ht="21" customHeight="1" x14ac:dyDescent="0.6">
      <c r="A10408" s="7">
        <v>24.771699399999999</v>
      </c>
      <c r="B10408" s="7">
        <v>34.864902899999997</v>
      </c>
      <c r="C10408" s="7">
        <v>688554.81</v>
      </c>
      <c r="D10408" s="7">
        <v>2740954.8</v>
      </c>
      <c r="E10408" s="7">
        <v>225.46</v>
      </c>
      <c r="F10408" s="7">
        <v>42031.27</v>
      </c>
      <c r="G10408" s="7">
        <v>143546</v>
      </c>
      <c r="H10408" s="7">
        <f t="shared" si="231"/>
        <v>42029.27</v>
      </c>
      <c r="I10408" s="16"/>
    </row>
    <row r="10409" spans="1:9" s="9" customFormat="1" ht="21" customHeight="1" x14ac:dyDescent="0.6">
      <c r="A10409" s="7">
        <v>24.772347</v>
      </c>
      <c r="B10409" s="7">
        <v>34.867538600000003</v>
      </c>
      <c r="C10409" s="7">
        <v>688820.38</v>
      </c>
      <c r="D10409" s="7">
        <v>2741030.17</v>
      </c>
      <c r="E10409" s="7">
        <v>221.74</v>
      </c>
      <c r="F10409" s="7">
        <v>42047.54</v>
      </c>
      <c r="G10409" s="7">
        <v>143734</v>
      </c>
      <c r="H10409" s="7">
        <f t="shared" si="231"/>
        <v>42045.54</v>
      </c>
      <c r="I10409" s="16"/>
    </row>
    <row r="10410" spans="1:9" s="9" customFormat="1" ht="21" customHeight="1" x14ac:dyDescent="0.6">
      <c r="A10410" s="7">
        <v>24.772348000000001</v>
      </c>
      <c r="B10410" s="7">
        <v>34.867539200000003</v>
      </c>
      <c r="C10410" s="7">
        <v>688820.44</v>
      </c>
      <c r="D10410" s="7">
        <v>2741030.28</v>
      </c>
      <c r="E10410" s="7">
        <v>221.8</v>
      </c>
      <c r="F10410" s="7">
        <v>42049.440000000002</v>
      </c>
      <c r="G10410" s="7">
        <v>143743</v>
      </c>
      <c r="H10410" s="7">
        <f t="shared" si="231"/>
        <v>42047.44</v>
      </c>
      <c r="I10410" s="16"/>
    </row>
    <row r="10411" spans="1:9" s="9" customFormat="1" ht="21" customHeight="1" x14ac:dyDescent="0.6">
      <c r="A10411" s="7">
        <v>24.773223900000001</v>
      </c>
      <c r="B10411" s="7">
        <v>34.869394499999999</v>
      </c>
      <c r="C10411" s="7">
        <v>689006.74</v>
      </c>
      <c r="D10411" s="7">
        <v>2741129.85</v>
      </c>
      <c r="E10411" s="7">
        <v>218.21</v>
      </c>
      <c r="F10411" s="7">
        <v>42054.720000000001</v>
      </c>
      <c r="G10411" s="7">
        <v>143913</v>
      </c>
      <c r="H10411" s="7">
        <f t="shared" si="231"/>
        <v>42052.72</v>
      </c>
      <c r="I10411" s="16"/>
    </row>
    <row r="10412" spans="1:9" s="9" customFormat="1" ht="21" customHeight="1" x14ac:dyDescent="0.6">
      <c r="A10412" s="7">
        <v>24.773223999999999</v>
      </c>
      <c r="B10412" s="7">
        <v>34.869394100000001</v>
      </c>
      <c r="C10412" s="7">
        <v>689006.69</v>
      </c>
      <c r="D10412" s="7">
        <v>2741129.87</v>
      </c>
      <c r="E10412" s="7">
        <v>218.29</v>
      </c>
      <c r="F10412" s="7">
        <v>42054.99</v>
      </c>
      <c r="G10412" s="7">
        <v>143922</v>
      </c>
      <c r="H10412" s="7">
        <f t="shared" si="231"/>
        <v>42052.99</v>
      </c>
      <c r="I10412" s="16"/>
    </row>
    <row r="10413" spans="1:9" s="9" customFormat="1" ht="21" customHeight="1" x14ac:dyDescent="0.6">
      <c r="A10413" s="7">
        <v>24.773338800000001</v>
      </c>
      <c r="B10413" s="7">
        <v>34.869545299999999</v>
      </c>
      <c r="C10413" s="7">
        <v>689021.81</v>
      </c>
      <c r="D10413" s="7">
        <v>2741142.79</v>
      </c>
      <c r="E10413" s="7">
        <v>217.97</v>
      </c>
      <c r="F10413" s="7">
        <v>42057.1</v>
      </c>
      <c r="G10413" s="7">
        <v>143949</v>
      </c>
      <c r="H10413" s="7">
        <f t="shared" si="231"/>
        <v>42055.1</v>
      </c>
      <c r="I10413" s="16"/>
    </row>
    <row r="10414" spans="1:9" s="9" customFormat="1" ht="21" customHeight="1" x14ac:dyDescent="0.6">
      <c r="A10414" s="7">
        <v>24.774214099999998</v>
      </c>
      <c r="B10414" s="7">
        <v>34.872083199999999</v>
      </c>
      <c r="C10414" s="7">
        <v>689277.15</v>
      </c>
      <c r="D10414" s="7">
        <v>2741243.26</v>
      </c>
      <c r="E10414" s="7">
        <v>214.89</v>
      </c>
      <c r="F10414" s="7">
        <v>42060.63</v>
      </c>
      <c r="G10414" s="7">
        <v>144155</v>
      </c>
      <c r="H10414" s="7">
        <f t="shared" si="231"/>
        <v>42058.63</v>
      </c>
      <c r="I10414" s="16"/>
    </row>
    <row r="10415" spans="1:9" s="9" customFormat="1" ht="21" customHeight="1" x14ac:dyDescent="0.6">
      <c r="A10415" s="7">
        <v>24.774214000000001</v>
      </c>
      <c r="B10415" s="7">
        <v>34.872082499999998</v>
      </c>
      <c r="C10415" s="7">
        <v>689277.07</v>
      </c>
      <c r="D10415" s="7">
        <v>2741243.25</v>
      </c>
      <c r="E10415" s="7">
        <v>215.03</v>
      </c>
      <c r="F10415" s="7">
        <v>42060.14</v>
      </c>
      <c r="G10415" s="7">
        <v>144204</v>
      </c>
      <c r="H10415" s="7">
        <f t="shared" si="231"/>
        <v>42058.14</v>
      </c>
      <c r="I10415" s="16"/>
    </row>
    <row r="10416" spans="1:9" s="9" customFormat="1" ht="21" customHeight="1" x14ac:dyDescent="0.6">
      <c r="A10416" s="7">
        <v>24.773670299999999</v>
      </c>
      <c r="B10416" s="7">
        <v>34.874438099999999</v>
      </c>
      <c r="C10416" s="7">
        <v>689516.11</v>
      </c>
      <c r="D10416" s="7">
        <v>2741186.29</v>
      </c>
      <c r="E10416" s="7">
        <v>210.87</v>
      </c>
      <c r="F10416" s="7">
        <v>42085.46</v>
      </c>
      <c r="G10416" s="7">
        <v>144501</v>
      </c>
      <c r="H10416" s="7">
        <f t="shared" si="231"/>
        <v>42083.46</v>
      </c>
      <c r="I10416" s="16"/>
    </row>
    <row r="10417" spans="1:9" s="9" customFormat="1" ht="21" customHeight="1" x14ac:dyDescent="0.6">
      <c r="A10417" s="7">
        <v>24.7736698</v>
      </c>
      <c r="B10417" s="7">
        <v>34.874439000000002</v>
      </c>
      <c r="C10417" s="7">
        <v>689516.21</v>
      </c>
      <c r="D10417" s="7">
        <v>2741186.23</v>
      </c>
      <c r="E10417" s="7">
        <v>210.75</v>
      </c>
      <c r="F10417" s="7">
        <v>42087.21</v>
      </c>
      <c r="G10417" s="7">
        <v>144510</v>
      </c>
      <c r="H10417" s="7">
        <f t="shared" si="231"/>
        <v>42085.21</v>
      </c>
      <c r="I10417" s="16"/>
    </row>
    <row r="10418" spans="1:9" s="9" customFormat="1" ht="21" customHeight="1" x14ac:dyDescent="0.6">
      <c r="A10418" s="7">
        <v>24.774494099999998</v>
      </c>
      <c r="B10418" s="7">
        <v>34.8761942</v>
      </c>
      <c r="C10418" s="7">
        <v>689692.45</v>
      </c>
      <c r="D10418" s="7">
        <v>2741279.97</v>
      </c>
      <c r="E10418" s="7">
        <v>208.69</v>
      </c>
      <c r="F10418" s="7">
        <v>42148.42</v>
      </c>
      <c r="G10418" s="7">
        <v>144725</v>
      </c>
      <c r="H10418" s="7">
        <f t="shared" si="231"/>
        <v>42146.42</v>
      </c>
      <c r="I10418" s="16"/>
    </row>
    <row r="10419" spans="1:9" s="9" customFormat="1" ht="21" customHeight="1" x14ac:dyDescent="0.6">
      <c r="A10419" s="7">
        <v>24.774493799999998</v>
      </c>
      <c r="B10419" s="7">
        <v>34.876194599999998</v>
      </c>
      <c r="C10419" s="7">
        <v>689692.5</v>
      </c>
      <c r="D10419" s="7">
        <v>2741279.94</v>
      </c>
      <c r="E10419" s="7">
        <v>208.75</v>
      </c>
      <c r="F10419" s="7">
        <v>42143</v>
      </c>
      <c r="G10419" s="7">
        <v>144737</v>
      </c>
      <c r="H10419" s="7">
        <f t="shared" si="231"/>
        <v>42141</v>
      </c>
      <c r="I10419" s="16"/>
    </row>
    <row r="10420" spans="1:9" s="9" customFormat="1" ht="21" customHeight="1" x14ac:dyDescent="0.6">
      <c r="A10420" s="7">
        <v>24.774493799999998</v>
      </c>
      <c r="B10420" s="7">
        <v>34.876199700000001</v>
      </c>
      <c r="C10420" s="7">
        <v>689693.01</v>
      </c>
      <c r="D10420" s="7">
        <v>2741279.95</v>
      </c>
      <c r="E10420" s="7">
        <v>208.86</v>
      </c>
      <c r="F10420" s="7">
        <v>42113.02</v>
      </c>
      <c r="G10420" s="7">
        <v>144749</v>
      </c>
      <c r="H10420" s="7">
        <f t="shared" si="231"/>
        <v>42111.02</v>
      </c>
      <c r="I10420" s="16"/>
    </row>
    <row r="10421" spans="1:9" s="9" customFormat="1" ht="21" customHeight="1" x14ac:dyDescent="0.6">
      <c r="A10421" s="7">
        <v>24.774380699999998</v>
      </c>
      <c r="B10421" s="7">
        <v>34.877944300000003</v>
      </c>
      <c r="C10421" s="7">
        <v>689869.62</v>
      </c>
      <c r="D10421" s="7">
        <v>2741269.84</v>
      </c>
      <c r="E10421" s="7">
        <v>206.92</v>
      </c>
      <c r="F10421" s="7">
        <v>42115.34</v>
      </c>
      <c r="G10421" s="7">
        <v>144922</v>
      </c>
      <c r="H10421" s="7">
        <f t="shared" si="231"/>
        <v>42113.34</v>
      </c>
      <c r="I10421" s="16"/>
    </row>
    <row r="10422" spans="1:9" s="9" customFormat="1" ht="21" customHeight="1" x14ac:dyDescent="0.6">
      <c r="A10422" s="7">
        <v>24.774380900000001</v>
      </c>
      <c r="B10422" s="7">
        <v>34.877945699999998</v>
      </c>
      <c r="C10422" s="7">
        <v>689869.76</v>
      </c>
      <c r="D10422" s="7">
        <v>2741269.87</v>
      </c>
      <c r="E10422" s="7">
        <v>206.68</v>
      </c>
      <c r="F10422" s="7">
        <v>42113.01</v>
      </c>
      <c r="G10422" s="7">
        <v>144931</v>
      </c>
      <c r="H10422" s="7">
        <f t="shared" si="231"/>
        <v>42111.01</v>
      </c>
      <c r="I10422" s="16"/>
    </row>
    <row r="10423" spans="1:9" s="9" customFormat="1" ht="21" customHeight="1" x14ac:dyDescent="0.6">
      <c r="A10423" s="7">
        <v>24.7736275</v>
      </c>
      <c r="B10423" s="7">
        <v>34.880095400000002</v>
      </c>
      <c r="C10423" s="7">
        <v>690088.29</v>
      </c>
      <c r="D10423" s="7">
        <v>2741189.41</v>
      </c>
      <c r="E10423" s="7">
        <v>203.06</v>
      </c>
      <c r="F10423" s="7">
        <v>42156.79</v>
      </c>
      <c r="G10423" s="7">
        <v>145107</v>
      </c>
      <c r="H10423" s="7">
        <f t="shared" si="231"/>
        <v>42154.79</v>
      </c>
      <c r="I10423" s="16"/>
    </row>
    <row r="10424" spans="1:9" s="9" customFormat="1" ht="21" customHeight="1" x14ac:dyDescent="0.6">
      <c r="A10424" s="7">
        <v>24.7736278</v>
      </c>
      <c r="B10424" s="7">
        <v>34.880095300000001</v>
      </c>
      <c r="C10424" s="7">
        <v>690088.29</v>
      </c>
      <c r="D10424" s="7">
        <v>2741189.44</v>
      </c>
      <c r="E10424" s="7">
        <v>203</v>
      </c>
      <c r="F10424" s="7">
        <v>42154.35</v>
      </c>
      <c r="G10424" s="7">
        <v>145116</v>
      </c>
      <c r="H10424" s="7">
        <f t="shared" si="231"/>
        <v>42152.35</v>
      </c>
      <c r="I10424" s="16"/>
    </row>
    <row r="10425" spans="1:9" s="4" customFormat="1" ht="21" customHeight="1" x14ac:dyDescent="0.55000000000000004">
      <c r="A10425" s="18">
        <v>24.760031600000001</v>
      </c>
      <c r="B10425" s="18">
        <v>34.833435700000003</v>
      </c>
      <c r="C10425" s="18">
        <v>685389.86</v>
      </c>
      <c r="D10425" s="18">
        <v>2739619.39</v>
      </c>
      <c r="E10425" s="18">
        <v>305.60000000000002</v>
      </c>
      <c r="F10425" s="18">
        <v>41947.72</v>
      </c>
      <c r="G10425" s="18">
        <v>72958</v>
      </c>
      <c r="H10425" s="18">
        <f>SUM(F10425-3)</f>
        <v>41944.72</v>
      </c>
      <c r="I10425" s="3"/>
    </row>
    <row r="10426" spans="1:9" s="4" customFormat="1" ht="21" customHeight="1" x14ac:dyDescent="0.55000000000000004">
      <c r="A10426" s="18">
        <v>24.760031699999999</v>
      </c>
      <c r="B10426" s="18">
        <v>34.833435000000001</v>
      </c>
      <c r="C10426" s="18">
        <v>685389.8</v>
      </c>
      <c r="D10426" s="18">
        <v>2739619.4</v>
      </c>
      <c r="E10426" s="18">
        <v>305.64999999999998</v>
      </c>
      <c r="F10426" s="18">
        <v>41947.85</v>
      </c>
      <c r="G10426" s="18">
        <v>73007</v>
      </c>
      <c r="H10426" s="18">
        <f t="shared" ref="H10426:H10449" si="232">SUM(F10426-3)</f>
        <v>41944.85</v>
      </c>
      <c r="I10426" s="3"/>
    </row>
    <row r="10427" spans="1:9" s="4" customFormat="1" ht="21" customHeight="1" x14ac:dyDescent="0.55000000000000004">
      <c r="A10427" s="18">
        <v>24.760953099999998</v>
      </c>
      <c r="B10427" s="18">
        <v>34.831665100000002</v>
      </c>
      <c r="C10427" s="18">
        <v>685209.43</v>
      </c>
      <c r="D10427" s="18">
        <v>2739719.06</v>
      </c>
      <c r="E10427" s="18">
        <v>311.63</v>
      </c>
      <c r="F10427" s="18">
        <v>41949.07</v>
      </c>
      <c r="G10427" s="18">
        <v>73340</v>
      </c>
      <c r="H10427" s="18">
        <f t="shared" si="232"/>
        <v>41946.07</v>
      </c>
      <c r="I10427" s="3"/>
    </row>
    <row r="10428" spans="1:9" s="4" customFormat="1" ht="21" customHeight="1" x14ac:dyDescent="0.55000000000000004">
      <c r="A10428" s="18">
        <v>24.7609548</v>
      </c>
      <c r="B10428" s="18">
        <v>34.8316667</v>
      </c>
      <c r="C10428" s="18">
        <v>685209.58</v>
      </c>
      <c r="D10428" s="18">
        <v>2739719.26</v>
      </c>
      <c r="E10428" s="18">
        <v>311.63</v>
      </c>
      <c r="F10428" s="18">
        <v>41949.42</v>
      </c>
      <c r="G10428" s="18">
        <v>73352</v>
      </c>
      <c r="H10428" s="18">
        <f t="shared" si="232"/>
        <v>41946.42</v>
      </c>
      <c r="I10428" s="3"/>
    </row>
    <row r="10429" spans="1:9" s="4" customFormat="1" ht="21" customHeight="1" x14ac:dyDescent="0.55000000000000004">
      <c r="A10429" s="18">
        <v>24.760600100000001</v>
      </c>
      <c r="B10429" s="18">
        <v>34.831472699999999</v>
      </c>
      <c r="C10429" s="18">
        <v>685190.49</v>
      </c>
      <c r="D10429" s="18">
        <v>2739679.7</v>
      </c>
      <c r="E10429" s="18">
        <v>310.35000000000002</v>
      </c>
      <c r="F10429" s="18">
        <v>41945.88</v>
      </c>
      <c r="G10429" s="18">
        <v>73622</v>
      </c>
      <c r="H10429" s="18">
        <f t="shared" si="232"/>
        <v>41942.879999999997</v>
      </c>
      <c r="I10429" s="3"/>
    </row>
    <row r="10430" spans="1:9" s="4" customFormat="1" ht="21" customHeight="1" x14ac:dyDescent="0.55000000000000004">
      <c r="A10430" s="18">
        <v>24.760599500000001</v>
      </c>
      <c r="B10430" s="18">
        <v>34.831473799999998</v>
      </c>
      <c r="C10430" s="18">
        <v>685190.6</v>
      </c>
      <c r="D10430" s="18">
        <v>2739679.63</v>
      </c>
      <c r="E10430" s="18">
        <v>310.27999999999997</v>
      </c>
      <c r="F10430" s="18">
        <v>41946.09</v>
      </c>
      <c r="G10430" s="18">
        <v>73634</v>
      </c>
      <c r="H10430" s="18">
        <f t="shared" si="232"/>
        <v>41943.09</v>
      </c>
      <c r="I10430" s="3"/>
    </row>
    <row r="10431" spans="1:9" s="4" customFormat="1" ht="21" customHeight="1" x14ac:dyDescent="0.55000000000000004">
      <c r="A10431" s="18">
        <v>24.7594745</v>
      </c>
      <c r="B10431" s="18">
        <v>34.8303704</v>
      </c>
      <c r="C10431" s="18">
        <v>685080.67</v>
      </c>
      <c r="D10431" s="18">
        <v>2739553.54</v>
      </c>
      <c r="E10431" s="18">
        <v>313.64</v>
      </c>
      <c r="F10431" s="18">
        <v>41938.9</v>
      </c>
      <c r="G10431" s="18">
        <v>73855</v>
      </c>
      <c r="H10431" s="18">
        <f t="shared" si="232"/>
        <v>41935.9</v>
      </c>
      <c r="I10431" s="3"/>
    </row>
    <row r="10432" spans="1:9" s="4" customFormat="1" ht="21" customHeight="1" x14ac:dyDescent="0.55000000000000004">
      <c r="A10432" s="18">
        <v>24.759469299999999</v>
      </c>
      <c r="B10432" s="18">
        <v>34.830365399999998</v>
      </c>
      <c r="C10432" s="18">
        <v>685080.17</v>
      </c>
      <c r="D10432" s="18">
        <v>2739552.96</v>
      </c>
      <c r="E10432" s="18">
        <v>313.35000000000002</v>
      </c>
      <c r="F10432" s="18">
        <v>41938.400000000001</v>
      </c>
      <c r="G10432" s="18">
        <v>73904</v>
      </c>
      <c r="H10432" s="18">
        <f t="shared" si="232"/>
        <v>41935.4</v>
      </c>
      <c r="I10432" s="3"/>
    </row>
    <row r="10433" spans="1:9" s="4" customFormat="1" ht="21" customHeight="1" x14ac:dyDescent="0.55000000000000004">
      <c r="A10433" s="18">
        <v>24.758385100000002</v>
      </c>
      <c r="B10433" s="18">
        <v>34.829011199999997</v>
      </c>
      <c r="C10433" s="18">
        <v>684944.82</v>
      </c>
      <c r="D10433" s="18">
        <v>2739431.04</v>
      </c>
      <c r="E10433" s="18">
        <v>316.04000000000002</v>
      </c>
      <c r="F10433" s="18">
        <v>41925.65</v>
      </c>
      <c r="G10433" s="18">
        <v>74040</v>
      </c>
      <c r="H10433" s="18">
        <f t="shared" si="232"/>
        <v>41922.65</v>
      </c>
      <c r="I10433" s="3"/>
    </row>
    <row r="10434" spans="1:9" s="4" customFormat="1" ht="21" customHeight="1" x14ac:dyDescent="0.55000000000000004">
      <c r="A10434" s="18">
        <v>24.7583865</v>
      </c>
      <c r="B10434" s="18">
        <v>34.829011899999998</v>
      </c>
      <c r="C10434" s="18">
        <v>684944.89</v>
      </c>
      <c r="D10434" s="18">
        <v>2739431.19</v>
      </c>
      <c r="E10434" s="18">
        <v>316.02</v>
      </c>
      <c r="F10434" s="18">
        <v>41926.32</v>
      </c>
      <c r="G10434" s="18">
        <v>74049</v>
      </c>
      <c r="H10434" s="18">
        <f t="shared" si="232"/>
        <v>41923.32</v>
      </c>
      <c r="I10434" s="3"/>
    </row>
    <row r="10435" spans="1:9" s="4" customFormat="1" ht="21" customHeight="1" x14ac:dyDescent="0.55000000000000004">
      <c r="A10435" s="18">
        <v>24.758390800000001</v>
      </c>
      <c r="B10435" s="18">
        <v>34.829006100000001</v>
      </c>
      <c r="C10435" s="18">
        <v>684944.3</v>
      </c>
      <c r="D10435" s="18">
        <v>2739431.66</v>
      </c>
      <c r="E10435" s="18">
        <v>315.98</v>
      </c>
      <c r="F10435" s="18">
        <v>41923.730000000003</v>
      </c>
      <c r="G10435" s="18">
        <v>74101</v>
      </c>
      <c r="H10435" s="18">
        <f t="shared" si="232"/>
        <v>41920.730000000003</v>
      </c>
      <c r="I10435" s="3"/>
    </row>
    <row r="10436" spans="1:9" s="4" customFormat="1" ht="21" customHeight="1" x14ac:dyDescent="0.55000000000000004">
      <c r="A10436" s="18">
        <v>24.7594244</v>
      </c>
      <c r="B10436" s="18">
        <v>34.827430399999997</v>
      </c>
      <c r="C10436" s="18">
        <v>684783.4</v>
      </c>
      <c r="D10436" s="18">
        <v>2739544.01</v>
      </c>
      <c r="E10436" s="18">
        <v>317.01</v>
      </c>
      <c r="F10436" s="18">
        <v>41936.69</v>
      </c>
      <c r="G10436" s="18">
        <v>74231</v>
      </c>
      <c r="H10436" s="18">
        <f t="shared" si="232"/>
        <v>41933.69</v>
      </c>
      <c r="I10436" s="3"/>
    </row>
    <row r="10437" spans="1:9" s="4" customFormat="1" ht="21" customHeight="1" x14ac:dyDescent="0.55000000000000004">
      <c r="A10437" s="18">
        <v>24.759421400000001</v>
      </c>
      <c r="B10437" s="18">
        <v>34.827429899999998</v>
      </c>
      <c r="C10437" s="18">
        <v>684783.35</v>
      </c>
      <c r="D10437" s="18">
        <v>2739543.68</v>
      </c>
      <c r="E10437" s="18">
        <v>316.76</v>
      </c>
      <c r="F10437" s="18">
        <v>41937</v>
      </c>
      <c r="G10437" s="18">
        <v>74240</v>
      </c>
      <c r="H10437" s="18">
        <f t="shared" si="232"/>
        <v>41934</v>
      </c>
      <c r="I10437" s="3"/>
    </row>
    <row r="10438" spans="1:9" s="4" customFormat="1" ht="21" customHeight="1" x14ac:dyDescent="0.55000000000000004">
      <c r="A10438" s="18">
        <v>24.760993200000001</v>
      </c>
      <c r="B10438" s="18">
        <v>34.826428100000001</v>
      </c>
      <c r="C10438" s="18">
        <v>684679.71</v>
      </c>
      <c r="D10438" s="18">
        <v>2739716.43</v>
      </c>
      <c r="E10438" s="18">
        <v>323.38</v>
      </c>
      <c r="F10438" s="18">
        <v>41941.839999999997</v>
      </c>
      <c r="G10438" s="18">
        <v>74434</v>
      </c>
      <c r="H10438" s="18">
        <f t="shared" si="232"/>
        <v>41938.839999999997</v>
      </c>
      <c r="I10438" s="3"/>
    </row>
    <row r="10439" spans="1:9" s="4" customFormat="1" ht="21" customHeight="1" x14ac:dyDescent="0.55000000000000004">
      <c r="A10439" s="18">
        <v>24.7609946</v>
      </c>
      <c r="B10439" s="18">
        <v>34.826428999999997</v>
      </c>
      <c r="C10439" s="18">
        <v>684679.8</v>
      </c>
      <c r="D10439" s="18">
        <v>2739716.58</v>
      </c>
      <c r="E10439" s="18">
        <v>323.58</v>
      </c>
      <c r="F10439" s="18">
        <v>41943</v>
      </c>
      <c r="G10439" s="18">
        <v>74443</v>
      </c>
      <c r="H10439" s="18">
        <f t="shared" si="232"/>
        <v>41940</v>
      </c>
      <c r="I10439" s="3"/>
    </row>
    <row r="10440" spans="1:9" s="4" customFormat="1" ht="21" customHeight="1" x14ac:dyDescent="0.55000000000000004">
      <c r="A10440" s="18">
        <v>24.759510599999999</v>
      </c>
      <c r="B10440" s="18">
        <v>34.825886699999998</v>
      </c>
      <c r="C10440" s="18">
        <v>684627.15</v>
      </c>
      <c r="D10440" s="18">
        <v>2739551.48</v>
      </c>
      <c r="E10440" s="18">
        <v>326.58</v>
      </c>
      <c r="F10440" s="18">
        <v>41932.050000000003</v>
      </c>
      <c r="G10440" s="18">
        <v>74616</v>
      </c>
      <c r="H10440" s="18">
        <f t="shared" si="232"/>
        <v>41929.050000000003</v>
      </c>
      <c r="I10440" s="3"/>
    </row>
    <row r="10441" spans="1:9" s="4" customFormat="1" ht="21" customHeight="1" x14ac:dyDescent="0.55000000000000004">
      <c r="A10441" s="18">
        <v>24.7595113</v>
      </c>
      <c r="B10441" s="18">
        <v>34.825885999999997</v>
      </c>
      <c r="C10441" s="18">
        <v>684627.07</v>
      </c>
      <c r="D10441" s="18">
        <v>2739551.55</v>
      </c>
      <c r="E10441" s="18">
        <v>326.63</v>
      </c>
      <c r="F10441" s="18">
        <v>41932.22</v>
      </c>
      <c r="G10441" s="18">
        <v>74625</v>
      </c>
      <c r="H10441" s="18">
        <f t="shared" si="232"/>
        <v>41929.22</v>
      </c>
      <c r="I10441" s="3"/>
    </row>
    <row r="10442" spans="1:9" s="4" customFormat="1" ht="21" customHeight="1" x14ac:dyDescent="0.55000000000000004">
      <c r="A10442" s="18">
        <v>24.756954199999999</v>
      </c>
      <c r="B10442" s="18">
        <v>34.825010599999999</v>
      </c>
      <c r="C10442" s="18">
        <v>684542.32</v>
      </c>
      <c r="D10442" s="18">
        <v>2739267.14</v>
      </c>
      <c r="E10442" s="18">
        <v>331</v>
      </c>
      <c r="F10442" s="18">
        <v>41915.78</v>
      </c>
      <c r="G10442" s="18">
        <v>74822</v>
      </c>
      <c r="H10442" s="18">
        <f t="shared" si="232"/>
        <v>41912.78</v>
      </c>
      <c r="I10442" s="3"/>
    </row>
    <row r="10443" spans="1:9" s="4" customFormat="1" ht="21" customHeight="1" x14ac:dyDescent="0.55000000000000004">
      <c r="A10443" s="18">
        <v>24.7569567</v>
      </c>
      <c r="B10443" s="18">
        <v>34.8250113</v>
      </c>
      <c r="C10443" s="18">
        <v>684542.38</v>
      </c>
      <c r="D10443" s="18">
        <v>2739267.41</v>
      </c>
      <c r="E10443" s="18">
        <v>331.32</v>
      </c>
      <c r="F10443" s="18">
        <v>41914.199999999997</v>
      </c>
      <c r="G10443" s="18">
        <v>74831</v>
      </c>
      <c r="H10443" s="18">
        <f t="shared" si="232"/>
        <v>41911.199999999997</v>
      </c>
      <c r="I10443" s="3"/>
    </row>
    <row r="10444" spans="1:9" s="4" customFormat="1" ht="21" customHeight="1" x14ac:dyDescent="0.55000000000000004">
      <c r="A10444" s="18">
        <v>24.755049400000001</v>
      </c>
      <c r="B10444" s="18">
        <v>34.824416100000001</v>
      </c>
      <c r="C10444" s="18">
        <v>684485</v>
      </c>
      <c r="D10444" s="18">
        <v>2739055.36</v>
      </c>
      <c r="E10444" s="18">
        <v>333.25</v>
      </c>
      <c r="F10444" s="18">
        <v>41914.14</v>
      </c>
      <c r="G10444" s="18">
        <v>75016</v>
      </c>
      <c r="H10444" s="18">
        <f t="shared" si="232"/>
        <v>41911.14</v>
      </c>
      <c r="I10444" s="3"/>
    </row>
    <row r="10445" spans="1:9" s="4" customFormat="1" ht="21" customHeight="1" x14ac:dyDescent="0.55000000000000004">
      <c r="A10445" s="18">
        <v>24.755050499999999</v>
      </c>
      <c r="B10445" s="18">
        <v>34.824416599999999</v>
      </c>
      <c r="C10445" s="18">
        <v>684485.05</v>
      </c>
      <c r="D10445" s="18">
        <v>2739055.49</v>
      </c>
      <c r="E10445" s="18">
        <v>333.58</v>
      </c>
      <c r="F10445" s="18">
        <v>41913.83</v>
      </c>
      <c r="G10445" s="18">
        <v>75022</v>
      </c>
      <c r="H10445" s="18">
        <f t="shared" si="232"/>
        <v>41910.83</v>
      </c>
      <c r="I10445" s="3"/>
    </row>
    <row r="10446" spans="1:9" s="4" customFormat="1" ht="21" customHeight="1" x14ac:dyDescent="0.55000000000000004">
      <c r="A10446" s="18">
        <v>24.752772</v>
      </c>
      <c r="B10446" s="18">
        <v>34.823904599999999</v>
      </c>
      <c r="C10446" s="18">
        <v>684436.63</v>
      </c>
      <c r="D10446" s="18">
        <v>2738802.42</v>
      </c>
      <c r="E10446" s="18">
        <v>338.63</v>
      </c>
      <c r="F10446" s="18">
        <v>41900.050000000003</v>
      </c>
      <c r="G10446" s="18">
        <v>75213</v>
      </c>
      <c r="H10446" s="18">
        <f t="shared" si="232"/>
        <v>41897.050000000003</v>
      </c>
      <c r="I10446" s="3"/>
    </row>
    <row r="10447" spans="1:9" s="4" customFormat="1" ht="21" customHeight="1" x14ac:dyDescent="0.55000000000000004">
      <c r="A10447" s="18">
        <v>24.7527726</v>
      </c>
      <c r="B10447" s="18">
        <v>34.823902799999999</v>
      </c>
      <c r="C10447" s="18">
        <v>684436.44</v>
      </c>
      <c r="D10447" s="18">
        <v>2738802.49</v>
      </c>
      <c r="E10447" s="18">
        <v>338.77</v>
      </c>
      <c r="F10447" s="18">
        <v>41899.72</v>
      </c>
      <c r="G10447" s="18">
        <v>75222</v>
      </c>
      <c r="H10447" s="18">
        <f t="shared" si="232"/>
        <v>41896.720000000001</v>
      </c>
      <c r="I10447" s="3"/>
    </row>
    <row r="10448" spans="1:9" s="4" customFormat="1" ht="21" customHeight="1" x14ac:dyDescent="0.55000000000000004">
      <c r="A10448" s="18">
        <v>24.750909700000001</v>
      </c>
      <c r="B10448" s="18">
        <v>34.8237083</v>
      </c>
      <c r="C10448" s="18">
        <v>684419.53</v>
      </c>
      <c r="D10448" s="18">
        <v>2738595.88</v>
      </c>
      <c r="E10448" s="18">
        <v>341.46</v>
      </c>
      <c r="F10448" s="18">
        <v>41898.660000000003</v>
      </c>
      <c r="G10448" s="18">
        <v>75428</v>
      </c>
      <c r="H10448" s="18">
        <f t="shared" si="232"/>
        <v>41895.660000000003</v>
      </c>
      <c r="I10448" s="3"/>
    </row>
    <row r="10449" spans="1:9" s="4" customFormat="1" ht="21" customHeight="1" x14ac:dyDescent="0.55000000000000004">
      <c r="A10449" s="18">
        <v>24.750908800000001</v>
      </c>
      <c r="B10449" s="18">
        <v>34.823714299999999</v>
      </c>
      <c r="C10449" s="18">
        <v>684420.13</v>
      </c>
      <c r="D10449" s="18">
        <v>2738595.8</v>
      </c>
      <c r="E10449" s="18">
        <v>341.2</v>
      </c>
      <c r="F10449" s="18">
        <v>41898.300000000003</v>
      </c>
      <c r="G10449" s="18">
        <v>75437</v>
      </c>
      <c r="H10449" s="18">
        <f t="shared" si="232"/>
        <v>41895.300000000003</v>
      </c>
      <c r="I10449" s="3"/>
    </row>
    <row r="10450" spans="1:9" s="4" customFormat="1" ht="21" customHeight="1" x14ac:dyDescent="0.55000000000000004">
      <c r="A10450" s="18">
        <v>24.7485876</v>
      </c>
      <c r="B10450" s="18">
        <v>34.8234706</v>
      </c>
      <c r="C10450" s="18">
        <v>684398.91</v>
      </c>
      <c r="D10450" s="18">
        <v>2738338.37</v>
      </c>
      <c r="E10450" s="18">
        <v>344.84</v>
      </c>
      <c r="F10450" s="18">
        <v>41893.919999999998</v>
      </c>
      <c r="G10450" s="18">
        <v>75631</v>
      </c>
      <c r="H10450" s="18">
        <f>SUM(F10450-8)</f>
        <v>41885.919999999998</v>
      </c>
      <c r="I10450" s="3"/>
    </row>
    <row r="10451" spans="1:9" s="4" customFormat="1" ht="21" customHeight="1" x14ac:dyDescent="0.55000000000000004">
      <c r="A10451" s="18">
        <v>24.748588099999999</v>
      </c>
      <c r="B10451" s="18">
        <v>34.823470700000001</v>
      </c>
      <c r="C10451" s="18">
        <v>684398.92</v>
      </c>
      <c r="D10451" s="18">
        <v>2738338.42</v>
      </c>
      <c r="E10451" s="18">
        <v>344.88</v>
      </c>
      <c r="F10451" s="18">
        <v>41893.550000000003</v>
      </c>
      <c r="G10451" s="18">
        <v>75640</v>
      </c>
      <c r="H10451" s="18">
        <f t="shared" ref="H10451:H10462" si="233">SUM(F10451-8)</f>
        <v>41885.550000000003</v>
      </c>
      <c r="I10451" s="3"/>
    </row>
    <row r="10452" spans="1:9" s="4" customFormat="1" ht="21" customHeight="1" x14ac:dyDescent="0.55000000000000004">
      <c r="A10452" s="18">
        <v>24.746883400000002</v>
      </c>
      <c r="B10452" s="18">
        <v>34.823543200000003</v>
      </c>
      <c r="C10452" s="18">
        <v>684408.76</v>
      </c>
      <c r="D10452" s="18">
        <v>2738149.7</v>
      </c>
      <c r="E10452" s="18">
        <v>348.13</v>
      </c>
      <c r="F10452" s="18">
        <v>41888.42</v>
      </c>
      <c r="G10452" s="18">
        <v>75819</v>
      </c>
      <c r="H10452" s="18">
        <f t="shared" si="233"/>
        <v>41880.42</v>
      </c>
      <c r="I10452" s="3"/>
    </row>
    <row r="10453" spans="1:9" s="4" customFormat="1" ht="21" customHeight="1" x14ac:dyDescent="0.55000000000000004">
      <c r="A10453" s="18">
        <v>24.7468851</v>
      </c>
      <c r="B10453" s="18">
        <v>34.823542699999997</v>
      </c>
      <c r="C10453" s="18">
        <v>684408.71</v>
      </c>
      <c r="D10453" s="18">
        <v>2738149.89</v>
      </c>
      <c r="E10453" s="18">
        <v>348.33</v>
      </c>
      <c r="F10453" s="18">
        <v>41888.120000000003</v>
      </c>
      <c r="G10453" s="18">
        <v>75828</v>
      </c>
      <c r="H10453" s="18">
        <f t="shared" si="233"/>
        <v>41880.120000000003</v>
      </c>
      <c r="I10453" s="3"/>
    </row>
    <row r="10454" spans="1:9" s="4" customFormat="1" ht="21" customHeight="1" x14ac:dyDescent="0.55000000000000004">
      <c r="A10454" s="18">
        <v>24.7450239</v>
      </c>
      <c r="B10454" s="18">
        <v>34.823118299999997</v>
      </c>
      <c r="C10454" s="18">
        <v>684368.54</v>
      </c>
      <c r="D10454" s="18">
        <v>2737943.17</v>
      </c>
      <c r="E10454" s="18">
        <v>353.18</v>
      </c>
      <c r="F10454" s="18">
        <v>41881.99</v>
      </c>
      <c r="G10454" s="18">
        <v>80022</v>
      </c>
      <c r="H10454" s="18">
        <f t="shared" si="233"/>
        <v>41873.99</v>
      </c>
      <c r="I10454" s="3"/>
    </row>
    <row r="10455" spans="1:9" s="4" customFormat="1" ht="21" customHeight="1" x14ac:dyDescent="0.55000000000000004">
      <c r="A10455" s="18">
        <v>24.745025200000001</v>
      </c>
      <c r="B10455" s="18">
        <v>34.8231179</v>
      </c>
      <c r="C10455" s="18">
        <v>684368.49</v>
      </c>
      <c r="D10455" s="18">
        <v>2737943.31</v>
      </c>
      <c r="E10455" s="18">
        <v>353.34</v>
      </c>
      <c r="F10455" s="18">
        <v>41882.04</v>
      </c>
      <c r="G10455" s="18">
        <v>80034</v>
      </c>
      <c r="H10455" s="18">
        <f t="shared" si="233"/>
        <v>41874.04</v>
      </c>
      <c r="I10455" s="3"/>
    </row>
    <row r="10456" spans="1:9" s="4" customFormat="1" ht="21" customHeight="1" x14ac:dyDescent="0.55000000000000004">
      <c r="A10456" s="18">
        <v>24.7436188</v>
      </c>
      <c r="B10456" s="18">
        <v>34.821966400000001</v>
      </c>
      <c r="C10456" s="18">
        <v>684254.09</v>
      </c>
      <c r="D10456" s="18">
        <v>2737785.99</v>
      </c>
      <c r="E10456" s="18">
        <v>355.34</v>
      </c>
      <c r="F10456" s="18">
        <v>41874.26</v>
      </c>
      <c r="G10456" s="18">
        <v>80234</v>
      </c>
      <c r="H10456" s="18">
        <f t="shared" si="233"/>
        <v>41866.26</v>
      </c>
      <c r="I10456" s="3"/>
    </row>
    <row r="10457" spans="1:9" s="4" customFormat="1" ht="21" customHeight="1" x14ac:dyDescent="0.55000000000000004">
      <c r="A10457" s="18">
        <v>24.743617100000002</v>
      </c>
      <c r="B10457" s="18">
        <v>34.821967700000002</v>
      </c>
      <c r="C10457" s="18">
        <v>684254.23</v>
      </c>
      <c r="D10457" s="18">
        <v>2737785.8</v>
      </c>
      <c r="E10457" s="18">
        <v>355.1</v>
      </c>
      <c r="F10457" s="18">
        <v>41873.97</v>
      </c>
      <c r="G10457" s="18">
        <v>80243</v>
      </c>
      <c r="H10457" s="18">
        <f t="shared" si="233"/>
        <v>41865.97</v>
      </c>
      <c r="I10457" s="3"/>
    </row>
    <row r="10458" spans="1:9" s="4" customFormat="1" ht="21" customHeight="1" x14ac:dyDescent="0.55000000000000004">
      <c r="A10458" s="18">
        <v>24.742213400000001</v>
      </c>
      <c r="B10458" s="18">
        <v>34.8219007</v>
      </c>
      <c r="C10458" s="18">
        <v>684249.52</v>
      </c>
      <c r="D10458" s="18">
        <v>2737630.24</v>
      </c>
      <c r="E10458" s="18">
        <v>359.34</v>
      </c>
      <c r="F10458" s="18">
        <v>41861.15</v>
      </c>
      <c r="G10458" s="18">
        <v>80428</v>
      </c>
      <c r="H10458" s="18">
        <f t="shared" si="233"/>
        <v>41853.15</v>
      </c>
      <c r="I10458" s="3"/>
    </row>
    <row r="10459" spans="1:9" s="4" customFormat="1" ht="21" customHeight="1" x14ac:dyDescent="0.55000000000000004">
      <c r="A10459" s="18">
        <v>24.7422118</v>
      </c>
      <c r="B10459" s="18">
        <v>34.821901400000002</v>
      </c>
      <c r="C10459" s="18">
        <v>684249.59</v>
      </c>
      <c r="D10459" s="18">
        <v>2737630.06</v>
      </c>
      <c r="E10459" s="18">
        <v>359.29</v>
      </c>
      <c r="F10459" s="18">
        <v>41860.28</v>
      </c>
      <c r="G10459" s="18">
        <v>80437</v>
      </c>
      <c r="H10459" s="18">
        <f t="shared" si="233"/>
        <v>41852.28</v>
      </c>
      <c r="I10459" s="3"/>
    </row>
    <row r="10460" spans="1:9" s="4" customFormat="1" ht="21" customHeight="1" x14ac:dyDescent="0.55000000000000004">
      <c r="A10460" s="18">
        <v>24.7401734</v>
      </c>
      <c r="B10460" s="18">
        <v>34.821977199999999</v>
      </c>
      <c r="C10460" s="18">
        <v>684260.27</v>
      </c>
      <c r="D10460" s="18">
        <v>2737404.38</v>
      </c>
      <c r="E10460" s="18">
        <v>365.06</v>
      </c>
      <c r="F10460" s="18">
        <v>41904.120000000003</v>
      </c>
      <c r="G10460" s="18">
        <v>80619</v>
      </c>
      <c r="H10460" s="18">
        <f t="shared" si="233"/>
        <v>41896.120000000003</v>
      </c>
      <c r="I10460" s="3"/>
    </row>
    <row r="10461" spans="1:9" s="4" customFormat="1" ht="21" customHeight="1" x14ac:dyDescent="0.55000000000000004">
      <c r="A10461" s="18">
        <v>24.740172000000001</v>
      </c>
      <c r="B10461" s="18">
        <v>34.821977500000003</v>
      </c>
      <c r="C10461" s="18">
        <v>684260.3</v>
      </c>
      <c r="D10461" s="18">
        <v>2737404.23</v>
      </c>
      <c r="E10461" s="18">
        <v>364.83</v>
      </c>
      <c r="F10461" s="18">
        <v>41902.76</v>
      </c>
      <c r="G10461" s="18">
        <v>80625</v>
      </c>
      <c r="H10461" s="18">
        <f t="shared" si="233"/>
        <v>41894.76</v>
      </c>
      <c r="I10461" s="3"/>
    </row>
    <row r="10462" spans="1:9" s="4" customFormat="1" ht="21" customHeight="1" x14ac:dyDescent="0.55000000000000004">
      <c r="A10462" s="18">
        <v>24.740168600000001</v>
      </c>
      <c r="B10462" s="18">
        <v>34.821976100000001</v>
      </c>
      <c r="C10462" s="18">
        <v>684260.16</v>
      </c>
      <c r="D10462" s="18">
        <v>2737403.85</v>
      </c>
      <c r="E10462" s="18">
        <v>364.76</v>
      </c>
      <c r="F10462" s="18">
        <v>41894.89</v>
      </c>
      <c r="G10462" s="18">
        <v>80640</v>
      </c>
      <c r="H10462" s="18">
        <f t="shared" si="233"/>
        <v>41886.89</v>
      </c>
      <c r="I10462" s="3"/>
    </row>
    <row r="10463" spans="1:9" s="4" customFormat="1" ht="21" customHeight="1" x14ac:dyDescent="0.55000000000000004">
      <c r="A10463" s="18">
        <v>24.7394097</v>
      </c>
      <c r="B10463" s="18">
        <v>34.820711600000003</v>
      </c>
      <c r="C10463" s="18">
        <v>684133.37</v>
      </c>
      <c r="D10463" s="18">
        <v>2737318.09</v>
      </c>
      <c r="E10463" s="18">
        <v>367.36</v>
      </c>
      <c r="F10463" s="18">
        <v>41868.239999999998</v>
      </c>
      <c r="G10463" s="18">
        <v>80801</v>
      </c>
      <c r="H10463" s="18">
        <f>SUM(F10463-13)</f>
        <v>41855.24</v>
      </c>
      <c r="I10463" s="3"/>
    </row>
    <row r="10464" spans="1:9" s="4" customFormat="1" ht="21" customHeight="1" x14ac:dyDescent="0.55000000000000004">
      <c r="A10464" s="18">
        <v>24.7394094</v>
      </c>
      <c r="B10464" s="18">
        <v>34.820712299999997</v>
      </c>
      <c r="C10464" s="18">
        <v>684133.44</v>
      </c>
      <c r="D10464" s="18">
        <v>2737318.06</v>
      </c>
      <c r="E10464" s="18">
        <v>367.42</v>
      </c>
      <c r="F10464" s="18">
        <v>41867.71</v>
      </c>
      <c r="G10464" s="18">
        <v>80810</v>
      </c>
      <c r="H10464" s="18">
        <f t="shared" ref="H10464:H10471" si="234">SUM(F10464-13)</f>
        <v>41854.71</v>
      </c>
      <c r="I10464" s="3"/>
    </row>
    <row r="10465" spans="1:9" s="4" customFormat="1" ht="21" customHeight="1" x14ac:dyDescent="0.55000000000000004">
      <c r="A10465" s="18">
        <v>24.738167799999999</v>
      </c>
      <c r="B10465" s="18">
        <v>34.819204200000001</v>
      </c>
      <c r="C10465" s="18">
        <v>683982.71</v>
      </c>
      <c r="D10465" s="18">
        <v>2737178.51</v>
      </c>
      <c r="E10465" s="18">
        <v>372.53</v>
      </c>
      <c r="F10465" s="18">
        <v>41868.99</v>
      </c>
      <c r="G10465" s="18">
        <v>80949</v>
      </c>
      <c r="H10465" s="18">
        <f t="shared" si="234"/>
        <v>41855.99</v>
      </c>
      <c r="I10465" s="3"/>
    </row>
    <row r="10466" spans="1:9" s="4" customFormat="1" ht="21" customHeight="1" x14ac:dyDescent="0.55000000000000004">
      <c r="A10466" s="18">
        <v>24.738170799999999</v>
      </c>
      <c r="B10466" s="18">
        <v>34.819204900000003</v>
      </c>
      <c r="C10466" s="18">
        <v>683982.79</v>
      </c>
      <c r="D10466" s="18">
        <v>2737178.84</v>
      </c>
      <c r="E10466" s="18">
        <v>373.03</v>
      </c>
      <c r="F10466" s="18">
        <v>41867.68</v>
      </c>
      <c r="G10466" s="18">
        <v>80958</v>
      </c>
      <c r="H10466" s="18">
        <f t="shared" si="234"/>
        <v>41854.68</v>
      </c>
      <c r="I10466" s="3"/>
    </row>
    <row r="10467" spans="1:9" s="4" customFormat="1" ht="21" customHeight="1" x14ac:dyDescent="0.55000000000000004">
      <c r="A10467" s="18">
        <v>24.736961999999998</v>
      </c>
      <c r="B10467" s="18">
        <v>34.817941699999999</v>
      </c>
      <c r="C10467" s="18">
        <v>683856.78</v>
      </c>
      <c r="D10467" s="18">
        <v>2737043.25</v>
      </c>
      <c r="E10467" s="18">
        <v>376.37</v>
      </c>
      <c r="F10467" s="18">
        <v>41866.21</v>
      </c>
      <c r="G10467" s="18">
        <v>81228</v>
      </c>
      <c r="H10467" s="18">
        <f t="shared" si="234"/>
        <v>41853.21</v>
      </c>
      <c r="I10467" s="3"/>
    </row>
    <row r="10468" spans="1:9" s="4" customFormat="1" ht="21" customHeight="1" x14ac:dyDescent="0.55000000000000004">
      <c r="A10468" s="18">
        <v>24.736962500000001</v>
      </c>
      <c r="B10468" s="18">
        <v>34.8179406</v>
      </c>
      <c r="C10468" s="18">
        <v>683856.67</v>
      </c>
      <c r="D10468" s="18">
        <v>2737043.31</v>
      </c>
      <c r="E10468" s="18">
        <v>376.33</v>
      </c>
      <c r="F10468" s="18">
        <v>41866.25</v>
      </c>
      <c r="G10468" s="18">
        <v>81237</v>
      </c>
      <c r="H10468" s="18">
        <f t="shared" si="234"/>
        <v>41853.25</v>
      </c>
      <c r="I10468" s="3"/>
    </row>
    <row r="10469" spans="1:9" s="4" customFormat="1" ht="21" customHeight="1" x14ac:dyDescent="0.55000000000000004">
      <c r="A10469" s="18">
        <v>24.736724599999999</v>
      </c>
      <c r="B10469" s="18">
        <v>34.817079900000003</v>
      </c>
      <c r="C10469" s="18">
        <v>683769.96</v>
      </c>
      <c r="D10469" s="18">
        <v>2737015.8</v>
      </c>
      <c r="E10469" s="18">
        <v>379.44</v>
      </c>
      <c r="F10469" s="18">
        <v>41854.81</v>
      </c>
      <c r="G10469" s="18">
        <v>81419</v>
      </c>
      <c r="H10469" s="18">
        <f t="shared" si="234"/>
        <v>41841.81</v>
      </c>
      <c r="I10469" s="3"/>
    </row>
    <row r="10470" spans="1:9" s="4" customFormat="1" ht="21" customHeight="1" x14ac:dyDescent="0.55000000000000004">
      <c r="A10470" s="18">
        <v>24.736723600000001</v>
      </c>
      <c r="B10470" s="18">
        <v>34.817079200000002</v>
      </c>
      <c r="C10470" s="18">
        <v>683769.89</v>
      </c>
      <c r="D10470" s="18">
        <v>2737015.7</v>
      </c>
      <c r="E10470" s="18">
        <v>379.32</v>
      </c>
      <c r="F10470" s="18">
        <v>41854.22</v>
      </c>
      <c r="G10470" s="18">
        <v>81428</v>
      </c>
      <c r="H10470" s="18">
        <f t="shared" si="234"/>
        <v>41841.22</v>
      </c>
      <c r="I10470" s="3"/>
    </row>
    <row r="10471" spans="1:9" s="4" customFormat="1" ht="21" customHeight="1" x14ac:dyDescent="0.55000000000000004">
      <c r="A10471" s="18">
        <v>24.736723300000001</v>
      </c>
      <c r="B10471" s="18">
        <v>34.8170796</v>
      </c>
      <c r="C10471" s="18">
        <v>683769.92</v>
      </c>
      <c r="D10471" s="18">
        <v>2737015.66</v>
      </c>
      <c r="E10471" s="18">
        <v>379.18</v>
      </c>
      <c r="F10471" s="18">
        <v>41849.26</v>
      </c>
      <c r="G10471" s="18">
        <v>81443</v>
      </c>
      <c r="H10471" s="18">
        <f t="shared" si="234"/>
        <v>41836.26</v>
      </c>
      <c r="I10471" s="3"/>
    </row>
    <row r="10472" spans="1:9" s="4" customFormat="1" ht="21" customHeight="1" x14ac:dyDescent="0.55000000000000004">
      <c r="A10472" s="18">
        <v>24.7619902</v>
      </c>
      <c r="B10472" s="18">
        <v>34.834532899999999</v>
      </c>
      <c r="C10472" s="18">
        <v>685497.93</v>
      </c>
      <c r="D10472" s="18">
        <v>2739837.83</v>
      </c>
      <c r="E10472" s="18">
        <v>295.76</v>
      </c>
      <c r="F10472" s="18">
        <v>41937.53</v>
      </c>
      <c r="G10472" s="18">
        <v>83831</v>
      </c>
      <c r="H10472" s="18">
        <f>SUM(F10472-25)</f>
        <v>41912.53</v>
      </c>
      <c r="I10472" s="3"/>
    </row>
    <row r="10473" spans="1:9" s="4" customFormat="1" ht="21" customHeight="1" x14ac:dyDescent="0.55000000000000004">
      <c r="A10473" s="18">
        <v>24.761989799999998</v>
      </c>
      <c r="B10473" s="18">
        <v>34.834533299999997</v>
      </c>
      <c r="C10473" s="18">
        <v>685497.97</v>
      </c>
      <c r="D10473" s="18">
        <v>2739837.78</v>
      </c>
      <c r="E10473" s="18">
        <v>295.93</v>
      </c>
      <c r="F10473" s="18">
        <v>41938.089999999997</v>
      </c>
      <c r="G10473" s="18">
        <v>83840</v>
      </c>
      <c r="H10473" s="18">
        <f t="shared" ref="H10473:H10504" si="235">SUM(F10473-25)</f>
        <v>41913.089999999997</v>
      </c>
      <c r="I10473" s="3"/>
    </row>
    <row r="10474" spans="1:9" s="4" customFormat="1" ht="21" customHeight="1" x14ac:dyDescent="0.55000000000000004">
      <c r="A10474" s="18">
        <v>24.7633011</v>
      </c>
      <c r="B10474" s="18">
        <v>34.832497099999998</v>
      </c>
      <c r="C10474" s="18">
        <v>685290.08</v>
      </c>
      <c r="D10474" s="18">
        <v>2739980.26</v>
      </c>
      <c r="E10474" s="18">
        <v>300.72000000000003</v>
      </c>
      <c r="F10474" s="18">
        <v>41943.57</v>
      </c>
      <c r="G10474" s="18">
        <v>84740</v>
      </c>
      <c r="H10474" s="18">
        <f t="shared" si="235"/>
        <v>41918.57</v>
      </c>
      <c r="I10474" s="3"/>
    </row>
    <row r="10475" spans="1:9" s="4" customFormat="1" ht="21" customHeight="1" x14ac:dyDescent="0.55000000000000004">
      <c r="A10475" s="18">
        <v>24.7632996</v>
      </c>
      <c r="B10475" s="18">
        <v>34.832498700000002</v>
      </c>
      <c r="C10475" s="18">
        <v>685290.25</v>
      </c>
      <c r="D10475" s="18">
        <v>2739980.1</v>
      </c>
      <c r="E10475" s="18">
        <v>300.89999999999998</v>
      </c>
      <c r="F10475" s="18">
        <v>41943.32</v>
      </c>
      <c r="G10475" s="18">
        <v>84749</v>
      </c>
      <c r="H10475" s="18">
        <f t="shared" si="235"/>
        <v>41918.32</v>
      </c>
      <c r="I10475" s="3"/>
    </row>
    <row r="10476" spans="1:9" s="4" customFormat="1" ht="21" customHeight="1" x14ac:dyDescent="0.55000000000000004">
      <c r="A10476" s="18">
        <v>24.763297600000001</v>
      </c>
      <c r="B10476" s="18">
        <v>34.8324985</v>
      </c>
      <c r="C10476" s="18">
        <v>685290.23</v>
      </c>
      <c r="D10476" s="18">
        <v>2739979.88</v>
      </c>
      <c r="E10476" s="18">
        <v>300.98</v>
      </c>
      <c r="F10476" s="18">
        <v>41943.66</v>
      </c>
      <c r="G10476" s="18">
        <v>84758</v>
      </c>
      <c r="H10476" s="18">
        <f t="shared" si="235"/>
        <v>41918.660000000003</v>
      </c>
      <c r="I10476" s="3"/>
    </row>
    <row r="10477" spans="1:9" s="4" customFormat="1" ht="21" customHeight="1" x14ac:dyDescent="0.55000000000000004">
      <c r="A10477" s="18">
        <v>24.763399499999998</v>
      </c>
      <c r="B10477" s="18">
        <v>34.830790299999997</v>
      </c>
      <c r="C10477" s="18">
        <v>685117.32</v>
      </c>
      <c r="D10477" s="18">
        <v>2739988.85</v>
      </c>
      <c r="E10477" s="18">
        <v>304.26</v>
      </c>
      <c r="F10477" s="18">
        <v>41943.4</v>
      </c>
      <c r="G10477" s="18">
        <v>84922</v>
      </c>
      <c r="H10477" s="18">
        <f t="shared" si="235"/>
        <v>41918.400000000001</v>
      </c>
      <c r="I10477" s="3"/>
    </row>
    <row r="10478" spans="1:9" s="4" customFormat="1" ht="21" customHeight="1" x14ac:dyDescent="0.55000000000000004">
      <c r="A10478" s="18">
        <v>24.763271700000001</v>
      </c>
      <c r="B10478" s="18">
        <v>34.830749599999997</v>
      </c>
      <c r="C10478" s="18">
        <v>685113.4</v>
      </c>
      <c r="D10478" s="18">
        <v>2739974.64</v>
      </c>
      <c r="E10478" s="18">
        <v>304.44</v>
      </c>
      <c r="F10478" s="18">
        <v>41946.91</v>
      </c>
      <c r="G10478" s="18">
        <v>84940</v>
      </c>
      <c r="H10478" s="18">
        <f t="shared" si="235"/>
        <v>41921.910000000003</v>
      </c>
      <c r="I10478" s="3"/>
    </row>
    <row r="10479" spans="1:9" s="4" customFormat="1" ht="21" customHeight="1" x14ac:dyDescent="0.55000000000000004">
      <c r="A10479" s="18">
        <v>24.7632707</v>
      </c>
      <c r="B10479" s="18">
        <v>34.830751599999999</v>
      </c>
      <c r="C10479" s="18">
        <v>685113.6</v>
      </c>
      <c r="D10479" s="18">
        <v>2739974.53</v>
      </c>
      <c r="E10479" s="18">
        <v>304.27</v>
      </c>
      <c r="F10479" s="18">
        <v>41946.19</v>
      </c>
      <c r="G10479" s="18">
        <v>84949</v>
      </c>
      <c r="H10479" s="18">
        <f t="shared" si="235"/>
        <v>41921.19</v>
      </c>
      <c r="I10479" s="3"/>
    </row>
    <row r="10480" spans="1:9" s="4" customFormat="1" ht="21" customHeight="1" x14ac:dyDescent="0.55000000000000004">
      <c r="A10480" s="18">
        <v>24.764042700000001</v>
      </c>
      <c r="B10480" s="18">
        <v>34.829157500000001</v>
      </c>
      <c r="C10480" s="18">
        <v>684951.24</v>
      </c>
      <c r="D10480" s="18">
        <v>2740057.88</v>
      </c>
      <c r="E10480" s="18">
        <v>306.17</v>
      </c>
      <c r="F10480" s="18">
        <v>41951.82</v>
      </c>
      <c r="G10480" s="18">
        <v>85128</v>
      </c>
      <c r="H10480" s="18">
        <f t="shared" si="235"/>
        <v>41926.82</v>
      </c>
      <c r="I10480" s="3"/>
    </row>
    <row r="10481" spans="1:9" s="4" customFormat="1" ht="21" customHeight="1" x14ac:dyDescent="0.55000000000000004">
      <c r="A10481" s="18">
        <v>24.764043399999998</v>
      </c>
      <c r="B10481" s="18">
        <v>34.829157899999998</v>
      </c>
      <c r="C10481" s="18">
        <v>684951.27</v>
      </c>
      <c r="D10481" s="18">
        <v>2740057.96</v>
      </c>
      <c r="E10481" s="18">
        <v>306.16000000000003</v>
      </c>
      <c r="F10481" s="18">
        <v>41920.97</v>
      </c>
      <c r="G10481" s="18">
        <v>85140</v>
      </c>
      <c r="H10481" s="18">
        <f t="shared" si="235"/>
        <v>41895.97</v>
      </c>
      <c r="I10481" s="3"/>
    </row>
    <row r="10482" spans="1:9" s="4" customFormat="1" ht="21" customHeight="1" x14ac:dyDescent="0.55000000000000004">
      <c r="A10482" s="18">
        <v>24.764043999999998</v>
      </c>
      <c r="B10482" s="18">
        <v>34.829151199999998</v>
      </c>
      <c r="C10482" s="18">
        <v>684950.59</v>
      </c>
      <c r="D10482" s="18">
        <v>2740058.02</v>
      </c>
      <c r="E10482" s="18">
        <v>306.36</v>
      </c>
      <c r="F10482" s="18">
        <v>41948.17</v>
      </c>
      <c r="G10482" s="18">
        <v>85201</v>
      </c>
      <c r="H10482" s="18">
        <f t="shared" si="235"/>
        <v>41923.17</v>
      </c>
      <c r="I10482" s="3"/>
    </row>
    <row r="10483" spans="1:9" s="4" customFormat="1" ht="21" customHeight="1" x14ac:dyDescent="0.55000000000000004">
      <c r="A10483" s="18">
        <v>24.763988399999999</v>
      </c>
      <c r="B10483" s="18">
        <v>34.829128400000002</v>
      </c>
      <c r="C10483" s="18">
        <v>684948.37</v>
      </c>
      <c r="D10483" s="18">
        <v>2740051.83</v>
      </c>
      <c r="E10483" s="18">
        <v>306.32</v>
      </c>
      <c r="F10483" s="18">
        <v>41947.93</v>
      </c>
      <c r="G10483" s="18">
        <v>85222</v>
      </c>
      <c r="H10483" s="18">
        <f t="shared" si="235"/>
        <v>41922.93</v>
      </c>
      <c r="I10483" s="3"/>
    </row>
    <row r="10484" spans="1:9" s="4" customFormat="1" ht="21" customHeight="1" x14ac:dyDescent="0.55000000000000004">
      <c r="A10484" s="18">
        <v>24.7650474</v>
      </c>
      <c r="B10484" s="18">
        <v>34.827285000000003</v>
      </c>
      <c r="C10484" s="18">
        <v>684760.37</v>
      </c>
      <c r="D10484" s="18">
        <v>2740166.63</v>
      </c>
      <c r="E10484" s="18">
        <v>310.04000000000002</v>
      </c>
      <c r="F10484" s="18">
        <v>41960.4</v>
      </c>
      <c r="G10484" s="18">
        <v>85358</v>
      </c>
      <c r="H10484" s="18">
        <f t="shared" si="235"/>
        <v>41935.4</v>
      </c>
      <c r="I10484" s="3"/>
    </row>
    <row r="10485" spans="1:9" s="4" customFormat="1" ht="21" customHeight="1" x14ac:dyDescent="0.55000000000000004">
      <c r="A10485" s="18">
        <v>24.7650471</v>
      </c>
      <c r="B10485" s="18">
        <v>34.827286100000002</v>
      </c>
      <c r="C10485" s="18">
        <v>684760.48</v>
      </c>
      <c r="D10485" s="18">
        <v>2740166.6</v>
      </c>
      <c r="E10485" s="18">
        <v>310.08</v>
      </c>
      <c r="F10485" s="18">
        <v>41960.38</v>
      </c>
      <c r="G10485" s="18">
        <v>85407</v>
      </c>
      <c r="H10485" s="18">
        <f t="shared" si="235"/>
        <v>41935.379999999997</v>
      </c>
      <c r="I10485" s="3"/>
    </row>
    <row r="10486" spans="1:9" s="4" customFormat="1" ht="21" customHeight="1" x14ac:dyDescent="0.55000000000000004">
      <c r="A10486" s="18">
        <v>24.766126400000001</v>
      </c>
      <c r="B10486" s="18">
        <v>34.8262596</v>
      </c>
      <c r="C10486" s="18">
        <v>684655.07</v>
      </c>
      <c r="D10486" s="18">
        <v>2740284.76</v>
      </c>
      <c r="E10486" s="18">
        <v>312.49</v>
      </c>
      <c r="F10486" s="18">
        <v>41954.47</v>
      </c>
      <c r="G10486" s="18">
        <v>85531</v>
      </c>
      <c r="H10486" s="18">
        <f t="shared" si="235"/>
        <v>41929.47</v>
      </c>
      <c r="I10486" s="3"/>
    </row>
    <row r="10487" spans="1:9" s="4" customFormat="1" ht="21" customHeight="1" x14ac:dyDescent="0.55000000000000004">
      <c r="A10487" s="18">
        <v>24.7661269</v>
      </c>
      <c r="B10487" s="18">
        <v>34.826260499999997</v>
      </c>
      <c r="C10487" s="18">
        <v>684655.17</v>
      </c>
      <c r="D10487" s="18">
        <v>2740284.81</v>
      </c>
      <c r="E10487" s="18">
        <v>312.56</v>
      </c>
      <c r="F10487" s="18">
        <v>41954.43</v>
      </c>
      <c r="G10487" s="18">
        <v>85540</v>
      </c>
      <c r="H10487" s="18">
        <f t="shared" si="235"/>
        <v>41929.43</v>
      </c>
      <c r="I10487" s="3"/>
    </row>
    <row r="10488" spans="1:9" s="4" customFormat="1" ht="21" customHeight="1" x14ac:dyDescent="0.55000000000000004">
      <c r="A10488" s="18">
        <v>24.766803599999999</v>
      </c>
      <c r="B10488" s="18">
        <v>34.824454000000003</v>
      </c>
      <c r="C10488" s="18">
        <v>684471.46</v>
      </c>
      <c r="D10488" s="18">
        <v>2740357.33</v>
      </c>
      <c r="E10488" s="18">
        <v>316.39</v>
      </c>
      <c r="F10488" s="18">
        <v>41917.08</v>
      </c>
      <c r="G10488" s="18">
        <v>85701</v>
      </c>
      <c r="H10488" s="18">
        <f t="shared" si="235"/>
        <v>41892.080000000002</v>
      </c>
      <c r="I10488" s="3"/>
    </row>
    <row r="10489" spans="1:9" s="4" customFormat="1" ht="21" customHeight="1" x14ac:dyDescent="0.55000000000000004">
      <c r="A10489" s="18">
        <v>24.766803400000001</v>
      </c>
      <c r="B10489" s="18">
        <v>34.824454799999998</v>
      </c>
      <c r="C10489" s="18">
        <v>684471.55</v>
      </c>
      <c r="D10489" s="18">
        <v>2740357.31</v>
      </c>
      <c r="E10489" s="18">
        <v>316.44</v>
      </c>
      <c r="F10489" s="18">
        <v>41917.589999999997</v>
      </c>
      <c r="G10489" s="18">
        <v>85710</v>
      </c>
      <c r="H10489" s="18">
        <f t="shared" si="235"/>
        <v>41892.589999999997</v>
      </c>
      <c r="I10489" s="3"/>
    </row>
    <row r="10490" spans="1:9" s="4" customFormat="1" ht="21" customHeight="1" x14ac:dyDescent="0.55000000000000004">
      <c r="A10490" s="18">
        <v>24.7668021</v>
      </c>
      <c r="B10490" s="18">
        <v>34.8244556</v>
      </c>
      <c r="C10490" s="18">
        <v>684471.63</v>
      </c>
      <c r="D10490" s="18">
        <v>2740357.17</v>
      </c>
      <c r="E10490" s="18">
        <v>316.54000000000002</v>
      </c>
      <c r="F10490" s="18">
        <v>41920.97</v>
      </c>
      <c r="G10490" s="18">
        <v>85719</v>
      </c>
      <c r="H10490" s="18">
        <f t="shared" si="235"/>
        <v>41895.97</v>
      </c>
      <c r="I10490" s="3"/>
    </row>
    <row r="10491" spans="1:9" s="4" customFormat="1" ht="21" customHeight="1" x14ac:dyDescent="0.55000000000000004">
      <c r="A10491" s="18">
        <v>24.767801800000001</v>
      </c>
      <c r="B10491" s="18">
        <v>34.822812300000002</v>
      </c>
      <c r="C10491" s="18">
        <v>684303.96</v>
      </c>
      <c r="D10491" s="18">
        <v>2740465.67</v>
      </c>
      <c r="E10491" s="18">
        <v>319.77999999999997</v>
      </c>
      <c r="F10491" s="18">
        <v>41790.230000000003</v>
      </c>
      <c r="G10491" s="18">
        <v>85852</v>
      </c>
      <c r="H10491" s="18">
        <f t="shared" si="235"/>
        <v>41765.230000000003</v>
      </c>
      <c r="I10491" s="3"/>
    </row>
    <row r="10492" spans="1:9" s="4" customFormat="1" ht="21" customHeight="1" x14ac:dyDescent="0.55000000000000004">
      <c r="A10492" s="18">
        <v>24.767802499999998</v>
      </c>
      <c r="B10492" s="18">
        <v>34.822814000000001</v>
      </c>
      <c r="C10492" s="18">
        <v>684304.13</v>
      </c>
      <c r="D10492" s="18">
        <v>2740465.75</v>
      </c>
      <c r="E10492" s="18">
        <v>319.83</v>
      </c>
      <c r="F10492" s="18">
        <v>41790.129999999997</v>
      </c>
      <c r="G10492" s="18">
        <v>85901</v>
      </c>
      <c r="H10492" s="18">
        <f t="shared" si="235"/>
        <v>41765.129999999997</v>
      </c>
      <c r="I10492" s="3"/>
    </row>
    <row r="10493" spans="1:9" s="4" customFormat="1" ht="21" customHeight="1" x14ac:dyDescent="0.55000000000000004">
      <c r="A10493" s="18">
        <v>24.7689843</v>
      </c>
      <c r="B10493" s="18">
        <v>34.821331000000001</v>
      </c>
      <c r="C10493" s="18">
        <v>684152.41</v>
      </c>
      <c r="D10493" s="18">
        <v>2740594.65</v>
      </c>
      <c r="E10493" s="18">
        <v>325.16000000000003</v>
      </c>
      <c r="F10493" s="18">
        <v>41825.78</v>
      </c>
      <c r="G10493" s="18">
        <v>90043</v>
      </c>
      <c r="H10493" s="18">
        <f t="shared" si="235"/>
        <v>41800.78</v>
      </c>
      <c r="I10493" s="3"/>
    </row>
    <row r="10494" spans="1:9" s="4" customFormat="1" ht="21" customHeight="1" x14ac:dyDescent="0.55000000000000004">
      <c r="A10494" s="18">
        <v>24.7689834</v>
      </c>
      <c r="B10494" s="18">
        <v>34.821331700000002</v>
      </c>
      <c r="C10494" s="18">
        <v>684152.48</v>
      </c>
      <c r="D10494" s="18">
        <v>2740594.55</v>
      </c>
      <c r="E10494" s="18">
        <v>325.20999999999998</v>
      </c>
      <c r="F10494" s="18">
        <v>41826.22</v>
      </c>
      <c r="G10494" s="18">
        <v>90052</v>
      </c>
      <c r="H10494" s="18">
        <f t="shared" si="235"/>
        <v>41801.22</v>
      </c>
      <c r="I10494" s="3"/>
    </row>
    <row r="10495" spans="1:9" s="4" customFormat="1" ht="21" customHeight="1" x14ac:dyDescent="0.55000000000000004">
      <c r="A10495" s="18">
        <v>24.770264000000001</v>
      </c>
      <c r="B10495" s="18">
        <v>34.819834</v>
      </c>
      <c r="C10495" s="18">
        <v>683999.13</v>
      </c>
      <c r="D10495" s="18">
        <v>2740734.38</v>
      </c>
      <c r="E10495" s="18">
        <v>328.33</v>
      </c>
      <c r="F10495" s="18">
        <v>41871.769999999997</v>
      </c>
      <c r="G10495" s="18">
        <v>90231</v>
      </c>
      <c r="H10495" s="18">
        <f t="shared" si="235"/>
        <v>41846.769999999997</v>
      </c>
      <c r="I10495" s="3"/>
    </row>
    <row r="10496" spans="1:9" s="4" customFormat="1" ht="21" customHeight="1" x14ac:dyDescent="0.55000000000000004">
      <c r="A10496" s="18">
        <v>24.7702636</v>
      </c>
      <c r="B10496" s="18">
        <v>34.819834399999998</v>
      </c>
      <c r="C10496" s="18">
        <v>683999.17</v>
      </c>
      <c r="D10496" s="18">
        <v>2740734.33</v>
      </c>
      <c r="E10496" s="18">
        <v>328.55</v>
      </c>
      <c r="F10496" s="18">
        <v>41872.92</v>
      </c>
      <c r="G10496" s="18">
        <v>90240</v>
      </c>
      <c r="H10496" s="18">
        <f t="shared" si="235"/>
        <v>41847.919999999998</v>
      </c>
      <c r="I10496" s="3"/>
    </row>
    <row r="10497" spans="1:9" s="4" customFormat="1" ht="21" customHeight="1" x14ac:dyDescent="0.55000000000000004">
      <c r="A10497" s="18">
        <v>24.771272400000001</v>
      </c>
      <c r="B10497" s="18">
        <v>34.818418700000002</v>
      </c>
      <c r="C10497" s="18">
        <v>683854.51</v>
      </c>
      <c r="D10497" s="18">
        <v>2740844.16</v>
      </c>
      <c r="E10497" s="18">
        <v>333.59</v>
      </c>
      <c r="F10497" s="18">
        <v>41884.31</v>
      </c>
      <c r="G10497" s="18">
        <v>90422</v>
      </c>
      <c r="H10497" s="18">
        <f t="shared" si="235"/>
        <v>41859.31</v>
      </c>
      <c r="I10497" s="3"/>
    </row>
    <row r="10498" spans="1:9" s="4" customFormat="1" ht="21" customHeight="1" x14ac:dyDescent="0.55000000000000004">
      <c r="A10498" s="18">
        <v>24.771272400000001</v>
      </c>
      <c r="B10498" s="18">
        <v>34.818418899999998</v>
      </c>
      <c r="C10498" s="18">
        <v>683854.54</v>
      </c>
      <c r="D10498" s="18">
        <v>2740844.17</v>
      </c>
      <c r="E10498" s="18">
        <v>333.67</v>
      </c>
      <c r="F10498" s="18">
        <v>41884.81</v>
      </c>
      <c r="G10498" s="18">
        <v>90431</v>
      </c>
      <c r="H10498" s="18">
        <f t="shared" si="235"/>
        <v>41859.81</v>
      </c>
      <c r="I10498" s="3"/>
    </row>
    <row r="10499" spans="1:9" s="4" customFormat="1" ht="21" customHeight="1" x14ac:dyDescent="0.55000000000000004">
      <c r="A10499" s="18">
        <v>24.7728103</v>
      </c>
      <c r="B10499" s="18">
        <v>34.815477999999999</v>
      </c>
      <c r="C10499" s="18">
        <v>683554.86</v>
      </c>
      <c r="D10499" s="18">
        <v>2741010.55</v>
      </c>
      <c r="E10499" s="18">
        <v>318.63</v>
      </c>
      <c r="F10499" s="18">
        <v>41990.92</v>
      </c>
      <c r="G10499" s="18">
        <v>90701</v>
      </c>
      <c r="H10499" s="18">
        <f t="shared" si="235"/>
        <v>41965.919999999998</v>
      </c>
      <c r="I10499" s="3"/>
    </row>
    <row r="10500" spans="1:9" s="4" customFormat="1" ht="21" customHeight="1" x14ac:dyDescent="0.55000000000000004">
      <c r="A10500" s="18">
        <v>24.772818399999998</v>
      </c>
      <c r="B10500" s="18">
        <v>34.8154526</v>
      </c>
      <c r="C10500" s="18">
        <v>683552.28</v>
      </c>
      <c r="D10500" s="18">
        <v>2741011.42</v>
      </c>
      <c r="E10500" s="18">
        <v>318.31</v>
      </c>
      <c r="F10500" s="18">
        <v>42003.71</v>
      </c>
      <c r="G10500" s="18">
        <v>90710</v>
      </c>
      <c r="H10500" s="18">
        <f t="shared" si="235"/>
        <v>41978.71</v>
      </c>
      <c r="I10500" s="3"/>
    </row>
    <row r="10501" spans="1:9" s="4" customFormat="1" ht="21" customHeight="1" x14ac:dyDescent="0.55000000000000004">
      <c r="A10501" s="18">
        <v>24.774039399999999</v>
      </c>
      <c r="B10501" s="18">
        <v>34.814236700000002</v>
      </c>
      <c r="C10501" s="18">
        <v>683427.53</v>
      </c>
      <c r="D10501" s="18">
        <v>2741145.03</v>
      </c>
      <c r="E10501" s="18">
        <v>312.95</v>
      </c>
      <c r="F10501" s="18">
        <v>41852.94</v>
      </c>
      <c r="G10501" s="18">
        <v>90843</v>
      </c>
      <c r="H10501" s="18">
        <f t="shared" si="235"/>
        <v>41827.94</v>
      </c>
      <c r="I10501" s="3"/>
    </row>
    <row r="10502" spans="1:9" s="4" customFormat="1" ht="21" customHeight="1" x14ac:dyDescent="0.55000000000000004">
      <c r="A10502" s="18">
        <v>24.774039399999999</v>
      </c>
      <c r="B10502" s="18">
        <v>34.814237400000003</v>
      </c>
      <c r="C10502" s="18">
        <v>683427.59</v>
      </c>
      <c r="D10502" s="18">
        <v>2741145.03</v>
      </c>
      <c r="E10502" s="18">
        <v>313.17</v>
      </c>
      <c r="F10502" s="18">
        <v>41856.94</v>
      </c>
      <c r="G10502" s="18">
        <v>90849</v>
      </c>
      <c r="H10502" s="18">
        <f t="shared" si="235"/>
        <v>41831.94</v>
      </c>
      <c r="I10502" s="3"/>
    </row>
    <row r="10503" spans="1:9" s="4" customFormat="1" ht="21" customHeight="1" x14ac:dyDescent="0.55000000000000004">
      <c r="A10503" s="18">
        <v>24.775268400000002</v>
      </c>
      <c r="B10503" s="18">
        <v>34.811497799999998</v>
      </c>
      <c r="C10503" s="18">
        <v>683148.74</v>
      </c>
      <c r="D10503" s="18">
        <v>2741277.47</v>
      </c>
      <c r="E10503" s="18">
        <v>303.55</v>
      </c>
      <c r="F10503" s="18">
        <v>41916.559999999998</v>
      </c>
      <c r="G10503" s="18">
        <v>91128</v>
      </c>
      <c r="H10503" s="18">
        <f t="shared" si="235"/>
        <v>41891.56</v>
      </c>
      <c r="I10503" s="3"/>
    </row>
    <row r="10504" spans="1:9" s="4" customFormat="1" ht="21" customHeight="1" x14ac:dyDescent="0.55000000000000004">
      <c r="A10504" s="18">
        <v>24.775267599999999</v>
      </c>
      <c r="B10504" s="18">
        <v>34.811497299999999</v>
      </c>
      <c r="C10504" s="18">
        <v>683148.69</v>
      </c>
      <c r="D10504" s="18">
        <v>2741277.38</v>
      </c>
      <c r="E10504" s="18">
        <v>303.58999999999997</v>
      </c>
      <c r="F10504" s="18">
        <v>41916.86</v>
      </c>
      <c r="G10504" s="18">
        <v>91137</v>
      </c>
      <c r="H10504" s="18">
        <f t="shared" si="235"/>
        <v>41891.86</v>
      </c>
      <c r="I10504" s="3"/>
    </row>
    <row r="10505" spans="1:9" s="4" customFormat="1" ht="21" customHeight="1" x14ac:dyDescent="0.55000000000000004">
      <c r="A10505" s="18">
        <v>24.7762232</v>
      </c>
      <c r="B10505" s="18">
        <v>34.809457700000003</v>
      </c>
      <c r="C10505" s="18">
        <v>682941.04</v>
      </c>
      <c r="D10505" s="18">
        <v>2741380.5</v>
      </c>
      <c r="E10505" s="18">
        <v>298.33</v>
      </c>
      <c r="F10505" s="18">
        <v>41905.300000000003</v>
      </c>
      <c r="G10505" s="18">
        <v>92237</v>
      </c>
      <c r="H10505" s="18">
        <f>SUM(F10505-33)</f>
        <v>41872.300000000003</v>
      </c>
      <c r="I10505" s="3"/>
    </row>
    <row r="10506" spans="1:9" s="4" customFormat="1" ht="21" customHeight="1" x14ac:dyDescent="0.55000000000000004">
      <c r="A10506" s="18">
        <v>24.776221100000001</v>
      </c>
      <c r="B10506" s="18">
        <v>34.809455700000001</v>
      </c>
      <c r="C10506" s="18">
        <v>682940.84</v>
      </c>
      <c r="D10506" s="18">
        <v>2741380.26</v>
      </c>
      <c r="E10506" s="18">
        <v>298.38</v>
      </c>
      <c r="F10506" s="18">
        <v>41902.160000000003</v>
      </c>
      <c r="G10506" s="18">
        <v>92246</v>
      </c>
      <c r="H10506" s="18">
        <f t="shared" ref="H10506:H10509" si="236">SUM(F10506-33)</f>
        <v>41869.160000000003</v>
      </c>
      <c r="I10506" s="3"/>
    </row>
    <row r="10507" spans="1:9" s="4" customFormat="1" ht="21" customHeight="1" x14ac:dyDescent="0.55000000000000004">
      <c r="A10507" s="18">
        <v>24.776706399999998</v>
      </c>
      <c r="B10507" s="18">
        <v>34.808971300000003</v>
      </c>
      <c r="C10507" s="18">
        <v>682891.14</v>
      </c>
      <c r="D10507" s="18">
        <v>2741433.37</v>
      </c>
      <c r="E10507" s="18">
        <v>292.39</v>
      </c>
      <c r="F10507" s="18">
        <v>41909.08</v>
      </c>
      <c r="G10507" s="18">
        <v>92431</v>
      </c>
      <c r="H10507" s="18">
        <f t="shared" si="236"/>
        <v>41876.080000000002</v>
      </c>
      <c r="I10507" s="3"/>
    </row>
    <row r="10508" spans="1:9" s="4" customFormat="1" ht="21" customHeight="1" x14ac:dyDescent="0.55000000000000004">
      <c r="A10508" s="18">
        <v>24.7778353</v>
      </c>
      <c r="B10508" s="18">
        <v>34.808205700000002</v>
      </c>
      <c r="C10508" s="18">
        <v>682812.07</v>
      </c>
      <c r="D10508" s="18">
        <v>2741557.38</v>
      </c>
      <c r="E10508" s="18">
        <v>286.95999999999998</v>
      </c>
      <c r="F10508" s="18">
        <v>41904.75</v>
      </c>
      <c r="G10508" s="18">
        <v>92637</v>
      </c>
      <c r="H10508" s="18">
        <f t="shared" si="236"/>
        <v>41871.75</v>
      </c>
      <c r="I10508" s="3"/>
    </row>
    <row r="10509" spans="1:9" s="4" customFormat="1" ht="21" customHeight="1" x14ac:dyDescent="0.55000000000000004">
      <c r="A10509" s="18">
        <v>24.777835100000001</v>
      </c>
      <c r="B10509" s="18">
        <v>34.808205600000001</v>
      </c>
      <c r="C10509" s="18">
        <v>682812.06</v>
      </c>
      <c r="D10509" s="18">
        <v>2741557.36</v>
      </c>
      <c r="E10509" s="18">
        <v>286.83</v>
      </c>
      <c r="F10509" s="18">
        <v>41903.82</v>
      </c>
      <c r="G10509" s="18">
        <v>92646</v>
      </c>
      <c r="H10509" s="18">
        <f t="shared" si="236"/>
        <v>41870.82</v>
      </c>
      <c r="I10509" s="3"/>
    </row>
    <row r="10510" spans="1:9" s="4" customFormat="1" ht="21" customHeight="1" x14ac:dyDescent="0.55000000000000004">
      <c r="A10510" s="18">
        <v>24.826339300000001</v>
      </c>
      <c r="B10510" s="18">
        <v>34.761082199999997</v>
      </c>
      <c r="C10510" s="18">
        <v>677977.53</v>
      </c>
      <c r="D10510" s="18">
        <v>2746867.45</v>
      </c>
      <c r="E10510" s="18">
        <v>341.84</v>
      </c>
      <c r="F10510" s="18">
        <v>41958.63</v>
      </c>
      <c r="G10510" s="18">
        <v>101358</v>
      </c>
      <c r="H10510" s="18">
        <f>SUM(F10510-28)</f>
        <v>41930.629999999997</v>
      </c>
      <c r="I10510" s="3"/>
    </row>
    <row r="10511" spans="1:9" s="4" customFormat="1" ht="21" customHeight="1" x14ac:dyDescent="0.55000000000000004">
      <c r="A10511" s="18">
        <v>24.8263395</v>
      </c>
      <c r="B10511" s="18">
        <v>34.761082199999997</v>
      </c>
      <c r="C10511" s="18">
        <v>677977.53</v>
      </c>
      <c r="D10511" s="18">
        <v>2746867.47</v>
      </c>
      <c r="E10511" s="18">
        <v>341.86</v>
      </c>
      <c r="F10511" s="18">
        <v>41959.34</v>
      </c>
      <c r="G10511" s="18">
        <v>101407</v>
      </c>
      <c r="H10511" s="18">
        <f t="shared" ref="H10511:H10524" si="237">SUM(F10511-28)</f>
        <v>41931.339999999997</v>
      </c>
      <c r="I10511" s="3"/>
    </row>
    <row r="10512" spans="1:9" s="4" customFormat="1" ht="21" customHeight="1" x14ac:dyDescent="0.55000000000000004">
      <c r="A10512" s="18">
        <v>24.8262708</v>
      </c>
      <c r="B10512" s="18">
        <v>34.760097199999997</v>
      </c>
      <c r="C10512" s="18">
        <v>677878.07</v>
      </c>
      <c r="D10512" s="18">
        <v>2746858.57</v>
      </c>
      <c r="E10512" s="18">
        <v>343.68</v>
      </c>
      <c r="F10512" s="18">
        <v>41952.02</v>
      </c>
      <c r="G10512" s="18">
        <v>101552</v>
      </c>
      <c r="H10512" s="18">
        <f t="shared" si="237"/>
        <v>41924.019999999997</v>
      </c>
      <c r="I10512" s="3"/>
    </row>
    <row r="10513" spans="1:9" s="4" customFormat="1" ht="21" customHeight="1" x14ac:dyDescent="0.55000000000000004">
      <c r="A10513" s="18">
        <v>24.8260869</v>
      </c>
      <c r="B10513" s="18">
        <v>34.759542000000003</v>
      </c>
      <c r="C10513" s="18">
        <v>677822.2</v>
      </c>
      <c r="D10513" s="18">
        <v>2746837.49</v>
      </c>
      <c r="E10513" s="18">
        <v>344.09</v>
      </c>
      <c r="F10513" s="18">
        <v>41954.7</v>
      </c>
      <c r="G10513" s="18">
        <v>101643</v>
      </c>
      <c r="H10513" s="18">
        <f t="shared" si="237"/>
        <v>41926.699999999997</v>
      </c>
      <c r="I10513" s="3"/>
    </row>
    <row r="10514" spans="1:9" s="4" customFormat="1" ht="21" customHeight="1" x14ac:dyDescent="0.55000000000000004">
      <c r="A10514" s="18">
        <v>24.8253412</v>
      </c>
      <c r="B10514" s="18">
        <v>34.758638099999999</v>
      </c>
      <c r="C10514" s="18">
        <v>677731.91</v>
      </c>
      <c r="D10514" s="18">
        <v>2746753.71</v>
      </c>
      <c r="E10514" s="18">
        <v>345.68</v>
      </c>
      <c r="F10514" s="18">
        <v>42014.7</v>
      </c>
      <c r="G10514" s="18">
        <v>101831</v>
      </c>
      <c r="H10514" s="18">
        <f t="shared" si="237"/>
        <v>41986.7</v>
      </c>
      <c r="I10514" s="3"/>
    </row>
    <row r="10515" spans="1:9" s="4" customFormat="1" ht="21" customHeight="1" x14ac:dyDescent="0.55000000000000004">
      <c r="A10515" s="18">
        <v>24.824324099999998</v>
      </c>
      <c r="B10515" s="18">
        <v>34.756859400000003</v>
      </c>
      <c r="C10515" s="18">
        <v>677553.56</v>
      </c>
      <c r="D10515" s="18">
        <v>2746638.74</v>
      </c>
      <c r="E10515" s="18">
        <v>348.3</v>
      </c>
      <c r="F10515" s="18">
        <v>41900.18</v>
      </c>
      <c r="G10515" s="18">
        <v>102110</v>
      </c>
      <c r="H10515" s="18">
        <f t="shared" si="237"/>
        <v>41872.18</v>
      </c>
      <c r="I10515" s="3"/>
    </row>
    <row r="10516" spans="1:9" s="4" customFormat="1" ht="21" customHeight="1" x14ac:dyDescent="0.55000000000000004">
      <c r="A10516" s="18">
        <v>24.824325300000002</v>
      </c>
      <c r="B10516" s="18">
        <v>34.756859599999999</v>
      </c>
      <c r="C10516" s="18">
        <v>677553.58</v>
      </c>
      <c r="D10516" s="18">
        <v>2746638.87</v>
      </c>
      <c r="E10516" s="18">
        <v>348.41</v>
      </c>
      <c r="F10516" s="18">
        <v>41900.04</v>
      </c>
      <c r="G10516" s="18">
        <v>102119</v>
      </c>
      <c r="H10516" s="18">
        <f t="shared" si="237"/>
        <v>41872.04</v>
      </c>
      <c r="I10516" s="3"/>
    </row>
    <row r="10517" spans="1:9" s="4" customFormat="1" ht="21" customHeight="1" x14ac:dyDescent="0.55000000000000004">
      <c r="A10517" s="18">
        <v>24.822665199999999</v>
      </c>
      <c r="B10517" s="18">
        <v>34.7553968</v>
      </c>
      <c r="C10517" s="18">
        <v>677408.08</v>
      </c>
      <c r="D10517" s="18">
        <v>2746453.1</v>
      </c>
      <c r="E10517" s="18">
        <v>351.49</v>
      </c>
      <c r="F10517" s="18">
        <v>42324.24</v>
      </c>
      <c r="G10517" s="18">
        <v>102304</v>
      </c>
      <c r="H10517" s="18">
        <f t="shared" si="237"/>
        <v>42296.24</v>
      </c>
      <c r="I10517" s="3"/>
    </row>
    <row r="10518" spans="1:9" s="4" customFormat="1" ht="21" customHeight="1" x14ac:dyDescent="0.55000000000000004">
      <c r="A10518" s="18">
        <v>24.822666399999999</v>
      </c>
      <c r="B10518" s="18">
        <v>34.755396500000003</v>
      </c>
      <c r="C10518" s="18">
        <v>677408.04</v>
      </c>
      <c r="D10518" s="18">
        <v>2746453.24</v>
      </c>
      <c r="E10518" s="18">
        <v>351.62</v>
      </c>
      <c r="F10518" s="18">
        <v>42324.21</v>
      </c>
      <c r="G10518" s="18">
        <v>102316</v>
      </c>
      <c r="H10518" s="18">
        <f t="shared" si="237"/>
        <v>42296.21</v>
      </c>
      <c r="I10518" s="3"/>
    </row>
    <row r="10519" spans="1:9" s="4" customFormat="1" ht="21" customHeight="1" x14ac:dyDescent="0.55000000000000004">
      <c r="A10519" s="18">
        <v>24.820316099999999</v>
      </c>
      <c r="B10519" s="18">
        <v>34.753897500000001</v>
      </c>
      <c r="C10519" s="18">
        <v>677259.86</v>
      </c>
      <c r="D10519" s="18">
        <v>2746190.97</v>
      </c>
      <c r="E10519" s="18">
        <v>355.66</v>
      </c>
      <c r="F10519" s="18">
        <v>42089.61</v>
      </c>
      <c r="G10519" s="18">
        <v>102607</v>
      </c>
      <c r="H10519" s="18">
        <f t="shared" si="237"/>
        <v>42061.61</v>
      </c>
      <c r="I10519" s="3"/>
    </row>
    <row r="10520" spans="1:9" s="4" customFormat="1" ht="21" customHeight="1" x14ac:dyDescent="0.55000000000000004">
      <c r="A10520" s="18">
        <v>24.820315999999998</v>
      </c>
      <c r="B10520" s="18">
        <v>34.753897299999998</v>
      </c>
      <c r="C10520" s="18">
        <v>677259.85</v>
      </c>
      <c r="D10520" s="18">
        <v>2746190.95</v>
      </c>
      <c r="E10520" s="18">
        <v>355.73</v>
      </c>
      <c r="F10520" s="18">
        <v>42089.41</v>
      </c>
      <c r="G10520" s="18">
        <v>102619</v>
      </c>
      <c r="H10520" s="18">
        <f t="shared" si="237"/>
        <v>42061.41</v>
      </c>
      <c r="I10520" s="3"/>
    </row>
    <row r="10521" spans="1:9" s="4" customFormat="1" ht="21" customHeight="1" x14ac:dyDescent="0.55000000000000004">
      <c r="A10521" s="18">
        <v>24.8199483</v>
      </c>
      <c r="B10521" s="18">
        <v>34.751406699999997</v>
      </c>
      <c r="C10521" s="18">
        <v>677008.61</v>
      </c>
      <c r="D10521" s="18">
        <v>2746147</v>
      </c>
      <c r="E10521" s="18">
        <v>359.38</v>
      </c>
      <c r="F10521" s="18">
        <v>42020.86</v>
      </c>
      <c r="G10521" s="18">
        <v>102831</v>
      </c>
      <c r="H10521" s="18">
        <f t="shared" si="237"/>
        <v>41992.86</v>
      </c>
      <c r="I10521" s="3"/>
    </row>
    <row r="10522" spans="1:9" s="4" customFormat="1" ht="21" customHeight="1" x14ac:dyDescent="0.55000000000000004">
      <c r="A10522" s="18">
        <v>24.819949999999999</v>
      </c>
      <c r="B10522" s="18">
        <v>34.751406899999999</v>
      </c>
      <c r="C10522" s="18">
        <v>677008.62</v>
      </c>
      <c r="D10522" s="18">
        <v>2746147.18</v>
      </c>
      <c r="E10522" s="18">
        <v>359.46</v>
      </c>
      <c r="F10522" s="18">
        <v>42019.9</v>
      </c>
      <c r="G10522" s="18">
        <v>102843</v>
      </c>
      <c r="H10522" s="18">
        <f t="shared" si="237"/>
        <v>41991.9</v>
      </c>
      <c r="I10522" s="3"/>
    </row>
    <row r="10523" spans="1:9" s="4" customFormat="1" ht="21" customHeight="1" x14ac:dyDescent="0.55000000000000004">
      <c r="A10523" s="18">
        <v>24.819388400000001</v>
      </c>
      <c r="B10523" s="18">
        <v>34.749971600000002</v>
      </c>
      <c r="C10523" s="18">
        <v>676864.33</v>
      </c>
      <c r="D10523" s="18">
        <v>2746083.12</v>
      </c>
      <c r="E10523" s="18">
        <v>361.29</v>
      </c>
      <c r="F10523" s="18">
        <v>42000.639999999999</v>
      </c>
      <c r="G10523" s="18">
        <v>103007</v>
      </c>
      <c r="H10523" s="18">
        <f t="shared" si="237"/>
        <v>41972.639999999999</v>
      </c>
      <c r="I10523" s="3"/>
    </row>
    <row r="10524" spans="1:9" s="4" customFormat="1" ht="21" customHeight="1" x14ac:dyDescent="0.55000000000000004">
      <c r="A10524" s="18">
        <v>24.819389600000001</v>
      </c>
      <c r="B10524" s="18">
        <v>34.749968199999998</v>
      </c>
      <c r="C10524" s="18">
        <v>676863.98</v>
      </c>
      <c r="D10524" s="18">
        <v>2746083.24</v>
      </c>
      <c r="E10524" s="18">
        <v>361.33</v>
      </c>
      <c r="F10524" s="18">
        <v>41997.63</v>
      </c>
      <c r="G10524" s="18">
        <v>103016</v>
      </c>
      <c r="H10524" s="18">
        <f t="shared" si="237"/>
        <v>41969.63</v>
      </c>
      <c r="I10524" s="3"/>
    </row>
    <row r="10525" spans="1:9" s="4" customFormat="1" ht="21" customHeight="1" x14ac:dyDescent="0.55000000000000004">
      <c r="A10525" s="18">
        <v>24.818021099999999</v>
      </c>
      <c r="B10525" s="18">
        <v>34.748893500000001</v>
      </c>
      <c r="C10525" s="18">
        <v>676757.29</v>
      </c>
      <c r="D10525" s="18">
        <v>2745930.28</v>
      </c>
      <c r="E10525" s="18">
        <v>363.43</v>
      </c>
      <c r="F10525" s="18">
        <v>41916.04</v>
      </c>
      <c r="G10525" s="18">
        <v>103207</v>
      </c>
      <c r="H10525" s="18">
        <f>SUM(F10525-25)</f>
        <v>41891.040000000001</v>
      </c>
      <c r="I10525" s="3"/>
    </row>
    <row r="10526" spans="1:9" s="4" customFormat="1" ht="21" customHeight="1" x14ac:dyDescent="0.55000000000000004">
      <c r="A10526" s="18">
        <v>24.818022800000001</v>
      </c>
      <c r="B10526" s="18">
        <v>34.748893799999998</v>
      </c>
      <c r="C10526" s="18">
        <v>676757.31</v>
      </c>
      <c r="D10526" s="18">
        <v>2745930.46</v>
      </c>
      <c r="E10526" s="18">
        <v>363.54</v>
      </c>
      <c r="F10526" s="18">
        <v>41917.15</v>
      </c>
      <c r="G10526" s="18">
        <v>103216</v>
      </c>
      <c r="H10526" s="18">
        <f t="shared" ref="H10526:H10540" si="238">SUM(F10526-25)</f>
        <v>41892.15</v>
      </c>
      <c r="I10526" s="3"/>
    </row>
    <row r="10527" spans="1:9" s="4" customFormat="1" ht="21" customHeight="1" x14ac:dyDescent="0.55000000000000004">
      <c r="A10527" s="18">
        <v>24.816265999999999</v>
      </c>
      <c r="B10527" s="18">
        <v>34.748355799999999</v>
      </c>
      <c r="C10527" s="18">
        <v>676705.42</v>
      </c>
      <c r="D10527" s="18">
        <v>2745735.18</v>
      </c>
      <c r="E10527" s="18">
        <v>365.89</v>
      </c>
      <c r="F10527" s="18">
        <v>41909.82</v>
      </c>
      <c r="G10527" s="18">
        <v>103355</v>
      </c>
      <c r="H10527" s="18">
        <f t="shared" si="238"/>
        <v>41884.82</v>
      </c>
      <c r="I10527" s="3"/>
    </row>
    <row r="10528" spans="1:9" s="4" customFormat="1" ht="21" customHeight="1" x14ac:dyDescent="0.55000000000000004">
      <c r="A10528" s="18">
        <v>24.816265699999999</v>
      </c>
      <c r="B10528" s="18">
        <v>34.748355699999998</v>
      </c>
      <c r="C10528" s="18">
        <v>676705.41</v>
      </c>
      <c r="D10528" s="18">
        <v>2745735.15</v>
      </c>
      <c r="E10528" s="18">
        <v>365.91</v>
      </c>
      <c r="F10528" s="18">
        <v>41909.42</v>
      </c>
      <c r="G10528" s="18">
        <v>103404</v>
      </c>
      <c r="H10528" s="18">
        <f t="shared" si="238"/>
        <v>41884.42</v>
      </c>
      <c r="I10528" s="3"/>
    </row>
    <row r="10529" spans="1:9" s="4" customFormat="1" ht="21" customHeight="1" x14ac:dyDescent="0.55000000000000004">
      <c r="A10529" s="18">
        <v>24.814477</v>
      </c>
      <c r="B10529" s="18">
        <v>34.747753699999997</v>
      </c>
      <c r="C10529" s="18">
        <v>676647.09</v>
      </c>
      <c r="D10529" s="18">
        <v>2745536.26</v>
      </c>
      <c r="E10529" s="18">
        <v>368.4</v>
      </c>
      <c r="F10529" s="18">
        <v>41932.47</v>
      </c>
      <c r="G10529" s="18">
        <v>103540</v>
      </c>
      <c r="H10529" s="18">
        <f t="shared" si="238"/>
        <v>41907.47</v>
      </c>
      <c r="I10529" s="3"/>
    </row>
    <row r="10530" spans="1:9" s="4" customFormat="1" ht="21" customHeight="1" x14ac:dyDescent="0.55000000000000004">
      <c r="A10530" s="18">
        <v>24.814477400000001</v>
      </c>
      <c r="B10530" s="18">
        <v>34.747753299999999</v>
      </c>
      <c r="C10530" s="18">
        <v>676647.05</v>
      </c>
      <c r="D10530" s="18">
        <v>2745536.3</v>
      </c>
      <c r="E10530" s="18">
        <v>368.38</v>
      </c>
      <c r="F10530" s="18">
        <v>41932.85</v>
      </c>
      <c r="G10530" s="18">
        <v>103549</v>
      </c>
      <c r="H10530" s="18">
        <f t="shared" si="238"/>
        <v>41907.85</v>
      </c>
      <c r="I10530" s="3"/>
    </row>
    <row r="10531" spans="1:9" s="4" customFormat="1" ht="21" customHeight="1" x14ac:dyDescent="0.55000000000000004">
      <c r="A10531" s="18">
        <v>24.813686199999999</v>
      </c>
      <c r="B10531" s="18">
        <v>34.746056199999998</v>
      </c>
      <c r="C10531" s="18">
        <v>676476.61</v>
      </c>
      <c r="D10531" s="18">
        <v>2745446.47</v>
      </c>
      <c r="E10531" s="18">
        <v>370.19</v>
      </c>
      <c r="F10531" s="18">
        <v>41937.72</v>
      </c>
      <c r="G10531" s="18">
        <v>103731</v>
      </c>
      <c r="H10531" s="18">
        <f t="shared" si="238"/>
        <v>41912.720000000001</v>
      </c>
      <c r="I10531" s="3"/>
    </row>
    <row r="10532" spans="1:9" s="4" customFormat="1" ht="21" customHeight="1" x14ac:dyDescent="0.55000000000000004">
      <c r="A10532" s="18">
        <v>24.813686799999999</v>
      </c>
      <c r="B10532" s="18">
        <v>34.746056699999997</v>
      </c>
      <c r="C10532" s="18">
        <v>676476.66</v>
      </c>
      <c r="D10532" s="18">
        <v>2745446.55</v>
      </c>
      <c r="E10532" s="18">
        <v>370.29</v>
      </c>
      <c r="F10532" s="18">
        <v>41937.57</v>
      </c>
      <c r="G10532" s="18">
        <v>103740</v>
      </c>
      <c r="H10532" s="18">
        <f t="shared" si="238"/>
        <v>41912.57</v>
      </c>
      <c r="I10532" s="3"/>
    </row>
    <row r="10533" spans="1:9" s="4" customFormat="1" ht="21" customHeight="1" x14ac:dyDescent="0.55000000000000004">
      <c r="A10533" s="18">
        <v>24.8133038</v>
      </c>
      <c r="B10533" s="18">
        <v>34.743856200000003</v>
      </c>
      <c r="C10533" s="18">
        <v>676254.75</v>
      </c>
      <c r="D10533" s="18">
        <v>2745401.28</v>
      </c>
      <c r="E10533" s="18">
        <v>373.61</v>
      </c>
      <c r="F10533" s="18">
        <v>41915.82</v>
      </c>
      <c r="G10533" s="18">
        <v>103931</v>
      </c>
      <c r="H10533" s="18">
        <f t="shared" si="238"/>
        <v>41890.82</v>
      </c>
      <c r="I10533" s="3"/>
    </row>
    <row r="10534" spans="1:9" s="4" customFormat="1" ht="21" customHeight="1" x14ac:dyDescent="0.55000000000000004">
      <c r="A10534" s="18">
        <v>24.813304899999999</v>
      </c>
      <c r="B10534" s="18">
        <v>34.743856000000001</v>
      </c>
      <c r="C10534" s="18">
        <v>676254.71999999997</v>
      </c>
      <c r="D10534" s="18">
        <v>2745401.4</v>
      </c>
      <c r="E10534" s="18">
        <v>373.52</v>
      </c>
      <c r="F10534" s="18">
        <v>41916.42</v>
      </c>
      <c r="G10534" s="18">
        <v>103940</v>
      </c>
      <c r="H10534" s="18">
        <f t="shared" si="238"/>
        <v>41891.42</v>
      </c>
      <c r="I10534" s="3"/>
    </row>
    <row r="10535" spans="1:9" s="4" customFormat="1" ht="21" customHeight="1" x14ac:dyDescent="0.55000000000000004">
      <c r="A10535" s="18">
        <v>24.813054699999999</v>
      </c>
      <c r="B10535" s="18">
        <v>34.742277899999998</v>
      </c>
      <c r="C10535" s="18">
        <v>676095.55</v>
      </c>
      <c r="D10535" s="18">
        <v>2745371.64</v>
      </c>
      <c r="E10535" s="18">
        <v>375.03</v>
      </c>
      <c r="F10535" s="18">
        <v>41960.52</v>
      </c>
      <c r="G10535" s="18">
        <v>104107</v>
      </c>
      <c r="H10535" s="18">
        <f t="shared" si="238"/>
        <v>41935.519999999997</v>
      </c>
      <c r="I10535" s="3"/>
    </row>
    <row r="10536" spans="1:9" s="4" customFormat="1" ht="21" customHeight="1" x14ac:dyDescent="0.55000000000000004">
      <c r="A10536" s="18">
        <v>24.8130563</v>
      </c>
      <c r="B10536" s="18">
        <v>34.742277199999997</v>
      </c>
      <c r="C10536" s="18">
        <v>676095.47</v>
      </c>
      <c r="D10536" s="18">
        <v>2745371.82</v>
      </c>
      <c r="E10536" s="18">
        <v>375.04</v>
      </c>
      <c r="F10536" s="18">
        <v>41958.76</v>
      </c>
      <c r="G10536" s="18">
        <v>104119</v>
      </c>
      <c r="H10536" s="18">
        <f t="shared" si="238"/>
        <v>41933.760000000002</v>
      </c>
      <c r="I10536" s="3"/>
    </row>
    <row r="10537" spans="1:9" s="4" customFormat="1" ht="21" customHeight="1" x14ac:dyDescent="0.55000000000000004">
      <c r="A10537" s="18">
        <v>24.812351700000001</v>
      </c>
      <c r="B10537" s="18">
        <v>34.740704999999998</v>
      </c>
      <c r="C10537" s="18">
        <v>675937.53</v>
      </c>
      <c r="D10537" s="18">
        <v>2745291.76</v>
      </c>
      <c r="E10537" s="18">
        <v>378.23</v>
      </c>
      <c r="F10537" s="18">
        <v>41950.65</v>
      </c>
      <c r="G10537" s="18">
        <v>104255</v>
      </c>
      <c r="H10537" s="18">
        <f t="shared" si="238"/>
        <v>41925.65</v>
      </c>
      <c r="I10537" s="3"/>
    </row>
    <row r="10538" spans="1:9" s="4" customFormat="1" ht="21" customHeight="1" x14ac:dyDescent="0.55000000000000004">
      <c r="A10538" s="18">
        <v>24.812352199999999</v>
      </c>
      <c r="B10538" s="18">
        <v>34.740705599999998</v>
      </c>
      <c r="C10538" s="18">
        <v>675937.59</v>
      </c>
      <c r="D10538" s="18">
        <v>2745291.81</v>
      </c>
      <c r="E10538" s="18">
        <v>378.47</v>
      </c>
      <c r="F10538" s="18">
        <v>41951.61</v>
      </c>
      <c r="G10538" s="18">
        <v>104304</v>
      </c>
      <c r="H10538" s="18">
        <f t="shared" si="238"/>
        <v>41926.61</v>
      </c>
      <c r="I10538" s="3"/>
    </row>
    <row r="10539" spans="1:9" s="4" customFormat="1" ht="21" customHeight="1" x14ac:dyDescent="0.55000000000000004">
      <c r="A10539" s="18">
        <v>24.8109714</v>
      </c>
      <c r="B10539" s="18">
        <v>34.739793300000002</v>
      </c>
      <c r="C10539" s="18">
        <v>675847.32</v>
      </c>
      <c r="D10539" s="18">
        <v>2745137.7</v>
      </c>
      <c r="E10539" s="18">
        <v>380.27</v>
      </c>
      <c r="F10539" s="18">
        <v>41783.61</v>
      </c>
      <c r="G10539" s="18">
        <v>104443</v>
      </c>
      <c r="H10539" s="18">
        <f t="shared" si="238"/>
        <v>41758.61</v>
      </c>
      <c r="I10539" s="3"/>
    </row>
    <row r="10540" spans="1:9" s="4" customFormat="1" ht="21" customHeight="1" x14ac:dyDescent="0.55000000000000004">
      <c r="A10540" s="18">
        <v>24.810970900000001</v>
      </c>
      <c r="B10540" s="18">
        <v>34.7397931</v>
      </c>
      <c r="C10540" s="18">
        <v>675847.29</v>
      </c>
      <c r="D10540" s="18">
        <v>2745137.64</v>
      </c>
      <c r="E10540" s="18">
        <v>380.25</v>
      </c>
      <c r="F10540" s="18">
        <v>41784.089999999997</v>
      </c>
      <c r="G10540" s="18">
        <v>104458</v>
      </c>
      <c r="H10540" s="18">
        <f t="shared" si="238"/>
        <v>41759.089999999997</v>
      </c>
      <c r="I10540" s="3"/>
    </row>
    <row r="10541" spans="1:9" s="4" customFormat="1" ht="21" customHeight="1" x14ac:dyDescent="0.55000000000000004">
      <c r="A10541" s="18">
        <v>24.809018900000002</v>
      </c>
      <c r="B10541" s="18">
        <v>34.739857299999997</v>
      </c>
      <c r="C10541" s="18">
        <v>675856.54</v>
      </c>
      <c r="D10541" s="18">
        <v>2744921.52</v>
      </c>
      <c r="E10541" s="18">
        <v>383.05</v>
      </c>
      <c r="F10541" s="18">
        <v>41658.400000000001</v>
      </c>
      <c r="G10541" s="18">
        <v>104828</v>
      </c>
      <c r="H10541" s="18">
        <f>SUM(F10541-23)</f>
        <v>41635.4</v>
      </c>
      <c r="I10541" s="3"/>
    </row>
    <row r="10542" spans="1:9" s="4" customFormat="1" ht="21" customHeight="1" x14ac:dyDescent="0.55000000000000004">
      <c r="A10542" s="18">
        <v>24.809019200000002</v>
      </c>
      <c r="B10542" s="18">
        <v>34.739857100000002</v>
      </c>
      <c r="C10542" s="18">
        <v>675856.52</v>
      </c>
      <c r="D10542" s="18">
        <v>2744921.56</v>
      </c>
      <c r="E10542" s="18">
        <v>383.1</v>
      </c>
      <c r="F10542" s="18">
        <v>41659.339999999997</v>
      </c>
      <c r="G10542" s="18">
        <v>104837</v>
      </c>
      <c r="H10542" s="18">
        <f t="shared" ref="H10542:H10552" si="239">SUM(F10542-23)</f>
        <v>41636.339999999997</v>
      </c>
      <c r="I10542" s="3"/>
    </row>
    <row r="10543" spans="1:9" s="4" customFormat="1" ht="21" customHeight="1" x14ac:dyDescent="0.55000000000000004">
      <c r="A10543" s="18">
        <v>24.8072646</v>
      </c>
      <c r="B10543" s="18">
        <v>34.740112500000002</v>
      </c>
      <c r="C10543" s="18">
        <v>675884.82</v>
      </c>
      <c r="D10543" s="18">
        <v>2744727.55</v>
      </c>
      <c r="E10543" s="18">
        <v>386.81</v>
      </c>
      <c r="F10543" s="18">
        <v>41630.089999999997</v>
      </c>
      <c r="G10543" s="18">
        <v>105016</v>
      </c>
      <c r="H10543" s="18">
        <f t="shared" si="239"/>
        <v>41607.089999999997</v>
      </c>
      <c r="I10543" s="3"/>
    </row>
    <row r="10544" spans="1:9" s="4" customFormat="1" ht="21" customHeight="1" x14ac:dyDescent="0.55000000000000004">
      <c r="A10544" s="18">
        <v>24.8072646</v>
      </c>
      <c r="B10544" s="18">
        <v>34.740112199999999</v>
      </c>
      <c r="C10544" s="18">
        <v>675884.79</v>
      </c>
      <c r="D10544" s="18">
        <v>2744727.55</v>
      </c>
      <c r="E10544" s="18">
        <v>386.88</v>
      </c>
      <c r="F10544" s="18">
        <v>41630.61</v>
      </c>
      <c r="G10544" s="18">
        <v>105025</v>
      </c>
      <c r="H10544" s="18">
        <f t="shared" si="239"/>
        <v>41607.61</v>
      </c>
      <c r="I10544" s="3"/>
    </row>
    <row r="10545" spans="1:9" s="4" customFormat="1" ht="21" customHeight="1" x14ac:dyDescent="0.55000000000000004">
      <c r="A10545" s="18">
        <v>24.8054092</v>
      </c>
      <c r="B10545" s="18">
        <v>34.740525300000002</v>
      </c>
      <c r="C10545" s="18">
        <v>675929.17</v>
      </c>
      <c r="D10545" s="18">
        <v>2744522.58</v>
      </c>
      <c r="E10545" s="18">
        <v>389.98</v>
      </c>
      <c r="F10545" s="18">
        <v>41774.800000000003</v>
      </c>
      <c r="G10545" s="18">
        <v>105219</v>
      </c>
      <c r="H10545" s="18">
        <f t="shared" si="239"/>
        <v>41751.800000000003</v>
      </c>
      <c r="I10545" s="3"/>
    </row>
    <row r="10546" spans="1:9" s="4" customFormat="1" ht="21" customHeight="1" x14ac:dyDescent="0.55000000000000004">
      <c r="A10546" s="18">
        <v>24.805408100000001</v>
      </c>
      <c r="B10546" s="18">
        <v>34.740524600000001</v>
      </c>
      <c r="C10546" s="18">
        <v>675929.1</v>
      </c>
      <c r="D10546" s="18">
        <v>2744522.46</v>
      </c>
      <c r="E10546" s="18">
        <v>389.93</v>
      </c>
      <c r="F10546" s="18">
        <v>41774.78</v>
      </c>
      <c r="G10546" s="18">
        <v>105228</v>
      </c>
      <c r="H10546" s="18">
        <f t="shared" si="239"/>
        <v>41751.78</v>
      </c>
      <c r="I10546" s="3"/>
    </row>
    <row r="10547" spans="1:9" s="4" customFormat="1" ht="21" customHeight="1" x14ac:dyDescent="0.55000000000000004">
      <c r="A10547" s="18">
        <v>24.8031729</v>
      </c>
      <c r="B10547" s="18">
        <v>34.741062599999999</v>
      </c>
      <c r="C10547" s="18">
        <v>675986.65</v>
      </c>
      <c r="D10547" s="18">
        <v>2744275.58</v>
      </c>
      <c r="E10547" s="18">
        <v>392.43</v>
      </c>
      <c r="F10547" s="18">
        <v>41814.47</v>
      </c>
      <c r="G10547" s="18">
        <v>105416</v>
      </c>
      <c r="H10547" s="18">
        <f t="shared" si="239"/>
        <v>41791.47</v>
      </c>
      <c r="I10547" s="3"/>
    </row>
    <row r="10548" spans="1:9" s="4" customFormat="1" ht="21" customHeight="1" x14ac:dyDescent="0.55000000000000004">
      <c r="A10548" s="18">
        <v>24.803173099999999</v>
      </c>
      <c r="B10548" s="18">
        <v>34.741062399999997</v>
      </c>
      <c r="C10548" s="18">
        <v>675986.63</v>
      </c>
      <c r="D10548" s="18">
        <v>2744275.6</v>
      </c>
      <c r="E10548" s="18">
        <v>392.4</v>
      </c>
      <c r="F10548" s="18">
        <v>41814.11</v>
      </c>
      <c r="G10548" s="18">
        <v>105425</v>
      </c>
      <c r="H10548" s="18">
        <f t="shared" si="239"/>
        <v>41791.11</v>
      </c>
      <c r="I10548" s="3"/>
    </row>
    <row r="10549" spans="1:9" s="4" customFormat="1" ht="21" customHeight="1" x14ac:dyDescent="0.55000000000000004">
      <c r="A10549" s="18">
        <v>24.800358899999999</v>
      </c>
      <c r="B10549" s="18">
        <v>34.741808399999996</v>
      </c>
      <c r="C10549" s="18">
        <v>676066.03</v>
      </c>
      <c r="D10549" s="18">
        <v>2743964.87</v>
      </c>
      <c r="E10549" s="18">
        <v>396.71</v>
      </c>
      <c r="F10549" s="18">
        <v>41820.949999999997</v>
      </c>
      <c r="G10549" s="18">
        <v>105622</v>
      </c>
      <c r="H10549" s="18">
        <f t="shared" si="239"/>
        <v>41797.949999999997</v>
      </c>
      <c r="I10549" s="3"/>
    </row>
    <row r="10550" spans="1:9" s="4" customFormat="1" ht="21" customHeight="1" x14ac:dyDescent="0.55000000000000004">
      <c r="A10550" s="18">
        <v>24.8003593</v>
      </c>
      <c r="B10550" s="18">
        <v>34.741807700000003</v>
      </c>
      <c r="C10550" s="18">
        <v>676065.95</v>
      </c>
      <c r="D10550" s="18">
        <v>2743964.91</v>
      </c>
      <c r="E10550" s="18">
        <v>396.76</v>
      </c>
      <c r="F10550" s="18">
        <v>41820.550000000003</v>
      </c>
      <c r="G10550" s="18">
        <v>105634</v>
      </c>
      <c r="H10550" s="18">
        <f t="shared" si="239"/>
        <v>41797.550000000003</v>
      </c>
      <c r="I10550" s="3"/>
    </row>
    <row r="10551" spans="1:9" s="4" customFormat="1" ht="21" customHeight="1" x14ac:dyDescent="0.55000000000000004">
      <c r="A10551" s="18">
        <v>24.798736699999999</v>
      </c>
      <c r="B10551" s="18">
        <v>34.742642699999998</v>
      </c>
      <c r="C10551" s="18">
        <v>676152.67</v>
      </c>
      <c r="D10551" s="18">
        <v>2743786.27</v>
      </c>
      <c r="E10551" s="18">
        <v>400.03</v>
      </c>
      <c r="F10551" s="18">
        <v>41887.129999999997</v>
      </c>
      <c r="G10551" s="18">
        <v>105822</v>
      </c>
      <c r="H10551" s="18">
        <f t="shared" si="239"/>
        <v>41864.129999999997</v>
      </c>
      <c r="I10551" s="3"/>
    </row>
    <row r="10552" spans="1:9" s="4" customFormat="1" ht="21" customHeight="1" x14ac:dyDescent="0.55000000000000004">
      <c r="A10552" s="18">
        <v>24.798736399999999</v>
      </c>
      <c r="B10552" s="18">
        <v>34.742644499999997</v>
      </c>
      <c r="C10552" s="18">
        <v>676152.85</v>
      </c>
      <c r="D10552" s="18">
        <v>2743786.23</v>
      </c>
      <c r="E10552" s="18">
        <v>399.95</v>
      </c>
      <c r="F10552" s="18">
        <v>41886.129999999997</v>
      </c>
      <c r="G10552" s="18">
        <v>105834</v>
      </c>
      <c r="H10552" s="18">
        <f t="shared" si="239"/>
        <v>41863.129999999997</v>
      </c>
      <c r="I10552" s="3"/>
    </row>
    <row r="10553" spans="1:9" s="4" customFormat="1" ht="21" customHeight="1" x14ac:dyDescent="0.55000000000000004">
      <c r="A10553" s="18">
        <v>24.797435199999999</v>
      </c>
      <c r="B10553" s="18">
        <v>34.741362299999999</v>
      </c>
      <c r="C10553" s="18">
        <v>676025.05</v>
      </c>
      <c r="D10553" s="18">
        <v>2743640.46</v>
      </c>
      <c r="E10553" s="18">
        <v>400.65</v>
      </c>
      <c r="F10553" s="18">
        <v>41817.699999999997</v>
      </c>
      <c r="G10553" s="18">
        <v>110016</v>
      </c>
      <c r="H10553" s="18">
        <f>SUM(F10553-18)</f>
        <v>41799.699999999997</v>
      </c>
      <c r="I10553" s="3"/>
    </row>
    <row r="10554" spans="1:9" s="4" customFormat="1" ht="21" customHeight="1" x14ac:dyDescent="0.55000000000000004">
      <c r="A10554" s="18">
        <v>24.7974368</v>
      </c>
      <c r="B10554" s="18">
        <v>34.741361400000002</v>
      </c>
      <c r="C10554" s="18">
        <v>676024.96</v>
      </c>
      <c r="D10554" s="18">
        <v>2743640.64</v>
      </c>
      <c r="E10554" s="18">
        <v>400.98</v>
      </c>
      <c r="F10554" s="18">
        <v>41818.589999999997</v>
      </c>
      <c r="G10554" s="18">
        <v>110025</v>
      </c>
      <c r="H10554" s="18">
        <f t="shared" ref="H10554:H10560" si="240">SUM(F10554-18)</f>
        <v>41800.589999999997</v>
      </c>
      <c r="I10554" s="3"/>
    </row>
    <row r="10555" spans="1:9" s="4" customFormat="1" ht="21" customHeight="1" x14ac:dyDescent="0.55000000000000004">
      <c r="A10555" s="18">
        <v>24.7969297</v>
      </c>
      <c r="B10555" s="18">
        <v>34.7394319</v>
      </c>
      <c r="C10555" s="18">
        <v>675830.59</v>
      </c>
      <c r="D10555" s="18">
        <v>2743581.98</v>
      </c>
      <c r="E10555" s="18">
        <v>403.07</v>
      </c>
      <c r="F10555" s="18">
        <v>41783.050000000003</v>
      </c>
      <c r="G10555" s="18">
        <v>110225</v>
      </c>
      <c r="H10555" s="18">
        <f t="shared" si="240"/>
        <v>41765.050000000003</v>
      </c>
      <c r="I10555" s="3"/>
    </row>
    <row r="10556" spans="1:9" s="4" customFormat="1" ht="21" customHeight="1" x14ac:dyDescent="0.55000000000000004">
      <c r="A10556" s="18">
        <v>24.796931499999999</v>
      </c>
      <c r="B10556" s="18">
        <v>34.739430499999997</v>
      </c>
      <c r="C10556" s="18">
        <v>675830.45</v>
      </c>
      <c r="D10556" s="18">
        <v>2743582.18</v>
      </c>
      <c r="E10556" s="18">
        <v>403.36</v>
      </c>
      <c r="F10556" s="18">
        <v>41781.440000000002</v>
      </c>
      <c r="G10556" s="18">
        <v>110234</v>
      </c>
      <c r="H10556" s="18">
        <f t="shared" si="240"/>
        <v>41763.440000000002</v>
      </c>
      <c r="I10556" s="3"/>
    </row>
    <row r="10557" spans="1:9" s="4" customFormat="1" ht="21" customHeight="1" x14ac:dyDescent="0.55000000000000004">
      <c r="A10557" s="18">
        <v>24.794450399999999</v>
      </c>
      <c r="B10557" s="18">
        <v>34.7376723</v>
      </c>
      <c r="C10557" s="18">
        <v>675656.18</v>
      </c>
      <c r="D10557" s="18">
        <v>2743305.12</v>
      </c>
      <c r="E10557" s="18">
        <v>406.91</v>
      </c>
      <c r="F10557" s="18">
        <v>41788.300000000003</v>
      </c>
      <c r="G10557" s="18">
        <v>110449</v>
      </c>
      <c r="H10557" s="18">
        <f t="shared" si="240"/>
        <v>41770.300000000003</v>
      </c>
      <c r="I10557" s="3"/>
    </row>
    <row r="10558" spans="1:9" s="4" customFormat="1" ht="21" customHeight="1" x14ac:dyDescent="0.55000000000000004">
      <c r="A10558" s="18">
        <v>24.794451800000001</v>
      </c>
      <c r="B10558" s="18">
        <v>34.737671800000001</v>
      </c>
      <c r="C10558" s="18">
        <v>675656.12</v>
      </c>
      <c r="D10558" s="18">
        <v>2743305.28</v>
      </c>
      <c r="E10558" s="18">
        <v>407.11</v>
      </c>
      <c r="F10558" s="18">
        <v>41790.26</v>
      </c>
      <c r="G10558" s="18">
        <v>110458</v>
      </c>
      <c r="H10558" s="18">
        <f t="shared" si="240"/>
        <v>41772.26</v>
      </c>
      <c r="I10558" s="3"/>
    </row>
    <row r="10559" spans="1:9" s="4" customFormat="1" ht="21" customHeight="1" x14ac:dyDescent="0.55000000000000004">
      <c r="A10559" s="18">
        <v>24.791915199999998</v>
      </c>
      <c r="B10559" s="18">
        <v>34.737086499999997</v>
      </c>
      <c r="C10559" s="18">
        <v>675600.52</v>
      </c>
      <c r="D10559" s="18">
        <v>2743023.58</v>
      </c>
      <c r="E10559" s="18">
        <v>413.37</v>
      </c>
      <c r="F10559" s="18">
        <v>41884.61</v>
      </c>
      <c r="G10559" s="18">
        <v>110722</v>
      </c>
      <c r="H10559" s="18">
        <f t="shared" si="240"/>
        <v>41866.61</v>
      </c>
      <c r="I10559" s="3"/>
    </row>
    <row r="10560" spans="1:9" s="4" customFormat="1" ht="21" customHeight="1" x14ac:dyDescent="0.55000000000000004">
      <c r="A10560" s="18">
        <v>24.7919163</v>
      </c>
      <c r="B10560" s="18">
        <v>34.737086300000001</v>
      </c>
      <c r="C10560" s="18">
        <v>675600.5</v>
      </c>
      <c r="D10560" s="18">
        <v>2743023.69</v>
      </c>
      <c r="E10560" s="18">
        <v>413.4</v>
      </c>
      <c r="F10560" s="18">
        <v>41884.81</v>
      </c>
      <c r="G10560" s="18">
        <v>110731</v>
      </c>
      <c r="H10560" s="18">
        <f t="shared" si="240"/>
        <v>41866.81</v>
      </c>
      <c r="I10560" s="3"/>
    </row>
    <row r="10561" spans="1:9" s="4" customFormat="1" ht="21" customHeight="1" x14ac:dyDescent="0.55000000000000004">
      <c r="A10561" s="18">
        <v>24.790109900000001</v>
      </c>
      <c r="B10561" s="18">
        <v>34.738093599999999</v>
      </c>
      <c r="C10561" s="18">
        <v>675704.9</v>
      </c>
      <c r="D10561" s="18">
        <v>2742824.92</v>
      </c>
      <c r="E10561" s="18">
        <v>419.38</v>
      </c>
      <c r="F10561" s="18">
        <v>41884.04</v>
      </c>
      <c r="G10561" s="18">
        <v>110922</v>
      </c>
      <c r="H10561" s="18">
        <f>SUM(F10561-15)</f>
        <v>41869.040000000001</v>
      </c>
      <c r="I10561" s="3"/>
    </row>
    <row r="10562" spans="1:9" s="4" customFormat="1" ht="21" customHeight="1" x14ac:dyDescent="0.55000000000000004">
      <c r="A10562" s="18">
        <v>24.790110500000001</v>
      </c>
      <c r="B10562" s="18">
        <v>34.738093200000002</v>
      </c>
      <c r="C10562" s="18">
        <v>675704.85</v>
      </c>
      <c r="D10562" s="18">
        <v>2742824.98</v>
      </c>
      <c r="E10562" s="18">
        <v>419.38</v>
      </c>
      <c r="F10562" s="18">
        <v>41883.53</v>
      </c>
      <c r="G10562" s="18">
        <v>110934</v>
      </c>
      <c r="H10562" s="18">
        <f t="shared" ref="H10562:H10568" si="241">SUM(F10562-15)</f>
        <v>41868.53</v>
      </c>
      <c r="I10562" s="3"/>
    </row>
    <row r="10563" spans="1:9" s="4" customFormat="1" ht="21" customHeight="1" x14ac:dyDescent="0.55000000000000004">
      <c r="A10563" s="18">
        <v>24.7874163</v>
      </c>
      <c r="B10563" s="18">
        <v>34.739054299999999</v>
      </c>
      <c r="C10563" s="18">
        <v>675805.83</v>
      </c>
      <c r="D10563" s="18">
        <v>2742527.81</v>
      </c>
      <c r="E10563" s="18">
        <v>419.55</v>
      </c>
      <c r="F10563" s="18">
        <v>41827.69</v>
      </c>
      <c r="G10563" s="18">
        <v>111149</v>
      </c>
      <c r="H10563" s="18">
        <f t="shared" si="241"/>
        <v>41812.69</v>
      </c>
      <c r="I10563" s="3"/>
    </row>
    <row r="10564" spans="1:9" s="4" customFormat="1" ht="21" customHeight="1" x14ac:dyDescent="0.55000000000000004">
      <c r="A10564" s="18">
        <v>24.787416199999999</v>
      </c>
      <c r="B10564" s="18">
        <v>34.739054099999997</v>
      </c>
      <c r="C10564" s="18">
        <v>675805.81</v>
      </c>
      <c r="D10564" s="18">
        <v>2742527.8</v>
      </c>
      <c r="E10564" s="18">
        <v>419.26</v>
      </c>
      <c r="F10564" s="18">
        <v>41828.33</v>
      </c>
      <c r="G10564" s="18">
        <v>111201</v>
      </c>
      <c r="H10564" s="18">
        <f t="shared" si="241"/>
        <v>41813.33</v>
      </c>
      <c r="I10564" s="3"/>
    </row>
    <row r="10565" spans="1:9" s="4" customFormat="1" ht="21" customHeight="1" x14ac:dyDescent="0.55000000000000004">
      <c r="A10565" s="18">
        <v>24.7852517</v>
      </c>
      <c r="B10565" s="18">
        <v>34.739879899999998</v>
      </c>
      <c r="C10565" s="18">
        <v>675892.36</v>
      </c>
      <c r="D10565" s="18">
        <v>2742289.12</v>
      </c>
      <c r="E10565" s="18">
        <v>423.47</v>
      </c>
      <c r="F10565" s="18">
        <v>41874.959999999999</v>
      </c>
      <c r="G10565" s="18">
        <v>111334</v>
      </c>
      <c r="H10565" s="18">
        <f t="shared" si="241"/>
        <v>41859.96</v>
      </c>
      <c r="I10565" s="3"/>
    </row>
    <row r="10566" spans="1:9" s="4" customFormat="1" ht="21" customHeight="1" x14ac:dyDescent="0.55000000000000004">
      <c r="A10566" s="18">
        <v>24.785251800000001</v>
      </c>
      <c r="B10566" s="18">
        <v>34.7398794</v>
      </c>
      <c r="C10566" s="18">
        <v>675892.31</v>
      </c>
      <c r="D10566" s="18">
        <v>2742289.14</v>
      </c>
      <c r="E10566" s="18">
        <v>423.68</v>
      </c>
      <c r="F10566" s="18">
        <v>41876.03</v>
      </c>
      <c r="G10566" s="18">
        <v>111343</v>
      </c>
      <c r="H10566" s="18">
        <f t="shared" si="241"/>
        <v>41861.03</v>
      </c>
      <c r="I10566" s="3"/>
    </row>
    <row r="10567" spans="1:9" s="4" customFormat="1" ht="21" customHeight="1" x14ac:dyDescent="0.55000000000000004">
      <c r="A10567" s="18">
        <v>24.783262199999999</v>
      </c>
      <c r="B10567" s="18">
        <v>34.740750800000001</v>
      </c>
      <c r="C10567" s="18">
        <v>675983.23</v>
      </c>
      <c r="D10567" s="18">
        <v>2742069.89</v>
      </c>
      <c r="E10567" s="18">
        <v>425.39</v>
      </c>
      <c r="F10567" s="18">
        <v>41865.120000000003</v>
      </c>
      <c r="G10567" s="18">
        <v>111513</v>
      </c>
      <c r="H10567" s="18">
        <f t="shared" si="241"/>
        <v>41850.120000000003</v>
      </c>
      <c r="I10567" s="3"/>
    </row>
    <row r="10568" spans="1:9" s="4" customFormat="1" ht="21" customHeight="1" x14ac:dyDescent="0.55000000000000004">
      <c r="A10568" s="18">
        <v>24.783261</v>
      </c>
      <c r="B10568" s="18">
        <v>34.740752299999997</v>
      </c>
      <c r="C10568" s="18">
        <v>675983.38</v>
      </c>
      <c r="D10568" s="18">
        <v>2742069.76</v>
      </c>
      <c r="E10568" s="18">
        <v>425.29</v>
      </c>
      <c r="F10568" s="18">
        <v>41864.78</v>
      </c>
      <c r="G10568" s="18">
        <v>111522</v>
      </c>
      <c r="H10568" s="18">
        <f t="shared" si="241"/>
        <v>41849.78</v>
      </c>
      <c r="I10568" s="3"/>
    </row>
    <row r="10569" spans="1:9" s="4" customFormat="1" ht="21" customHeight="1" x14ac:dyDescent="0.55000000000000004">
      <c r="A10569" s="18">
        <v>24.781273899999999</v>
      </c>
      <c r="B10569" s="18">
        <v>34.7416798</v>
      </c>
      <c r="C10569" s="18">
        <v>676079.98</v>
      </c>
      <c r="D10569" s="18">
        <v>2741850.86</v>
      </c>
      <c r="E10569" s="18">
        <v>428.09</v>
      </c>
      <c r="F10569" s="18">
        <v>41860.239999999998</v>
      </c>
      <c r="G10569" s="18">
        <v>111701</v>
      </c>
      <c r="H10569" s="18">
        <f>SUM(F10569-13)</f>
        <v>41847.24</v>
      </c>
      <c r="I10569" s="3"/>
    </row>
    <row r="10570" spans="1:9" s="4" customFormat="1" ht="21" customHeight="1" x14ac:dyDescent="0.55000000000000004">
      <c r="A10570" s="18">
        <v>24.7812749</v>
      </c>
      <c r="B10570" s="18">
        <v>34.741677099999997</v>
      </c>
      <c r="C10570" s="18">
        <v>676079.7</v>
      </c>
      <c r="D10570" s="18">
        <v>2741850.97</v>
      </c>
      <c r="E10570" s="18">
        <v>428.46</v>
      </c>
      <c r="F10570" s="18">
        <v>41859.230000000003</v>
      </c>
      <c r="G10570" s="18">
        <v>111710</v>
      </c>
      <c r="H10570" s="18">
        <f t="shared" ref="H10570:H10578" si="242">SUM(F10570-13)</f>
        <v>41846.230000000003</v>
      </c>
      <c r="I10570" s="3"/>
    </row>
    <row r="10571" spans="1:9" s="4" customFormat="1" ht="21" customHeight="1" x14ac:dyDescent="0.55000000000000004">
      <c r="A10571" s="18">
        <v>24.779261900000002</v>
      </c>
      <c r="B10571" s="18">
        <v>34.743103300000001</v>
      </c>
      <c r="C10571" s="18">
        <v>676226.76</v>
      </c>
      <c r="D10571" s="18">
        <v>2741629.86</v>
      </c>
      <c r="E10571" s="18">
        <v>433.33</v>
      </c>
      <c r="F10571" s="18">
        <v>41796.79</v>
      </c>
      <c r="G10571" s="18">
        <v>111904</v>
      </c>
      <c r="H10571" s="18">
        <f t="shared" si="242"/>
        <v>41783.79</v>
      </c>
      <c r="I10571" s="3"/>
    </row>
    <row r="10572" spans="1:9" s="4" customFormat="1" ht="21" customHeight="1" x14ac:dyDescent="0.55000000000000004">
      <c r="A10572" s="18">
        <v>24.779263400000001</v>
      </c>
      <c r="B10572" s="18">
        <v>34.743102</v>
      </c>
      <c r="C10572" s="18">
        <v>676226.62</v>
      </c>
      <c r="D10572" s="18">
        <v>2741630.02</v>
      </c>
      <c r="E10572" s="18">
        <v>433.6</v>
      </c>
      <c r="F10572" s="18">
        <v>41796.080000000002</v>
      </c>
      <c r="G10572" s="18">
        <v>111913</v>
      </c>
      <c r="H10572" s="18">
        <f t="shared" si="242"/>
        <v>41783.08</v>
      </c>
      <c r="I10572" s="3"/>
    </row>
    <row r="10573" spans="1:9" s="4" customFormat="1" ht="21" customHeight="1" x14ac:dyDescent="0.55000000000000004">
      <c r="A10573" s="18">
        <v>24.777191500000001</v>
      </c>
      <c r="B10573" s="18">
        <v>34.744683500000001</v>
      </c>
      <c r="C10573" s="18">
        <v>676389.48</v>
      </c>
      <c r="D10573" s="18">
        <v>2741402.59</v>
      </c>
      <c r="E10573" s="18">
        <v>440.11</v>
      </c>
      <c r="F10573" s="18">
        <v>41753.440000000002</v>
      </c>
      <c r="G10573" s="18">
        <v>112058</v>
      </c>
      <c r="H10573" s="18">
        <f t="shared" si="242"/>
        <v>41740.44</v>
      </c>
      <c r="I10573" s="3"/>
    </row>
    <row r="10574" spans="1:9" s="4" customFormat="1" ht="21" customHeight="1" x14ac:dyDescent="0.55000000000000004">
      <c r="A10574" s="18">
        <v>24.777191800000001</v>
      </c>
      <c r="B10574" s="18">
        <v>34.7446834</v>
      </c>
      <c r="C10574" s="18">
        <v>676389.47</v>
      </c>
      <c r="D10574" s="18">
        <v>2741402.62</v>
      </c>
      <c r="E10574" s="18">
        <v>440.32</v>
      </c>
      <c r="F10574" s="18">
        <v>41753.230000000003</v>
      </c>
      <c r="G10574" s="18">
        <v>112107</v>
      </c>
      <c r="H10574" s="18">
        <f t="shared" si="242"/>
        <v>41740.230000000003</v>
      </c>
      <c r="I10574" s="3"/>
    </row>
    <row r="10575" spans="1:9" s="4" customFormat="1" ht="21" customHeight="1" x14ac:dyDescent="0.55000000000000004">
      <c r="A10575" s="18">
        <v>24.775412800000002</v>
      </c>
      <c r="B10575" s="18">
        <v>34.746445199999997</v>
      </c>
      <c r="C10575" s="18">
        <v>676570.14</v>
      </c>
      <c r="D10575" s="18">
        <v>2741207.85</v>
      </c>
      <c r="E10575" s="18">
        <v>445.44</v>
      </c>
      <c r="F10575" s="18">
        <v>41774.1</v>
      </c>
      <c r="G10575" s="18">
        <v>112346</v>
      </c>
      <c r="H10575" s="18">
        <f t="shared" si="242"/>
        <v>41761.1</v>
      </c>
      <c r="I10575" s="3"/>
    </row>
    <row r="10576" spans="1:9" s="4" customFormat="1" ht="21" customHeight="1" x14ac:dyDescent="0.55000000000000004">
      <c r="A10576" s="18">
        <v>24.7754142</v>
      </c>
      <c r="B10576" s="18">
        <v>34.746445100000003</v>
      </c>
      <c r="C10576" s="18">
        <v>676570.13</v>
      </c>
      <c r="D10576" s="18">
        <v>2741208</v>
      </c>
      <c r="E10576" s="18">
        <v>445.21</v>
      </c>
      <c r="F10576" s="18">
        <v>41774.230000000003</v>
      </c>
      <c r="G10576" s="18">
        <v>112401</v>
      </c>
      <c r="H10576" s="18">
        <f t="shared" si="242"/>
        <v>41761.230000000003</v>
      </c>
      <c r="I10576" s="3"/>
    </row>
    <row r="10577" spans="1:9" s="4" customFormat="1" ht="21" customHeight="1" x14ac:dyDescent="0.55000000000000004">
      <c r="A10577" s="18">
        <v>24.773708800000001</v>
      </c>
      <c r="B10577" s="18">
        <v>34.747594700000001</v>
      </c>
      <c r="C10577" s="18">
        <v>676688.8</v>
      </c>
      <c r="D10577" s="18">
        <v>2741020.6</v>
      </c>
      <c r="E10577" s="18">
        <v>450.19</v>
      </c>
      <c r="F10577" s="18">
        <v>41783.339999999997</v>
      </c>
      <c r="G10577" s="18">
        <v>113037</v>
      </c>
      <c r="H10577" s="18">
        <f t="shared" si="242"/>
        <v>41770.339999999997</v>
      </c>
      <c r="I10577" s="3"/>
    </row>
    <row r="10578" spans="1:9" s="4" customFormat="1" ht="21" customHeight="1" x14ac:dyDescent="0.55000000000000004">
      <c r="A10578" s="18">
        <v>24.773708800000001</v>
      </c>
      <c r="B10578" s="18">
        <v>34.747593899999998</v>
      </c>
      <c r="C10578" s="18">
        <v>676688.71</v>
      </c>
      <c r="D10578" s="18">
        <v>2741020.6</v>
      </c>
      <c r="E10578" s="18">
        <v>450.24</v>
      </c>
      <c r="F10578" s="18">
        <v>41783.89</v>
      </c>
      <c r="G10578" s="18">
        <v>113046</v>
      </c>
      <c r="H10578" s="18">
        <f t="shared" si="242"/>
        <v>41770.89</v>
      </c>
      <c r="I10578" s="3"/>
    </row>
    <row r="10579" spans="1:9" s="4" customFormat="1" ht="21" customHeight="1" x14ac:dyDescent="0.55000000000000004">
      <c r="A10579" s="18">
        <v>24.772233100000001</v>
      </c>
      <c r="B10579" s="18">
        <v>34.748715300000001</v>
      </c>
      <c r="C10579" s="18">
        <v>676804.21</v>
      </c>
      <c r="D10579" s="18">
        <v>2740858.6</v>
      </c>
      <c r="E10579" s="18">
        <v>457.58</v>
      </c>
      <c r="F10579" s="18">
        <v>41780.620000000003</v>
      </c>
      <c r="G10579" s="18">
        <v>113231</v>
      </c>
      <c r="H10579" s="18">
        <f>SUM(F10579-14)</f>
        <v>41766.620000000003</v>
      </c>
      <c r="I10579" s="3"/>
    </row>
    <row r="10580" spans="1:9" s="4" customFormat="1" ht="21" customHeight="1" x14ac:dyDescent="0.55000000000000004">
      <c r="A10580" s="18">
        <v>24.7722336</v>
      </c>
      <c r="B10580" s="18">
        <v>34.748714900000003</v>
      </c>
      <c r="C10580" s="18">
        <v>676804.16</v>
      </c>
      <c r="D10580" s="18">
        <v>2740858.66</v>
      </c>
      <c r="E10580" s="18">
        <v>457.54</v>
      </c>
      <c r="F10580" s="18">
        <v>41780.379999999997</v>
      </c>
      <c r="G10580" s="18">
        <v>113240</v>
      </c>
      <c r="H10580" s="18">
        <f t="shared" ref="H10580:H10592" si="243">SUM(F10580-14)</f>
        <v>41766.379999999997</v>
      </c>
      <c r="I10580" s="3"/>
    </row>
    <row r="10581" spans="1:9" s="4" customFormat="1" ht="21" customHeight="1" x14ac:dyDescent="0.55000000000000004">
      <c r="A10581" s="18">
        <v>24.770719</v>
      </c>
      <c r="B10581" s="18">
        <v>34.749753400000003</v>
      </c>
      <c r="C10581" s="18">
        <v>676911.33</v>
      </c>
      <c r="D10581" s="18">
        <v>2740692.24</v>
      </c>
      <c r="E10581" s="18">
        <v>466.98</v>
      </c>
      <c r="F10581" s="18">
        <v>41751.760000000002</v>
      </c>
      <c r="G10581" s="18">
        <v>113434</v>
      </c>
      <c r="H10581" s="18">
        <f t="shared" si="243"/>
        <v>41737.760000000002</v>
      </c>
      <c r="I10581" s="3"/>
    </row>
    <row r="10582" spans="1:9" s="4" customFormat="1" ht="21" customHeight="1" x14ac:dyDescent="0.55000000000000004">
      <c r="A10582" s="18">
        <v>24.770719499999998</v>
      </c>
      <c r="B10582" s="18">
        <v>34.749752100000002</v>
      </c>
      <c r="C10582" s="18">
        <v>676911.19</v>
      </c>
      <c r="D10582" s="18">
        <v>2740692.3</v>
      </c>
      <c r="E10582" s="18">
        <v>467.3</v>
      </c>
      <c r="F10582" s="18">
        <v>41751.29</v>
      </c>
      <c r="G10582" s="18">
        <v>113443</v>
      </c>
      <c r="H10582" s="18">
        <f t="shared" si="243"/>
        <v>41737.29</v>
      </c>
      <c r="I10582" s="3"/>
    </row>
    <row r="10583" spans="1:9" s="4" customFormat="1" ht="21" customHeight="1" x14ac:dyDescent="0.55000000000000004">
      <c r="A10583" s="18">
        <v>24.768965999999999</v>
      </c>
      <c r="B10583" s="18">
        <v>34.750537000000001</v>
      </c>
      <c r="C10583" s="18">
        <v>676993.06</v>
      </c>
      <c r="D10583" s="18">
        <v>2740499.1</v>
      </c>
      <c r="E10583" s="18">
        <v>463.47</v>
      </c>
      <c r="F10583" s="18">
        <v>41778.5</v>
      </c>
      <c r="G10583" s="18">
        <v>113701</v>
      </c>
      <c r="H10583" s="18">
        <f t="shared" si="243"/>
        <v>41764.5</v>
      </c>
      <c r="I10583" s="3"/>
    </row>
    <row r="10584" spans="1:9" s="4" customFormat="1" ht="21" customHeight="1" x14ac:dyDescent="0.55000000000000004">
      <c r="A10584" s="18">
        <v>24.768965999999999</v>
      </c>
      <c r="B10584" s="18">
        <v>34.750538800000001</v>
      </c>
      <c r="C10584" s="18">
        <v>676993.24</v>
      </c>
      <c r="D10584" s="18">
        <v>2740499.11</v>
      </c>
      <c r="E10584" s="18">
        <v>462.6</v>
      </c>
      <c r="F10584" s="18">
        <v>41783.46</v>
      </c>
      <c r="G10584" s="18">
        <v>113710</v>
      </c>
      <c r="H10584" s="18">
        <f t="shared" si="243"/>
        <v>41769.46</v>
      </c>
      <c r="I10584" s="3"/>
    </row>
    <row r="10585" spans="1:9" s="4" customFormat="1" ht="21" customHeight="1" x14ac:dyDescent="0.55000000000000004">
      <c r="A10585" s="18">
        <v>24.767216300000001</v>
      </c>
      <c r="B10585" s="18">
        <v>34.750668900000001</v>
      </c>
      <c r="C10585" s="18">
        <v>677008.88</v>
      </c>
      <c r="D10585" s="18">
        <v>2740305.48</v>
      </c>
      <c r="E10585" s="18">
        <v>450.51</v>
      </c>
      <c r="F10585" s="18">
        <v>41783.79</v>
      </c>
      <c r="G10585" s="18">
        <v>113913</v>
      </c>
      <c r="H10585" s="18">
        <f t="shared" si="243"/>
        <v>41769.79</v>
      </c>
      <c r="I10585" s="3"/>
    </row>
    <row r="10586" spans="1:9" s="4" customFormat="1" ht="21" customHeight="1" x14ac:dyDescent="0.55000000000000004">
      <c r="A10586" s="18">
        <v>24.7672156</v>
      </c>
      <c r="B10586" s="18">
        <v>34.750668699999999</v>
      </c>
      <c r="C10586" s="18">
        <v>677008.86</v>
      </c>
      <c r="D10586" s="18">
        <v>2740305.39</v>
      </c>
      <c r="E10586" s="18">
        <v>450.52</v>
      </c>
      <c r="F10586" s="18">
        <v>41783.89</v>
      </c>
      <c r="G10586" s="18">
        <v>113922</v>
      </c>
      <c r="H10586" s="18">
        <f t="shared" si="243"/>
        <v>41769.89</v>
      </c>
      <c r="I10586" s="3"/>
    </row>
    <row r="10587" spans="1:9" s="4" customFormat="1" ht="21" customHeight="1" x14ac:dyDescent="0.55000000000000004">
      <c r="A10587" s="18">
        <v>24.765557099999999</v>
      </c>
      <c r="B10587" s="18">
        <v>34.751358699999997</v>
      </c>
      <c r="C10587" s="18">
        <v>677080.99</v>
      </c>
      <c r="D10587" s="18">
        <v>2740122.6</v>
      </c>
      <c r="E10587" s="18">
        <v>441.17</v>
      </c>
      <c r="F10587" s="18">
        <v>41783.83</v>
      </c>
      <c r="G10587" s="18">
        <v>114101</v>
      </c>
      <c r="H10587" s="18">
        <f t="shared" si="243"/>
        <v>41769.83</v>
      </c>
      <c r="I10587" s="3"/>
    </row>
    <row r="10588" spans="1:9" s="4" customFormat="1" ht="21" customHeight="1" x14ac:dyDescent="0.55000000000000004">
      <c r="A10588" s="18">
        <v>24.765558500000001</v>
      </c>
      <c r="B10588" s="18">
        <v>34.7513595</v>
      </c>
      <c r="C10588" s="18">
        <v>677081.07</v>
      </c>
      <c r="D10588" s="18">
        <v>2740122.75</v>
      </c>
      <c r="E10588" s="18">
        <v>441.05</v>
      </c>
      <c r="F10588" s="18">
        <v>41783.31</v>
      </c>
      <c r="G10588" s="18">
        <v>114110</v>
      </c>
      <c r="H10588" s="18">
        <f t="shared" si="243"/>
        <v>41769.31</v>
      </c>
      <c r="I10588" s="3"/>
    </row>
    <row r="10589" spans="1:9" s="4" customFormat="1" ht="21" customHeight="1" x14ac:dyDescent="0.55000000000000004">
      <c r="A10589" s="18">
        <v>24.763853999999998</v>
      </c>
      <c r="B10589" s="18">
        <v>34.752213099999999</v>
      </c>
      <c r="C10589" s="18">
        <v>677169.82</v>
      </c>
      <c r="D10589" s="18">
        <v>2739935.07</v>
      </c>
      <c r="E10589" s="18">
        <v>433.83</v>
      </c>
      <c r="F10589" s="18">
        <v>41801.07</v>
      </c>
      <c r="G10589" s="18">
        <v>114310</v>
      </c>
      <c r="H10589" s="18">
        <f t="shared" si="243"/>
        <v>41787.07</v>
      </c>
      <c r="I10589" s="3"/>
    </row>
    <row r="10590" spans="1:9" s="4" customFormat="1" ht="21" customHeight="1" x14ac:dyDescent="0.55000000000000004">
      <c r="A10590" s="18">
        <v>24.763851599999999</v>
      </c>
      <c r="B10590" s="18">
        <v>34.752215399999997</v>
      </c>
      <c r="C10590" s="18">
        <v>677170.06</v>
      </c>
      <c r="D10590" s="18">
        <v>2739934.81</v>
      </c>
      <c r="E10590" s="18">
        <v>433.88</v>
      </c>
      <c r="F10590" s="18">
        <v>41801.56</v>
      </c>
      <c r="G10590" s="18">
        <v>114319</v>
      </c>
      <c r="H10590" s="18">
        <f t="shared" si="243"/>
        <v>41787.56</v>
      </c>
      <c r="I10590" s="3"/>
    </row>
    <row r="10591" spans="1:9" s="4" customFormat="1" ht="21" customHeight="1" x14ac:dyDescent="0.55000000000000004">
      <c r="A10591" s="18">
        <v>24.762187900000001</v>
      </c>
      <c r="B10591" s="18">
        <v>34.753264199999997</v>
      </c>
      <c r="C10591" s="18">
        <v>677278.48</v>
      </c>
      <c r="D10591" s="18">
        <v>2739751.9</v>
      </c>
      <c r="E10591" s="18">
        <v>429.62</v>
      </c>
      <c r="F10591" s="18">
        <v>41817.24</v>
      </c>
      <c r="G10591" s="18">
        <v>114501</v>
      </c>
      <c r="H10591" s="18">
        <f t="shared" si="243"/>
        <v>41803.24</v>
      </c>
      <c r="I10591" s="3"/>
    </row>
    <row r="10592" spans="1:9" s="4" customFormat="1" ht="21" customHeight="1" x14ac:dyDescent="0.55000000000000004">
      <c r="A10592" s="18">
        <v>24.762188200000001</v>
      </c>
      <c r="B10592" s="18">
        <v>34.753263199999999</v>
      </c>
      <c r="C10592" s="18">
        <v>677278.38</v>
      </c>
      <c r="D10592" s="18">
        <v>2739751.93</v>
      </c>
      <c r="E10592" s="18">
        <v>429.82</v>
      </c>
      <c r="F10592" s="18">
        <v>41817.94</v>
      </c>
      <c r="G10592" s="18">
        <v>114510</v>
      </c>
      <c r="H10592" s="18">
        <f t="shared" si="243"/>
        <v>41803.94</v>
      </c>
      <c r="I10592" s="3"/>
    </row>
    <row r="10593" spans="1:9" s="4" customFormat="1" ht="21" customHeight="1" x14ac:dyDescent="0.55000000000000004">
      <c r="A10593" s="18">
        <v>24.7610803</v>
      </c>
      <c r="B10593" s="18">
        <v>34.753020499999998</v>
      </c>
      <c r="C10593" s="18">
        <v>677255.41</v>
      </c>
      <c r="D10593" s="18">
        <v>2739628.91</v>
      </c>
      <c r="E10593" s="18">
        <v>424.42</v>
      </c>
      <c r="F10593" s="18">
        <v>41811.86</v>
      </c>
      <c r="G10593" s="18">
        <v>114646</v>
      </c>
      <c r="H10593" s="18">
        <f>SUM(F10593-18)</f>
        <v>41793.86</v>
      </c>
      <c r="I10593" s="3"/>
    </row>
    <row r="10594" spans="1:9" s="4" customFormat="1" ht="21" customHeight="1" x14ac:dyDescent="0.55000000000000004">
      <c r="A10594" s="18">
        <v>24.761079299999999</v>
      </c>
      <c r="B10594" s="18">
        <v>34.7530213</v>
      </c>
      <c r="C10594" s="18">
        <v>677255.5</v>
      </c>
      <c r="D10594" s="18">
        <v>2739628.8</v>
      </c>
      <c r="E10594" s="18">
        <v>424.48</v>
      </c>
      <c r="F10594" s="18">
        <v>41811.629999999997</v>
      </c>
      <c r="G10594" s="18">
        <v>114655</v>
      </c>
      <c r="H10594" s="18">
        <f t="shared" ref="H10594:H10606" si="244">SUM(F10594-18)</f>
        <v>41793.629999999997</v>
      </c>
      <c r="I10594" s="3"/>
    </row>
    <row r="10595" spans="1:9" s="4" customFormat="1" ht="21" customHeight="1" x14ac:dyDescent="0.55000000000000004">
      <c r="A10595" s="18">
        <v>24.759481099999999</v>
      </c>
      <c r="B10595" s="18">
        <v>34.752390200000001</v>
      </c>
      <c r="C10595" s="18">
        <v>677193.94</v>
      </c>
      <c r="D10595" s="18">
        <v>2739450.97</v>
      </c>
      <c r="E10595" s="18">
        <v>416.87</v>
      </c>
      <c r="F10595" s="18">
        <v>41822.32</v>
      </c>
      <c r="G10595" s="18">
        <v>114825</v>
      </c>
      <c r="H10595" s="18">
        <f t="shared" si="244"/>
        <v>41804.32</v>
      </c>
      <c r="I10595" s="3"/>
    </row>
    <row r="10596" spans="1:9" s="4" customFormat="1" ht="21" customHeight="1" x14ac:dyDescent="0.55000000000000004">
      <c r="A10596" s="18">
        <v>24.759481600000001</v>
      </c>
      <c r="B10596" s="18">
        <v>34.752390400000003</v>
      </c>
      <c r="C10596" s="18">
        <v>677193.96</v>
      </c>
      <c r="D10596" s="18">
        <v>2739451.02</v>
      </c>
      <c r="E10596" s="18">
        <v>416.72</v>
      </c>
      <c r="F10596" s="18">
        <v>41822.239999999998</v>
      </c>
      <c r="G10596" s="18">
        <v>114834</v>
      </c>
      <c r="H10596" s="18">
        <f t="shared" si="244"/>
        <v>41804.239999999998</v>
      </c>
      <c r="I10596" s="3"/>
    </row>
    <row r="10597" spans="1:9" s="4" customFormat="1" ht="21" customHeight="1" x14ac:dyDescent="0.55000000000000004">
      <c r="A10597" s="18">
        <v>24.757926300000001</v>
      </c>
      <c r="B10597" s="18">
        <v>34.752936599999998</v>
      </c>
      <c r="C10597" s="18">
        <v>677251.4</v>
      </c>
      <c r="D10597" s="18">
        <v>2739279.46</v>
      </c>
      <c r="E10597" s="18">
        <v>411.64</v>
      </c>
      <c r="F10597" s="18">
        <v>41838.21</v>
      </c>
      <c r="G10597" s="18">
        <v>115010</v>
      </c>
      <c r="H10597" s="18">
        <f t="shared" si="244"/>
        <v>41820.21</v>
      </c>
      <c r="I10597" s="3"/>
    </row>
    <row r="10598" spans="1:9" s="4" customFormat="1" ht="21" customHeight="1" x14ac:dyDescent="0.55000000000000004">
      <c r="A10598" s="18">
        <v>24.757924800000001</v>
      </c>
      <c r="B10598" s="18">
        <v>34.752936400000003</v>
      </c>
      <c r="C10598" s="18">
        <v>677251.38</v>
      </c>
      <c r="D10598" s="18">
        <v>2739279.3</v>
      </c>
      <c r="E10598" s="18">
        <v>411.77</v>
      </c>
      <c r="F10598" s="18">
        <v>41840.31</v>
      </c>
      <c r="G10598" s="18">
        <v>115019</v>
      </c>
      <c r="H10598" s="18">
        <f t="shared" si="244"/>
        <v>41822.31</v>
      </c>
      <c r="I10598" s="3"/>
    </row>
    <row r="10599" spans="1:9" s="4" customFormat="1" ht="21" customHeight="1" x14ac:dyDescent="0.55000000000000004">
      <c r="A10599" s="18">
        <v>24.756120899999999</v>
      </c>
      <c r="B10599" s="18">
        <v>34.753642399999997</v>
      </c>
      <c r="C10599" s="18">
        <v>677325.35</v>
      </c>
      <c r="D10599" s="18">
        <v>2739080.42</v>
      </c>
      <c r="E10599" s="18">
        <v>405.37</v>
      </c>
      <c r="F10599" s="18">
        <v>41938.370000000003</v>
      </c>
      <c r="G10599" s="18">
        <v>115201</v>
      </c>
      <c r="H10599" s="18">
        <f t="shared" si="244"/>
        <v>41920.370000000003</v>
      </c>
      <c r="I10599" s="3"/>
    </row>
    <row r="10600" spans="1:9" s="4" customFormat="1" ht="21" customHeight="1" x14ac:dyDescent="0.55000000000000004">
      <c r="A10600" s="18">
        <v>24.756122699999999</v>
      </c>
      <c r="B10600" s="18">
        <v>34.753643099999998</v>
      </c>
      <c r="C10600" s="18">
        <v>677325.42</v>
      </c>
      <c r="D10600" s="18">
        <v>2739080.61</v>
      </c>
      <c r="E10600" s="18">
        <v>407.01</v>
      </c>
      <c r="F10600" s="18">
        <v>41935.83</v>
      </c>
      <c r="G10600" s="18">
        <v>115210</v>
      </c>
      <c r="H10600" s="18">
        <f t="shared" si="244"/>
        <v>41917.83</v>
      </c>
      <c r="I10600" s="3"/>
    </row>
    <row r="10601" spans="1:9" s="4" customFormat="1" ht="21" customHeight="1" x14ac:dyDescent="0.55000000000000004">
      <c r="A10601" s="18">
        <v>24.754241700000001</v>
      </c>
      <c r="B10601" s="18">
        <v>34.7537497</v>
      </c>
      <c r="C10601" s="18">
        <v>677338.87</v>
      </c>
      <c r="D10601" s="18">
        <v>2738872.42</v>
      </c>
      <c r="E10601" s="18">
        <v>406.54</v>
      </c>
      <c r="F10601" s="18">
        <v>41901.629999999997</v>
      </c>
      <c r="G10601" s="18">
        <v>115401</v>
      </c>
      <c r="H10601" s="18">
        <f t="shared" si="244"/>
        <v>41883.629999999997</v>
      </c>
      <c r="I10601" s="3"/>
    </row>
    <row r="10602" spans="1:9" s="4" customFormat="1" ht="21" customHeight="1" x14ac:dyDescent="0.55000000000000004">
      <c r="A10602" s="18">
        <v>24.754237499999999</v>
      </c>
      <c r="B10602" s="18">
        <v>34.753749200000001</v>
      </c>
      <c r="C10602" s="18">
        <v>677338.82</v>
      </c>
      <c r="D10602" s="18">
        <v>2738871.95</v>
      </c>
      <c r="E10602" s="18">
        <v>406.55</v>
      </c>
      <c r="F10602" s="18">
        <v>41899.71</v>
      </c>
      <c r="G10602" s="18">
        <v>115410</v>
      </c>
      <c r="H10602" s="18">
        <f t="shared" si="244"/>
        <v>41881.71</v>
      </c>
      <c r="I10602" s="3"/>
    </row>
    <row r="10603" spans="1:9" s="4" customFormat="1" ht="21" customHeight="1" x14ac:dyDescent="0.55000000000000004">
      <c r="A10603" s="18">
        <v>24.752550800000002</v>
      </c>
      <c r="B10603" s="18">
        <v>34.7546344</v>
      </c>
      <c r="C10603" s="18">
        <v>677430.75</v>
      </c>
      <c r="D10603" s="18">
        <v>2738686.28</v>
      </c>
      <c r="E10603" s="18">
        <v>399.27</v>
      </c>
      <c r="F10603" s="18">
        <v>41886.910000000003</v>
      </c>
      <c r="G10603" s="18">
        <v>115622</v>
      </c>
      <c r="H10603" s="18">
        <f t="shared" si="244"/>
        <v>41868.910000000003</v>
      </c>
      <c r="I10603" s="3"/>
    </row>
    <row r="10604" spans="1:9" s="4" customFormat="1" ht="21" customHeight="1" x14ac:dyDescent="0.55000000000000004">
      <c r="A10604" s="18">
        <v>24.752548300000001</v>
      </c>
      <c r="B10604" s="18">
        <v>34.754635399999998</v>
      </c>
      <c r="C10604" s="18">
        <v>677430.86</v>
      </c>
      <c r="D10604" s="18">
        <v>2738686</v>
      </c>
      <c r="E10604" s="18">
        <v>399.26</v>
      </c>
      <c r="F10604" s="18">
        <v>41887.1</v>
      </c>
      <c r="G10604" s="18">
        <v>115628</v>
      </c>
      <c r="H10604" s="18">
        <f t="shared" si="244"/>
        <v>41869.1</v>
      </c>
      <c r="I10604" s="3"/>
    </row>
    <row r="10605" spans="1:9" s="4" customFormat="1" ht="21" customHeight="1" x14ac:dyDescent="0.55000000000000004">
      <c r="A10605" s="18">
        <v>24.7521111</v>
      </c>
      <c r="B10605" s="18">
        <v>34.756644799999997</v>
      </c>
      <c r="C10605" s="18">
        <v>677634.71</v>
      </c>
      <c r="D10605" s="18">
        <v>2738640.19</v>
      </c>
      <c r="E10605" s="18">
        <v>393.95</v>
      </c>
      <c r="F10605" s="18">
        <v>41861.980000000003</v>
      </c>
      <c r="G10605" s="18">
        <v>115822</v>
      </c>
      <c r="H10605" s="18">
        <f t="shared" si="244"/>
        <v>41843.980000000003</v>
      </c>
      <c r="I10605" s="3"/>
    </row>
    <row r="10606" spans="1:9" s="4" customFormat="1" ht="21" customHeight="1" x14ac:dyDescent="0.55000000000000004">
      <c r="A10606" s="18">
        <v>24.752112100000002</v>
      </c>
      <c r="B10606" s="18">
        <v>34.756645399999996</v>
      </c>
      <c r="C10606" s="18">
        <v>677634.77</v>
      </c>
      <c r="D10606" s="18">
        <v>2738640.3</v>
      </c>
      <c r="E10606" s="18">
        <v>393.8</v>
      </c>
      <c r="F10606" s="18">
        <v>41861.550000000003</v>
      </c>
      <c r="G10606" s="18">
        <v>115831</v>
      </c>
      <c r="H10606" s="18">
        <f t="shared" si="244"/>
        <v>41843.550000000003</v>
      </c>
      <c r="I10606" s="3"/>
    </row>
    <row r="10607" spans="1:9" s="4" customFormat="1" ht="21" customHeight="1" x14ac:dyDescent="0.55000000000000004">
      <c r="A10607" s="18">
        <v>24.7518517</v>
      </c>
      <c r="B10607" s="18">
        <v>34.758214700000003</v>
      </c>
      <c r="C10607" s="18">
        <v>677793.86</v>
      </c>
      <c r="D10607" s="18">
        <v>2738613.5</v>
      </c>
      <c r="E10607" s="18">
        <v>391.15</v>
      </c>
      <c r="F10607" s="18">
        <v>41859.550000000003</v>
      </c>
      <c r="G10607" s="18">
        <v>120110</v>
      </c>
      <c r="H10607" s="18">
        <f>SUM(F10607-19)</f>
        <v>41840.550000000003</v>
      </c>
      <c r="I10607" s="3"/>
    </row>
    <row r="10608" spans="1:9" s="4" customFormat="1" ht="21" customHeight="1" x14ac:dyDescent="0.55000000000000004">
      <c r="A10608" s="18">
        <v>24.751849700000001</v>
      </c>
      <c r="B10608" s="18">
        <v>34.7582205</v>
      </c>
      <c r="C10608" s="18">
        <v>677794.45</v>
      </c>
      <c r="D10608" s="18">
        <v>2738613.28</v>
      </c>
      <c r="E10608" s="18">
        <v>391.22</v>
      </c>
      <c r="F10608" s="18">
        <v>41857.11</v>
      </c>
      <c r="G10608" s="18">
        <v>120119</v>
      </c>
      <c r="H10608" s="18">
        <f t="shared" ref="H10608:H10618" si="245">SUM(F10608-19)</f>
        <v>41838.11</v>
      </c>
      <c r="I10608" s="3"/>
    </row>
    <row r="10609" spans="1:9" s="4" customFormat="1" ht="21" customHeight="1" x14ac:dyDescent="0.55000000000000004">
      <c r="A10609" s="18">
        <v>24.750859500000001</v>
      </c>
      <c r="B10609" s="18">
        <v>34.759861200000003</v>
      </c>
      <c r="C10609" s="18">
        <v>677961.81</v>
      </c>
      <c r="D10609" s="18">
        <v>2738505.75</v>
      </c>
      <c r="E10609" s="18">
        <v>387.76</v>
      </c>
      <c r="F10609" s="18">
        <v>41839.160000000003</v>
      </c>
      <c r="G10609" s="18">
        <v>120255</v>
      </c>
      <c r="H10609" s="18">
        <f t="shared" si="245"/>
        <v>41820.160000000003</v>
      </c>
      <c r="I10609" s="3"/>
    </row>
    <row r="10610" spans="1:9" s="4" customFormat="1" ht="21" customHeight="1" x14ac:dyDescent="0.55000000000000004">
      <c r="A10610" s="18">
        <v>24.750860200000002</v>
      </c>
      <c r="B10610" s="18">
        <v>34.759862300000002</v>
      </c>
      <c r="C10610" s="18">
        <v>677961.92</v>
      </c>
      <c r="D10610" s="18">
        <v>2738505.83</v>
      </c>
      <c r="E10610" s="18">
        <v>387.61</v>
      </c>
      <c r="F10610" s="18">
        <v>41838.03</v>
      </c>
      <c r="G10610" s="18">
        <v>120307</v>
      </c>
      <c r="H10610" s="18">
        <f t="shared" si="245"/>
        <v>41819.03</v>
      </c>
      <c r="I10610" s="3"/>
    </row>
    <row r="10611" spans="1:9" s="4" customFormat="1" ht="21" customHeight="1" x14ac:dyDescent="0.55000000000000004">
      <c r="A10611" s="18">
        <v>24.749578199999998</v>
      </c>
      <c r="B10611" s="18">
        <v>34.761185900000001</v>
      </c>
      <c r="C10611" s="18">
        <v>678097.62</v>
      </c>
      <c r="D10611" s="18">
        <v>2738365.56</v>
      </c>
      <c r="E10611" s="18">
        <v>383.88</v>
      </c>
      <c r="F10611" s="18">
        <v>41780.879999999997</v>
      </c>
      <c r="G10611" s="18">
        <v>120440</v>
      </c>
      <c r="H10611" s="18">
        <f t="shared" si="245"/>
        <v>41761.879999999997</v>
      </c>
      <c r="I10611" s="3"/>
    </row>
    <row r="10612" spans="1:9" s="4" customFormat="1" ht="21" customHeight="1" x14ac:dyDescent="0.55000000000000004">
      <c r="A10612" s="18">
        <v>24.749579600000001</v>
      </c>
      <c r="B10612" s="18">
        <v>34.761186600000002</v>
      </c>
      <c r="C10612" s="18">
        <v>678097.69</v>
      </c>
      <c r="D10612" s="18">
        <v>2738365.71</v>
      </c>
      <c r="E10612" s="18">
        <v>383.86</v>
      </c>
      <c r="F10612" s="18">
        <v>41777.760000000002</v>
      </c>
      <c r="G10612" s="18">
        <v>120449</v>
      </c>
      <c r="H10612" s="18">
        <f t="shared" si="245"/>
        <v>41758.76</v>
      </c>
      <c r="I10612" s="3"/>
    </row>
    <row r="10613" spans="1:9" s="4" customFormat="1" ht="21" customHeight="1" x14ac:dyDescent="0.55000000000000004">
      <c r="A10613" s="18">
        <v>24.7490989</v>
      </c>
      <c r="B10613" s="18">
        <v>34.763002299999997</v>
      </c>
      <c r="C10613" s="18">
        <v>678282.02</v>
      </c>
      <c r="D10613" s="18">
        <v>2738314.83</v>
      </c>
      <c r="E10613" s="18">
        <v>380.27</v>
      </c>
      <c r="F10613" s="18">
        <v>41751.03</v>
      </c>
      <c r="G10613" s="18">
        <v>120625</v>
      </c>
      <c r="H10613" s="18">
        <f t="shared" si="245"/>
        <v>41732.03</v>
      </c>
      <c r="I10613" s="3"/>
    </row>
    <row r="10614" spans="1:9" s="4" customFormat="1" ht="21" customHeight="1" x14ac:dyDescent="0.55000000000000004">
      <c r="A10614" s="18">
        <v>24.749099900000001</v>
      </c>
      <c r="B10614" s="18">
        <v>34.763002899999996</v>
      </c>
      <c r="C10614" s="18">
        <v>678282.08</v>
      </c>
      <c r="D10614" s="18">
        <v>2738314.94</v>
      </c>
      <c r="E10614" s="18">
        <v>380.08</v>
      </c>
      <c r="F10614" s="18">
        <v>41751.15</v>
      </c>
      <c r="G10614" s="18">
        <v>120634</v>
      </c>
      <c r="H10614" s="18">
        <f t="shared" si="245"/>
        <v>41732.15</v>
      </c>
      <c r="I10614" s="3"/>
    </row>
    <row r="10615" spans="1:9" s="4" customFormat="1" ht="21" customHeight="1" x14ac:dyDescent="0.55000000000000004">
      <c r="A10615" s="18">
        <v>24.747949999999999</v>
      </c>
      <c r="B10615" s="18">
        <v>34.7646023</v>
      </c>
      <c r="C10615" s="18">
        <v>678445.5</v>
      </c>
      <c r="D10615" s="18">
        <v>2738189.67</v>
      </c>
      <c r="E10615" s="18">
        <v>375.63</v>
      </c>
      <c r="F10615" s="18">
        <v>41688.46</v>
      </c>
      <c r="G10615" s="18">
        <v>120822</v>
      </c>
      <c r="H10615" s="18">
        <f t="shared" si="245"/>
        <v>41669.46</v>
      </c>
      <c r="I10615" s="3"/>
    </row>
    <row r="10616" spans="1:9" s="4" customFormat="1" ht="21" customHeight="1" x14ac:dyDescent="0.55000000000000004">
      <c r="A10616" s="18">
        <v>24.747950299999999</v>
      </c>
      <c r="B10616" s="18">
        <v>34.764603700000002</v>
      </c>
      <c r="C10616" s="18">
        <v>678445.64</v>
      </c>
      <c r="D10616" s="18">
        <v>2738189.7</v>
      </c>
      <c r="E10616" s="18">
        <v>375.63</v>
      </c>
      <c r="F10616" s="18">
        <v>41687.519999999997</v>
      </c>
      <c r="G10616" s="18">
        <v>120834</v>
      </c>
      <c r="H10616" s="18">
        <f t="shared" si="245"/>
        <v>41668.519999999997</v>
      </c>
      <c r="I10616" s="3"/>
    </row>
    <row r="10617" spans="1:9" s="4" customFormat="1" ht="21" customHeight="1" x14ac:dyDescent="0.55000000000000004">
      <c r="A10617" s="18">
        <v>24.7479181</v>
      </c>
      <c r="B10617" s="18">
        <v>34.766952600000003</v>
      </c>
      <c r="C10617" s="18">
        <v>678683.26</v>
      </c>
      <c r="D10617" s="18">
        <v>2738189.21</v>
      </c>
      <c r="E10617" s="18">
        <v>370.69</v>
      </c>
      <c r="F10617" s="18">
        <v>41594.699999999997</v>
      </c>
      <c r="G10617" s="18">
        <v>121025</v>
      </c>
      <c r="H10617" s="18">
        <f t="shared" si="245"/>
        <v>41575.699999999997</v>
      </c>
      <c r="I10617" s="3"/>
    </row>
    <row r="10618" spans="1:9" s="4" customFormat="1" ht="21" customHeight="1" x14ac:dyDescent="0.55000000000000004">
      <c r="A10618" s="18">
        <v>24.7479227</v>
      </c>
      <c r="B10618" s="18">
        <v>34.766960300000001</v>
      </c>
      <c r="C10618" s="18">
        <v>678684.04</v>
      </c>
      <c r="D10618" s="18">
        <v>2738189.72</v>
      </c>
      <c r="E10618" s="18">
        <v>370.48</v>
      </c>
      <c r="F10618" s="18">
        <v>41588.46</v>
      </c>
      <c r="G10618" s="18">
        <v>121034</v>
      </c>
      <c r="H10618" s="18">
        <f t="shared" si="245"/>
        <v>41569.46</v>
      </c>
      <c r="I10618" s="3"/>
    </row>
    <row r="10619" spans="1:9" s="4" customFormat="1" ht="21" customHeight="1" x14ac:dyDescent="0.55000000000000004">
      <c r="A10619" s="18">
        <v>24.8093836</v>
      </c>
      <c r="B10619" s="18">
        <v>34.845093499999997</v>
      </c>
      <c r="C10619" s="18">
        <v>686495.1</v>
      </c>
      <c r="D10619" s="18">
        <v>2745101.62</v>
      </c>
      <c r="E10619" s="18">
        <v>214.62</v>
      </c>
      <c r="F10619" s="18">
        <v>42009.58</v>
      </c>
      <c r="G10619" s="18">
        <v>134043</v>
      </c>
      <c r="H10619" s="18">
        <f>SUM(F10619-25)</f>
        <v>41984.58</v>
      </c>
      <c r="I10619" s="3"/>
    </row>
    <row r="10620" spans="1:9" s="4" customFormat="1" ht="21" customHeight="1" x14ac:dyDescent="0.55000000000000004">
      <c r="A10620" s="18">
        <v>24.809382200000002</v>
      </c>
      <c r="B10620" s="18">
        <v>34.845094099999997</v>
      </c>
      <c r="C10620" s="18">
        <v>686495.17</v>
      </c>
      <c r="D10620" s="18">
        <v>2745101.47</v>
      </c>
      <c r="E10620" s="18">
        <v>214.27</v>
      </c>
      <c r="F10620" s="18">
        <v>42009.9</v>
      </c>
      <c r="G10620" s="18">
        <v>134052</v>
      </c>
      <c r="H10620" s="18">
        <f t="shared" ref="H10620:H10631" si="246">SUM(F10620-25)</f>
        <v>41984.9</v>
      </c>
      <c r="I10620" s="3"/>
    </row>
    <row r="10621" spans="1:9" s="4" customFormat="1" ht="21" customHeight="1" x14ac:dyDescent="0.55000000000000004">
      <c r="A10621" s="18">
        <v>24.8094091</v>
      </c>
      <c r="B10621" s="18">
        <v>34.843602699999998</v>
      </c>
      <c r="C10621" s="18">
        <v>686344.34</v>
      </c>
      <c r="D10621" s="18">
        <v>2745102.42</v>
      </c>
      <c r="E10621" s="18">
        <v>222.8</v>
      </c>
      <c r="F10621" s="18">
        <v>42250.78</v>
      </c>
      <c r="G10621" s="18">
        <v>134249</v>
      </c>
      <c r="H10621" s="18">
        <f t="shared" si="246"/>
        <v>42225.78</v>
      </c>
      <c r="I10621" s="3"/>
    </row>
    <row r="10622" spans="1:9" s="4" customFormat="1" ht="21" customHeight="1" x14ac:dyDescent="0.55000000000000004">
      <c r="A10622" s="18">
        <v>24.809412300000002</v>
      </c>
      <c r="B10622" s="18">
        <v>34.843603199999997</v>
      </c>
      <c r="C10622" s="18">
        <v>686344.39</v>
      </c>
      <c r="D10622" s="18">
        <v>2745102.77</v>
      </c>
      <c r="E10622" s="18">
        <v>222.84</v>
      </c>
      <c r="F10622" s="18">
        <v>42247.040000000001</v>
      </c>
      <c r="G10622" s="18">
        <v>134301</v>
      </c>
      <c r="H10622" s="18">
        <f t="shared" si="246"/>
        <v>42222.04</v>
      </c>
      <c r="I10622" s="3"/>
    </row>
    <row r="10623" spans="1:9" s="4" customFormat="1" ht="21" customHeight="1" x14ac:dyDescent="0.55000000000000004">
      <c r="A10623" s="18">
        <v>24.807812200000001</v>
      </c>
      <c r="B10623" s="18">
        <v>34.843013399999997</v>
      </c>
      <c r="C10623" s="18">
        <v>686287.16</v>
      </c>
      <c r="D10623" s="18">
        <v>2744924.73</v>
      </c>
      <c r="E10623" s="18">
        <v>224.95</v>
      </c>
      <c r="F10623" s="18">
        <v>42077.83</v>
      </c>
      <c r="G10623" s="18">
        <v>134449</v>
      </c>
      <c r="H10623" s="18">
        <f t="shared" si="246"/>
        <v>42052.83</v>
      </c>
      <c r="I10623" s="3"/>
    </row>
    <row r="10624" spans="1:9" s="4" customFormat="1" ht="21" customHeight="1" x14ac:dyDescent="0.55000000000000004">
      <c r="A10624" s="18">
        <v>24.807812200000001</v>
      </c>
      <c r="B10624" s="18">
        <v>34.843013499999998</v>
      </c>
      <c r="C10624" s="18">
        <v>686287.17</v>
      </c>
      <c r="D10624" s="18">
        <v>2744924.72</v>
      </c>
      <c r="E10624" s="18">
        <v>224.71</v>
      </c>
      <c r="F10624" s="18">
        <v>42075.54</v>
      </c>
      <c r="G10624" s="18">
        <v>134458</v>
      </c>
      <c r="H10624" s="18">
        <f t="shared" si="246"/>
        <v>42050.54</v>
      </c>
      <c r="I10624" s="3"/>
    </row>
    <row r="10625" spans="1:9" s="4" customFormat="1" ht="21" customHeight="1" x14ac:dyDescent="0.55000000000000004">
      <c r="A10625" s="18">
        <v>24.808324200000001</v>
      </c>
      <c r="B10625" s="18">
        <v>34.841276000000001</v>
      </c>
      <c r="C10625" s="18">
        <v>686110.74</v>
      </c>
      <c r="D10625" s="18">
        <v>2744979.07</v>
      </c>
      <c r="E10625" s="18">
        <v>228.39</v>
      </c>
      <c r="F10625" s="18">
        <v>41970.54</v>
      </c>
      <c r="G10625" s="18">
        <v>134640</v>
      </c>
      <c r="H10625" s="18">
        <f t="shared" si="246"/>
        <v>41945.54</v>
      </c>
      <c r="I10625" s="3"/>
    </row>
    <row r="10626" spans="1:9" s="4" customFormat="1" ht="21" customHeight="1" x14ac:dyDescent="0.55000000000000004">
      <c r="A10626" s="18">
        <v>24.808322700000002</v>
      </c>
      <c r="B10626" s="18">
        <v>34.841275699999997</v>
      </c>
      <c r="C10626" s="18">
        <v>686110.71</v>
      </c>
      <c r="D10626" s="18">
        <v>2744978.9</v>
      </c>
      <c r="E10626" s="18">
        <v>228.45</v>
      </c>
      <c r="F10626" s="18">
        <v>41970.17</v>
      </c>
      <c r="G10626" s="18">
        <v>134649</v>
      </c>
      <c r="H10626" s="18">
        <f t="shared" si="246"/>
        <v>41945.17</v>
      </c>
      <c r="I10626" s="3"/>
    </row>
    <row r="10627" spans="1:9" s="4" customFormat="1" ht="21" customHeight="1" x14ac:dyDescent="0.55000000000000004">
      <c r="A10627" s="18">
        <v>24.8088081</v>
      </c>
      <c r="B10627" s="18">
        <v>34.839622599999998</v>
      </c>
      <c r="C10627" s="18">
        <v>685942.86</v>
      </c>
      <c r="D10627" s="18">
        <v>2745030.41</v>
      </c>
      <c r="E10627" s="18">
        <v>238.47</v>
      </c>
      <c r="F10627" s="18">
        <v>41976.3</v>
      </c>
      <c r="G10627" s="18">
        <v>134849</v>
      </c>
      <c r="H10627" s="18">
        <f t="shared" si="246"/>
        <v>41951.3</v>
      </c>
      <c r="I10627" s="3"/>
    </row>
    <row r="10628" spans="1:9" s="4" customFormat="1" ht="21" customHeight="1" x14ac:dyDescent="0.55000000000000004">
      <c r="A10628" s="18">
        <v>24.808810600000001</v>
      </c>
      <c r="B10628" s="18">
        <v>34.839626199999998</v>
      </c>
      <c r="C10628" s="18">
        <v>685943.22</v>
      </c>
      <c r="D10628" s="18">
        <v>2745030.69</v>
      </c>
      <c r="E10628" s="18">
        <v>239.32</v>
      </c>
      <c r="F10628" s="18">
        <v>41976.21</v>
      </c>
      <c r="G10628" s="18">
        <v>134913</v>
      </c>
      <c r="H10628" s="18">
        <f t="shared" si="246"/>
        <v>41951.21</v>
      </c>
      <c r="I10628" s="3"/>
    </row>
    <row r="10629" spans="1:9" s="4" customFormat="1" ht="21" customHeight="1" x14ac:dyDescent="0.55000000000000004">
      <c r="A10629" s="18">
        <v>24.809379</v>
      </c>
      <c r="B10629" s="18">
        <v>34.838071499999998</v>
      </c>
      <c r="C10629" s="18">
        <v>685785.19</v>
      </c>
      <c r="D10629" s="18">
        <v>2745091.53</v>
      </c>
      <c r="E10629" s="18">
        <v>244.8</v>
      </c>
      <c r="F10629" s="18">
        <v>41973.440000000002</v>
      </c>
      <c r="G10629" s="18">
        <v>135140</v>
      </c>
      <c r="H10629" s="18">
        <f t="shared" si="246"/>
        <v>41948.44</v>
      </c>
      <c r="I10629" s="3"/>
    </row>
    <row r="10630" spans="1:9" s="4" customFormat="1" ht="21" customHeight="1" x14ac:dyDescent="0.55000000000000004">
      <c r="A10630" s="18">
        <v>24.809382200000002</v>
      </c>
      <c r="B10630" s="18">
        <v>34.838070299999998</v>
      </c>
      <c r="C10630" s="18">
        <v>685785.07</v>
      </c>
      <c r="D10630" s="18">
        <v>2745091.89</v>
      </c>
      <c r="E10630" s="18">
        <v>244.97</v>
      </c>
      <c r="F10630" s="18">
        <v>41971.54</v>
      </c>
      <c r="G10630" s="18">
        <v>135149</v>
      </c>
      <c r="H10630" s="18">
        <f t="shared" si="246"/>
        <v>41946.54</v>
      </c>
      <c r="I10630" s="3"/>
    </row>
    <row r="10631" spans="1:9" s="4" customFormat="1" ht="21" customHeight="1" x14ac:dyDescent="0.55000000000000004">
      <c r="A10631" s="18">
        <v>24.809815</v>
      </c>
      <c r="B10631" s="18">
        <v>34.837708999999997</v>
      </c>
      <c r="C10631" s="18">
        <v>685747.89</v>
      </c>
      <c r="D10631" s="18">
        <v>2745139.34</v>
      </c>
      <c r="E10631" s="18">
        <v>246.64</v>
      </c>
      <c r="F10631" s="18">
        <v>41967.97</v>
      </c>
      <c r="G10631" s="18">
        <v>135349</v>
      </c>
      <c r="H10631" s="18">
        <f t="shared" si="246"/>
        <v>41942.97</v>
      </c>
      <c r="I10631" s="3"/>
    </row>
    <row r="10632" spans="1:9" s="10" customFormat="1" ht="19.5" customHeight="1" x14ac:dyDescent="0.55000000000000004">
      <c r="A10632" s="18">
        <v>24.810249200000001</v>
      </c>
      <c r="B10632" s="18">
        <v>34.837093199999998</v>
      </c>
      <c r="C10632" s="18">
        <v>685684.99</v>
      </c>
      <c r="D10632" s="18">
        <v>2745186.59</v>
      </c>
      <c r="E10632" s="18">
        <v>247.02</v>
      </c>
      <c r="F10632" s="18">
        <v>41956.04</v>
      </c>
      <c r="G10632" s="18">
        <v>135626</v>
      </c>
      <c r="H10632" s="18">
        <f>SUM(F10632-30)</f>
        <v>41926.04</v>
      </c>
    </row>
    <row r="10633" spans="1:9" s="10" customFormat="1" ht="19.5" customHeight="1" x14ac:dyDescent="0.55000000000000004">
      <c r="A10633" s="18">
        <v>24.810251600000001</v>
      </c>
      <c r="B10633" s="18">
        <v>34.837071799999997</v>
      </c>
      <c r="C10633" s="18">
        <v>685682.83</v>
      </c>
      <c r="D10633" s="18">
        <v>2745186.83</v>
      </c>
      <c r="E10633" s="18">
        <v>247.3</v>
      </c>
      <c r="F10633" s="18">
        <v>41957.25</v>
      </c>
      <c r="G10633" s="18">
        <v>135628</v>
      </c>
      <c r="H10633" s="18">
        <f t="shared" ref="H10633:H10696" si="247">SUM(F10633-30)</f>
        <v>41927.25</v>
      </c>
    </row>
    <row r="10634" spans="1:9" s="10" customFormat="1" ht="19.5" customHeight="1" x14ac:dyDescent="0.55000000000000004">
      <c r="A10634" s="18">
        <v>24.810261300000001</v>
      </c>
      <c r="B10634" s="18">
        <v>34.837052399999997</v>
      </c>
      <c r="C10634" s="18">
        <v>685680.85</v>
      </c>
      <c r="D10634" s="18">
        <v>2745187.87</v>
      </c>
      <c r="E10634" s="18">
        <v>247.45</v>
      </c>
      <c r="F10634" s="18">
        <v>41954.21</v>
      </c>
      <c r="G10634" s="18">
        <v>135630</v>
      </c>
      <c r="H10634" s="18">
        <f t="shared" si="247"/>
        <v>41924.21</v>
      </c>
    </row>
    <row r="10635" spans="1:9" s="10" customFormat="1" ht="19.5" customHeight="1" x14ac:dyDescent="0.55000000000000004">
      <c r="A10635" s="18">
        <v>24.8102692</v>
      </c>
      <c r="B10635" s="18">
        <v>34.837028799999999</v>
      </c>
      <c r="C10635" s="18">
        <v>685678.45</v>
      </c>
      <c r="D10635" s="18">
        <v>2745188.72</v>
      </c>
      <c r="E10635" s="18">
        <v>247.63</v>
      </c>
      <c r="F10635" s="18">
        <v>41953.36</v>
      </c>
      <c r="G10635" s="18">
        <v>135632</v>
      </c>
      <c r="H10635" s="18">
        <f t="shared" si="247"/>
        <v>41923.360000000001</v>
      </c>
    </row>
    <row r="10636" spans="1:9" s="10" customFormat="1" ht="19.5" customHeight="1" x14ac:dyDescent="0.55000000000000004">
      <c r="A10636" s="18">
        <v>24.810278799999999</v>
      </c>
      <c r="B10636" s="18">
        <v>34.837006100000004</v>
      </c>
      <c r="C10636" s="18">
        <v>685676.14</v>
      </c>
      <c r="D10636" s="18">
        <v>2745189.75</v>
      </c>
      <c r="E10636" s="18">
        <v>247.75</v>
      </c>
      <c r="F10636" s="18">
        <v>41956.45</v>
      </c>
      <c r="G10636" s="18">
        <v>135634</v>
      </c>
      <c r="H10636" s="18">
        <f t="shared" si="247"/>
        <v>41926.449999999997</v>
      </c>
    </row>
    <row r="10637" spans="1:9" s="10" customFormat="1" ht="19.5" customHeight="1" x14ac:dyDescent="0.55000000000000004">
      <c r="A10637" s="18">
        <v>24.810285199999999</v>
      </c>
      <c r="B10637" s="18">
        <v>34.836981899999998</v>
      </c>
      <c r="C10637" s="18">
        <v>685673.69</v>
      </c>
      <c r="D10637" s="18">
        <v>2745190.43</v>
      </c>
      <c r="E10637" s="18">
        <v>247.92</v>
      </c>
      <c r="F10637" s="18">
        <v>41960.7</v>
      </c>
      <c r="G10637" s="18">
        <v>135636</v>
      </c>
      <c r="H10637" s="18">
        <f t="shared" si="247"/>
        <v>41930.699999999997</v>
      </c>
    </row>
    <row r="10638" spans="1:9" s="10" customFormat="1" ht="19.5" customHeight="1" x14ac:dyDescent="0.55000000000000004">
      <c r="A10638" s="18">
        <v>24.810288199999999</v>
      </c>
      <c r="B10638" s="18">
        <v>34.836957300000002</v>
      </c>
      <c r="C10638" s="18">
        <v>685671.19</v>
      </c>
      <c r="D10638" s="18">
        <v>2745190.72</v>
      </c>
      <c r="E10638" s="18">
        <v>247.98</v>
      </c>
      <c r="F10638" s="18">
        <v>41963.71</v>
      </c>
      <c r="G10638" s="18">
        <v>135638</v>
      </c>
      <c r="H10638" s="18">
        <f t="shared" si="247"/>
        <v>41933.71</v>
      </c>
    </row>
    <row r="10639" spans="1:9" s="10" customFormat="1" ht="19.5" customHeight="1" x14ac:dyDescent="0.55000000000000004">
      <c r="A10639" s="18">
        <v>24.810294599999999</v>
      </c>
      <c r="B10639" s="18">
        <v>34.836933799999997</v>
      </c>
      <c r="C10639" s="18">
        <v>685668.81</v>
      </c>
      <c r="D10639" s="18">
        <v>2745191.4</v>
      </c>
      <c r="E10639" s="18">
        <v>247.94</v>
      </c>
      <c r="F10639" s="18">
        <v>41963.48</v>
      </c>
      <c r="G10639" s="18">
        <v>135640</v>
      </c>
      <c r="H10639" s="18">
        <f t="shared" si="247"/>
        <v>41933.480000000003</v>
      </c>
    </row>
    <row r="10640" spans="1:9" s="10" customFormat="1" ht="19.5" customHeight="1" x14ac:dyDescent="0.55000000000000004">
      <c r="A10640" s="18">
        <v>24.810304500000001</v>
      </c>
      <c r="B10640" s="18">
        <v>34.836911299999997</v>
      </c>
      <c r="C10640" s="18">
        <v>685666.52</v>
      </c>
      <c r="D10640" s="18">
        <v>2745192.47</v>
      </c>
      <c r="E10640" s="18">
        <v>248.09</v>
      </c>
      <c r="F10640" s="18">
        <v>41962.44</v>
      </c>
      <c r="G10640" s="18">
        <v>135642</v>
      </c>
      <c r="H10640" s="18">
        <f t="shared" si="247"/>
        <v>41932.44</v>
      </c>
    </row>
    <row r="10641" spans="1:8" s="10" customFormat="1" ht="19.5" customHeight="1" x14ac:dyDescent="0.55000000000000004">
      <c r="A10641" s="18">
        <v>24.810318800000001</v>
      </c>
      <c r="B10641" s="18">
        <v>34.836888899999998</v>
      </c>
      <c r="C10641" s="18">
        <v>685664.23</v>
      </c>
      <c r="D10641" s="18">
        <v>2745194.03</v>
      </c>
      <c r="E10641" s="18">
        <v>248.16</v>
      </c>
      <c r="F10641" s="18">
        <v>41961.74</v>
      </c>
      <c r="G10641" s="18">
        <v>135644</v>
      </c>
      <c r="H10641" s="18">
        <f t="shared" si="247"/>
        <v>41931.74</v>
      </c>
    </row>
    <row r="10642" spans="1:8" s="10" customFormat="1" ht="19.5" customHeight="1" x14ac:dyDescent="0.55000000000000004">
      <c r="A10642" s="18">
        <v>24.810336899999999</v>
      </c>
      <c r="B10642" s="18">
        <v>34.836869499999999</v>
      </c>
      <c r="C10642" s="18">
        <v>685662.25</v>
      </c>
      <c r="D10642" s="18">
        <v>2745196</v>
      </c>
      <c r="E10642" s="18">
        <v>248.17</v>
      </c>
      <c r="F10642" s="18">
        <v>41962.59</v>
      </c>
      <c r="G10642" s="18">
        <v>135646</v>
      </c>
      <c r="H10642" s="18">
        <f t="shared" si="247"/>
        <v>41932.589999999997</v>
      </c>
    </row>
    <row r="10643" spans="1:8" s="10" customFormat="1" ht="19.5" customHeight="1" x14ac:dyDescent="0.55000000000000004">
      <c r="A10643" s="18">
        <v>24.810355399999999</v>
      </c>
      <c r="B10643" s="18">
        <v>34.836850699999999</v>
      </c>
      <c r="C10643" s="18">
        <v>685660.32</v>
      </c>
      <c r="D10643" s="18">
        <v>2745198.03</v>
      </c>
      <c r="E10643" s="18">
        <v>248.23</v>
      </c>
      <c r="F10643" s="18">
        <v>41962.57</v>
      </c>
      <c r="G10643" s="18">
        <v>135648</v>
      </c>
      <c r="H10643" s="18">
        <f t="shared" si="247"/>
        <v>41932.57</v>
      </c>
    </row>
    <row r="10644" spans="1:8" s="10" customFormat="1" ht="19.5" customHeight="1" x14ac:dyDescent="0.55000000000000004">
      <c r="A10644" s="18">
        <v>24.8103728</v>
      </c>
      <c r="B10644" s="18">
        <v>34.836832899999997</v>
      </c>
      <c r="C10644" s="18">
        <v>685658.49</v>
      </c>
      <c r="D10644" s="18">
        <v>2745199.92</v>
      </c>
      <c r="E10644" s="18">
        <v>248.32</v>
      </c>
      <c r="F10644" s="18">
        <v>41961.13</v>
      </c>
      <c r="G10644" s="18">
        <v>135650</v>
      </c>
      <c r="H10644" s="18">
        <f t="shared" si="247"/>
        <v>41931.129999999997</v>
      </c>
    </row>
    <row r="10645" spans="1:8" s="10" customFormat="1" ht="19.5" customHeight="1" x14ac:dyDescent="0.55000000000000004">
      <c r="A10645" s="18">
        <v>24.810391899999999</v>
      </c>
      <c r="B10645" s="18">
        <v>34.836815799999997</v>
      </c>
      <c r="C10645" s="18">
        <v>685656.74</v>
      </c>
      <c r="D10645" s="18">
        <v>2745202.02</v>
      </c>
      <c r="E10645" s="18">
        <v>248.44</v>
      </c>
      <c r="F10645" s="18">
        <v>41963.22</v>
      </c>
      <c r="G10645" s="18">
        <v>135652</v>
      </c>
      <c r="H10645" s="18">
        <f t="shared" si="247"/>
        <v>41933.22</v>
      </c>
    </row>
    <row r="10646" spans="1:8" s="10" customFormat="1" ht="19.5" customHeight="1" x14ac:dyDescent="0.55000000000000004">
      <c r="A10646" s="18">
        <v>24.810409700000001</v>
      </c>
      <c r="B10646" s="18">
        <v>34.8367966</v>
      </c>
      <c r="C10646" s="18">
        <v>685654.76</v>
      </c>
      <c r="D10646" s="18">
        <v>2745203.97</v>
      </c>
      <c r="E10646" s="18">
        <v>248.5</v>
      </c>
      <c r="F10646" s="18">
        <v>41963.05</v>
      </c>
      <c r="G10646" s="18">
        <v>135654</v>
      </c>
      <c r="H10646" s="18">
        <f t="shared" si="247"/>
        <v>41933.050000000003</v>
      </c>
    </row>
    <row r="10647" spans="1:8" s="10" customFormat="1" ht="19.5" customHeight="1" x14ac:dyDescent="0.55000000000000004">
      <c r="A10647" s="18">
        <v>24.810428600000002</v>
      </c>
      <c r="B10647" s="18">
        <v>34.836779100000001</v>
      </c>
      <c r="C10647" s="18">
        <v>685652.97</v>
      </c>
      <c r="D10647" s="18">
        <v>2745206.04</v>
      </c>
      <c r="E10647" s="18">
        <v>248.57</v>
      </c>
      <c r="F10647" s="18">
        <v>41964.99</v>
      </c>
      <c r="G10647" s="18">
        <v>135656</v>
      </c>
      <c r="H10647" s="18">
        <f t="shared" si="247"/>
        <v>41934.99</v>
      </c>
    </row>
    <row r="10648" spans="1:8" s="10" customFormat="1" ht="19.5" customHeight="1" x14ac:dyDescent="0.55000000000000004">
      <c r="A10648" s="18">
        <v>24.810446800000001</v>
      </c>
      <c r="B10648" s="18">
        <v>34.836760400000003</v>
      </c>
      <c r="C10648" s="18">
        <v>685651.05</v>
      </c>
      <c r="D10648" s="18">
        <v>2745208.02</v>
      </c>
      <c r="E10648" s="18">
        <v>248.62</v>
      </c>
      <c r="F10648" s="18">
        <v>41966.99</v>
      </c>
      <c r="G10648" s="18">
        <v>135658</v>
      </c>
      <c r="H10648" s="18">
        <f t="shared" si="247"/>
        <v>41936.99</v>
      </c>
    </row>
    <row r="10649" spans="1:8" s="10" customFormat="1" ht="19.5" customHeight="1" x14ac:dyDescent="0.55000000000000004">
      <c r="A10649" s="18">
        <v>24.8104634</v>
      </c>
      <c r="B10649" s="18">
        <v>34.8367413</v>
      </c>
      <c r="C10649" s="18">
        <v>685649.09</v>
      </c>
      <c r="D10649" s="18">
        <v>2745209.84</v>
      </c>
      <c r="E10649" s="18">
        <v>248.75</v>
      </c>
      <c r="F10649" s="18">
        <v>41969.64</v>
      </c>
      <c r="G10649" s="18">
        <v>135700</v>
      </c>
      <c r="H10649" s="18">
        <f t="shared" si="247"/>
        <v>41939.64</v>
      </c>
    </row>
    <row r="10650" spans="1:8" s="10" customFormat="1" ht="19.5" customHeight="1" x14ac:dyDescent="0.55000000000000004">
      <c r="A10650" s="18">
        <v>24.810480699999999</v>
      </c>
      <c r="B10650" s="18">
        <v>34.836721400000002</v>
      </c>
      <c r="C10650" s="18">
        <v>685647.06</v>
      </c>
      <c r="D10650" s="18">
        <v>2745211.73</v>
      </c>
      <c r="E10650" s="18">
        <v>248.8</v>
      </c>
      <c r="F10650" s="18">
        <v>41965.14</v>
      </c>
      <c r="G10650" s="18">
        <v>135702</v>
      </c>
      <c r="H10650" s="18">
        <f t="shared" si="247"/>
        <v>41935.14</v>
      </c>
    </row>
    <row r="10651" spans="1:8" s="10" customFormat="1" ht="19.5" customHeight="1" x14ac:dyDescent="0.55000000000000004">
      <c r="A10651" s="18">
        <v>24.810497699999999</v>
      </c>
      <c r="B10651" s="18">
        <v>34.8367012</v>
      </c>
      <c r="C10651" s="18">
        <v>685644.99</v>
      </c>
      <c r="D10651" s="18">
        <v>2745213.58</v>
      </c>
      <c r="E10651" s="18">
        <v>248.82</v>
      </c>
      <c r="F10651" s="18">
        <v>41967.519999999997</v>
      </c>
      <c r="G10651" s="18">
        <v>135704</v>
      </c>
      <c r="H10651" s="18">
        <f t="shared" si="247"/>
        <v>41937.519999999997</v>
      </c>
    </row>
    <row r="10652" spans="1:8" s="10" customFormat="1" ht="19.5" customHeight="1" x14ac:dyDescent="0.55000000000000004">
      <c r="A10652" s="18">
        <v>24.810514300000001</v>
      </c>
      <c r="B10652" s="18">
        <v>34.836682099999997</v>
      </c>
      <c r="C10652" s="18">
        <v>685643.04</v>
      </c>
      <c r="D10652" s="18">
        <v>2745215.4</v>
      </c>
      <c r="E10652" s="18">
        <v>248.9</v>
      </c>
      <c r="F10652" s="18">
        <v>41964.78</v>
      </c>
      <c r="G10652" s="18">
        <v>135706</v>
      </c>
      <c r="H10652" s="18">
        <f t="shared" si="247"/>
        <v>41934.78</v>
      </c>
    </row>
    <row r="10653" spans="1:8" s="10" customFormat="1" ht="19.5" customHeight="1" x14ac:dyDescent="0.55000000000000004">
      <c r="A10653" s="18">
        <v>24.8105306</v>
      </c>
      <c r="B10653" s="18">
        <v>34.836661599999999</v>
      </c>
      <c r="C10653" s="18">
        <v>685640.94</v>
      </c>
      <c r="D10653" s="18">
        <v>2745217.17</v>
      </c>
      <c r="E10653" s="18">
        <v>248.96</v>
      </c>
      <c r="F10653" s="18">
        <v>41964.18</v>
      </c>
      <c r="G10653" s="18">
        <v>135708</v>
      </c>
      <c r="H10653" s="18">
        <f t="shared" si="247"/>
        <v>41934.18</v>
      </c>
    </row>
    <row r="10654" spans="1:8" s="10" customFormat="1" ht="19.5" customHeight="1" x14ac:dyDescent="0.55000000000000004">
      <c r="A10654" s="18">
        <v>24.8105437</v>
      </c>
      <c r="B10654" s="18">
        <v>34.836640000000003</v>
      </c>
      <c r="C10654" s="18">
        <v>685638.73</v>
      </c>
      <c r="D10654" s="18">
        <v>2745218.59</v>
      </c>
      <c r="E10654" s="18">
        <v>248.8</v>
      </c>
      <c r="F10654" s="18">
        <v>41963.74</v>
      </c>
      <c r="G10654" s="18">
        <v>135710</v>
      </c>
      <c r="H10654" s="18">
        <f t="shared" si="247"/>
        <v>41933.74</v>
      </c>
    </row>
    <row r="10655" spans="1:8" s="10" customFormat="1" ht="19.5" customHeight="1" x14ac:dyDescent="0.55000000000000004">
      <c r="A10655" s="18">
        <v>24.8105598</v>
      </c>
      <c r="B10655" s="18">
        <v>34.836621000000001</v>
      </c>
      <c r="C10655" s="18">
        <v>685636.79</v>
      </c>
      <c r="D10655" s="18">
        <v>2745220.35</v>
      </c>
      <c r="E10655" s="18">
        <v>248.69</v>
      </c>
      <c r="F10655" s="18">
        <v>41965.8</v>
      </c>
      <c r="G10655" s="18">
        <v>135712</v>
      </c>
      <c r="H10655" s="18">
        <f t="shared" si="247"/>
        <v>41935.800000000003</v>
      </c>
    </row>
    <row r="10656" spans="1:8" s="10" customFormat="1" ht="19.5" customHeight="1" x14ac:dyDescent="0.55000000000000004">
      <c r="A10656" s="18">
        <v>24.810577500000001</v>
      </c>
      <c r="B10656" s="18">
        <v>34.8366045</v>
      </c>
      <c r="C10656" s="18">
        <v>685635.1</v>
      </c>
      <c r="D10656" s="18">
        <v>2745222.29</v>
      </c>
      <c r="E10656" s="18">
        <v>248.63</v>
      </c>
      <c r="F10656" s="18">
        <v>41964.3</v>
      </c>
      <c r="G10656" s="18">
        <v>135714</v>
      </c>
      <c r="H10656" s="18">
        <f t="shared" si="247"/>
        <v>41934.300000000003</v>
      </c>
    </row>
    <row r="10657" spans="1:8" s="10" customFormat="1" ht="19.5" customHeight="1" x14ac:dyDescent="0.55000000000000004">
      <c r="A10657" s="18">
        <v>24.8105926</v>
      </c>
      <c r="B10657" s="18">
        <v>34.836589199999999</v>
      </c>
      <c r="C10657" s="18">
        <v>685633.53</v>
      </c>
      <c r="D10657" s="18">
        <v>2745223.94</v>
      </c>
      <c r="E10657" s="18">
        <v>248.59</v>
      </c>
      <c r="F10657" s="18">
        <v>41966.55</v>
      </c>
      <c r="G10657" s="18">
        <v>135716</v>
      </c>
      <c r="H10657" s="18">
        <f t="shared" si="247"/>
        <v>41936.550000000003</v>
      </c>
    </row>
    <row r="10658" spans="1:8" s="10" customFormat="1" ht="19.5" customHeight="1" x14ac:dyDescent="0.55000000000000004">
      <c r="A10658" s="18">
        <v>24.810611399999999</v>
      </c>
      <c r="B10658" s="18">
        <v>34.8365765</v>
      </c>
      <c r="C10658" s="18">
        <v>685632.21</v>
      </c>
      <c r="D10658" s="18">
        <v>2745226.01</v>
      </c>
      <c r="E10658" s="18">
        <v>248.45</v>
      </c>
      <c r="F10658" s="18">
        <v>41964.7</v>
      </c>
      <c r="G10658" s="18">
        <v>135718</v>
      </c>
      <c r="H10658" s="18">
        <f t="shared" si="247"/>
        <v>41934.699999999997</v>
      </c>
    </row>
    <row r="10659" spans="1:8" s="10" customFormat="1" ht="19.5" customHeight="1" x14ac:dyDescent="0.55000000000000004">
      <c r="A10659" s="18">
        <v>24.810629899999999</v>
      </c>
      <c r="B10659" s="18">
        <v>34.836560900000002</v>
      </c>
      <c r="C10659" s="18">
        <v>685630.61</v>
      </c>
      <c r="D10659" s="18">
        <v>2745228.04</v>
      </c>
      <c r="E10659" s="18">
        <v>248.39</v>
      </c>
      <c r="F10659" s="18">
        <v>41967.39</v>
      </c>
      <c r="G10659" s="18">
        <v>135720</v>
      </c>
      <c r="H10659" s="18">
        <f t="shared" si="247"/>
        <v>41937.39</v>
      </c>
    </row>
    <row r="10660" spans="1:8" s="10" customFormat="1" ht="19.5" customHeight="1" x14ac:dyDescent="0.55000000000000004">
      <c r="A10660" s="18">
        <v>24.8106504</v>
      </c>
      <c r="B10660" s="18">
        <v>34.836549099999999</v>
      </c>
      <c r="C10660" s="18">
        <v>685629.38</v>
      </c>
      <c r="D10660" s="18">
        <v>2745230.29</v>
      </c>
      <c r="E10660" s="18">
        <v>248.37</v>
      </c>
      <c r="F10660" s="18">
        <v>41966.52</v>
      </c>
      <c r="G10660" s="18">
        <v>135722</v>
      </c>
      <c r="H10660" s="18">
        <f t="shared" si="247"/>
        <v>41936.519999999997</v>
      </c>
    </row>
    <row r="10661" spans="1:8" s="10" customFormat="1" ht="19.5" customHeight="1" x14ac:dyDescent="0.55000000000000004">
      <c r="A10661" s="18">
        <v>24.810671200000002</v>
      </c>
      <c r="B10661" s="18">
        <v>34.836536000000002</v>
      </c>
      <c r="C10661" s="18">
        <v>685628.03</v>
      </c>
      <c r="D10661" s="18">
        <v>2745232.58</v>
      </c>
      <c r="E10661" s="18">
        <v>248.45</v>
      </c>
      <c r="F10661" s="18">
        <v>41966.19</v>
      </c>
      <c r="G10661" s="18">
        <v>135724</v>
      </c>
      <c r="H10661" s="18">
        <f t="shared" si="247"/>
        <v>41936.19</v>
      </c>
    </row>
    <row r="10662" spans="1:8" s="10" customFormat="1" ht="19.5" customHeight="1" x14ac:dyDescent="0.55000000000000004">
      <c r="A10662" s="18">
        <v>24.810693199999999</v>
      </c>
      <c r="B10662" s="18">
        <v>34.836523399999997</v>
      </c>
      <c r="C10662" s="18">
        <v>685626.72</v>
      </c>
      <c r="D10662" s="18">
        <v>2745234.99</v>
      </c>
      <c r="E10662" s="18">
        <v>248.62</v>
      </c>
      <c r="F10662" s="18">
        <v>41963.55</v>
      </c>
      <c r="G10662" s="18">
        <v>135726</v>
      </c>
      <c r="H10662" s="18">
        <f t="shared" si="247"/>
        <v>41933.550000000003</v>
      </c>
    </row>
    <row r="10663" spans="1:8" s="10" customFormat="1" ht="19.5" customHeight="1" x14ac:dyDescent="0.55000000000000004">
      <c r="A10663" s="18">
        <v>24.810711399999999</v>
      </c>
      <c r="B10663" s="18">
        <v>34.836506800000002</v>
      </c>
      <c r="C10663" s="18">
        <v>685625.02</v>
      </c>
      <c r="D10663" s="18">
        <v>2745236.98</v>
      </c>
      <c r="E10663" s="18">
        <v>248.74</v>
      </c>
      <c r="F10663" s="18">
        <v>41964.28</v>
      </c>
      <c r="G10663" s="18">
        <v>135728</v>
      </c>
      <c r="H10663" s="18">
        <f t="shared" si="247"/>
        <v>41934.28</v>
      </c>
    </row>
    <row r="10664" spans="1:8" s="10" customFormat="1" ht="19.5" customHeight="1" x14ac:dyDescent="0.55000000000000004">
      <c r="A10664" s="18">
        <v>24.8107325</v>
      </c>
      <c r="B10664" s="18">
        <v>34.836494600000002</v>
      </c>
      <c r="C10664" s="18">
        <v>685623.75</v>
      </c>
      <c r="D10664" s="18">
        <v>2745239.31</v>
      </c>
      <c r="E10664" s="18">
        <v>248.78</v>
      </c>
      <c r="F10664" s="18">
        <v>41963.12</v>
      </c>
      <c r="G10664" s="18">
        <v>135730</v>
      </c>
      <c r="H10664" s="18">
        <f t="shared" si="247"/>
        <v>41933.120000000003</v>
      </c>
    </row>
    <row r="10665" spans="1:8" s="10" customFormat="1" ht="19.5" customHeight="1" x14ac:dyDescent="0.55000000000000004">
      <c r="A10665" s="18">
        <v>24.810749099999999</v>
      </c>
      <c r="B10665" s="18">
        <v>34.836477199999997</v>
      </c>
      <c r="C10665" s="18">
        <v>685621.97</v>
      </c>
      <c r="D10665" s="18">
        <v>2745241.13</v>
      </c>
      <c r="E10665" s="18">
        <v>248.91</v>
      </c>
      <c r="F10665" s="18">
        <v>41968.05</v>
      </c>
      <c r="G10665" s="18">
        <v>135732</v>
      </c>
      <c r="H10665" s="18">
        <f t="shared" si="247"/>
        <v>41938.050000000003</v>
      </c>
    </row>
    <row r="10666" spans="1:8" s="10" customFormat="1" ht="19.5" customHeight="1" x14ac:dyDescent="0.55000000000000004">
      <c r="A10666" s="18">
        <v>24.8107665</v>
      </c>
      <c r="B10666" s="18">
        <v>34.836461800000002</v>
      </c>
      <c r="C10666" s="18">
        <v>685620.39</v>
      </c>
      <c r="D10666" s="18">
        <v>2745243.03</v>
      </c>
      <c r="E10666" s="18">
        <v>248.98</v>
      </c>
      <c r="F10666" s="18">
        <v>41962.5</v>
      </c>
      <c r="G10666" s="18">
        <v>135734</v>
      </c>
      <c r="H10666" s="18">
        <f t="shared" si="247"/>
        <v>41932.5</v>
      </c>
    </row>
    <row r="10667" spans="1:8" s="10" customFormat="1" ht="19.5" customHeight="1" x14ac:dyDescent="0.55000000000000004">
      <c r="A10667" s="18">
        <v>24.810780699999999</v>
      </c>
      <c r="B10667" s="18">
        <v>34.836442300000002</v>
      </c>
      <c r="C10667" s="18">
        <v>685618.4</v>
      </c>
      <c r="D10667" s="18">
        <v>2745244.57</v>
      </c>
      <c r="E10667" s="18">
        <v>249.02</v>
      </c>
      <c r="F10667" s="18">
        <v>41958.61</v>
      </c>
      <c r="G10667" s="18">
        <v>135736</v>
      </c>
      <c r="H10667" s="18">
        <f t="shared" si="247"/>
        <v>41928.61</v>
      </c>
    </row>
    <row r="10668" spans="1:8" s="10" customFormat="1" ht="19.5" customHeight="1" x14ac:dyDescent="0.55000000000000004">
      <c r="A10668" s="18">
        <v>24.8107957</v>
      </c>
      <c r="B10668" s="18">
        <v>34.836423799999999</v>
      </c>
      <c r="C10668" s="18">
        <v>685616.5</v>
      </c>
      <c r="D10668" s="18">
        <v>2745246.21</v>
      </c>
      <c r="E10668" s="18">
        <v>249.23</v>
      </c>
      <c r="F10668" s="18">
        <v>41958.52</v>
      </c>
      <c r="G10668" s="18">
        <v>135738</v>
      </c>
      <c r="H10668" s="18">
        <f t="shared" si="247"/>
        <v>41928.519999999997</v>
      </c>
    </row>
    <row r="10669" spans="1:8" s="10" customFormat="1" ht="19.5" customHeight="1" x14ac:dyDescent="0.55000000000000004">
      <c r="A10669" s="18">
        <v>24.810812800000001</v>
      </c>
      <c r="B10669" s="18">
        <v>34.8364069</v>
      </c>
      <c r="C10669" s="18">
        <v>685614.77</v>
      </c>
      <c r="D10669" s="18">
        <v>2745248.08</v>
      </c>
      <c r="E10669" s="18">
        <v>249.24</v>
      </c>
      <c r="F10669" s="18">
        <v>41962.51</v>
      </c>
      <c r="G10669" s="18">
        <v>135740</v>
      </c>
      <c r="H10669" s="18">
        <f t="shared" si="247"/>
        <v>41932.51</v>
      </c>
    </row>
    <row r="10670" spans="1:8" s="10" customFormat="1" ht="19.5" customHeight="1" x14ac:dyDescent="0.55000000000000004">
      <c r="A10670" s="18">
        <v>24.8108298</v>
      </c>
      <c r="B10670" s="18">
        <v>34.836389500000003</v>
      </c>
      <c r="C10670" s="18">
        <v>685612.98</v>
      </c>
      <c r="D10670" s="18">
        <v>2745249.95</v>
      </c>
      <c r="E10670" s="18">
        <v>249.34</v>
      </c>
      <c r="F10670" s="18">
        <v>41962.71</v>
      </c>
      <c r="G10670" s="18">
        <v>135742</v>
      </c>
      <c r="H10670" s="18">
        <f t="shared" si="247"/>
        <v>41932.71</v>
      </c>
    </row>
    <row r="10671" spans="1:8" s="10" customFormat="1" ht="19.5" customHeight="1" x14ac:dyDescent="0.55000000000000004">
      <c r="A10671" s="18">
        <v>24.810846600000001</v>
      </c>
      <c r="B10671" s="18">
        <v>34.836372400000002</v>
      </c>
      <c r="C10671" s="18">
        <v>685611.23</v>
      </c>
      <c r="D10671" s="18">
        <v>2745251.77</v>
      </c>
      <c r="E10671" s="18">
        <v>249.44</v>
      </c>
      <c r="F10671" s="18">
        <v>41961.61</v>
      </c>
      <c r="G10671" s="18">
        <v>135744</v>
      </c>
      <c r="H10671" s="18">
        <f t="shared" si="247"/>
        <v>41931.61</v>
      </c>
    </row>
    <row r="10672" spans="1:8" s="10" customFormat="1" ht="19.5" customHeight="1" x14ac:dyDescent="0.55000000000000004">
      <c r="A10672" s="18">
        <v>24.810862</v>
      </c>
      <c r="B10672" s="18">
        <v>34.836351299999997</v>
      </c>
      <c r="C10672" s="18">
        <v>685609.07</v>
      </c>
      <c r="D10672" s="18">
        <v>2745253.46</v>
      </c>
      <c r="E10672" s="18">
        <v>249.5</v>
      </c>
      <c r="F10672" s="18">
        <v>41960.68</v>
      </c>
      <c r="G10672" s="18">
        <v>135746</v>
      </c>
      <c r="H10672" s="18">
        <f t="shared" si="247"/>
        <v>41930.68</v>
      </c>
    </row>
    <row r="10673" spans="1:8" s="10" customFormat="1" ht="19.5" customHeight="1" x14ac:dyDescent="0.55000000000000004">
      <c r="A10673" s="18">
        <v>24.810878500000001</v>
      </c>
      <c r="B10673" s="18">
        <v>34.836332200000001</v>
      </c>
      <c r="C10673" s="18">
        <v>685607.12</v>
      </c>
      <c r="D10673" s="18">
        <v>2745255.26</v>
      </c>
      <c r="E10673" s="18">
        <v>249.56</v>
      </c>
      <c r="F10673" s="18">
        <v>41959.43</v>
      </c>
      <c r="G10673" s="18">
        <v>135748</v>
      </c>
      <c r="H10673" s="18">
        <f t="shared" si="247"/>
        <v>41929.43</v>
      </c>
    </row>
    <row r="10674" spans="1:8" s="10" customFormat="1" ht="19.5" customHeight="1" x14ac:dyDescent="0.55000000000000004">
      <c r="A10674" s="18">
        <v>24.8108945</v>
      </c>
      <c r="B10674" s="18">
        <v>34.836315200000001</v>
      </c>
      <c r="C10674" s="18">
        <v>685605.38</v>
      </c>
      <c r="D10674" s="18">
        <v>2745257.01</v>
      </c>
      <c r="E10674" s="18">
        <v>249.66</v>
      </c>
      <c r="F10674" s="18">
        <v>41957.84</v>
      </c>
      <c r="G10674" s="18">
        <v>135750</v>
      </c>
      <c r="H10674" s="18">
        <f t="shared" si="247"/>
        <v>41927.839999999997</v>
      </c>
    </row>
    <row r="10675" spans="1:8" s="10" customFormat="1" ht="19.5" customHeight="1" x14ac:dyDescent="0.55000000000000004">
      <c r="A10675" s="18">
        <v>24.8109103</v>
      </c>
      <c r="B10675" s="18">
        <v>34.836296300000001</v>
      </c>
      <c r="C10675" s="18">
        <v>685603.45</v>
      </c>
      <c r="D10675" s="18">
        <v>2745258.74</v>
      </c>
      <c r="E10675" s="18">
        <v>249.73</v>
      </c>
      <c r="F10675" s="18">
        <v>41959.24</v>
      </c>
      <c r="G10675" s="18">
        <v>135752</v>
      </c>
      <c r="H10675" s="18">
        <f t="shared" si="247"/>
        <v>41929.24</v>
      </c>
    </row>
    <row r="10676" spans="1:8" s="10" customFormat="1" ht="19.5" customHeight="1" x14ac:dyDescent="0.55000000000000004">
      <c r="A10676" s="18">
        <v>24.8109246</v>
      </c>
      <c r="B10676" s="18">
        <v>34.836276499999997</v>
      </c>
      <c r="C10676" s="18">
        <v>685601.42</v>
      </c>
      <c r="D10676" s="18">
        <v>2745260.29</v>
      </c>
      <c r="E10676" s="18">
        <v>249.84</v>
      </c>
      <c r="F10676" s="18">
        <v>41958.77</v>
      </c>
      <c r="G10676" s="18">
        <v>135754</v>
      </c>
      <c r="H10676" s="18">
        <f t="shared" si="247"/>
        <v>41928.769999999997</v>
      </c>
    </row>
    <row r="10677" spans="1:8" s="10" customFormat="1" ht="19.5" customHeight="1" x14ac:dyDescent="0.55000000000000004">
      <c r="A10677" s="18">
        <v>24.810936900000002</v>
      </c>
      <c r="B10677" s="18">
        <v>34.836256499999998</v>
      </c>
      <c r="C10677" s="18">
        <v>685599.38</v>
      </c>
      <c r="D10677" s="18">
        <v>2745261.63</v>
      </c>
      <c r="E10677" s="18">
        <v>249.93</v>
      </c>
      <c r="F10677" s="18">
        <v>41958.12</v>
      </c>
      <c r="G10677" s="18">
        <v>135756</v>
      </c>
      <c r="H10677" s="18">
        <f t="shared" si="247"/>
        <v>41928.120000000003</v>
      </c>
    </row>
    <row r="10678" spans="1:8" s="10" customFormat="1" ht="19.5" customHeight="1" x14ac:dyDescent="0.55000000000000004">
      <c r="A10678" s="18">
        <v>24.810947899999999</v>
      </c>
      <c r="B10678" s="18">
        <v>34.836234099999999</v>
      </c>
      <c r="C10678" s="18">
        <v>685597.1</v>
      </c>
      <c r="D10678" s="18">
        <v>2745262.81</v>
      </c>
      <c r="E10678" s="18">
        <v>250.06</v>
      </c>
      <c r="F10678" s="18">
        <v>41959.72</v>
      </c>
      <c r="G10678" s="18">
        <v>135758</v>
      </c>
      <c r="H10678" s="18">
        <f t="shared" si="247"/>
        <v>41929.72</v>
      </c>
    </row>
    <row r="10679" spans="1:8" s="10" customFormat="1" ht="19.5" customHeight="1" x14ac:dyDescent="0.55000000000000004">
      <c r="A10679" s="18">
        <v>24.810958299999999</v>
      </c>
      <c r="B10679" s="18">
        <v>34.836210999999999</v>
      </c>
      <c r="C10679" s="18">
        <v>685594.75</v>
      </c>
      <c r="D10679" s="18">
        <v>2745263.93</v>
      </c>
      <c r="E10679" s="18">
        <v>250.07</v>
      </c>
      <c r="F10679" s="18">
        <v>41960.9</v>
      </c>
      <c r="G10679" s="18">
        <v>135800</v>
      </c>
      <c r="H10679" s="18">
        <f t="shared" si="247"/>
        <v>41930.9</v>
      </c>
    </row>
    <row r="10680" spans="1:8" s="10" customFormat="1" ht="19.5" customHeight="1" x14ac:dyDescent="0.55000000000000004">
      <c r="A10680" s="18">
        <v>24.810965700000001</v>
      </c>
      <c r="B10680" s="18">
        <v>34.836188900000003</v>
      </c>
      <c r="C10680" s="18">
        <v>685592.5</v>
      </c>
      <c r="D10680" s="18">
        <v>2745264.72</v>
      </c>
      <c r="E10680" s="18">
        <v>250.12</v>
      </c>
      <c r="F10680" s="18">
        <v>41963.05</v>
      </c>
      <c r="G10680" s="18">
        <v>135802</v>
      </c>
      <c r="H10680" s="18">
        <f t="shared" si="247"/>
        <v>41933.050000000003</v>
      </c>
    </row>
    <row r="10681" spans="1:8" s="10" customFormat="1" ht="19.5" customHeight="1" x14ac:dyDescent="0.55000000000000004">
      <c r="A10681" s="18">
        <v>24.810965700000001</v>
      </c>
      <c r="B10681" s="18">
        <v>34.836164599999996</v>
      </c>
      <c r="C10681" s="18">
        <v>685590.04</v>
      </c>
      <c r="D10681" s="18">
        <v>2745264.69</v>
      </c>
      <c r="E10681" s="18">
        <v>250.29</v>
      </c>
      <c r="F10681" s="18">
        <v>41962.48</v>
      </c>
      <c r="G10681" s="18">
        <v>135804</v>
      </c>
      <c r="H10681" s="18">
        <f t="shared" si="247"/>
        <v>41932.480000000003</v>
      </c>
    </row>
    <row r="10682" spans="1:8" s="10" customFormat="1" ht="19.5" customHeight="1" x14ac:dyDescent="0.55000000000000004">
      <c r="A10682" s="18">
        <v>24.810963999999998</v>
      </c>
      <c r="B10682" s="18">
        <v>34.836143399999997</v>
      </c>
      <c r="C10682" s="18">
        <v>685587.9</v>
      </c>
      <c r="D10682" s="18">
        <v>2745264.47</v>
      </c>
      <c r="E10682" s="18">
        <v>250.51</v>
      </c>
      <c r="F10682" s="18">
        <v>41965.98</v>
      </c>
      <c r="G10682" s="18">
        <v>135806</v>
      </c>
      <c r="H10682" s="18">
        <f t="shared" si="247"/>
        <v>41935.980000000003</v>
      </c>
    </row>
    <row r="10683" spans="1:8" s="10" customFormat="1" ht="19.5" customHeight="1" x14ac:dyDescent="0.55000000000000004">
      <c r="A10683" s="18">
        <v>24.810968200000001</v>
      </c>
      <c r="B10683" s="18">
        <v>34.836119799999999</v>
      </c>
      <c r="C10683" s="18">
        <v>685585.52</v>
      </c>
      <c r="D10683" s="18">
        <v>2745264.9</v>
      </c>
      <c r="E10683" s="18">
        <v>250.53</v>
      </c>
      <c r="F10683" s="18">
        <v>41968.41</v>
      </c>
      <c r="G10683" s="18">
        <v>135808</v>
      </c>
      <c r="H10683" s="18">
        <f t="shared" si="247"/>
        <v>41938.410000000003</v>
      </c>
    </row>
    <row r="10684" spans="1:8" s="10" customFormat="1" ht="19.5" customHeight="1" x14ac:dyDescent="0.55000000000000004">
      <c r="A10684" s="18">
        <v>24.810977300000001</v>
      </c>
      <c r="B10684" s="18">
        <v>34.836098100000001</v>
      </c>
      <c r="C10684" s="18">
        <v>685583.3</v>
      </c>
      <c r="D10684" s="18">
        <v>2745265.88</v>
      </c>
      <c r="E10684" s="18">
        <v>250.52</v>
      </c>
      <c r="F10684" s="18">
        <v>41965.43</v>
      </c>
      <c r="G10684" s="18">
        <v>135810</v>
      </c>
      <c r="H10684" s="18">
        <f t="shared" si="247"/>
        <v>41935.43</v>
      </c>
    </row>
    <row r="10685" spans="1:8" s="10" customFormat="1" ht="19.5" customHeight="1" x14ac:dyDescent="0.55000000000000004">
      <c r="A10685" s="18">
        <v>24.810980700000002</v>
      </c>
      <c r="B10685" s="18">
        <v>34.836074000000004</v>
      </c>
      <c r="C10685" s="18">
        <v>685580.86</v>
      </c>
      <c r="D10685" s="18">
        <v>2745266.23</v>
      </c>
      <c r="E10685" s="18">
        <v>250.69</v>
      </c>
      <c r="F10685" s="18">
        <v>41963.94</v>
      </c>
      <c r="G10685" s="18">
        <v>135812</v>
      </c>
      <c r="H10685" s="18">
        <f t="shared" si="247"/>
        <v>41933.94</v>
      </c>
    </row>
    <row r="10686" spans="1:8" s="10" customFormat="1" ht="19.5" customHeight="1" x14ac:dyDescent="0.55000000000000004">
      <c r="A10686" s="18">
        <v>24.810982200000002</v>
      </c>
      <c r="B10686" s="18">
        <v>34.836047600000001</v>
      </c>
      <c r="C10686" s="18">
        <v>685578.19</v>
      </c>
      <c r="D10686" s="18">
        <v>2745266.35</v>
      </c>
      <c r="E10686" s="18">
        <v>250.81</v>
      </c>
      <c r="F10686" s="18">
        <v>41959.14</v>
      </c>
      <c r="G10686" s="18">
        <v>135814</v>
      </c>
      <c r="H10686" s="18">
        <f t="shared" si="247"/>
        <v>41929.14</v>
      </c>
    </row>
    <row r="10687" spans="1:8" s="10" customFormat="1" ht="19.5" customHeight="1" x14ac:dyDescent="0.55000000000000004">
      <c r="A10687" s="18">
        <v>24.810981000000002</v>
      </c>
      <c r="B10687" s="18">
        <v>34.836024000000002</v>
      </c>
      <c r="C10687" s="18">
        <v>685575.81</v>
      </c>
      <c r="D10687" s="18">
        <v>2745266.19</v>
      </c>
      <c r="E10687" s="18">
        <v>250.96</v>
      </c>
      <c r="F10687" s="18">
        <v>41956.75</v>
      </c>
      <c r="G10687" s="18">
        <v>135816</v>
      </c>
      <c r="H10687" s="18">
        <f t="shared" si="247"/>
        <v>41926.75</v>
      </c>
    </row>
    <row r="10688" spans="1:8" s="10" customFormat="1" ht="19.5" customHeight="1" x14ac:dyDescent="0.55000000000000004">
      <c r="A10688" s="18">
        <v>24.810975599999999</v>
      </c>
      <c r="B10688" s="18">
        <v>34.835998199999999</v>
      </c>
      <c r="C10688" s="18">
        <v>685573.21</v>
      </c>
      <c r="D10688" s="18">
        <v>2745265.56</v>
      </c>
      <c r="E10688" s="18">
        <v>251.07</v>
      </c>
      <c r="F10688" s="18">
        <v>41966.75</v>
      </c>
      <c r="G10688" s="18">
        <v>135818</v>
      </c>
      <c r="H10688" s="18">
        <f t="shared" si="247"/>
        <v>41936.75</v>
      </c>
    </row>
    <row r="10689" spans="1:8" s="10" customFormat="1" ht="19.5" customHeight="1" x14ac:dyDescent="0.55000000000000004">
      <c r="A10689" s="18">
        <v>24.8109702</v>
      </c>
      <c r="B10689" s="18">
        <v>34.835972300000002</v>
      </c>
      <c r="C10689" s="18">
        <v>685570.6</v>
      </c>
      <c r="D10689" s="18">
        <v>2745264.93</v>
      </c>
      <c r="E10689" s="18">
        <v>251.08</v>
      </c>
      <c r="F10689" s="18">
        <v>41965.59</v>
      </c>
      <c r="G10689" s="18">
        <v>135820</v>
      </c>
      <c r="H10689" s="18">
        <f t="shared" si="247"/>
        <v>41935.589999999997</v>
      </c>
    </row>
    <row r="10690" spans="1:8" s="10" customFormat="1" ht="19.5" customHeight="1" x14ac:dyDescent="0.55000000000000004">
      <c r="A10690" s="18">
        <v>24.810965499999998</v>
      </c>
      <c r="B10690" s="18">
        <v>34.835947599999997</v>
      </c>
      <c r="C10690" s="18">
        <v>685568.1</v>
      </c>
      <c r="D10690" s="18">
        <v>2745264.38</v>
      </c>
      <c r="E10690" s="18">
        <v>251.18</v>
      </c>
      <c r="F10690" s="18">
        <v>41962.76</v>
      </c>
      <c r="G10690" s="18">
        <v>135822</v>
      </c>
      <c r="H10690" s="18">
        <f t="shared" si="247"/>
        <v>41932.76</v>
      </c>
    </row>
    <row r="10691" spans="1:8" s="10" customFormat="1" ht="19.5" customHeight="1" x14ac:dyDescent="0.55000000000000004">
      <c r="A10691" s="18">
        <v>24.810962100000001</v>
      </c>
      <c r="B10691" s="18">
        <v>34.835921200000001</v>
      </c>
      <c r="C10691" s="18">
        <v>685565.43999999994</v>
      </c>
      <c r="D10691" s="18">
        <v>2745263.96</v>
      </c>
      <c r="E10691" s="18">
        <v>251.15</v>
      </c>
      <c r="F10691" s="18">
        <v>41960.4</v>
      </c>
      <c r="G10691" s="18">
        <v>135824</v>
      </c>
      <c r="H10691" s="18">
        <f t="shared" si="247"/>
        <v>41930.400000000001</v>
      </c>
    </row>
    <row r="10692" spans="1:8" s="10" customFormat="1" ht="19.5" customHeight="1" x14ac:dyDescent="0.55000000000000004">
      <c r="A10692" s="18">
        <v>24.810958299999999</v>
      </c>
      <c r="B10692" s="18">
        <v>34.835894600000003</v>
      </c>
      <c r="C10692" s="18">
        <v>685562.76</v>
      </c>
      <c r="D10692" s="18">
        <v>2745263.5</v>
      </c>
      <c r="E10692" s="18">
        <v>251.01</v>
      </c>
      <c r="F10692" s="18">
        <v>41962.75</v>
      </c>
      <c r="G10692" s="18">
        <v>135826</v>
      </c>
      <c r="H10692" s="18">
        <f t="shared" si="247"/>
        <v>41932.75</v>
      </c>
    </row>
    <row r="10693" spans="1:8" s="10" customFormat="1" ht="19.5" customHeight="1" x14ac:dyDescent="0.55000000000000004">
      <c r="A10693" s="18">
        <v>24.810955199999999</v>
      </c>
      <c r="B10693" s="18">
        <v>34.8358676</v>
      </c>
      <c r="C10693" s="18">
        <v>685560.04</v>
      </c>
      <c r="D10693" s="18">
        <v>2745263.12</v>
      </c>
      <c r="E10693" s="18">
        <v>250.92</v>
      </c>
      <c r="F10693" s="18">
        <v>41965.25</v>
      </c>
      <c r="G10693" s="18">
        <v>135828</v>
      </c>
      <c r="H10693" s="18">
        <f t="shared" si="247"/>
        <v>41935.25</v>
      </c>
    </row>
    <row r="10694" spans="1:8" s="10" customFormat="1" ht="19.5" customHeight="1" x14ac:dyDescent="0.55000000000000004">
      <c r="A10694" s="18">
        <v>24.810953399999999</v>
      </c>
      <c r="B10694" s="18">
        <v>34.835841100000003</v>
      </c>
      <c r="C10694" s="18">
        <v>685557.36</v>
      </c>
      <c r="D10694" s="18">
        <v>2745262.89</v>
      </c>
      <c r="E10694" s="18">
        <v>250.88</v>
      </c>
      <c r="F10694" s="18">
        <v>41965.33</v>
      </c>
      <c r="G10694" s="18">
        <v>135830</v>
      </c>
      <c r="H10694" s="18">
        <f t="shared" si="247"/>
        <v>41935.33</v>
      </c>
    </row>
    <row r="10695" spans="1:8" s="10" customFormat="1" ht="19.5" customHeight="1" x14ac:dyDescent="0.55000000000000004">
      <c r="A10695" s="18">
        <v>24.810955799999999</v>
      </c>
      <c r="B10695" s="18">
        <v>34.835815199999999</v>
      </c>
      <c r="C10695" s="18">
        <v>685554.74</v>
      </c>
      <c r="D10695" s="18">
        <v>2745263.12</v>
      </c>
      <c r="E10695" s="18">
        <v>250.86</v>
      </c>
      <c r="F10695" s="18">
        <v>41965.73</v>
      </c>
      <c r="G10695" s="18">
        <v>135832</v>
      </c>
      <c r="H10695" s="18">
        <f t="shared" si="247"/>
        <v>41935.730000000003</v>
      </c>
    </row>
    <row r="10696" spans="1:8" s="10" customFormat="1" ht="19.5" customHeight="1" x14ac:dyDescent="0.55000000000000004">
      <c r="A10696" s="18">
        <v>24.810957399999999</v>
      </c>
      <c r="B10696" s="18">
        <v>34.835789400000003</v>
      </c>
      <c r="C10696" s="18">
        <v>685552.12</v>
      </c>
      <c r="D10696" s="18">
        <v>2745263.26</v>
      </c>
      <c r="E10696" s="18">
        <v>250.72</v>
      </c>
      <c r="F10696" s="18">
        <v>41967.27</v>
      </c>
      <c r="G10696" s="18">
        <v>135834</v>
      </c>
      <c r="H10696" s="18">
        <f t="shared" si="247"/>
        <v>41937.269999999997</v>
      </c>
    </row>
    <row r="10697" spans="1:8" s="10" customFormat="1" ht="19.5" customHeight="1" x14ac:dyDescent="0.55000000000000004">
      <c r="A10697" s="18">
        <v>24.810962100000001</v>
      </c>
      <c r="B10697" s="18">
        <v>34.835765000000002</v>
      </c>
      <c r="C10697" s="18">
        <v>685549.65</v>
      </c>
      <c r="D10697" s="18">
        <v>2745263.74</v>
      </c>
      <c r="E10697" s="18">
        <v>250.74</v>
      </c>
      <c r="F10697" s="18">
        <v>41966.53</v>
      </c>
      <c r="G10697" s="18">
        <v>135836</v>
      </c>
      <c r="H10697" s="18">
        <f t="shared" ref="H10697:H10760" si="248">SUM(F10697-30)</f>
        <v>41936.53</v>
      </c>
    </row>
    <row r="10698" spans="1:8" s="10" customFormat="1" ht="19.5" customHeight="1" x14ac:dyDescent="0.55000000000000004">
      <c r="A10698" s="18">
        <v>24.810971899999998</v>
      </c>
      <c r="B10698" s="18">
        <v>34.8357429</v>
      </c>
      <c r="C10698" s="18">
        <v>685547.41</v>
      </c>
      <c r="D10698" s="18">
        <v>2745264.81</v>
      </c>
      <c r="E10698" s="18">
        <v>250.72</v>
      </c>
      <c r="F10698" s="18">
        <v>41966.44</v>
      </c>
      <c r="G10698" s="18">
        <v>135838</v>
      </c>
      <c r="H10698" s="18">
        <f t="shared" si="248"/>
        <v>41936.44</v>
      </c>
    </row>
    <row r="10699" spans="1:8" s="10" customFormat="1" ht="19.5" customHeight="1" x14ac:dyDescent="0.55000000000000004">
      <c r="A10699" s="18">
        <v>24.810984699999999</v>
      </c>
      <c r="B10699" s="18">
        <v>34.835722500000003</v>
      </c>
      <c r="C10699" s="18">
        <v>685545.32</v>
      </c>
      <c r="D10699" s="18">
        <v>2745266.2</v>
      </c>
      <c r="E10699" s="18">
        <v>250.66</v>
      </c>
      <c r="F10699" s="18">
        <v>41963.21</v>
      </c>
      <c r="G10699" s="18">
        <v>135840</v>
      </c>
      <c r="H10699" s="18">
        <f t="shared" si="248"/>
        <v>41933.21</v>
      </c>
    </row>
    <row r="10700" spans="1:8" s="10" customFormat="1" ht="19.5" customHeight="1" x14ac:dyDescent="0.55000000000000004">
      <c r="A10700" s="18">
        <v>24.8109991</v>
      </c>
      <c r="B10700" s="18">
        <v>34.835703500000001</v>
      </c>
      <c r="C10700" s="18">
        <v>685543.38</v>
      </c>
      <c r="D10700" s="18">
        <v>2745267.76</v>
      </c>
      <c r="E10700" s="18">
        <v>250.68</v>
      </c>
      <c r="F10700" s="18">
        <v>41964.160000000003</v>
      </c>
      <c r="G10700" s="18">
        <v>135842</v>
      </c>
      <c r="H10700" s="18">
        <f t="shared" si="248"/>
        <v>41934.160000000003</v>
      </c>
    </row>
    <row r="10701" spans="1:8" s="10" customFormat="1" ht="19.5" customHeight="1" x14ac:dyDescent="0.55000000000000004">
      <c r="A10701" s="18">
        <v>24.8110125</v>
      </c>
      <c r="B10701" s="18">
        <v>34.835683400000001</v>
      </c>
      <c r="C10701" s="18">
        <v>685541.33</v>
      </c>
      <c r="D10701" s="18">
        <v>2745269.22</v>
      </c>
      <c r="E10701" s="18">
        <v>250.58</v>
      </c>
      <c r="F10701" s="18">
        <v>41963.3</v>
      </c>
      <c r="G10701" s="18">
        <v>135844</v>
      </c>
      <c r="H10701" s="18">
        <f t="shared" si="248"/>
        <v>41933.300000000003</v>
      </c>
    </row>
    <row r="10702" spans="1:8" s="10" customFormat="1" ht="19.5" customHeight="1" x14ac:dyDescent="0.55000000000000004">
      <c r="A10702" s="18">
        <v>24.811028499999999</v>
      </c>
      <c r="B10702" s="18">
        <v>34.835666699999997</v>
      </c>
      <c r="C10702" s="18">
        <v>685539.61</v>
      </c>
      <c r="D10702" s="18">
        <v>2745270.97</v>
      </c>
      <c r="E10702" s="18">
        <v>250.58</v>
      </c>
      <c r="F10702" s="18">
        <v>41959.18</v>
      </c>
      <c r="G10702" s="18">
        <v>135846</v>
      </c>
      <c r="H10702" s="18">
        <f t="shared" si="248"/>
        <v>41929.18</v>
      </c>
    </row>
    <row r="10703" spans="1:8" s="10" customFormat="1" ht="19.5" customHeight="1" x14ac:dyDescent="0.55000000000000004">
      <c r="A10703" s="18">
        <v>24.811046000000001</v>
      </c>
      <c r="B10703" s="18">
        <v>34.835649600000004</v>
      </c>
      <c r="C10703" s="18">
        <v>685537.86</v>
      </c>
      <c r="D10703" s="18">
        <v>2745272.88</v>
      </c>
      <c r="E10703" s="18">
        <v>250.64</v>
      </c>
      <c r="F10703" s="18">
        <v>41958.42</v>
      </c>
      <c r="G10703" s="18">
        <v>135848</v>
      </c>
      <c r="H10703" s="18">
        <f t="shared" si="248"/>
        <v>41928.42</v>
      </c>
    </row>
    <row r="10704" spans="1:8" s="10" customFormat="1" ht="19.5" customHeight="1" x14ac:dyDescent="0.55000000000000004">
      <c r="A10704" s="18">
        <v>24.8110626</v>
      </c>
      <c r="B10704" s="18">
        <v>34.835631300000003</v>
      </c>
      <c r="C10704" s="18">
        <v>685535.98</v>
      </c>
      <c r="D10704" s="18">
        <v>2745274.7</v>
      </c>
      <c r="E10704" s="18">
        <v>250.77</v>
      </c>
      <c r="F10704" s="18">
        <v>41959.37</v>
      </c>
      <c r="G10704" s="18">
        <v>135850</v>
      </c>
      <c r="H10704" s="18">
        <f t="shared" si="248"/>
        <v>41929.370000000003</v>
      </c>
    </row>
    <row r="10705" spans="1:8" s="10" customFormat="1" ht="19.5" customHeight="1" x14ac:dyDescent="0.55000000000000004">
      <c r="A10705" s="18">
        <v>24.811083199999999</v>
      </c>
      <c r="B10705" s="18">
        <v>34.835615400000002</v>
      </c>
      <c r="C10705" s="18">
        <v>685534.34</v>
      </c>
      <c r="D10705" s="18">
        <v>2745276.96</v>
      </c>
      <c r="E10705" s="18">
        <v>250.96</v>
      </c>
      <c r="F10705" s="18">
        <v>41962.559999999998</v>
      </c>
      <c r="G10705" s="18">
        <v>135852</v>
      </c>
      <c r="H10705" s="18">
        <f t="shared" si="248"/>
        <v>41932.559999999998</v>
      </c>
    </row>
    <row r="10706" spans="1:8" s="10" customFormat="1" ht="19.5" customHeight="1" x14ac:dyDescent="0.55000000000000004">
      <c r="A10706" s="18">
        <v>24.811107100000001</v>
      </c>
      <c r="B10706" s="18">
        <v>34.835603599999999</v>
      </c>
      <c r="C10706" s="18">
        <v>685533.12</v>
      </c>
      <c r="D10706" s="18">
        <v>2745279.59</v>
      </c>
      <c r="E10706" s="18">
        <v>251.07</v>
      </c>
      <c r="F10706" s="18">
        <v>41958.7</v>
      </c>
      <c r="G10706" s="18">
        <v>135854</v>
      </c>
      <c r="H10706" s="18">
        <f t="shared" si="248"/>
        <v>41928.699999999997</v>
      </c>
    </row>
    <row r="10707" spans="1:8" s="10" customFormat="1" ht="19.5" customHeight="1" x14ac:dyDescent="0.55000000000000004">
      <c r="A10707" s="18">
        <v>24.8111307</v>
      </c>
      <c r="B10707" s="18">
        <v>34.835593199999998</v>
      </c>
      <c r="C10707" s="18">
        <v>685532.03</v>
      </c>
      <c r="D10707" s="18">
        <v>2745282.19</v>
      </c>
      <c r="E10707" s="18">
        <v>251.06</v>
      </c>
      <c r="F10707" s="18">
        <v>41961.66</v>
      </c>
      <c r="G10707" s="18">
        <v>135856</v>
      </c>
      <c r="H10707" s="18">
        <f t="shared" si="248"/>
        <v>41931.660000000003</v>
      </c>
    </row>
    <row r="10708" spans="1:8" s="10" customFormat="1" ht="19.5" customHeight="1" x14ac:dyDescent="0.55000000000000004">
      <c r="A10708" s="18">
        <v>24.811151800000001</v>
      </c>
      <c r="B10708" s="18">
        <v>34.8355794</v>
      </c>
      <c r="C10708" s="18">
        <v>685530.6</v>
      </c>
      <c r="D10708" s="18">
        <v>2745284.51</v>
      </c>
      <c r="E10708" s="18">
        <v>251.11</v>
      </c>
      <c r="F10708" s="18">
        <v>41959.71</v>
      </c>
      <c r="G10708" s="18">
        <v>135858</v>
      </c>
      <c r="H10708" s="18">
        <f t="shared" si="248"/>
        <v>41929.71</v>
      </c>
    </row>
    <row r="10709" spans="1:8" s="10" customFormat="1" ht="19.5" customHeight="1" x14ac:dyDescent="0.55000000000000004">
      <c r="A10709" s="18">
        <v>24.811171699999999</v>
      </c>
      <c r="B10709" s="18">
        <v>34.8355636</v>
      </c>
      <c r="C10709" s="18">
        <v>685528.97</v>
      </c>
      <c r="D10709" s="18">
        <v>2745286.69</v>
      </c>
      <c r="E10709" s="18">
        <v>251.32</v>
      </c>
      <c r="F10709" s="18">
        <v>41961.93</v>
      </c>
      <c r="G10709" s="18">
        <v>135900</v>
      </c>
      <c r="H10709" s="18">
        <f t="shared" si="248"/>
        <v>41931.93</v>
      </c>
    </row>
    <row r="10710" spans="1:8" s="10" customFormat="1" ht="19.5" customHeight="1" x14ac:dyDescent="0.55000000000000004">
      <c r="A10710" s="18">
        <v>24.811188999999999</v>
      </c>
      <c r="B10710" s="18">
        <v>34.835550099999999</v>
      </c>
      <c r="C10710" s="18">
        <v>685527.59</v>
      </c>
      <c r="D10710" s="18">
        <v>2745288.58</v>
      </c>
      <c r="E10710" s="18">
        <v>251.5</v>
      </c>
      <c r="F10710" s="18">
        <v>41961.96</v>
      </c>
      <c r="G10710" s="18">
        <v>135902</v>
      </c>
      <c r="H10710" s="18">
        <f t="shared" si="248"/>
        <v>41931.96</v>
      </c>
    </row>
    <row r="10711" spans="1:8" s="10" customFormat="1" ht="19.5" customHeight="1" x14ac:dyDescent="0.55000000000000004">
      <c r="A10711" s="18">
        <v>24.811210899999999</v>
      </c>
      <c r="B10711" s="18">
        <v>34.835539799999999</v>
      </c>
      <c r="C10711" s="18">
        <v>685526.51</v>
      </c>
      <c r="D10711" s="18">
        <v>2745290.99</v>
      </c>
      <c r="E10711" s="18">
        <v>251.63</v>
      </c>
      <c r="F10711" s="18">
        <v>41960.25</v>
      </c>
      <c r="G10711" s="18">
        <v>135904</v>
      </c>
      <c r="H10711" s="18">
        <f t="shared" si="248"/>
        <v>41930.25</v>
      </c>
    </row>
    <row r="10712" spans="1:8" s="10" customFormat="1" ht="19.5" customHeight="1" x14ac:dyDescent="0.55000000000000004">
      <c r="A10712" s="18">
        <v>24.8112301</v>
      </c>
      <c r="B10712" s="18">
        <v>34.835528099999998</v>
      </c>
      <c r="C10712" s="18">
        <v>685525.3</v>
      </c>
      <c r="D10712" s="18">
        <v>2745293.11</v>
      </c>
      <c r="E10712" s="18">
        <v>251.83</v>
      </c>
      <c r="F10712" s="18">
        <v>41959.3</v>
      </c>
      <c r="G10712" s="18">
        <v>135906</v>
      </c>
      <c r="H10712" s="18">
        <f t="shared" si="248"/>
        <v>41929.300000000003</v>
      </c>
    </row>
    <row r="10713" spans="1:8" s="10" customFormat="1" ht="19.5" customHeight="1" x14ac:dyDescent="0.55000000000000004">
      <c r="A10713" s="18">
        <v>24.811251299999999</v>
      </c>
      <c r="B10713" s="18">
        <v>34.835520000000002</v>
      </c>
      <c r="C10713" s="18">
        <v>685524.45</v>
      </c>
      <c r="D10713" s="18">
        <v>2745295.45</v>
      </c>
      <c r="E10713" s="18">
        <v>251.79</v>
      </c>
      <c r="F10713" s="18">
        <v>41958.52</v>
      </c>
      <c r="G10713" s="18">
        <v>135908</v>
      </c>
      <c r="H10713" s="18">
        <f t="shared" si="248"/>
        <v>41928.519999999997</v>
      </c>
    </row>
    <row r="10714" spans="1:8" s="10" customFormat="1" ht="19.5" customHeight="1" x14ac:dyDescent="0.55000000000000004">
      <c r="A10714" s="18">
        <v>24.8112721</v>
      </c>
      <c r="B10714" s="18">
        <v>34.835512000000001</v>
      </c>
      <c r="C10714" s="18">
        <v>685523.61</v>
      </c>
      <c r="D10714" s="18">
        <v>2745297.74</v>
      </c>
      <c r="E10714" s="18">
        <v>252.05</v>
      </c>
      <c r="F10714" s="18">
        <v>41957.55</v>
      </c>
      <c r="G10714" s="18">
        <v>135910</v>
      </c>
      <c r="H10714" s="18">
        <f t="shared" si="248"/>
        <v>41927.550000000003</v>
      </c>
    </row>
    <row r="10715" spans="1:8" s="10" customFormat="1" ht="19.5" customHeight="1" x14ac:dyDescent="0.55000000000000004">
      <c r="A10715" s="18">
        <v>24.8112922</v>
      </c>
      <c r="B10715" s="18">
        <v>34.835502499999997</v>
      </c>
      <c r="C10715" s="18">
        <v>685522.62</v>
      </c>
      <c r="D10715" s="18">
        <v>2745299.95</v>
      </c>
      <c r="E10715" s="18">
        <v>252.13</v>
      </c>
      <c r="F10715" s="18">
        <v>41957.65</v>
      </c>
      <c r="G10715" s="18">
        <v>135912</v>
      </c>
      <c r="H10715" s="18">
        <f t="shared" si="248"/>
        <v>41927.65</v>
      </c>
    </row>
    <row r="10716" spans="1:8" s="10" customFormat="1" ht="19.5" customHeight="1" x14ac:dyDescent="0.55000000000000004">
      <c r="A10716" s="18">
        <v>24.811313699999999</v>
      </c>
      <c r="B10716" s="18">
        <v>34.835494099999998</v>
      </c>
      <c r="C10716" s="18">
        <v>685521.74</v>
      </c>
      <c r="D10716" s="18">
        <v>2745302.33</v>
      </c>
      <c r="E10716" s="18">
        <v>252.17</v>
      </c>
      <c r="F10716" s="18">
        <v>41956.47</v>
      </c>
      <c r="G10716" s="18">
        <v>135914</v>
      </c>
      <c r="H10716" s="18">
        <f t="shared" si="248"/>
        <v>41926.47</v>
      </c>
    </row>
    <row r="10717" spans="1:8" s="10" customFormat="1" ht="19.5" customHeight="1" x14ac:dyDescent="0.55000000000000004">
      <c r="A10717" s="18">
        <v>24.811334599999999</v>
      </c>
      <c r="B10717" s="18">
        <v>34.835483600000003</v>
      </c>
      <c r="C10717" s="18">
        <v>685520.65</v>
      </c>
      <c r="D10717" s="18">
        <v>2745304.62</v>
      </c>
      <c r="E10717" s="18">
        <v>252.19</v>
      </c>
      <c r="F10717" s="18">
        <v>41954.04</v>
      </c>
      <c r="G10717" s="18">
        <v>135916</v>
      </c>
      <c r="H10717" s="18">
        <f t="shared" si="248"/>
        <v>41924.04</v>
      </c>
    </row>
    <row r="10718" spans="1:8" s="10" customFormat="1" ht="19.5" customHeight="1" x14ac:dyDescent="0.55000000000000004">
      <c r="A10718" s="18">
        <v>24.811348299999999</v>
      </c>
      <c r="B10718" s="18">
        <v>34.835468400000003</v>
      </c>
      <c r="C10718" s="18">
        <v>685519.09</v>
      </c>
      <c r="D10718" s="18">
        <v>2745306.12</v>
      </c>
      <c r="E10718" s="18">
        <v>252.48</v>
      </c>
      <c r="F10718" s="18">
        <v>41952.83</v>
      </c>
      <c r="G10718" s="18">
        <v>135918</v>
      </c>
      <c r="H10718" s="18">
        <f t="shared" si="248"/>
        <v>41922.83</v>
      </c>
    </row>
    <row r="10719" spans="1:8" s="10" customFormat="1" ht="19.5" customHeight="1" x14ac:dyDescent="0.55000000000000004">
      <c r="A10719" s="18">
        <v>24.811363799999999</v>
      </c>
      <c r="B10719" s="18">
        <v>34.835453700000002</v>
      </c>
      <c r="C10719" s="18">
        <v>685517.58</v>
      </c>
      <c r="D10719" s="18">
        <v>2745307.82</v>
      </c>
      <c r="E10719" s="18">
        <v>252.72</v>
      </c>
      <c r="F10719" s="18">
        <v>41948.12</v>
      </c>
      <c r="G10719" s="18">
        <v>135920</v>
      </c>
      <c r="H10719" s="18">
        <f t="shared" si="248"/>
        <v>41918.120000000003</v>
      </c>
    </row>
    <row r="10720" spans="1:8" s="10" customFormat="1" ht="19.5" customHeight="1" x14ac:dyDescent="0.55000000000000004">
      <c r="A10720" s="18">
        <v>24.8113815</v>
      </c>
      <c r="B10720" s="18">
        <v>34.835442100000002</v>
      </c>
      <c r="C10720" s="18">
        <v>685516.38</v>
      </c>
      <c r="D10720" s="18">
        <v>2745309.76</v>
      </c>
      <c r="E10720" s="18">
        <v>252.99</v>
      </c>
      <c r="F10720" s="18">
        <v>41949.63</v>
      </c>
      <c r="G10720" s="18">
        <v>135922</v>
      </c>
      <c r="H10720" s="18">
        <f t="shared" si="248"/>
        <v>41919.629999999997</v>
      </c>
    </row>
    <row r="10721" spans="1:8" s="10" customFormat="1" ht="19.5" customHeight="1" x14ac:dyDescent="0.55000000000000004">
      <c r="A10721" s="18">
        <v>24.811396200000001</v>
      </c>
      <c r="B10721" s="18">
        <v>34.835427000000003</v>
      </c>
      <c r="C10721" s="18">
        <v>685514.83</v>
      </c>
      <c r="D10721" s="18">
        <v>2745311.37</v>
      </c>
      <c r="E10721" s="18">
        <v>252.96</v>
      </c>
      <c r="F10721" s="18">
        <v>41951.77</v>
      </c>
      <c r="G10721" s="18">
        <v>135924</v>
      </c>
      <c r="H10721" s="18">
        <f t="shared" si="248"/>
        <v>41921.769999999997</v>
      </c>
    </row>
    <row r="10722" spans="1:8" s="10" customFormat="1" ht="19.5" customHeight="1" x14ac:dyDescent="0.55000000000000004">
      <c r="A10722" s="18">
        <v>24.811413399999999</v>
      </c>
      <c r="B10722" s="18">
        <v>34.835414</v>
      </c>
      <c r="C10722" s="18">
        <v>685513.49</v>
      </c>
      <c r="D10722" s="18">
        <v>2745313.26</v>
      </c>
      <c r="E10722" s="18">
        <v>253.03</v>
      </c>
      <c r="F10722" s="18">
        <v>41955.91</v>
      </c>
      <c r="G10722" s="18">
        <v>135926</v>
      </c>
      <c r="H10722" s="18">
        <f t="shared" si="248"/>
        <v>41925.910000000003</v>
      </c>
    </row>
    <row r="10723" spans="1:8" s="10" customFormat="1" ht="19.5" customHeight="1" x14ac:dyDescent="0.55000000000000004">
      <c r="A10723" s="18">
        <v>24.811430300000001</v>
      </c>
      <c r="B10723" s="18">
        <v>34.835402899999998</v>
      </c>
      <c r="C10723" s="18">
        <v>685512.35</v>
      </c>
      <c r="D10723" s="18">
        <v>2745315.12</v>
      </c>
      <c r="E10723" s="18">
        <v>253.18</v>
      </c>
      <c r="F10723" s="18">
        <v>41963.29</v>
      </c>
      <c r="G10723" s="18">
        <v>135928</v>
      </c>
      <c r="H10723" s="18">
        <f t="shared" si="248"/>
        <v>41933.29</v>
      </c>
    </row>
    <row r="10724" spans="1:8" s="10" customFormat="1" ht="19.5" customHeight="1" x14ac:dyDescent="0.55000000000000004">
      <c r="A10724" s="18">
        <v>24.811450399999998</v>
      </c>
      <c r="B10724" s="18">
        <v>34.835395499999997</v>
      </c>
      <c r="C10724" s="18">
        <v>685511.56</v>
      </c>
      <c r="D10724" s="18">
        <v>2745317.33</v>
      </c>
      <c r="E10724" s="18">
        <v>253.42</v>
      </c>
      <c r="F10724" s="18">
        <v>41969.41</v>
      </c>
      <c r="G10724" s="18">
        <v>135930</v>
      </c>
      <c r="H10724" s="18">
        <f t="shared" si="248"/>
        <v>41939.410000000003</v>
      </c>
    </row>
    <row r="10725" spans="1:8" s="10" customFormat="1" ht="19.5" customHeight="1" x14ac:dyDescent="0.55000000000000004">
      <c r="A10725" s="18">
        <v>24.8114685</v>
      </c>
      <c r="B10725" s="18">
        <v>34.835387099999998</v>
      </c>
      <c r="C10725" s="18">
        <v>685510.69</v>
      </c>
      <c r="D10725" s="18">
        <v>2745319.32</v>
      </c>
      <c r="E10725" s="18">
        <v>253.46</v>
      </c>
      <c r="F10725" s="18">
        <v>41972.18</v>
      </c>
      <c r="G10725" s="18">
        <v>135932</v>
      </c>
      <c r="H10725" s="18">
        <f t="shared" si="248"/>
        <v>41942.18</v>
      </c>
    </row>
    <row r="10726" spans="1:8" s="10" customFormat="1" ht="19.5" customHeight="1" x14ac:dyDescent="0.55000000000000004">
      <c r="A10726" s="18">
        <v>24.8114864</v>
      </c>
      <c r="B10726" s="18">
        <v>34.835380100000002</v>
      </c>
      <c r="C10726" s="18">
        <v>685509.96</v>
      </c>
      <c r="D10726" s="18">
        <v>2745321.29</v>
      </c>
      <c r="E10726" s="18">
        <v>253.37</v>
      </c>
      <c r="F10726" s="18">
        <v>41969.56</v>
      </c>
      <c r="G10726" s="18">
        <v>135934</v>
      </c>
      <c r="H10726" s="18">
        <f t="shared" si="248"/>
        <v>41939.56</v>
      </c>
    </row>
    <row r="10727" spans="1:8" s="10" customFormat="1" ht="19.5" customHeight="1" x14ac:dyDescent="0.55000000000000004">
      <c r="A10727" s="18">
        <v>24.811502099999998</v>
      </c>
      <c r="B10727" s="18">
        <v>34.835366299999997</v>
      </c>
      <c r="C10727" s="18">
        <v>685508.54</v>
      </c>
      <c r="D10727" s="18">
        <v>2745323.02</v>
      </c>
      <c r="E10727" s="18">
        <v>253.5</v>
      </c>
      <c r="F10727" s="18">
        <v>41969.11</v>
      </c>
      <c r="G10727" s="18">
        <v>135936</v>
      </c>
      <c r="H10727" s="18">
        <f t="shared" si="248"/>
        <v>41939.11</v>
      </c>
    </row>
    <row r="10728" spans="1:8" s="10" customFormat="1" ht="19.5" customHeight="1" x14ac:dyDescent="0.55000000000000004">
      <c r="A10728" s="18">
        <v>24.8115168</v>
      </c>
      <c r="B10728" s="18">
        <v>34.835354100000004</v>
      </c>
      <c r="C10728" s="18">
        <v>685507.29</v>
      </c>
      <c r="D10728" s="18">
        <v>2745324.63</v>
      </c>
      <c r="E10728" s="18">
        <v>253.63</v>
      </c>
      <c r="F10728" s="18">
        <v>41967.58</v>
      </c>
      <c r="G10728" s="18">
        <v>135938</v>
      </c>
      <c r="H10728" s="18">
        <f t="shared" si="248"/>
        <v>41937.58</v>
      </c>
    </row>
    <row r="10729" spans="1:8" s="10" customFormat="1" ht="19.5" customHeight="1" x14ac:dyDescent="0.55000000000000004">
      <c r="A10729" s="18">
        <v>24.811531200000001</v>
      </c>
      <c r="B10729" s="18">
        <v>34.835341999999997</v>
      </c>
      <c r="C10729" s="18">
        <v>685506.04</v>
      </c>
      <c r="D10729" s="18">
        <v>2745326.2</v>
      </c>
      <c r="E10729" s="18">
        <v>253.74</v>
      </c>
      <c r="F10729" s="18">
        <v>41965.85</v>
      </c>
      <c r="G10729" s="18">
        <v>135940</v>
      </c>
      <c r="H10729" s="18">
        <f t="shared" si="248"/>
        <v>41935.85</v>
      </c>
    </row>
    <row r="10730" spans="1:8" s="10" customFormat="1" ht="19.5" customHeight="1" x14ac:dyDescent="0.55000000000000004">
      <c r="A10730" s="18">
        <v>24.811545200000001</v>
      </c>
      <c r="B10730" s="18">
        <v>34.835328099999998</v>
      </c>
      <c r="C10730" s="18">
        <v>685504.62</v>
      </c>
      <c r="D10730" s="18">
        <v>2745327.73</v>
      </c>
      <c r="E10730" s="18">
        <v>253.83</v>
      </c>
      <c r="F10730" s="18">
        <v>41965.49</v>
      </c>
      <c r="G10730" s="18">
        <v>135942</v>
      </c>
      <c r="H10730" s="18">
        <f t="shared" si="248"/>
        <v>41935.49</v>
      </c>
    </row>
    <row r="10731" spans="1:8" s="10" customFormat="1" ht="19.5" customHeight="1" x14ac:dyDescent="0.55000000000000004">
      <c r="A10731" s="18">
        <v>24.8115621</v>
      </c>
      <c r="B10731" s="18">
        <v>34.8353155</v>
      </c>
      <c r="C10731" s="18">
        <v>685503.31</v>
      </c>
      <c r="D10731" s="18">
        <v>2745329.59</v>
      </c>
      <c r="E10731" s="18">
        <v>253.9</v>
      </c>
      <c r="F10731" s="18">
        <v>41965.55</v>
      </c>
      <c r="G10731" s="18">
        <v>135944</v>
      </c>
      <c r="H10731" s="18">
        <f t="shared" si="248"/>
        <v>41935.550000000003</v>
      </c>
    </row>
    <row r="10732" spans="1:8" s="10" customFormat="1" ht="19.5" customHeight="1" x14ac:dyDescent="0.55000000000000004">
      <c r="A10732" s="18">
        <v>24.811580599999999</v>
      </c>
      <c r="B10732" s="18">
        <v>34.835307399999998</v>
      </c>
      <c r="C10732" s="18">
        <v>685502.47</v>
      </c>
      <c r="D10732" s="18">
        <v>2745331.63</v>
      </c>
      <c r="E10732" s="18">
        <v>254.07</v>
      </c>
      <c r="F10732" s="18">
        <v>41964.15</v>
      </c>
      <c r="G10732" s="18">
        <v>135946</v>
      </c>
      <c r="H10732" s="18">
        <f t="shared" si="248"/>
        <v>41934.15</v>
      </c>
    </row>
    <row r="10733" spans="1:8" s="10" customFormat="1" ht="19.5" customHeight="1" x14ac:dyDescent="0.55000000000000004">
      <c r="A10733" s="18">
        <v>24.811597299999999</v>
      </c>
      <c r="B10733" s="18">
        <v>34.835299499999998</v>
      </c>
      <c r="C10733" s="18">
        <v>685501.65</v>
      </c>
      <c r="D10733" s="18">
        <v>2745333.47</v>
      </c>
      <c r="E10733" s="18">
        <v>254.2</v>
      </c>
      <c r="F10733" s="18">
        <v>41964.23</v>
      </c>
      <c r="G10733" s="18">
        <v>135948</v>
      </c>
      <c r="H10733" s="18">
        <f t="shared" si="248"/>
        <v>41934.230000000003</v>
      </c>
    </row>
    <row r="10734" spans="1:8" s="10" customFormat="1" ht="19.5" customHeight="1" x14ac:dyDescent="0.55000000000000004">
      <c r="A10734" s="18">
        <v>24.811615199999999</v>
      </c>
      <c r="B10734" s="18">
        <v>34.835289500000002</v>
      </c>
      <c r="C10734" s="18">
        <v>685500.61</v>
      </c>
      <c r="D10734" s="18">
        <v>2745335.44</v>
      </c>
      <c r="E10734" s="18">
        <v>254.1</v>
      </c>
      <c r="F10734" s="18">
        <v>41966.38</v>
      </c>
      <c r="G10734" s="18">
        <v>135950</v>
      </c>
      <c r="H10734" s="18">
        <f t="shared" si="248"/>
        <v>41936.379999999997</v>
      </c>
    </row>
    <row r="10735" spans="1:8" s="10" customFormat="1" ht="19.5" customHeight="1" x14ac:dyDescent="0.55000000000000004">
      <c r="A10735" s="18">
        <v>24.811633700000002</v>
      </c>
      <c r="B10735" s="18">
        <v>34.835292500000001</v>
      </c>
      <c r="C10735" s="18">
        <v>685500.88</v>
      </c>
      <c r="D10735" s="18">
        <v>2745337.49</v>
      </c>
      <c r="E10735" s="18">
        <v>254.24</v>
      </c>
      <c r="F10735" s="18">
        <v>41964.37</v>
      </c>
      <c r="G10735" s="18">
        <v>135952</v>
      </c>
      <c r="H10735" s="18">
        <f t="shared" si="248"/>
        <v>41934.370000000003</v>
      </c>
    </row>
    <row r="10736" spans="1:8" s="10" customFormat="1" ht="19.5" customHeight="1" x14ac:dyDescent="0.55000000000000004">
      <c r="A10736" s="18">
        <v>24.8116527</v>
      </c>
      <c r="B10736" s="18">
        <v>34.835298399999999</v>
      </c>
      <c r="C10736" s="18">
        <v>685501.45</v>
      </c>
      <c r="D10736" s="18">
        <v>2745339.61</v>
      </c>
      <c r="E10736" s="18">
        <v>254.29</v>
      </c>
      <c r="F10736" s="18">
        <v>41966.42</v>
      </c>
      <c r="G10736" s="18">
        <v>135954</v>
      </c>
      <c r="H10736" s="18">
        <f t="shared" si="248"/>
        <v>41936.42</v>
      </c>
    </row>
    <row r="10737" spans="1:8" s="10" customFormat="1" ht="19.5" customHeight="1" x14ac:dyDescent="0.55000000000000004">
      <c r="A10737" s="18">
        <v>24.811674</v>
      </c>
      <c r="B10737" s="18">
        <v>34.835307299999997</v>
      </c>
      <c r="C10737" s="18">
        <v>685502.32</v>
      </c>
      <c r="D10737" s="18">
        <v>2745341.97</v>
      </c>
      <c r="E10737" s="18">
        <v>254.29</v>
      </c>
      <c r="F10737" s="18">
        <v>41964.81</v>
      </c>
      <c r="G10737" s="18">
        <v>135956</v>
      </c>
      <c r="H10737" s="18">
        <f t="shared" si="248"/>
        <v>41934.81</v>
      </c>
    </row>
    <row r="10738" spans="1:8" s="10" customFormat="1" ht="19.5" customHeight="1" x14ac:dyDescent="0.55000000000000004">
      <c r="A10738" s="18">
        <v>24.8116907</v>
      </c>
      <c r="B10738" s="18">
        <v>34.835316599999999</v>
      </c>
      <c r="C10738" s="18">
        <v>685503.24</v>
      </c>
      <c r="D10738" s="18">
        <v>2745343.84</v>
      </c>
      <c r="E10738" s="18">
        <v>254.65</v>
      </c>
      <c r="F10738" s="18">
        <v>41962.2</v>
      </c>
      <c r="G10738" s="18">
        <v>135958</v>
      </c>
      <c r="H10738" s="18">
        <f t="shared" si="248"/>
        <v>41932.199999999997</v>
      </c>
    </row>
    <row r="10739" spans="1:8" s="10" customFormat="1" ht="19.5" customHeight="1" x14ac:dyDescent="0.55000000000000004">
      <c r="A10739" s="18">
        <v>24.811708200000002</v>
      </c>
      <c r="B10739" s="18">
        <v>34.835310100000001</v>
      </c>
      <c r="C10739" s="18">
        <v>685502.55</v>
      </c>
      <c r="D10739" s="18">
        <v>2745345.76</v>
      </c>
      <c r="E10739" s="18">
        <v>254.82</v>
      </c>
      <c r="F10739" s="18">
        <v>41963.51</v>
      </c>
      <c r="G10739" s="18">
        <v>140000</v>
      </c>
      <c r="H10739" s="18">
        <f t="shared" si="248"/>
        <v>41933.51</v>
      </c>
    </row>
    <row r="10740" spans="1:8" s="10" customFormat="1" ht="19.5" customHeight="1" x14ac:dyDescent="0.55000000000000004">
      <c r="A10740" s="18">
        <v>24.811731000000002</v>
      </c>
      <c r="B10740" s="18">
        <v>34.835302200000001</v>
      </c>
      <c r="C10740" s="18">
        <v>685501.72</v>
      </c>
      <c r="D10740" s="18">
        <v>2745348.29</v>
      </c>
      <c r="E10740" s="18">
        <v>254.81</v>
      </c>
      <c r="F10740" s="18">
        <v>41961.17</v>
      </c>
      <c r="G10740" s="18">
        <v>140002</v>
      </c>
      <c r="H10740" s="18">
        <f t="shared" si="248"/>
        <v>41931.17</v>
      </c>
    </row>
    <row r="10741" spans="1:8" s="10" customFormat="1" ht="19.5" customHeight="1" x14ac:dyDescent="0.55000000000000004">
      <c r="A10741" s="18">
        <v>24.811745699999999</v>
      </c>
      <c r="B10741" s="18">
        <v>34.8352942</v>
      </c>
      <c r="C10741" s="18">
        <v>685500.89</v>
      </c>
      <c r="D10741" s="18">
        <v>2745349.91</v>
      </c>
      <c r="E10741" s="18">
        <v>255.07</v>
      </c>
      <c r="F10741" s="18">
        <v>41963.44</v>
      </c>
      <c r="G10741" s="18">
        <v>140004</v>
      </c>
      <c r="H10741" s="18">
        <f t="shared" si="248"/>
        <v>41933.440000000002</v>
      </c>
    </row>
    <row r="10742" spans="1:8" s="10" customFormat="1" ht="19.5" customHeight="1" x14ac:dyDescent="0.55000000000000004">
      <c r="A10742" s="18">
        <v>24.811755699999999</v>
      </c>
      <c r="B10742" s="18">
        <v>34.835288300000002</v>
      </c>
      <c r="C10742" s="18">
        <v>685500.28</v>
      </c>
      <c r="D10742" s="18">
        <v>2745351</v>
      </c>
      <c r="E10742" s="18">
        <v>255.38</v>
      </c>
      <c r="F10742" s="18">
        <v>41964.51</v>
      </c>
      <c r="G10742" s="18">
        <v>140006</v>
      </c>
      <c r="H10742" s="18">
        <f t="shared" si="248"/>
        <v>41934.51</v>
      </c>
    </row>
    <row r="10743" spans="1:8" s="10" customFormat="1" ht="19.5" customHeight="1" x14ac:dyDescent="0.55000000000000004">
      <c r="A10743" s="18">
        <v>24.811771100000001</v>
      </c>
      <c r="B10743" s="18">
        <v>34.835281600000002</v>
      </c>
      <c r="C10743" s="18">
        <v>685499.58</v>
      </c>
      <c r="D10743" s="18">
        <v>2745352.7</v>
      </c>
      <c r="E10743" s="18">
        <v>255.72</v>
      </c>
      <c r="F10743" s="18">
        <v>41963.55</v>
      </c>
      <c r="G10743" s="18">
        <v>140008</v>
      </c>
      <c r="H10743" s="18">
        <f t="shared" si="248"/>
        <v>41933.550000000003</v>
      </c>
    </row>
    <row r="10744" spans="1:8" s="10" customFormat="1" ht="19.5" customHeight="1" x14ac:dyDescent="0.55000000000000004">
      <c r="A10744" s="18">
        <v>24.811790800000001</v>
      </c>
      <c r="B10744" s="18">
        <v>34.835280599999997</v>
      </c>
      <c r="C10744" s="18">
        <v>685499.44</v>
      </c>
      <c r="D10744" s="18">
        <v>2745354.88</v>
      </c>
      <c r="E10744" s="18">
        <v>255.92</v>
      </c>
      <c r="F10744" s="18">
        <v>41962.63</v>
      </c>
      <c r="G10744" s="18">
        <v>140010</v>
      </c>
      <c r="H10744" s="18">
        <f t="shared" si="248"/>
        <v>41932.629999999997</v>
      </c>
    </row>
    <row r="10745" spans="1:8" s="10" customFormat="1" ht="19.5" customHeight="1" x14ac:dyDescent="0.55000000000000004">
      <c r="A10745" s="18">
        <v>24.811810399999999</v>
      </c>
      <c r="B10745" s="18">
        <v>34.835276100000002</v>
      </c>
      <c r="C10745" s="18">
        <v>685498.96</v>
      </c>
      <c r="D10745" s="18">
        <v>2745357.04</v>
      </c>
      <c r="E10745" s="18">
        <v>256.13</v>
      </c>
      <c r="F10745" s="18">
        <v>41962</v>
      </c>
      <c r="G10745" s="18">
        <v>140012</v>
      </c>
      <c r="H10745" s="18">
        <f t="shared" si="248"/>
        <v>41932</v>
      </c>
    </row>
    <row r="10746" spans="1:8" s="10" customFormat="1" ht="19.5" customHeight="1" x14ac:dyDescent="0.55000000000000004">
      <c r="A10746" s="18">
        <v>24.811830100000002</v>
      </c>
      <c r="B10746" s="18">
        <v>34.835274099999999</v>
      </c>
      <c r="C10746" s="18">
        <v>685498.73</v>
      </c>
      <c r="D10746" s="18">
        <v>2745359.22</v>
      </c>
      <c r="E10746" s="18">
        <v>256.37</v>
      </c>
      <c r="F10746" s="18">
        <v>41962</v>
      </c>
      <c r="G10746" s="18">
        <v>140014</v>
      </c>
      <c r="H10746" s="18">
        <f t="shared" si="248"/>
        <v>41932</v>
      </c>
    </row>
    <row r="10747" spans="1:8" s="10" customFormat="1" ht="19.5" customHeight="1" x14ac:dyDescent="0.55000000000000004">
      <c r="A10747" s="18">
        <v>24.8118479</v>
      </c>
      <c r="B10747" s="18">
        <v>34.835275799999998</v>
      </c>
      <c r="C10747" s="18">
        <v>685498.88</v>
      </c>
      <c r="D10747" s="18">
        <v>2745361.2</v>
      </c>
      <c r="E10747" s="18">
        <v>256.58999999999997</v>
      </c>
      <c r="F10747" s="18">
        <v>41962.64</v>
      </c>
      <c r="G10747" s="18">
        <v>140016</v>
      </c>
      <c r="H10747" s="18">
        <f t="shared" si="248"/>
        <v>41932.639999999999</v>
      </c>
    </row>
    <row r="10748" spans="1:8" s="10" customFormat="1" ht="19.5" customHeight="1" x14ac:dyDescent="0.55000000000000004">
      <c r="A10748" s="18">
        <v>24.811862699999999</v>
      </c>
      <c r="B10748" s="18">
        <v>34.835282999999997</v>
      </c>
      <c r="C10748" s="18">
        <v>685499.58</v>
      </c>
      <c r="D10748" s="18">
        <v>2745362.85</v>
      </c>
      <c r="E10748" s="18">
        <v>256.7</v>
      </c>
      <c r="F10748" s="18">
        <v>41958.71</v>
      </c>
      <c r="G10748" s="18">
        <v>140018</v>
      </c>
      <c r="H10748" s="18">
        <f t="shared" si="248"/>
        <v>41928.71</v>
      </c>
    </row>
    <row r="10749" spans="1:8" s="10" customFormat="1" ht="19.5" customHeight="1" x14ac:dyDescent="0.55000000000000004">
      <c r="A10749" s="18">
        <v>24.811880200000001</v>
      </c>
      <c r="B10749" s="18">
        <v>34.835280699999998</v>
      </c>
      <c r="C10749" s="18">
        <v>685499.33</v>
      </c>
      <c r="D10749" s="18">
        <v>2745364.78</v>
      </c>
      <c r="E10749" s="18">
        <v>256.81</v>
      </c>
      <c r="F10749" s="18">
        <v>41960.31</v>
      </c>
      <c r="G10749" s="18">
        <v>140020</v>
      </c>
      <c r="H10749" s="18">
        <f t="shared" si="248"/>
        <v>41930.31</v>
      </c>
    </row>
    <row r="10750" spans="1:8" s="10" customFormat="1" ht="19.5" customHeight="1" x14ac:dyDescent="0.55000000000000004">
      <c r="A10750" s="18">
        <v>24.811894800000001</v>
      </c>
      <c r="B10750" s="18">
        <v>34.835278000000002</v>
      </c>
      <c r="C10750" s="18">
        <v>685499.03</v>
      </c>
      <c r="D10750" s="18">
        <v>2745366.39</v>
      </c>
      <c r="E10750" s="18">
        <v>256.99</v>
      </c>
      <c r="F10750" s="18">
        <v>41961.4</v>
      </c>
      <c r="G10750" s="18">
        <v>140022</v>
      </c>
      <c r="H10750" s="18">
        <f t="shared" si="248"/>
        <v>41931.4</v>
      </c>
    </row>
    <row r="10751" spans="1:8" s="10" customFormat="1" ht="19.5" customHeight="1" x14ac:dyDescent="0.55000000000000004">
      <c r="A10751" s="18">
        <v>24.811913000000001</v>
      </c>
      <c r="B10751" s="18">
        <v>34.835278500000001</v>
      </c>
      <c r="C10751" s="18">
        <v>685499.05</v>
      </c>
      <c r="D10751" s="18">
        <v>2745368.41</v>
      </c>
      <c r="E10751" s="18">
        <v>257.13</v>
      </c>
      <c r="F10751" s="18">
        <v>41960.33</v>
      </c>
      <c r="G10751" s="18">
        <v>140024</v>
      </c>
      <c r="H10751" s="18">
        <f t="shared" si="248"/>
        <v>41930.33</v>
      </c>
    </row>
    <row r="10752" spans="1:8" s="10" customFormat="1" ht="19.5" customHeight="1" x14ac:dyDescent="0.55000000000000004">
      <c r="A10752" s="18">
        <v>24.8119315</v>
      </c>
      <c r="B10752" s="18">
        <v>34.835279300000003</v>
      </c>
      <c r="C10752" s="18">
        <v>685499.11</v>
      </c>
      <c r="D10752" s="18">
        <v>2745370.46</v>
      </c>
      <c r="E10752" s="18">
        <v>257.32</v>
      </c>
      <c r="F10752" s="18">
        <v>41961.82</v>
      </c>
      <c r="G10752" s="18">
        <v>140026</v>
      </c>
      <c r="H10752" s="18">
        <f t="shared" si="248"/>
        <v>41931.82</v>
      </c>
    </row>
    <row r="10753" spans="1:8" s="10" customFormat="1" ht="19.5" customHeight="1" x14ac:dyDescent="0.55000000000000004">
      <c r="A10753" s="18">
        <v>24.811950499999998</v>
      </c>
      <c r="B10753" s="18">
        <v>34.835282399999997</v>
      </c>
      <c r="C10753" s="18">
        <v>685499.39</v>
      </c>
      <c r="D10753" s="18">
        <v>2745372.56</v>
      </c>
      <c r="E10753" s="18">
        <v>257.42</v>
      </c>
      <c r="F10753" s="18">
        <v>41961.4</v>
      </c>
      <c r="G10753" s="18">
        <v>140028</v>
      </c>
      <c r="H10753" s="18">
        <f t="shared" si="248"/>
        <v>41931.4</v>
      </c>
    </row>
    <row r="10754" spans="1:8" s="10" customFormat="1" ht="19.5" customHeight="1" x14ac:dyDescent="0.55000000000000004">
      <c r="A10754" s="18">
        <v>24.811964</v>
      </c>
      <c r="B10754" s="18">
        <v>34.835284399999999</v>
      </c>
      <c r="C10754" s="18">
        <v>685499.57</v>
      </c>
      <c r="D10754" s="18">
        <v>2745374.07</v>
      </c>
      <c r="E10754" s="18">
        <v>257.36</v>
      </c>
      <c r="F10754" s="18">
        <v>41959.31</v>
      </c>
      <c r="G10754" s="18">
        <v>140030</v>
      </c>
      <c r="H10754" s="18">
        <f t="shared" si="248"/>
        <v>41929.31</v>
      </c>
    </row>
    <row r="10755" spans="1:8" s="10" customFormat="1" ht="19.5" customHeight="1" x14ac:dyDescent="0.55000000000000004">
      <c r="A10755" s="18">
        <v>24.8119862</v>
      </c>
      <c r="B10755" s="18">
        <v>34.835283199999999</v>
      </c>
      <c r="C10755" s="18">
        <v>685499.42</v>
      </c>
      <c r="D10755" s="18">
        <v>2745376.53</v>
      </c>
      <c r="E10755" s="18">
        <v>257.33999999999997</v>
      </c>
      <c r="F10755" s="18">
        <v>41960.54</v>
      </c>
      <c r="G10755" s="18">
        <v>140032</v>
      </c>
      <c r="H10755" s="18">
        <f t="shared" si="248"/>
        <v>41930.54</v>
      </c>
    </row>
    <row r="10756" spans="1:8" s="10" customFormat="1" ht="19.5" customHeight="1" x14ac:dyDescent="0.55000000000000004">
      <c r="A10756" s="18">
        <v>24.812000900000001</v>
      </c>
      <c r="B10756" s="18">
        <v>34.835285900000002</v>
      </c>
      <c r="C10756" s="18">
        <v>685499.67</v>
      </c>
      <c r="D10756" s="18">
        <v>2745378.16</v>
      </c>
      <c r="E10756" s="18">
        <v>257.67</v>
      </c>
      <c r="F10756" s="18">
        <v>41959.55</v>
      </c>
      <c r="G10756" s="18">
        <v>140034</v>
      </c>
      <c r="H10756" s="18">
        <f t="shared" si="248"/>
        <v>41929.550000000003</v>
      </c>
    </row>
    <row r="10757" spans="1:8" s="10" customFormat="1" ht="19.5" customHeight="1" x14ac:dyDescent="0.55000000000000004">
      <c r="A10757" s="18">
        <v>24.812019599999999</v>
      </c>
      <c r="B10757" s="18">
        <v>34.835289899999999</v>
      </c>
      <c r="C10757" s="18">
        <v>685500.05</v>
      </c>
      <c r="D10757" s="18">
        <v>2745380.24</v>
      </c>
      <c r="E10757" s="18">
        <v>257.8</v>
      </c>
      <c r="F10757" s="18">
        <v>41960.2</v>
      </c>
      <c r="G10757" s="18">
        <v>140036</v>
      </c>
      <c r="H10757" s="18">
        <f t="shared" si="248"/>
        <v>41930.199999999997</v>
      </c>
    </row>
    <row r="10758" spans="1:8" s="10" customFormat="1" ht="19.5" customHeight="1" x14ac:dyDescent="0.55000000000000004">
      <c r="A10758" s="18">
        <v>24.812036299999999</v>
      </c>
      <c r="B10758" s="18">
        <v>34.835299200000001</v>
      </c>
      <c r="C10758" s="18">
        <v>685500.96</v>
      </c>
      <c r="D10758" s="18">
        <v>2745382.1</v>
      </c>
      <c r="E10758" s="18">
        <v>258.05</v>
      </c>
      <c r="F10758" s="18">
        <v>41961.09</v>
      </c>
      <c r="G10758" s="18">
        <v>140038</v>
      </c>
      <c r="H10758" s="18">
        <f t="shared" si="248"/>
        <v>41931.089999999997</v>
      </c>
    </row>
    <row r="10759" spans="1:8" s="10" customFormat="1" ht="19.5" customHeight="1" x14ac:dyDescent="0.55000000000000004">
      <c r="A10759" s="18">
        <v>24.8120543</v>
      </c>
      <c r="B10759" s="18">
        <v>34.835308300000001</v>
      </c>
      <c r="C10759" s="18">
        <v>685501.85</v>
      </c>
      <c r="D10759" s="18">
        <v>2745384.11</v>
      </c>
      <c r="E10759" s="18">
        <v>258.06</v>
      </c>
      <c r="F10759" s="18">
        <v>41960.32</v>
      </c>
      <c r="G10759" s="18">
        <v>140040</v>
      </c>
      <c r="H10759" s="18">
        <f t="shared" si="248"/>
        <v>41930.32</v>
      </c>
    </row>
    <row r="10760" spans="1:8" s="10" customFormat="1" ht="19.5" customHeight="1" x14ac:dyDescent="0.55000000000000004">
      <c r="A10760" s="18">
        <v>24.812070899999998</v>
      </c>
      <c r="B10760" s="18">
        <v>34.835316800000001</v>
      </c>
      <c r="C10760" s="18">
        <v>685502.69</v>
      </c>
      <c r="D10760" s="18">
        <v>2745385.95</v>
      </c>
      <c r="E10760" s="18">
        <v>258.3</v>
      </c>
      <c r="F10760" s="18">
        <v>41957.75</v>
      </c>
      <c r="G10760" s="18">
        <v>140042</v>
      </c>
      <c r="H10760" s="18">
        <f t="shared" si="248"/>
        <v>41927.75</v>
      </c>
    </row>
    <row r="10761" spans="1:8" s="10" customFormat="1" ht="19.5" customHeight="1" x14ac:dyDescent="0.55000000000000004">
      <c r="A10761" s="18">
        <v>24.812086499999999</v>
      </c>
      <c r="B10761" s="18">
        <v>34.835334799999998</v>
      </c>
      <c r="C10761" s="18">
        <v>685504.48</v>
      </c>
      <c r="D10761" s="18">
        <v>2745387.7</v>
      </c>
      <c r="E10761" s="18">
        <v>258.45999999999998</v>
      </c>
      <c r="F10761" s="18">
        <v>41958.17</v>
      </c>
      <c r="G10761" s="18">
        <v>140044</v>
      </c>
      <c r="H10761" s="18">
        <f t="shared" ref="H10761:H10824" si="249">SUM(F10761-30)</f>
        <v>41928.17</v>
      </c>
    </row>
    <row r="10762" spans="1:8" s="10" customFormat="1" ht="19.5" customHeight="1" x14ac:dyDescent="0.55000000000000004">
      <c r="A10762" s="18">
        <v>24.812097600000001</v>
      </c>
      <c r="B10762" s="18">
        <v>34.8353538</v>
      </c>
      <c r="C10762" s="18">
        <v>685506.39</v>
      </c>
      <c r="D10762" s="18">
        <v>2745388.96</v>
      </c>
      <c r="E10762" s="18">
        <v>258.76</v>
      </c>
      <c r="F10762" s="18">
        <v>41958.71</v>
      </c>
      <c r="G10762" s="18">
        <v>140046</v>
      </c>
      <c r="H10762" s="18">
        <f t="shared" si="249"/>
        <v>41928.71</v>
      </c>
    </row>
    <row r="10763" spans="1:8" s="10" customFormat="1" ht="19.5" customHeight="1" x14ac:dyDescent="0.55000000000000004">
      <c r="A10763" s="18">
        <v>24.8121148</v>
      </c>
      <c r="B10763" s="18">
        <v>34.835363299999997</v>
      </c>
      <c r="C10763" s="18">
        <v>685507.32</v>
      </c>
      <c r="D10763" s="18">
        <v>2745390.87</v>
      </c>
      <c r="E10763" s="18">
        <v>259.10000000000002</v>
      </c>
      <c r="F10763" s="18">
        <v>41956</v>
      </c>
      <c r="G10763" s="18">
        <v>140048</v>
      </c>
      <c r="H10763" s="18">
        <f t="shared" si="249"/>
        <v>41926</v>
      </c>
    </row>
    <row r="10764" spans="1:8" s="10" customFormat="1" ht="19.5" customHeight="1" x14ac:dyDescent="0.55000000000000004">
      <c r="A10764" s="18">
        <v>24.812130799999998</v>
      </c>
      <c r="B10764" s="18">
        <v>34.835369700000001</v>
      </c>
      <c r="C10764" s="18">
        <v>685507.95</v>
      </c>
      <c r="D10764" s="18">
        <v>2745392.65</v>
      </c>
      <c r="E10764" s="18">
        <v>259.20999999999998</v>
      </c>
      <c r="F10764" s="18">
        <v>41957.440000000002</v>
      </c>
      <c r="G10764" s="18">
        <v>140050</v>
      </c>
      <c r="H10764" s="18">
        <f t="shared" si="249"/>
        <v>41927.440000000002</v>
      </c>
    </row>
    <row r="10765" spans="1:8" s="10" customFormat="1" ht="19.5" customHeight="1" x14ac:dyDescent="0.55000000000000004">
      <c r="A10765" s="18">
        <v>24.812149399999999</v>
      </c>
      <c r="B10765" s="18">
        <v>34.8353787</v>
      </c>
      <c r="C10765" s="18">
        <v>685508.83</v>
      </c>
      <c r="D10765" s="18">
        <v>2745394.73</v>
      </c>
      <c r="E10765" s="18">
        <v>259.26</v>
      </c>
      <c r="F10765" s="18">
        <v>41958.39</v>
      </c>
      <c r="G10765" s="18">
        <v>140052</v>
      </c>
      <c r="H10765" s="18">
        <f t="shared" si="249"/>
        <v>41928.39</v>
      </c>
    </row>
    <row r="10766" spans="1:8" s="10" customFormat="1" ht="19.5" customHeight="1" x14ac:dyDescent="0.55000000000000004">
      <c r="A10766" s="18">
        <v>24.8121692</v>
      </c>
      <c r="B10766" s="18">
        <v>34.835387099999998</v>
      </c>
      <c r="C10766" s="18">
        <v>685509.65</v>
      </c>
      <c r="D10766" s="18">
        <v>2745396.93</v>
      </c>
      <c r="E10766" s="18">
        <v>259.48</v>
      </c>
      <c r="F10766" s="18">
        <v>41958.79</v>
      </c>
      <c r="G10766" s="18">
        <v>140054</v>
      </c>
      <c r="H10766" s="18">
        <f t="shared" si="249"/>
        <v>41928.79</v>
      </c>
    </row>
    <row r="10767" spans="1:8" s="10" customFormat="1" ht="19.5" customHeight="1" x14ac:dyDescent="0.55000000000000004">
      <c r="A10767" s="18">
        <v>24.8121844</v>
      </c>
      <c r="B10767" s="18">
        <v>34.835397299999997</v>
      </c>
      <c r="C10767" s="18">
        <v>685510.66</v>
      </c>
      <c r="D10767" s="18">
        <v>2745398.64</v>
      </c>
      <c r="E10767" s="18">
        <v>259.68</v>
      </c>
      <c r="F10767" s="18">
        <v>41960.06</v>
      </c>
      <c r="G10767" s="18">
        <v>140056</v>
      </c>
      <c r="H10767" s="18">
        <f t="shared" si="249"/>
        <v>41930.06</v>
      </c>
    </row>
    <row r="10768" spans="1:8" s="10" customFormat="1" ht="19.5" customHeight="1" x14ac:dyDescent="0.55000000000000004">
      <c r="A10768" s="18">
        <v>24.812199499999998</v>
      </c>
      <c r="B10768" s="18">
        <v>34.835411800000003</v>
      </c>
      <c r="C10768" s="18">
        <v>685512.1</v>
      </c>
      <c r="D10768" s="18">
        <v>2745400.33</v>
      </c>
      <c r="E10768" s="18">
        <v>259.87</v>
      </c>
      <c r="F10768" s="18">
        <v>41960.22</v>
      </c>
      <c r="G10768" s="18">
        <v>140058</v>
      </c>
      <c r="H10768" s="18">
        <f t="shared" si="249"/>
        <v>41930.22</v>
      </c>
    </row>
    <row r="10769" spans="1:8" s="10" customFormat="1" ht="19.5" customHeight="1" x14ac:dyDescent="0.55000000000000004">
      <c r="A10769" s="18">
        <v>24.8122179</v>
      </c>
      <c r="B10769" s="18">
        <v>34.835414200000002</v>
      </c>
      <c r="C10769" s="18">
        <v>685512.32</v>
      </c>
      <c r="D10769" s="18">
        <v>2745402.36</v>
      </c>
      <c r="E10769" s="18">
        <v>259.95999999999998</v>
      </c>
      <c r="F10769" s="18">
        <v>41962.23</v>
      </c>
      <c r="G10769" s="18">
        <v>140100</v>
      </c>
      <c r="H10769" s="18">
        <f t="shared" si="249"/>
        <v>41932.230000000003</v>
      </c>
    </row>
    <row r="10770" spans="1:8" s="10" customFormat="1" ht="19.5" customHeight="1" x14ac:dyDescent="0.55000000000000004">
      <c r="A10770" s="18">
        <v>24.8122358</v>
      </c>
      <c r="B10770" s="18">
        <v>34.835409900000002</v>
      </c>
      <c r="C10770" s="18">
        <v>685511.86</v>
      </c>
      <c r="D10770" s="18">
        <v>2745404.34</v>
      </c>
      <c r="E10770" s="18">
        <v>260.11</v>
      </c>
      <c r="F10770" s="18">
        <v>41963.69</v>
      </c>
      <c r="G10770" s="18">
        <v>140102</v>
      </c>
      <c r="H10770" s="18">
        <f t="shared" si="249"/>
        <v>41933.69</v>
      </c>
    </row>
    <row r="10771" spans="1:8" s="10" customFormat="1" ht="19.5" customHeight="1" x14ac:dyDescent="0.55000000000000004">
      <c r="A10771" s="18">
        <v>24.812256999999999</v>
      </c>
      <c r="B10771" s="18">
        <v>34.835403800000002</v>
      </c>
      <c r="C10771" s="18">
        <v>685511.21</v>
      </c>
      <c r="D10771" s="18">
        <v>2745406.68</v>
      </c>
      <c r="E10771" s="18">
        <v>260.06</v>
      </c>
      <c r="F10771" s="18">
        <v>41963.15</v>
      </c>
      <c r="G10771" s="18">
        <v>140104</v>
      </c>
      <c r="H10771" s="18">
        <f t="shared" si="249"/>
        <v>41933.15</v>
      </c>
    </row>
    <row r="10772" spans="1:8" s="10" customFormat="1" ht="19.5" customHeight="1" x14ac:dyDescent="0.55000000000000004">
      <c r="A10772" s="18">
        <v>24.812272799999999</v>
      </c>
      <c r="B10772" s="18">
        <v>34.835401300000001</v>
      </c>
      <c r="C10772" s="18">
        <v>685510.93</v>
      </c>
      <c r="D10772" s="18">
        <v>2745408.43</v>
      </c>
      <c r="E10772" s="18">
        <v>260.29000000000002</v>
      </c>
      <c r="F10772" s="18">
        <v>41961.440000000002</v>
      </c>
      <c r="G10772" s="18">
        <v>140106</v>
      </c>
      <c r="H10772" s="18">
        <f t="shared" si="249"/>
        <v>41931.440000000002</v>
      </c>
    </row>
    <row r="10773" spans="1:8" s="10" customFormat="1" ht="19.5" customHeight="1" x14ac:dyDescent="0.55000000000000004">
      <c r="A10773" s="18">
        <v>24.812295899999999</v>
      </c>
      <c r="B10773" s="18">
        <v>34.835392400000003</v>
      </c>
      <c r="C10773" s="18">
        <v>685509.99</v>
      </c>
      <c r="D10773" s="18">
        <v>2745410.98</v>
      </c>
      <c r="E10773" s="18">
        <v>260.47000000000003</v>
      </c>
      <c r="F10773" s="18">
        <v>41961.66</v>
      </c>
      <c r="G10773" s="18">
        <v>140108</v>
      </c>
      <c r="H10773" s="18">
        <f t="shared" si="249"/>
        <v>41931.660000000003</v>
      </c>
    </row>
    <row r="10774" spans="1:8" s="10" customFormat="1" ht="19.5" customHeight="1" x14ac:dyDescent="0.55000000000000004">
      <c r="A10774" s="18">
        <v>24.812311999999999</v>
      </c>
      <c r="B10774" s="18">
        <v>34.835383800000002</v>
      </c>
      <c r="C10774" s="18">
        <v>685509.1</v>
      </c>
      <c r="D10774" s="18">
        <v>2745412.74</v>
      </c>
      <c r="E10774" s="18">
        <v>260.66000000000003</v>
      </c>
      <c r="F10774" s="18">
        <v>41962.39</v>
      </c>
      <c r="G10774" s="18">
        <v>140110</v>
      </c>
      <c r="H10774" s="18">
        <f t="shared" si="249"/>
        <v>41932.39</v>
      </c>
    </row>
    <row r="10775" spans="1:8" s="10" customFormat="1" ht="19.5" customHeight="1" x14ac:dyDescent="0.55000000000000004">
      <c r="A10775" s="18">
        <v>24.8123276</v>
      </c>
      <c r="B10775" s="18">
        <v>34.8353714</v>
      </c>
      <c r="C10775" s="18">
        <v>685507.82</v>
      </c>
      <c r="D10775" s="18">
        <v>2745414.46</v>
      </c>
      <c r="E10775" s="18">
        <v>260.60000000000002</v>
      </c>
      <c r="F10775" s="18">
        <v>41962.1</v>
      </c>
      <c r="G10775" s="18">
        <v>140112</v>
      </c>
      <c r="H10775" s="18">
        <f t="shared" si="249"/>
        <v>41932.1</v>
      </c>
    </row>
    <row r="10776" spans="1:8" s="10" customFormat="1" ht="19.5" customHeight="1" x14ac:dyDescent="0.55000000000000004">
      <c r="A10776" s="18">
        <v>24.812343899999998</v>
      </c>
      <c r="B10776" s="18">
        <v>34.8353647</v>
      </c>
      <c r="C10776" s="18">
        <v>685507.12</v>
      </c>
      <c r="D10776" s="18">
        <v>2745416.25</v>
      </c>
      <c r="E10776" s="18">
        <v>260.73</v>
      </c>
      <c r="F10776" s="18">
        <v>41961.59</v>
      </c>
      <c r="G10776" s="18">
        <v>140114</v>
      </c>
      <c r="H10776" s="18">
        <f t="shared" si="249"/>
        <v>41931.589999999997</v>
      </c>
    </row>
    <row r="10777" spans="1:8" s="10" customFormat="1" ht="19.5" customHeight="1" x14ac:dyDescent="0.55000000000000004">
      <c r="A10777" s="18">
        <v>24.812358</v>
      </c>
      <c r="B10777" s="18">
        <v>34.835357999999999</v>
      </c>
      <c r="C10777" s="18">
        <v>685506.43</v>
      </c>
      <c r="D10777" s="18">
        <v>2745417.81</v>
      </c>
      <c r="E10777" s="18">
        <v>260.83</v>
      </c>
      <c r="F10777" s="18">
        <v>41961.05</v>
      </c>
      <c r="G10777" s="18">
        <v>140116</v>
      </c>
      <c r="H10777" s="18">
        <f t="shared" si="249"/>
        <v>41931.050000000003</v>
      </c>
    </row>
    <row r="10778" spans="1:8" s="10" customFormat="1" ht="19.5" customHeight="1" x14ac:dyDescent="0.55000000000000004">
      <c r="A10778" s="18">
        <v>24.812378899999999</v>
      </c>
      <c r="B10778" s="18">
        <v>34.835355800000002</v>
      </c>
      <c r="C10778" s="18">
        <v>685506.17</v>
      </c>
      <c r="D10778" s="18">
        <v>2745420.12</v>
      </c>
      <c r="E10778" s="18">
        <v>260.95999999999998</v>
      </c>
      <c r="F10778" s="18">
        <v>41962.96</v>
      </c>
      <c r="G10778" s="18">
        <v>140118</v>
      </c>
      <c r="H10778" s="18">
        <f t="shared" si="249"/>
        <v>41932.959999999999</v>
      </c>
    </row>
    <row r="10779" spans="1:8" s="10" customFormat="1" ht="19.5" customHeight="1" x14ac:dyDescent="0.55000000000000004">
      <c r="A10779" s="18">
        <v>24.812398699999999</v>
      </c>
      <c r="B10779" s="18">
        <v>34.835357000000002</v>
      </c>
      <c r="C10779" s="18">
        <v>685506.26</v>
      </c>
      <c r="D10779" s="18">
        <v>2745422.31</v>
      </c>
      <c r="E10779" s="18">
        <v>261.23</v>
      </c>
      <c r="F10779" s="18">
        <v>41960.9</v>
      </c>
      <c r="G10779" s="18">
        <v>140120</v>
      </c>
      <c r="H10779" s="18">
        <f t="shared" si="249"/>
        <v>41930.9</v>
      </c>
    </row>
    <row r="10780" spans="1:8" s="10" customFormat="1" ht="19.5" customHeight="1" x14ac:dyDescent="0.55000000000000004">
      <c r="A10780" s="18">
        <v>24.812418600000001</v>
      </c>
      <c r="B10780" s="18">
        <v>34.835357500000001</v>
      </c>
      <c r="C10780" s="18">
        <v>685506.29</v>
      </c>
      <c r="D10780" s="18">
        <v>2745424.51</v>
      </c>
      <c r="E10780" s="18">
        <v>261.39999999999998</v>
      </c>
      <c r="F10780" s="18">
        <v>41960.99</v>
      </c>
      <c r="G10780" s="18">
        <v>140122</v>
      </c>
      <c r="H10780" s="18">
        <f t="shared" si="249"/>
        <v>41930.99</v>
      </c>
    </row>
    <row r="10781" spans="1:8" s="10" customFormat="1" ht="19.5" customHeight="1" x14ac:dyDescent="0.55000000000000004">
      <c r="A10781" s="18">
        <v>24.8124383</v>
      </c>
      <c r="B10781" s="18">
        <v>34.835361800000001</v>
      </c>
      <c r="C10781" s="18">
        <v>685506.69</v>
      </c>
      <c r="D10781" s="18">
        <v>2745426.71</v>
      </c>
      <c r="E10781" s="18">
        <v>261.7</v>
      </c>
      <c r="F10781" s="18">
        <v>41961.17</v>
      </c>
      <c r="G10781" s="18">
        <v>140124</v>
      </c>
      <c r="H10781" s="18">
        <f t="shared" si="249"/>
        <v>41931.17</v>
      </c>
    </row>
    <row r="10782" spans="1:8" s="10" customFormat="1" ht="19.5" customHeight="1" x14ac:dyDescent="0.55000000000000004">
      <c r="A10782" s="18">
        <v>24.812455499999999</v>
      </c>
      <c r="B10782" s="18">
        <v>34.835365799999998</v>
      </c>
      <c r="C10782" s="18">
        <v>685507.07</v>
      </c>
      <c r="D10782" s="18">
        <v>2745428.62</v>
      </c>
      <c r="E10782" s="18">
        <v>261.93</v>
      </c>
      <c r="F10782" s="18">
        <v>41961.59</v>
      </c>
      <c r="G10782" s="18">
        <v>140126</v>
      </c>
      <c r="H10782" s="18">
        <f t="shared" si="249"/>
        <v>41931.589999999997</v>
      </c>
    </row>
    <row r="10783" spans="1:8" s="10" customFormat="1" ht="19.5" customHeight="1" x14ac:dyDescent="0.55000000000000004">
      <c r="A10783" s="18">
        <v>24.812471500000001</v>
      </c>
      <c r="B10783" s="18">
        <v>34.8353739</v>
      </c>
      <c r="C10783" s="18">
        <v>685507.86</v>
      </c>
      <c r="D10783" s="18">
        <v>2745430.4</v>
      </c>
      <c r="E10783" s="18">
        <v>262.13</v>
      </c>
      <c r="F10783" s="18">
        <v>41959.8</v>
      </c>
      <c r="G10783" s="18">
        <v>140128</v>
      </c>
      <c r="H10783" s="18">
        <f t="shared" si="249"/>
        <v>41929.800000000003</v>
      </c>
    </row>
    <row r="10784" spans="1:8" s="10" customFormat="1" ht="19.5" customHeight="1" x14ac:dyDescent="0.55000000000000004">
      <c r="A10784" s="18">
        <v>24.812487600000001</v>
      </c>
      <c r="B10784" s="18">
        <v>34.835375499999998</v>
      </c>
      <c r="C10784" s="18">
        <v>685508</v>
      </c>
      <c r="D10784" s="18">
        <v>2745432.19</v>
      </c>
      <c r="E10784" s="18">
        <v>262.27</v>
      </c>
      <c r="F10784" s="18">
        <v>41963.59</v>
      </c>
      <c r="G10784" s="18">
        <v>140130</v>
      </c>
      <c r="H10784" s="18">
        <f t="shared" si="249"/>
        <v>41933.589999999997</v>
      </c>
    </row>
    <row r="10785" spans="1:8" s="10" customFormat="1" ht="19.5" customHeight="1" x14ac:dyDescent="0.55000000000000004">
      <c r="A10785" s="18">
        <v>24.812498099999999</v>
      </c>
      <c r="B10785" s="18">
        <v>34.835388799999997</v>
      </c>
      <c r="C10785" s="18">
        <v>685509.33</v>
      </c>
      <c r="D10785" s="18">
        <v>2745433.36</v>
      </c>
      <c r="E10785" s="18">
        <v>262.61</v>
      </c>
      <c r="F10785" s="18">
        <v>41961</v>
      </c>
      <c r="G10785" s="18">
        <v>140132</v>
      </c>
      <c r="H10785" s="18">
        <f t="shared" si="249"/>
        <v>41931</v>
      </c>
    </row>
    <row r="10786" spans="1:8" s="10" customFormat="1" ht="19.5" customHeight="1" x14ac:dyDescent="0.55000000000000004">
      <c r="A10786" s="18">
        <v>24.812508900000001</v>
      </c>
      <c r="B10786" s="18">
        <v>34.835392599999999</v>
      </c>
      <c r="C10786" s="18">
        <v>685509.69</v>
      </c>
      <c r="D10786" s="18">
        <v>2745434.57</v>
      </c>
      <c r="E10786" s="18">
        <v>262.83</v>
      </c>
      <c r="F10786" s="18">
        <v>41963.78</v>
      </c>
      <c r="G10786" s="18">
        <v>140134</v>
      </c>
      <c r="H10786" s="18">
        <f t="shared" si="249"/>
        <v>41933.78</v>
      </c>
    </row>
    <row r="10787" spans="1:8" s="10" customFormat="1" ht="19.5" customHeight="1" x14ac:dyDescent="0.55000000000000004">
      <c r="A10787" s="18">
        <v>24.812523599999999</v>
      </c>
      <c r="B10787" s="18">
        <v>34.835389900000003</v>
      </c>
      <c r="C10787" s="18">
        <v>685509.4</v>
      </c>
      <c r="D10787" s="18">
        <v>2745436.19</v>
      </c>
      <c r="E10787" s="18">
        <v>263.14999999999998</v>
      </c>
      <c r="F10787" s="18">
        <v>41963.47</v>
      </c>
      <c r="G10787" s="18">
        <v>140136</v>
      </c>
      <c r="H10787" s="18">
        <f t="shared" si="249"/>
        <v>41933.47</v>
      </c>
    </row>
    <row r="10788" spans="1:8" s="10" customFormat="1" ht="19.5" customHeight="1" x14ac:dyDescent="0.55000000000000004">
      <c r="A10788" s="18">
        <v>24.812533800000001</v>
      </c>
      <c r="B10788" s="18">
        <v>34.835386900000003</v>
      </c>
      <c r="C10788" s="18">
        <v>685509.09</v>
      </c>
      <c r="D10788" s="18">
        <v>2745437.32</v>
      </c>
      <c r="E10788" s="18">
        <v>263.05</v>
      </c>
      <c r="F10788" s="18">
        <v>41962.01</v>
      </c>
      <c r="G10788" s="18">
        <v>140138</v>
      </c>
      <c r="H10788" s="18">
        <f t="shared" si="249"/>
        <v>41932.01</v>
      </c>
    </row>
    <row r="10789" spans="1:8" s="10" customFormat="1" ht="19.5" customHeight="1" x14ac:dyDescent="0.55000000000000004">
      <c r="A10789" s="18">
        <v>24.812549700000002</v>
      </c>
      <c r="B10789" s="18">
        <v>34.835386300000003</v>
      </c>
      <c r="C10789" s="18">
        <v>685509</v>
      </c>
      <c r="D10789" s="18">
        <v>2745439.08</v>
      </c>
      <c r="E10789" s="18">
        <v>263.10000000000002</v>
      </c>
      <c r="F10789" s="18">
        <v>41960.44</v>
      </c>
      <c r="G10789" s="18">
        <v>140140</v>
      </c>
      <c r="H10789" s="18">
        <f t="shared" si="249"/>
        <v>41930.44</v>
      </c>
    </row>
    <row r="10790" spans="1:8" s="10" customFormat="1" ht="19.5" customHeight="1" x14ac:dyDescent="0.55000000000000004">
      <c r="A10790" s="18">
        <v>24.8125614</v>
      </c>
      <c r="B10790" s="18">
        <v>34.835385299999999</v>
      </c>
      <c r="C10790" s="18">
        <v>685508.88</v>
      </c>
      <c r="D10790" s="18">
        <v>2745440.38</v>
      </c>
      <c r="E10790" s="18">
        <v>263.26</v>
      </c>
      <c r="F10790" s="18">
        <v>41960.29</v>
      </c>
      <c r="G10790" s="18">
        <v>140142</v>
      </c>
      <c r="H10790" s="18">
        <f t="shared" si="249"/>
        <v>41930.29</v>
      </c>
    </row>
    <row r="10791" spans="1:8" s="10" customFormat="1" ht="19.5" customHeight="1" x14ac:dyDescent="0.55000000000000004">
      <c r="A10791" s="18">
        <v>24.812575200000001</v>
      </c>
      <c r="B10791" s="18">
        <v>34.835387099999998</v>
      </c>
      <c r="C10791" s="18">
        <v>685509.05</v>
      </c>
      <c r="D10791" s="18">
        <v>2745441.91</v>
      </c>
      <c r="E10791" s="18">
        <v>263.36</v>
      </c>
      <c r="F10791" s="18">
        <v>41958.91</v>
      </c>
      <c r="G10791" s="18">
        <v>140144</v>
      </c>
      <c r="H10791" s="18">
        <f t="shared" si="249"/>
        <v>41928.910000000003</v>
      </c>
    </row>
    <row r="10792" spans="1:8" s="10" customFormat="1" ht="19.5" customHeight="1" x14ac:dyDescent="0.55000000000000004">
      <c r="A10792" s="18">
        <v>24.812589299999999</v>
      </c>
      <c r="B10792" s="18">
        <v>34.835383</v>
      </c>
      <c r="C10792" s="18">
        <v>685508.61</v>
      </c>
      <c r="D10792" s="18">
        <v>2745443.46</v>
      </c>
      <c r="E10792" s="18">
        <v>263.43</v>
      </c>
      <c r="F10792" s="18">
        <v>41959.88</v>
      </c>
      <c r="G10792" s="18">
        <v>140146</v>
      </c>
      <c r="H10792" s="18">
        <f t="shared" si="249"/>
        <v>41929.879999999997</v>
      </c>
    </row>
    <row r="10793" spans="1:8" s="10" customFormat="1" ht="19.5" customHeight="1" x14ac:dyDescent="0.55000000000000004">
      <c r="A10793" s="18">
        <v>24.812600100000001</v>
      </c>
      <c r="B10793" s="18">
        <v>34.835372</v>
      </c>
      <c r="C10793" s="18">
        <v>685507.48</v>
      </c>
      <c r="D10793" s="18">
        <v>2745444.65</v>
      </c>
      <c r="E10793" s="18">
        <v>263.64999999999998</v>
      </c>
      <c r="F10793" s="18">
        <v>41962.45</v>
      </c>
      <c r="G10793" s="18">
        <v>140148</v>
      </c>
      <c r="H10793" s="18">
        <f t="shared" si="249"/>
        <v>41932.449999999997</v>
      </c>
    </row>
    <row r="10794" spans="1:8" s="10" customFormat="1" ht="19.5" customHeight="1" x14ac:dyDescent="0.55000000000000004">
      <c r="A10794" s="18">
        <v>24.812608699999998</v>
      </c>
      <c r="B10794" s="18">
        <v>34.835362799999999</v>
      </c>
      <c r="C10794" s="18">
        <v>685506.54</v>
      </c>
      <c r="D10794" s="18">
        <v>2745445.58</v>
      </c>
      <c r="E10794" s="18">
        <v>263.89999999999998</v>
      </c>
      <c r="F10794" s="18">
        <v>41963.72</v>
      </c>
      <c r="G10794" s="18">
        <v>140150</v>
      </c>
      <c r="H10794" s="18">
        <f t="shared" si="249"/>
        <v>41933.72</v>
      </c>
    </row>
    <row r="10795" spans="1:8" s="10" customFormat="1" ht="19.5" customHeight="1" x14ac:dyDescent="0.55000000000000004">
      <c r="A10795" s="18">
        <v>24.812616899999998</v>
      </c>
      <c r="B10795" s="18">
        <v>34.835347400000003</v>
      </c>
      <c r="C10795" s="18">
        <v>685504.97</v>
      </c>
      <c r="D10795" s="18">
        <v>2745446.47</v>
      </c>
      <c r="E10795" s="18">
        <v>263.87</v>
      </c>
      <c r="F10795" s="18">
        <v>41963.61</v>
      </c>
      <c r="G10795" s="18">
        <v>140152</v>
      </c>
      <c r="H10795" s="18">
        <f t="shared" si="249"/>
        <v>41933.61</v>
      </c>
    </row>
    <row r="10796" spans="1:8" s="10" customFormat="1" ht="19.5" customHeight="1" x14ac:dyDescent="0.55000000000000004">
      <c r="A10796" s="18">
        <v>24.812630899999998</v>
      </c>
      <c r="B10796" s="18">
        <v>34.835338700000001</v>
      </c>
      <c r="C10796" s="18">
        <v>685504.07</v>
      </c>
      <c r="D10796" s="18">
        <v>2745448.01</v>
      </c>
      <c r="E10796" s="18">
        <v>264</v>
      </c>
      <c r="F10796" s="18">
        <v>41961.5</v>
      </c>
      <c r="G10796" s="18">
        <v>140154</v>
      </c>
      <c r="H10796" s="18">
        <f t="shared" si="249"/>
        <v>41931.5</v>
      </c>
    </row>
    <row r="10797" spans="1:8" s="10" customFormat="1" ht="19.5" customHeight="1" x14ac:dyDescent="0.55000000000000004">
      <c r="A10797" s="18">
        <v>24.812640500000001</v>
      </c>
      <c r="B10797" s="18">
        <v>34.835324399999998</v>
      </c>
      <c r="C10797" s="18">
        <v>685502.61</v>
      </c>
      <c r="D10797" s="18">
        <v>2745449.05</v>
      </c>
      <c r="E10797" s="18">
        <v>264.12</v>
      </c>
      <c r="F10797" s="18">
        <v>41961.85</v>
      </c>
      <c r="G10797" s="18">
        <v>140156</v>
      </c>
      <c r="H10797" s="18">
        <f t="shared" si="249"/>
        <v>41931.85</v>
      </c>
    </row>
    <row r="10798" spans="1:8" s="10" customFormat="1" ht="19.5" customHeight="1" x14ac:dyDescent="0.55000000000000004">
      <c r="A10798" s="18">
        <v>24.812652400000001</v>
      </c>
      <c r="B10798" s="18">
        <v>34.835314199999999</v>
      </c>
      <c r="C10798" s="18">
        <v>685501.56</v>
      </c>
      <c r="D10798" s="18">
        <v>2745450.36</v>
      </c>
      <c r="E10798" s="18">
        <v>264.17</v>
      </c>
      <c r="F10798" s="18">
        <v>41959.99</v>
      </c>
      <c r="G10798" s="18">
        <v>140158</v>
      </c>
      <c r="H10798" s="18">
        <f t="shared" si="249"/>
        <v>41929.99</v>
      </c>
    </row>
    <row r="10799" spans="1:8" s="10" customFormat="1" ht="19.5" customHeight="1" x14ac:dyDescent="0.55000000000000004">
      <c r="A10799" s="18">
        <v>24.812654500000001</v>
      </c>
      <c r="B10799" s="18">
        <v>34.835300500000002</v>
      </c>
      <c r="C10799" s="18">
        <v>685500.17</v>
      </c>
      <c r="D10799" s="18">
        <v>2745450.57</v>
      </c>
      <c r="E10799" s="18">
        <v>264.27999999999997</v>
      </c>
      <c r="F10799" s="18">
        <v>41961.61</v>
      </c>
      <c r="G10799" s="18">
        <v>140200</v>
      </c>
      <c r="H10799" s="18">
        <f t="shared" si="249"/>
        <v>41931.61</v>
      </c>
    </row>
    <row r="10800" spans="1:8" s="10" customFormat="1" ht="19.5" customHeight="1" x14ac:dyDescent="0.55000000000000004">
      <c r="A10800" s="18">
        <v>24.8126563</v>
      </c>
      <c r="B10800" s="18">
        <v>34.835287899999997</v>
      </c>
      <c r="C10800" s="18">
        <v>685498.89</v>
      </c>
      <c r="D10800" s="18">
        <v>2745450.75</v>
      </c>
      <c r="E10800" s="18">
        <v>264.27</v>
      </c>
      <c r="F10800" s="18">
        <v>41963.31</v>
      </c>
      <c r="G10800" s="18">
        <v>140202</v>
      </c>
      <c r="H10800" s="18">
        <f t="shared" si="249"/>
        <v>41933.31</v>
      </c>
    </row>
    <row r="10801" spans="1:8" s="10" customFormat="1" ht="19.5" customHeight="1" x14ac:dyDescent="0.55000000000000004">
      <c r="A10801" s="18">
        <v>24.812660399999999</v>
      </c>
      <c r="B10801" s="18">
        <v>34.8352772</v>
      </c>
      <c r="C10801" s="18">
        <v>685497.8</v>
      </c>
      <c r="D10801" s="18">
        <v>2745451.19</v>
      </c>
      <c r="E10801" s="18">
        <v>264.41000000000003</v>
      </c>
      <c r="F10801" s="18">
        <v>41964.86</v>
      </c>
      <c r="G10801" s="18">
        <v>140204</v>
      </c>
      <c r="H10801" s="18">
        <f t="shared" si="249"/>
        <v>41934.86</v>
      </c>
    </row>
    <row r="10802" spans="1:8" s="10" customFormat="1" ht="19.5" customHeight="1" x14ac:dyDescent="0.55000000000000004">
      <c r="A10802" s="18">
        <v>24.812660999999999</v>
      </c>
      <c r="B10802" s="18">
        <v>34.835263099999999</v>
      </c>
      <c r="C10802" s="18">
        <v>685496.39</v>
      </c>
      <c r="D10802" s="18">
        <v>2745451.24</v>
      </c>
      <c r="E10802" s="18">
        <v>264.51</v>
      </c>
      <c r="F10802" s="18">
        <v>41967.03</v>
      </c>
      <c r="G10802" s="18">
        <v>140206</v>
      </c>
      <c r="H10802" s="18">
        <f t="shared" si="249"/>
        <v>41937.03</v>
      </c>
    </row>
    <row r="10803" spans="1:8" s="10" customFormat="1" ht="19.5" customHeight="1" x14ac:dyDescent="0.55000000000000004">
      <c r="A10803" s="18">
        <v>24.812665800000001</v>
      </c>
      <c r="B10803" s="18">
        <v>34.835253700000003</v>
      </c>
      <c r="C10803" s="18">
        <v>685495.42</v>
      </c>
      <c r="D10803" s="18">
        <v>2745451.76</v>
      </c>
      <c r="E10803" s="18">
        <v>264.69</v>
      </c>
      <c r="F10803" s="18">
        <v>41964.3</v>
      </c>
      <c r="G10803" s="18">
        <v>140208</v>
      </c>
      <c r="H10803" s="18">
        <f t="shared" si="249"/>
        <v>41934.300000000003</v>
      </c>
    </row>
    <row r="10804" spans="1:8" s="10" customFormat="1" ht="19.5" customHeight="1" x14ac:dyDescent="0.55000000000000004">
      <c r="A10804" s="18">
        <v>24.812667699999999</v>
      </c>
      <c r="B10804" s="18">
        <v>34.835241099999998</v>
      </c>
      <c r="C10804" s="18">
        <v>685494.15</v>
      </c>
      <c r="D10804" s="18">
        <v>2745451.95</v>
      </c>
      <c r="E10804" s="18">
        <v>264.92</v>
      </c>
      <c r="F10804" s="18">
        <v>41967.83</v>
      </c>
      <c r="G10804" s="18">
        <v>140210</v>
      </c>
      <c r="H10804" s="18">
        <f t="shared" si="249"/>
        <v>41937.83</v>
      </c>
    </row>
    <row r="10805" spans="1:8" s="10" customFormat="1" ht="19.5" customHeight="1" x14ac:dyDescent="0.55000000000000004">
      <c r="A10805" s="18">
        <v>24.812671399999999</v>
      </c>
      <c r="B10805" s="18">
        <v>34.835226400000003</v>
      </c>
      <c r="C10805" s="18">
        <v>685492.65</v>
      </c>
      <c r="D10805" s="18">
        <v>2745452.34</v>
      </c>
      <c r="E10805" s="18">
        <v>265</v>
      </c>
      <c r="F10805" s="18">
        <v>41966.559999999998</v>
      </c>
      <c r="G10805" s="18">
        <v>140212</v>
      </c>
      <c r="H10805" s="18">
        <f t="shared" si="249"/>
        <v>41936.559999999998</v>
      </c>
    </row>
    <row r="10806" spans="1:8" s="10" customFormat="1" ht="19.5" customHeight="1" x14ac:dyDescent="0.55000000000000004">
      <c r="A10806" s="18">
        <v>24.8126736</v>
      </c>
      <c r="B10806" s="18">
        <v>34.835213799999998</v>
      </c>
      <c r="C10806" s="18">
        <v>685491.38</v>
      </c>
      <c r="D10806" s="18">
        <v>2745452.57</v>
      </c>
      <c r="E10806" s="18">
        <v>265.19</v>
      </c>
      <c r="F10806" s="18">
        <v>41967.15</v>
      </c>
      <c r="G10806" s="18">
        <v>140214</v>
      </c>
      <c r="H10806" s="18">
        <f t="shared" si="249"/>
        <v>41937.15</v>
      </c>
    </row>
    <row r="10807" spans="1:8" s="10" customFormat="1" ht="19.5" customHeight="1" x14ac:dyDescent="0.55000000000000004">
      <c r="A10807" s="18">
        <v>24.812682200000001</v>
      </c>
      <c r="B10807" s="18">
        <v>34.835201099999999</v>
      </c>
      <c r="C10807" s="18">
        <v>685490.08</v>
      </c>
      <c r="D10807" s="18">
        <v>2745453.5</v>
      </c>
      <c r="E10807" s="18">
        <v>264.99</v>
      </c>
      <c r="F10807" s="18">
        <v>41964.28</v>
      </c>
      <c r="G10807" s="18">
        <v>140216</v>
      </c>
      <c r="H10807" s="18">
        <f t="shared" si="249"/>
        <v>41934.28</v>
      </c>
    </row>
    <row r="10808" spans="1:8" s="10" customFormat="1" ht="19.5" customHeight="1" x14ac:dyDescent="0.55000000000000004">
      <c r="A10808" s="18">
        <v>24.8126921</v>
      </c>
      <c r="B10808" s="18">
        <v>34.835192900000003</v>
      </c>
      <c r="C10808" s="18">
        <v>685489.23</v>
      </c>
      <c r="D10808" s="18">
        <v>2745454.59</v>
      </c>
      <c r="E10808" s="18">
        <v>265.19</v>
      </c>
      <c r="F10808" s="18">
        <v>41965.8</v>
      </c>
      <c r="G10808" s="18">
        <v>140218</v>
      </c>
      <c r="H10808" s="18">
        <f t="shared" si="249"/>
        <v>41935.800000000003</v>
      </c>
    </row>
    <row r="10809" spans="1:8" s="10" customFormat="1" ht="19.5" customHeight="1" x14ac:dyDescent="0.55000000000000004">
      <c r="A10809" s="18">
        <v>24.8127037</v>
      </c>
      <c r="B10809" s="18">
        <v>34.835179799999999</v>
      </c>
      <c r="C10809" s="18">
        <v>685487.9</v>
      </c>
      <c r="D10809" s="18">
        <v>2745455.86</v>
      </c>
      <c r="E10809" s="18">
        <v>264.97000000000003</v>
      </c>
      <c r="F10809" s="18">
        <v>41961.93</v>
      </c>
      <c r="G10809" s="18">
        <v>140220</v>
      </c>
      <c r="H10809" s="18">
        <f t="shared" si="249"/>
        <v>41931.93</v>
      </c>
    </row>
    <row r="10810" spans="1:8" s="10" customFormat="1" ht="19.5" customHeight="1" x14ac:dyDescent="0.55000000000000004">
      <c r="A10810" s="18">
        <v>24.812711700000001</v>
      </c>
      <c r="B10810" s="18">
        <v>34.835172300000004</v>
      </c>
      <c r="C10810" s="18">
        <v>685487.12</v>
      </c>
      <c r="D10810" s="18">
        <v>2745456.73</v>
      </c>
      <c r="E10810" s="18">
        <v>265.33</v>
      </c>
      <c r="F10810" s="18">
        <v>41964.88</v>
      </c>
      <c r="G10810" s="18">
        <v>140222</v>
      </c>
      <c r="H10810" s="18">
        <f t="shared" si="249"/>
        <v>41934.879999999997</v>
      </c>
    </row>
    <row r="10811" spans="1:8" s="10" customFormat="1" ht="19.5" customHeight="1" x14ac:dyDescent="0.55000000000000004">
      <c r="A10811" s="18">
        <v>24.812721100000001</v>
      </c>
      <c r="B10811" s="18">
        <v>34.835164800000001</v>
      </c>
      <c r="C10811" s="18">
        <v>685486.36</v>
      </c>
      <c r="D10811" s="18">
        <v>2745457.76</v>
      </c>
      <c r="E10811" s="18">
        <v>265.58</v>
      </c>
      <c r="F10811" s="18">
        <v>41965.919999999998</v>
      </c>
      <c r="G10811" s="18">
        <v>140224</v>
      </c>
      <c r="H10811" s="18">
        <f t="shared" si="249"/>
        <v>41935.919999999998</v>
      </c>
    </row>
    <row r="10812" spans="1:8" s="10" customFormat="1" ht="19.5" customHeight="1" x14ac:dyDescent="0.55000000000000004">
      <c r="A10812" s="18">
        <v>24.812733099999999</v>
      </c>
      <c r="B10812" s="18">
        <v>34.835158999999997</v>
      </c>
      <c r="C10812" s="18">
        <v>685485.75</v>
      </c>
      <c r="D10812" s="18">
        <v>2745459.08</v>
      </c>
      <c r="E10812" s="18">
        <v>265.85000000000002</v>
      </c>
      <c r="F10812" s="18">
        <v>41964.06</v>
      </c>
      <c r="G10812" s="18">
        <v>140226</v>
      </c>
      <c r="H10812" s="18">
        <f t="shared" si="249"/>
        <v>41934.06</v>
      </c>
    </row>
    <row r="10813" spans="1:8" s="10" customFormat="1" ht="19.5" customHeight="1" x14ac:dyDescent="0.55000000000000004">
      <c r="A10813" s="18">
        <v>24.812745</v>
      </c>
      <c r="B10813" s="18">
        <v>34.835153800000001</v>
      </c>
      <c r="C10813" s="18">
        <v>685485.21</v>
      </c>
      <c r="D10813" s="18">
        <v>2745460.39</v>
      </c>
      <c r="E10813" s="18">
        <v>266.20999999999998</v>
      </c>
      <c r="F10813" s="18">
        <v>41966.37</v>
      </c>
      <c r="G10813" s="18">
        <v>140228</v>
      </c>
      <c r="H10813" s="18">
        <f t="shared" si="249"/>
        <v>41936.370000000003</v>
      </c>
    </row>
    <row r="10814" spans="1:8" s="10" customFormat="1" ht="19.5" customHeight="1" x14ac:dyDescent="0.55000000000000004">
      <c r="A10814" s="18">
        <v>24.812753099999998</v>
      </c>
      <c r="B10814" s="18">
        <v>34.835145599999997</v>
      </c>
      <c r="C10814" s="18">
        <v>685484.37</v>
      </c>
      <c r="D10814" s="18">
        <v>2745461.28</v>
      </c>
      <c r="E10814" s="18">
        <v>266.44</v>
      </c>
      <c r="F10814" s="18">
        <v>41964.82</v>
      </c>
      <c r="G10814" s="18">
        <v>140230</v>
      </c>
      <c r="H10814" s="18">
        <f t="shared" si="249"/>
        <v>41934.82</v>
      </c>
    </row>
    <row r="10815" spans="1:8" s="10" customFormat="1" ht="19.5" customHeight="1" x14ac:dyDescent="0.55000000000000004">
      <c r="A10815" s="18">
        <v>24.812765800000001</v>
      </c>
      <c r="B10815" s="18">
        <v>34.835138399999998</v>
      </c>
      <c r="C10815" s="18">
        <v>685483.62</v>
      </c>
      <c r="D10815" s="18">
        <v>2745462.68</v>
      </c>
      <c r="E10815" s="18">
        <v>266.57</v>
      </c>
      <c r="F10815" s="18">
        <v>41965.49</v>
      </c>
      <c r="G10815" s="18">
        <v>140232</v>
      </c>
      <c r="H10815" s="18">
        <f t="shared" si="249"/>
        <v>41935.49</v>
      </c>
    </row>
    <row r="10816" spans="1:8" s="10" customFormat="1" ht="19.5" customHeight="1" x14ac:dyDescent="0.55000000000000004">
      <c r="A10816" s="18">
        <v>24.8127757</v>
      </c>
      <c r="B10816" s="18">
        <v>34.835128400000002</v>
      </c>
      <c r="C10816" s="18">
        <v>685482.59</v>
      </c>
      <c r="D10816" s="18">
        <v>2745463.76</v>
      </c>
      <c r="E10816" s="18">
        <v>266.98</v>
      </c>
      <c r="F10816" s="18">
        <v>41967.74</v>
      </c>
      <c r="G10816" s="18">
        <v>140234</v>
      </c>
      <c r="H10816" s="18">
        <f t="shared" si="249"/>
        <v>41937.74</v>
      </c>
    </row>
    <row r="10817" spans="1:8" s="10" customFormat="1" ht="19.5" customHeight="1" x14ac:dyDescent="0.55000000000000004">
      <c r="A10817" s="18">
        <v>24.812783</v>
      </c>
      <c r="B10817" s="18">
        <v>34.835122200000001</v>
      </c>
      <c r="C10817" s="18">
        <v>685481.95</v>
      </c>
      <c r="D10817" s="18">
        <v>2745464.57</v>
      </c>
      <c r="E10817" s="18">
        <v>267.3</v>
      </c>
      <c r="F10817" s="18">
        <v>41965.68</v>
      </c>
      <c r="G10817" s="18">
        <v>140236</v>
      </c>
      <c r="H10817" s="18">
        <f t="shared" si="249"/>
        <v>41935.68</v>
      </c>
    </row>
    <row r="10818" spans="1:8" s="10" customFormat="1" ht="19.5" customHeight="1" x14ac:dyDescent="0.55000000000000004">
      <c r="A10818" s="18">
        <v>24.812795300000001</v>
      </c>
      <c r="B10818" s="18">
        <v>34.835113499999999</v>
      </c>
      <c r="C10818" s="18">
        <v>685481.06</v>
      </c>
      <c r="D10818" s="18">
        <v>2745465.91</v>
      </c>
      <c r="E10818" s="18">
        <v>267.08</v>
      </c>
      <c r="F10818" s="18">
        <v>41965.66</v>
      </c>
      <c r="G10818" s="18">
        <v>140238</v>
      </c>
      <c r="H10818" s="18">
        <f t="shared" si="249"/>
        <v>41935.660000000003</v>
      </c>
    </row>
    <row r="10819" spans="1:8" s="10" customFormat="1" ht="19.5" customHeight="1" x14ac:dyDescent="0.55000000000000004">
      <c r="A10819" s="18">
        <v>24.8128086</v>
      </c>
      <c r="B10819" s="18">
        <v>34.835099200000002</v>
      </c>
      <c r="C10819" s="18">
        <v>685479.59</v>
      </c>
      <c r="D10819" s="18">
        <v>2745467.36</v>
      </c>
      <c r="E10819" s="18">
        <v>266.89</v>
      </c>
      <c r="F10819" s="18">
        <v>41965.1</v>
      </c>
      <c r="G10819" s="18">
        <v>140240</v>
      </c>
      <c r="H10819" s="18">
        <f t="shared" si="249"/>
        <v>41935.1</v>
      </c>
    </row>
    <row r="10820" spans="1:8" s="10" customFormat="1" ht="19.5" customHeight="1" x14ac:dyDescent="0.55000000000000004">
      <c r="A10820" s="18">
        <v>24.812822100000002</v>
      </c>
      <c r="B10820" s="18">
        <v>34.835085200000002</v>
      </c>
      <c r="C10820" s="18">
        <v>685478.15</v>
      </c>
      <c r="D10820" s="18">
        <v>2745468.84</v>
      </c>
      <c r="E10820" s="18">
        <v>266.93</v>
      </c>
      <c r="F10820" s="18">
        <v>41963.22</v>
      </c>
      <c r="G10820" s="18">
        <v>140242</v>
      </c>
      <c r="H10820" s="18">
        <f t="shared" si="249"/>
        <v>41933.22</v>
      </c>
    </row>
    <row r="10821" spans="1:8" s="10" customFormat="1" ht="19.5" customHeight="1" x14ac:dyDescent="0.55000000000000004">
      <c r="A10821" s="18">
        <v>24.8128335</v>
      </c>
      <c r="B10821" s="18">
        <v>34.835071800000001</v>
      </c>
      <c r="C10821" s="18">
        <v>685476.79</v>
      </c>
      <c r="D10821" s="18">
        <v>2745470.08</v>
      </c>
      <c r="E10821" s="18">
        <v>267</v>
      </c>
      <c r="F10821" s="18">
        <v>41963.23</v>
      </c>
      <c r="G10821" s="18">
        <v>140244</v>
      </c>
      <c r="H10821" s="18">
        <f t="shared" si="249"/>
        <v>41933.230000000003</v>
      </c>
    </row>
    <row r="10822" spans="1:8" s="10" customFormat="1" ht="19.5" customHeight="1" x14ac:dyDescent="0.55000000000000004">
      <c r="A10822" s="18">
        <v>24.812847699999999</v>
      </c>
      <c r="B10822" s="18">
        <v>34.835061000000003</v>
      </c>
      <c r="C10822" s="18">
        <v>685475.67</v>
      </c>
      <c r="D10822" s="18">
        <v>2745471.65</v>
      </c>
      <c r="E10822" s="18">
        <v>267.06</v>
      </c>
      <c r="F10822" s="18">
        <v>41961.16</v>
      </c>
      <c r="G10822" s="18">
        <v>140246</v>
      </c>
      <c r="H10822" s="18">
        <f t="shared" si="249"/>
        <v>41931.160000000003</v>
      </c>
    </row>
    <row r="10823" spans="1:8" s="10" customFormat="1" ht="19.5" customHeight="1" x14ac:dyDescent="0.55000000000000004">
      <c r="A10823" s="18">
        <v>24.812858599999998</v>
      </c>
      <c r="B10823" s="18">
        <v>34.835048800000003</v>
      </c>
      <c r="C10823" s="18">
        <v>685474.42</v>
      </c>
      <c r="D10823" s="18">
        <v>2745472.84</v>
      </c>
      <c r="E10823" s="18">
        <v>267.31</v>
      </c>
      <c r="F10823" s="18">
        <v>41964.86</v>
      </c>
      <c r="G10823" s="18">
        <v>140248</v>
      </c>
      <c r="H10823" s="18">
        <f t="shared" si="249"/>
        <v>41934.86</v>
      </c>
    </row>
    <row r="10824" spans="1:8" s="10" customFormat="1" ht="19.5" customHeight="1" x14ac:dyDescent="0.55000000000000004">
      <c r="A10824" s="18">
        <v>24.812872599999999</v>
      </c>
      <c r="B10824" s="18">
        <v>34.835034899999997</v>
      </c>
      <c r="C10824" s="18">
        <v>685472.99</v>
      </c>
      <c r="D10824" s="18">
        <v>2745474.37</v>
      </c>
      <c r="E10824" s="18">
        <v>267.39999999999998</v>
      </c>
      <c r="F10824" s="18">
        <v>41962.52</v>
      </c>
      <c r="G10824" s="18">
        <v>140250</v>
      </c>
      <c r="H10824" s="18">
        <f t="shared" si="249"/>
        <v>41932.519999999997</v>
      </c>
    </row>
    <row r="10825" spans="1:8" s="10" customFormat="1" ht="19.5" customHeight="1" x14ac:dyDescent="0.55000000000000004">
      <c r="A10825" s="18">
        <v>24.812883500000002</v>
      </c>
      <c r="B10825" s="18">
        <v>34.835022700000003</v>
      </c>
      <c r="C10825" s="18">
        <v>685471.75</v>
      </c>
      <c r="D10825" s="18">
        <v>2745475.56</v>
      </c>
      <c r="E10825" s="18">
        <v>267.64</v>
      </c>
      <c r="F10825" s="18">
        <v>41965.5</v>
      </c>
      <c r="G10825" s="18">
        <v>140252</v>
      </c>
      <c r="H10825" s="18">
        <f t="shared" ref="H10825:H10888" si="250">SUM(F10825-30)</f>
        <v>41935.5</v>
      </c>
    </row>
    <row r="10826" spans="1:8" s="10" customFormat="1" ht="19.5" customHeight="1" x14ac:dyDescent="0.55000000000000004">
      <c r="A10826" s="18">
        <v>24.812892000000002</v>
      </c>
      <c r="B10826" s="18">
        <v>34.835010400000002</v>
      </c>
      <c r="C10826" s="18">
        <v>685470.49</v>
      </c>
      <c r="D10826" s="18">
        <v>2745476.49</v>
      </c>
      <c r="E10826" s="18">
        <v>267.7</v>
      </c>
      <c r="F10826" s="18">
        <v>41964.639999999999</v>
      </c>
      <c r="G10826" s="18">
        <v>140254</v>
      </c>
      <c r="H10826" s="18">
        <f t="shared" si="250"/>
        <v>41934.639999999999</v>
      </c>
    </row>
    <row r="10827" spans="1:8" s="10" customFormat="1" ht="19.5" customHeight="1" x14ac:dyDescent="0.55000000000000004">
      <c r="A10827" s="18">
        <v>24.812905300000001</v>
      </c>
      <c r="B10827" s="18">
        <v>34.835002299999999</v>
      </c>
      <c r="C10827" s="18">
        <v>685469.66</v>
      </c>
      <c r="D10827" s="18">
        <v>2745477.95</v>
      </c>
      <c r="E10827" s="18">
        <v>267.8</v>
      </c>
      <c r="F10827" s="18">
        <v>41965.04</v>
      </c>
      <c r="G10827" s="18">
        <v>140256</v>
      </c>
      <c r="H10827" s="18">
        <f t="shared" si="250"/>
        <v>41935.040000000001</v>
      </c>
    </row>
    <row r="10828" spans="1:8" s="10" customFormat="1" ht="19.5" customHeight="1" x14ac:dyDescent="0.55000000000000004">
      <c r="A10828" s="18">
        <v>24.812920500000001</v>
      </c>
      <c r="B10828" s="18">
        <v>34.834995599999999</v>
      </c>
      <c r="C10828" s="18">
        <v>685468.96</v>
      </c>
      <c r="D10828" s="18">
        <v>2745479.62</v>
      </c>
      <c r="E10828" s="18">
        <v>267.99</v>
      </c>
      <c r="F10828" s="18">
        <v>41961.89</v>
      </c>
      <c r="G10828" s="18">
        <v>140258</v>
      </c>
      <c r="H10828" s="18">
        <f t="shared" si="250"/>
        <v>41931.89</v>
      </c>
    </row>
    <row r="10829" spans="1:8" s="10" customFormat="1" ht="19.5" customHeight="1" x14ac:dyDescent="0.55000000000000004">
      <c r="A10829" s="18">
        <v>24.812929100000002</v>
      </c>
      <c r="B10829" s="18">
        <v>34.834986899999997</v>
      </c>
      <c r="C10829" s="18">
        <v>685468.06</v>
      </c>
      <c r="D10829" s="18">
        <v>2745480.56</v>
      </c>
      <c r="E10829" s="18">
        <v>268.05</v>
      </c>
      <c r="F10829" s="18">
        <v>41962.38</v>
      </c>
      <c r="G10829" s="18">
        <v>140300</v>
      </c>
      <c r="H10829" s="18">
        <f t="shared" si="250"/>
        <v>41932.379999999997</v>
      </c>
    </row>
    <row r="10830" spans="1:8" s="10" customFormat="1" ht="19.5" customHeight="1" x14ac:dyDescent="0.55000000000000004">
      <c r="A10830" s="18">
        <v>24.812943199999999</v>
      </c>
      <c r="B10830" s="18">
        <v>34.834974799999998</v>
      </c>
      <c r="C10830" s="18">
        <v>685466.81</v>
      </c>
      <c r="D10830" s="18">
        <v>2745482.1</v>
      </c>
      <c r="E10830" s="18">
        <v>268.18</v>
      </c>
      <c r="F10830" s="18">
        <v>41961.74</v>
      </c>
      <c r="G10830" s="18">
        <v>140302</v>
      </c>
      <c r="H10830" s="18">
        <f t="shared" si="250"/>
        <v>41931.74</v>
      </c>
    </row>
    <row r="10831" spans="1:8" s="10" customFormat="1" ht="19.5" customHeight="1" x14ac:dyDescent="0.55000000000000004">
      <c r="A10831" s="18">
        <v>24.8129594</v>
      </c>
      <c r="B10831" s="18">
        <v>34.834967800000001</v>
      </c>
      <c r="C10831" s="18">
        <v>685466.08</v>
      </c>
      <c r="D10831" s="18">
        <v>2745483.89</v>
      </c>
      <c r="E10831" s="18">
        <v>268.39999999999998</v>
      </c>
      <c r="F10831" s="18">
        <v>41962.22</v>
      </c>
      <c r="G10831" s="18">
        <v>140304</v>
      </c>
      <c r="H10831" s="18">
        <f t="shared" si="250"/>
        <v>41932.22</v>
      </c>
    </row>
    <row r="10832" spans="1:8" s="10" customFormat="1" ht="19.5" customHeight="1" x14ac:dyDescent="0.55000000000000004">
      <c r="A10832" s="18">
        <v>24.8129721</v>
      </c>
      <c r="B10832" s="18">
        <v>34.834958899999997</v>
      </c>
      <c r="C10832" s="18">
        <v>685465.16</v>
      </c>
      <c r="D10832" s="18">
        <v>2745485.29</v>
      </c>
      <c r="E10832" s="18">
        <v>268.45999999999998</v>
      </c>
      <c r="F10832" s="18">
        <v>41960.29</v>
      </c>
      <c r="G10832" s="18">
        <v>140306</v>
      </c>
      <c r="H10832" s="18">
        <f t="shared" si="250"/>
        <v>41930.29</v>
      </c>
    </row>
    <row r="10833" spans="1:8" s="10" customFormat="1" ht="19.5" customHeight="1" x14ac:dyDescent="0.55000000000000004">
      <c r="A10833" s="18">
        <v>24.812985399999999</v>
      </c>
      <c r="B10833" s="18">
        <v>34.834940600000003</v>
      </c>
      <c r="C10833" s="18">
        <v>685463.3</v>
      </c>
      <c r="D10833" s="18">
        <v>2745486.73</v>
      </c>
      <c r="E10833" s="18">
        <v>268.52</v>
      </c>
      <c r="F10833" s="18">
        <v>41962.7</v>
      </c>
      <c r="G10833" s="18">
        <v>140308</v>
      </c>
      <c r="H10833" s="18">
        <f t="shared" si="250"/>
        <v>41932.699999999997</v>
      </c>
    </row>
    <row r="10834" spans="1:8" s="10" customFormat="1" ht="19.5" customHeight="1" x14ac:dyDescent="0.55000000000000004">
      <c r="A10834" s="18">
        <v>24.8129989</v>
      </c>
      <c r="B10834" s="18">
        <v>34.834931500000003</v>
      </c>
      <c r="C10834" s="18">
        <v>685462.35</v>
      </c>
      <c r="D10834" s="18">
        <v>2745488.22</v>
      </c>
      <c r="E10834" s="18">
        <v>268.92</v>
      </c>
      <c r="F10834" s="18">
        <v>41964.02</v>
      </c>
      <c r="G10834" s="18">
        <v>140310</v>
      </c>
      <c r="H10834" s="18">
        <f t="shared" si="250"/>
        <v>41934.019999999997</v>
      </c>
    </row>
    <row r="10835" spans="1:8" s="10" customFormat="1" ht="19.5" customHeight="1" x14ac:dyDescent="0.55000000000000004">
      <c r="A10835" s="18">
        <v>24.813012100000002</v>
      </c>
      <c r="B10835" s="18">
        <v>34.834924399999998</v>
      </c>
      <c r="C10835" s="18">
        <v>685461.62</v>
      </c>
      <c r="D10835" s="18">
        <v>2745489.67</v>
      </c>
      <c r="E10835" s="18">
        <v>269.31</v>
      </c>
      <c r="F10835" s="18">
        <v>41963.63</v>
      </c>
      <c r="G10835" s="18">
        <v>140312</v>
      </c>
      <c r="H10835" s="18">
        <f t="shared" si="250"/>
        <v>41933.629999999997</v>
      </c>
    </row>
    <row r="10836" spans="1:8" s="10" customFormat="1" ht="19.5" customHeight="1" x14ac:dyDescent="0.55000000000000004">
      <c r="A10836" s="18">
        <v>24.813029700000001</v>
      </c>
      <c r="B10836" s="18">
        <v>34.834921100000003</v>
      </c>
      <c r="C10836" s="18">
        <v>685461.25</v>
      </c>
      <c r="D10836" s="18">
        <v>2745491.61</v>
      </c>
      <c r="E10836" s="18">
        <v>269.51</v>
      </c>
      <c r="F10836" s="18">
        <v>41962.39</v>
      </c>
      <c r="G10836" s="18">
        <v>140314</v>
      </c>
      <c r="H10836" s="18">
        <f t="shared" si="250"/>
        <v>41932.39</v>
      </c>
    </row>
    <row r="10837" spans="1:8" s="10" customFormat="1" ht="19.5" customHeight="1" x14ac:dyDescent="0.55000000000000004">
      <c r="A10837" s="18">
        <v>24.813046199999999</v>
      </c>
      <c r="B10837" s="18">
        <v>34.834917500000003</v>
      </c>
      <c r="C10837" s="18">
        <v>685460.86</v>
      </c>
      <c r="D10837" s="18">
        <v>2745493.43</v>
      </c>
      <c r="E10837" s="18">
        <v>269.74</v>
      </c>
      <c r="F10837" s="18">
        <v>41959.29</v>
      </c>
      <c r="G10837" s="18">
        <v>140316</v>
      </c>
      <c r="H10837" s="18">
        <f t="shared" si="250"/>
        <v>41929.29</v>
      </c>
    </row>
    <row r="10838" spans="1:8" s="10" customFormat="1" ht="19.5" customHeight="1" x14ac:dyDescent="0.55000000000000004">
      <c r="A10838" s="18">
        <v>24.813060400000001</v>
      </c>
      <c r="B10838" s="18">
        <v>34.834911300000002</v>
      </c>
      <c r="C10838" s="18">
        <v>685460.22</v>
      </c>
      <c r="D10838" s="18">
        <v>2745495</v>
      </c>
      <c r="E10838" s="18">
        <v>270.16000000000003</v>
      </c>
      <c r="F10838" s="18">
        <v>41962.18</v>
      </c>
      <c r="G10838" s="18">
        <v>140318</v>
      </c>
      <c r="H10838" s="18">
        <f t="shared" si="250"/>
        <v>41932.18</v>
      </c>
    </row>
    <row r="10839" spans="1:8" s="10" customFormat="1" ht="19.5" customHeight="1" x14ac:dyDescent="0.55000000000000004">
      <c r="A10839" s="18">
        <v>24.813074799999999</v>
      </c>
      <c r="B10839" s="18">
        <v>34.834903300000001</v>
      </c>
      <c r="C10839" s="18">
        <v>685459.39</v>
      </c>
      <c r="D10839" s="18">
        <v>2745496.58</v>
      </c>
      <c r="E10839" s="18">
        <v>270.58</v>
      </c>
      <c r="F10839" s="18">
        <v>41960.51</v>
      </c>
      <c r="G10839" s="18">
        <v>140320</v>
      </c>
      <c r="H10839" s="18">
        <f t="shared" si="250"/>
        <v>41930.51</v>
      </c>
    </row>
    <row r="10840" spans="1:8" s="10" customFormat="1" ht="19.5" customHeight="1" x14ac:dyDescent="0.55000000000000004">
      <c r="A10840" s="18">
        <v>24.813088100000002</v>
      </c>
      <c r="B10840" s="18">
        <v>34.834894499999997</v>
      </c>
      <c r="C10840" s="18">
        <v>685458.48</v>
      </c>
      <c r="D10840" s="18">
        <v>2745498.05</v>
      </c>
      <c r="E10840" s="18">
        <v>270.76</v>
      </c>
      <c r="F10840" s="18">
        <v>41961.63</v>
      </c>
      <c r="G10840" s="18">
        <v>140322</v>
      </c>
      <c r="H10840" s="18">
        <f t="shared" si="250"/>
        <v>41931.629999999997</v>
      </c>
    </row>
    <row r="10841" spans="1:8" s="10" customFormat="1" ht="19.5" customHeight="1" x14ac:dyDescent="0.55000000000000004">
      <c r="A10841" s="18">
        <v>24.813101899999999</v>
      </c>
      <c r="B10841" s="18">
        <v>34.834885700000001</v>
      </c>
      <c r="C10841" s="18">
        <v>685457.57</v>
      </c>
      <c r="D10841" s="18">
        <v>2745499.56</v>
      </c>
      <c r="E10841" s="18">
        <v>270.95</v>
      </c>
      <c r="F10841" s="18">
        <v>41962.83</v>
      </c>
      <c r="G10841" s="18">
        <v>140324</v>
      </c>
      <c r="H10841" s="18">
        <f t="shared" si="250"/>
        <v>41932.83</v>
      </c>
    </row>
    <row r="10842" spans="1:8" s="10" customFormat="1" ht="19.5" customHeight="1" x14ac:dyDescent="0.55000000000000004">
      <c r="A10842" s="18">
        <v>24.8131184</v>
      </c>
      <c r="B10842" s="18">
        <v>34.834881799999998</v>
      </c>
      <c r="C10842" s="18">
        <v>685457.15</v>
      </c>
      <c r="D10842" s="18">
        <v>2745501.38</v>
      </c>
      <c r="E10842" s="18">
        <v>271.16000000000003</v>
      </c>
      <c r="F10842" s="18">
        <v>41961.5</v>
      </c>
      <c r="G10842" s="18">
        <v>140326</v>
      </c>
      <c r="H10842" s="18">
        <f t="shared" si="250"/>
        <v>41931.5</v>
      </c>
    </row>
    <row r="10843" spans="1:8" s="10" customFormat="1" ht="19.5" customHeight="1" x14ac:dyDescent="0.55000000000000004">
      <c r="A10843" s="18">
        <v>24.813135299999999</v>
      </c>
      <c r="B10843" s="18">
        <v>34.834878099999997</v>
      </c>
      <c r="C10843" s="18">
        <v>685456.75</v>
      </c>
      <c r="D10843" s="18">
        <v>2745503.25</v>
      </c>
      <c r="E10843" s="18">
        <v>271.3</v>
      </c>
      <c r="F10843" s="18">
        <v>41961.48</v>
      </c>
      <c r="G10843" s="18">
        <v>140328</v>
      </c>
      <c r="H10843" s="18">
        <f t="shared" si="250"/>
        <v>41931.480000000003</v>
      </c>
    </row>
    <row r="10844" spans="1:8" s="10" customFormat="1" ht="19.5" customHeight="1" x14ac:dyDescent="0.55000000000000004">
      <c r="A10844" s="18">
        <v>24.813150499999999</v>
      </c>
      <c r="B10844" s="18">
        <v>34.834870000000002</v>
      </c>
      <c r="C10844" s="18">
        <v>685455.91</v>
      </c>
      <c r="D10844" s="18">
        <v>2745504.93</v>
      </c>
      <c r="E10844" s="18">
        <v>271.5</v>
      </c>
      <c r="F10844" s="18">
        <v>41960.91</v>
      </c>
      <c r="G10844" s="18">
        <v>140330</v>
      </c>
      <c r="H10844" s="18">
        <f t="shared" si="250"/>
        <v>41930.910000000003</v>
      </c>
    </row>
    <row r="10845" spans="1:8" s="10" customFormat="1" ht="19.5" customHeight="1" x14ac:dyDescent="0.55000000000000004">
      <c r="A10845" s="18">
        <v>24.8131649</v>
      </c>
      <c r="B10845" s="18">
        <v>34.834861199999999</v>
      </c>
      <c r="C10845" s="18">
        <v>685455</v>
      </c>
      <c r="D10845" s="18">
        <v>2745506.51</v>
      </c>
      <c r="E10845" s="18">
        <v>271.74</v>
      </c>
      <c r="F10845" s="18">
        <v>41960.54</v>
      </c>
      <c r="G10845" s="18">
        <v>140332</v>
      </c>
      <c r="H10845" s="18">
        <f t="shared" si="250"/>
        <v>41930.54</v>
      </c>
    </row>
    <row r="10846" spans="1:8" s="10" customFormat="1" ht="19.5" customHeight="1" x14ac:dyDescent="0.55000000000000004">
      <c r="A10846" s="18">
        <v>24.813176299999999</v>
      </c>
      <c r="B10846" s="18">
        <v>34.834853000000003</v>
      </c>
      <c r="C10846" s="18">
        <v>685454.15</v>
      </c>
      <c r="D10846" s="18">
        <v>2745507.76</v>
      </c>
      <c r="E10846" s="18">
        <v>272.13</v>
      </c>
      <c r="F10846" s="18">
        <v>41962.13</v>
      </c>
      <c r="G10846" s="18">
        <v>140334</v>
      </c>
      <c r="H10846" s="18">
        <f t="shared" si="250"/>
        <v>41932.129999999997</v>
      </c>
    </row>
    <row r="10847" spans="1:8" s="10" customFormat="1" ht="19.5" customHeight="1" x14ac:dyDescent="0.55000000000000004">
      <c r="A10847" s="18">
        <v>24.813190800000001</v>
      </c>
      <c r="B10847" s="18">
        <v>34.8348528</v>
      </c>
      <c r="C10847" s="18">
        <v>685454.11</v>
      </c>
      <c r="D10847" s="18">
        <v>2745509.37</v>
      </c>
      <c r="E10847" s="18">
        <v>272.27</v>
      </c>
      <c r="F10847" s="18">
        <v>41958.64</v>
      </c>
      <c r="G10847" s="18">
        <v>140336</v>
      </c>
      <c r="H10847" s="18">
        <f t="shared" si="250"/>
        <v>41928.639999999999</v>
      </c>
    </row>
    <row r="10848" spans="1:8" s="10" customFormat="1" ht="19.5" customHeight="1" x14ac:dyDescent="0.55000000000000004">
      <c r="A10848" s="18">
        <v>24.813206600000001</v>
      </c>
      <c r="B10848" s="18">
        <v>34.834853500000001</v>
      </c>
      <c r="C10848" s="18">
        <v>685454.16</v>
      </c>
      <c r="D10848" s="18">
        <v>2745511.12</v>
      </c>
      <c r="E10848" s="18">
        <v>272.20999999999998</v>
      </c>
      <c r="F10848" s="18">
        <v>41957.87</v>
      </c>
      <c r="G10848" s="18">
        <v>140338</v>
      </c>
      <c r="H10848" s="18">
        <f t="shared" si="250"/>
        <v>41927.870000000003</v>
      </c>
    </row>
    <row r="10849" spans="1:8" s="10" customFormat="1" ht="19.5" customHeight="1" x14ac:dyDescent="0.55000000000000004">
      <c r="A10849" s="18">
        <v>24.8132275</v>
      </c>
      <c r="B10849" s="18">
        <v>34.834856100000003</v>
      </c>
      <c r="C10849" s="18">
        <v>685454.39</v>
      </c>
      <c r="D10849" s="18">
        <v>2745513.43</v>
      </c>
      <c r="E10849" s="18">
        <v>272.47000000000003</v>
      </c>
      <c r="F10849" s="18">
        <v>41959.48</v>
      </c>
      <c r="G10849" s="18">
        <v>140340</v>
      </c>
      <c r="H10849" s="18">
        <f t="shared" si="250"/>
        <v>41929.480000000003</v>
      </c>
    </row>
    <row r="10850" spans="1:8" s="10" customFormat="1" ht="19.5" customHeight="1" x14ac:dyDescent="0.55000000000000004">
      <c r="A10850" s="18">
        <v>24.813243799999999</v>
      </c>
      <c r="B10850" s="18">
        <v>34.8348583</v>
      </c>
      <c r="C10850" s="18">
        <v>685454.59</v>
      </c>
      <c r="D10850" s="18">
        <v>2745515.24</v>
      </c>
      <c r="E10850" s="18">
        <v>272.77999999999997</v>
      </c>
      <c r="F10850" s="18">
        <v>41956.54</v>
      </c>
      <c r="G10850" s="18">
        <v>140342</v>
      </c>
      <c r="H10850" s="18">
        <f t="shared" si="250"/>
        <v>41926.54</v>
      </c>
    </row>
    <row r="10851" spans="1:8" s="10" customFormat="1" ht="19.5" customHeight="1" x14ac:dyDescent="0.55000000000000004">
      <c r="A10851" s="18">
        <v>24.813257799999999</v>
      </c>
      <c r="B10851" s="18">
        <v>34.834857399999997</v>
      </c>
      <c r="C10851" s="18">
        <v>685454.48</v>
      </c>
      <c r="D10851" s="18">
        <v>2745516.79</v>
      </c>
      <c r="E10851" s="18">
        <v>273.02999999999997</v>
      </c>
      <c r="F10851" s="18">
        <v>41959.15</v>
      </c>
      <c r="G10851" s="18">
        <v>140344</v>
      </c>
      <c r="H10851" s="18">
        <f t="shared" si="250"/>
        <v>41929.15</v>
      </c>
    </row>
    <row r="10852" spans="1:8" s="10" customFormat="1" ht="19.5" customHeight="1" x14ac:dyDescent="0.55000000000000004">
      <c r="A10852" s="18">
        <v>24.813271100000001</v>
      </c>
      <c r="B10852" s="18">
        <v>34.834857399999997</v>
      </c>
      <c r="C10852" s="18">
        <v>685454.45</v>
      </c>
      <c r="D10852" s="18">
        <v>2745518.26</v>
      </c>
      <c r="E10852" s="18">
        <v>273.33999999999997</v>
      </c>
      <c r="F10852" s="18">
        <v>41960.29</v>
      </c>
      <c r="G10852" s="18">
        <v>140346</v>
      </c>
      <c r="H10852" s="18">
        <f t="shared" si="250"/>
        <v>41930.29</v>
      </c>
    </row>
    <row r="10853" spans="1:8" s="10" customFormat="1" ht="19.5" customHeight="1" x14ac:dyDescent="0.55000000000000004">
      <c r="A10853" s="18">
        <v>24.813283699999999</v>
      </c>
      <c r="B10853" s="18">
        <v>34.834861099999998</v>
      </c>
      <c r="C10853" s="18">
        <v>685454.81</v>
      </c>
      <c r="D10853" s="18">
        <v>2745519.67</v>
      </c>
      <c r="E10853" s="18">
        <v>273.45</v>
      </c>
      <c r="F10853" s="18">
        <v>41956.9</v>
      </c>
      <c r="G10853" s="18">
        <v>140348</v>
      </c>
      <c r="H10853" s="18">
        <f t="shared" si="250"/>
        <v>41926.9</v>
      </c>
    </row>
    <row r="10854" spans="1:8" s="10" customFormat="1" ht="19.5" customHeight="1" x14ac:dyDescent="0.55000000000000004">
      <c r="A10854" s="18">
        <v>24.813298700000001</v>
      </c>
      <c r="B10854" s="18">
        <v>34.834859899999998</v>
      </c>
      <c r="C10854" s="18">
        <v>685454.67</v>
      </c>
      <c r="D10854" s="18">
        <v>2745521.33</v>
      </c>
      <c r="E10854" s="18">
        <v>273.58999999999997</v>
      </c>
      <c r="F10854" s="18">
        <v>41957.43</v>
      </c>
      <c r="G10854" s="18">
        <v>140350</v>
      </c>
      <c r="H10854" s="18">
        <f t="shared" si="250"/>
        <v>41927.43</v>
      </c>
    </row>
    <row r="10855" spans="1:8" s="10" customFormat="1" ht="19.5" customHeight="1" x14ac:dyDescent="0.55000000000000004">
      <c r="A10855" s="18">
        <v>24.813311599999999</v>
      </c>
      <c r="B10855" s="18">
        <v>34.834861600000004</v>
      </c>
      <c r="C10855" s="18">
        <v>685454.82</v>
      </c>
      <c r="D10855" s="18">
        <v>2745522.76</v>
      </c>
      <c r="E10855" s="18">
        <v>273.97000000000003</v>
      </c>
      <c r="F10855" s="18">
        <v>41959.98</v>
      </c>
      <c r="G10855" s="18">
        <v>140352</v>
      </c>
      <c r="H10855" s="18">
        <f t="shared" si="250"/>
        <v>41929.980000000003</v>
      </c>
    </row>
    <row r="10856" spans="1:8" s="10" customFormat="1" ht="19.5" customHeight="1" x14ac:dyDescent="0.55000000000000004">
      <c r="A10856" s="18">
        <v>24.8133233</v>
      </c>
      <c r="B10856" s="18">
        <v>34.834867799999998</v>
      </c>
      <c r="C10856" s="18">
        <v>685455.43</v>
      </c>
      <c r="D10856" s="18">
        <v>2745524.06</v>
      </c>
      <c r="E10856" s="18">
        <v>274.29000000000002</v>
      </c>
      <c r="F10856" s="18">
        <v>41956.93</v>
      </c>
      <c r="G10856" s="18">
        <v>140354</v>
      </c>
      <c r="H10856" s="18">
        <f t="shared" si="250"/>
        <v>41926.93</v>
      </c>
    </row>
    <row r="10857" spans="1:8" s="10" customFormat="1" ht="19.5" customHeight="1" x14ac:dyDescent="0.55000000000000004">
      <c r="A10857" s="18">
        <v>24.813331300000002</v>
      </c>
      <c r="B10857" s="18">
        <v>34.834867000000003</v>
      </c>
      <c r="C10857" s="18">
        <v>685455.34</v>
      </c>
      <c r="D10857" s="18">
        <v>2745524.95</v>
      </c>
      <c r="E10857" s="18">
        <v>274.39</v>
      </c>
      <c r="F10857" s="18">
        <v>41955.82</v>
      </c>
      <c r="G10857" s="18">
        <v>140356</v>
      </c>
      <c r="H10857" s="18">
        <f t="shared" si="250"/>
        <v>41925.82</v>
      </c>
    </row>
    <row r="10858" spans="1:8" s="10" customFormat="1" ht="19.5" customHeight="1" x14ac:dyDescent="0.55000000000000004">
      <c r="A10858" s="18">
        <v>24.8133385</v>
      </c>
      <c r="B10858" s="18">
        <v>34.834859999999999</v>
      </c>
      <c r="C10858" s="18">
        <v>685454.62</v>
      </c>
      <c r="D10858" s="18">
        <v>2745525.73</v>
      </c>
      <c r="E10858" s="18">
        <v>274.75</v>
      </c>
      <c r="F10858" s="18">
        <v>41957.66</v>
      </c>
      <c r="G10858" s="18">
        <v>140358</v>
      </c>
      <c r="H10858" s="18">
        <f t="shared" si="250"/>
        <v>41927.660000000003</v>
      </c>
    </row>
    <row r="10859" spans="1:8" s="10" customFormat="1" ht="19.5" customHeight="1" x14ac:dyDescent="0.55000000000000004">
      <c r="A10859" s="18">
        <v>24.8133494</v>
      </c>
      <c r="B10859" s="18">
        <v>34.834853699999996</v>
      </c>
      <c r="C10859" s="18">
        <v>685453.97</v>
      </c>
      <c r="D10859" s="18">
        <v>2745526.93</v>
      </c>
      <c r="E10859" s="18">
        <v>275.18</v>
      </c>
      <c r="F10859" s="18">
        <v>41960.63</v>
      </c>
      <c r="G10859" s="18">
        <v>140400</v>
      </c>
      <c r="H10859" s="18">
        <f t="shared" si="250"/>
        <v>41930.629999999997</v>
      </c>
    </row>
    <row r="10860" spans="1:8" s="10" customFormat="1" ht="19.5" customHeight="1" x14ac:dyDescent="0.55000000000000004">
      <c r="A10860" s="18">
        <v>24.813352800000001</v>
      </c>
      <c r="B10860" s="18">
        <v>34.834842399999999</v>
      </c>
      <c r="C10860" s="18">
        <v>685452.81</v>
      </c>
      <c r="D10860" s="18">
        <v>2745527.29</v>
      </c>
      <c r="E10860" s="18">
        <v>275.58</v>
      </c>
      <c r="F10860" s="18">
        <v>41961.17</v>
      </c>
      <c r="G10860" s="18">
        <v>140402</v>
      </c>
      <c r="H10860" s="18">
        <f t="shared" si="250"/>
        <v>41931.17</v>
      </c>
    </row>
    <row r="10861" spans="1:8" s="10" customFormat="1" ht="19.5" customHeight="1" x14ac:dyDescent="0.55000000000000004">
      <c r="A10861" s="18">
        <v>24.813359999999999</v>
      </c>
      <c r="B10861" s="18">
        <v>34.834830799999999</v>
      </c>
      <c r="C10861" s="18">
        <v>685451.63</v>
      </c>
      <c r="D10861" s="18">
        <v>2745528.08</v>
      </c>
      <c r="E10861" s="18">
        <v>275.98</v>
      </c>
      <c r="F10861" s="18">
        <v>41962.82</v>
      </c>
      <c r="G10861" s="18">
        <v>140404</v>
      </c>
      <c r="H10861" s="18">
        <f t="shared" si="250"/>
        <v>41932.82</v>
      </c>
    </row>
    <row r="10862" spans="1:8" s="10" customFormat="1" ht="19.5" customHeight="1" x14ac:dyDescent="0.55000000000000004">
      <c r="A10862" s="18">
        <v>24.813374700000001</v>
      </c>
      <c r="B10862" s="18">
        <v>34.834824900000001</v>
      </c>
      <c r="C10862" s="18">
        <v>685451.02</v>
      </c>
      <c r="D10862" s="18">
        <v>2745529.7</v>
      </c>
      <c r="E10862" s="18">
        <v>276.43</v>
      </c>
      <c r="F10862" s="18">
        <v>41961.5</v>
      </c>
      <c r="G10862" s="18">
        <v>140406</v>
      </c>
      <c r="H10862" s="18">
        <f t="shared" si="250"/>
        <v>41931.5</v>
      </c>
    </row>
    <row r="10863" spans="1:8" s="10" customFormat="1" ht="19.5" customHeight="1" x14ac:dyDescent="0.55000000000000004">
      <c r="A10863" s="18">
        <v>24.8133889</v>
      </c>
      <c r="B10863" s="18">
        <v>34.834820899999997</v>
      </c>
      <c r="C10863" s="18">
        <v>685450.59</v>
      </c>
      <c r="D10863" s="18">
        <v>2745531.27</v>
      </c>
      <c r="E10863" s="18">
        <v>276.83</v>
      </c>
      <c r="F10863" s="18">
        <v>41959.33</v>
      </c>
      <c r="G10863" s="18">
        <v>140408</v>
      </c>
      <c r="H10863" s="18">
        <f t="shared" si="250"/>
        <v>41929.33</v>
      </c>
    </row>
    <row r="10864" spans="1:8" s="10" customFormat="1" ht="19.5" customHeight="1" x14ac:dyDescent="0.55000000000000004">
      <c r="A10864" s="18">
        <v>24.813399499999999</v>
      </c>
      <c r="B10864" s="18">
        <v>34.8348102</v>
      </c>
      <c r="C10864" s="18">
        <v>685449.49</v>
      </c>
      <c r="D10864" s="18">
        <v>2745532.42</v>
      </c>
      <c r="E10864" s="18">
        <v>277.32</v>
      </c>
      <c r="F10864" s="18">
        <v>41960.29</v>
      </c>
      <c r="G10864" s="18">
        <v>140410</v>
      </c>
      <c r="H10864" s="18">
        <f t="shared" si="250"/>
        <v>41930.29</v>
      </c>
    </row>
    <row r="10865" spans="1:8" s="10" customFormat="1" ht="19.5" customHeight="1" x14ac:dyDescent="0.55000000000000004">
      <c r="A10865" s="18">
        <v>24.813409700000001</v>
      </c>
      <c r="B10865" s="18">
        <v>34.834805099999997</v>
      </c>
      <c r="C10865" s="18">
        <v>685448.97</v>
      </c>
      <c r="D10865" s="18">
        <v>2745533.54</v>
      </c>
      <c r="E10865" s="18">
        <v>277.52</v>
      </c>
      <c r="F10865" s="18">
        <v>41961.98</v>
      </c>
      <c r="G10865" s="18">
        <v>140412</v>
      </c>
      <c r="H10865" s="18">
        <f t="shared" si="250"/>
        <v>41931.980000000003</v>
      </c>
    </row>
    <row r="10866" spans="1:8" s="10" customFormat="1" ht="19.5" customHeight="1" x14ac:dyDescent="0.55000000000000004">
      <c r="A10866" s="18">
        <v>24.813419</v>
      </c>
      <c r="B10866" s="18">
        <v>34.834796099999998</v>
      </c>
      <c r="C10866" s="18">
        <v>685448.04</v>
      </c>
      <c r="D10866" s="18">
        <v>2745534.56</v>
      </c>
      <c r="E10866" s="18">
        <v>277.88</v>
      </c>
      <c r="F10866" s="18">
        <v>41961.7</v>
      </c>
      <c r="G10866" s="18">
        <v>140414</v>
      </c>
      <c r="H10866" s="18">
        <f t="shared" si="250"/>
        <v>41931.699999999997</v>
      </c>
    </row>
    <row r="10867" spans="1:8" s="10" customFormat="1" ht="19.5" customHeight="1" x14ac:dyDescent="0.55000000000000004">
      <c r="A10867" s="18">
        <v>24.8134297</v>
      </c>
      <c r="B10867" s="18">
        <v>34.834788000000003</v>
      </c>
      <c r="C10867" s="18">
        <v>685447.2</v>
      </c>
      <c r="D10867" s="18">
        <v>2745535.73</v>
      </c>
      <c r="E10867" s="18">
        <v>278.04000000000002</v>
      </c>
      <c r="F10867" s="18">
        <v>41961.2</v>
      </c>
      <c r="G10867" s="18">
        <v>140416</v>
      </c>
      <c r="H10867" s="18">
        <f t="shared" si="250"/>
        <v>41931.199999999997</v>
      </c>
    </row>
    <row r="10868" spans="1:8" s="10" customFormat="1" ht="19.5" customHeight="1" x14ac:dyDescent="0.55000000000000004">
      <c r="A10868" s="18">
        <v>24.8134452</v>
      </c>
      <c r="B10868" s="18">
        <v>34.834780700000003</v>
      </c>
      <c r="C10868" s="18">
        <v>685446.44</v>
      </c>
      <c r="D10868" s="18">
        <v>2745537.45</v>
      </c>
      <c r="E10868" s="18">
        <v>278.12</v>
      </c>
      <c r="F10868" s="18">
        <v>41959.58</v>
      </c>
      <c r="G10868" s="18">
        <v>140418</v>
      </c>
      <c r="H10868" s="18">
        <f t="shared" si="250"/>
        <v>41929.58</v>
      </c>
    </row>
    <row r="10869" spans="1:8" s="10" customFormat="1" ht="19.5" customHeight="1" x14ac:dyDescent="0.55000000000000004">
      <c r="A10869" s="18">
        <v>24.813453200000001</v>
      </c>
      <c r="B10869" s="18">
        <v>34.834778</v>
      </c>
      <c r="C10869" s="18">
        <v>685446.16</v>
      </c>
      <c r="D10869" s="18">
        <v>2745538.33</v>
      </c>
      <c r="E10869" s="18">
        <v>278.43</v>
      </c>
      <c r="F10869" s="18">
        <v>41960.34</v>
      </c>
      <c r="G10869" s="18">
        <v>140420</v>
      </c>
      <c r="H10869" s="18">
        <f t="shared" si="250"/>
        <v>41930.339999999997</v>
      </c>
    </row>
    <row r="10870" spans="1:8" s="10" customFormat="1" ht="19.5" customHeight="1" x14ac:dyDescent="0.55000000000000004">
      <c r="A10870" s="18">
        <v>24.8134707</v>
      </c>
      <c r="B10870" s="18">
        <v>34.834773800000001</v>
      </c>
      <c r="C10870" s="18">
        <v>685445.71</v>
      </c>
      <c r="D10870" s="18">
        <v>2745540.25</v>
      </c>
      <c r="E10870" s="18">
        <v>278.76</v>
      </c>
      <c r="F10870" s="18">
        <v>41959.13</v>
      </c>
      <c r="G10870" s="18">
        <v>140422</v>
      </c>
      <c r="H10870" s="18">
        <f t="shared" si="250"/>
        <v>41929.129999999997</v>
      </c>
    </row>
    <row r="10871" spans="1:8" s="10" customFormat="1" ht="19.5" customHeight="1" x14ac:dyDescent="0.55000000000000004">
      <c r="A10871" s="18">
        <v>24.813484599999999</v>
      </c>
      <c r="B10871" s="18">
        <v>34.834767399999997</v>
      </c>
      <c r="C10871" s="18">
        <v>685445.04</v>
      </c>
      <c r="D10871" s="18">
        <v>2745541.79</v>
      </c>
      <c r="E10871" s="18">
        <v>278.97000000000003</v>
      </c>
      <c r="F10871" s="18">
        <v>41958.8</v>
      </c>
      <c r="G10871" s="18">
        <v>140424</v>
      </c>
      <c r="H10871" s="18">
        <f t="shared" si="250"/>
        <v>41928.800000000003</v>
      </c>
    </row>
    <row r="10872" spans="1:8" s="10" customFormat="1" ht="19.5" customHeight="1" x14ac:dyDescent="0.55000000000000004">
      <c r="A10872" s="18">
        <v>24.813491599999999</v>
      </c>
      <c r="B10872" s="18">
        <v>34.8347555</v>
      </c>
      <c r="C10872" s="18">
        <v>685443.82</v>
      </c>
      <c r="D10872" s="18">
        <v>2745542.55</v>
      </c>
      <c r="E10872" s="18">
        <v>279.58999999999997</v>
      </c>
      <c r="F10872" s="18">
        <v>41963.06</v>
      </c>
      <c r="G10872" s="18">
        <v>140426</v>
      </c>
      <c r="H10872" s="18">
        <f t="shared" si="250"/>
        <v>41933.06</v>
      </c>
    </row>
    <row r="10873" spans="1:8" s="10" customFormat="1" ht="19.5" customHeight="1" x14ac:dyDescent="0.55000000000000004">
      <c r="A10873" s="18">
        <v>24.813503300000001</v>
      </c>
      <c r="B10873" s="18">
        <v>34.834748900000001</v>
      </c>
      <c r="C10873" s="18">
        <v>685443.14</v>
      </c>
      <c r="D10873" s="18">
        <v>2745543.84</v>
      </c>
      <c r="E10873" s="18">
        <v>279.98</v>
      </c>
      <c r="F10873" s="18">
        <v>41959.12</v>
      </c>
      <c r="G10873" s="18">
        <v>140428</v>
      </c>
      <c r="H10873" s="18">
        <f t="shared" si="250"/>
        <v>41929.120000000003</v>
      </c>
    </row>
    <row r="10874" spans="1:8" s="10" customFormat="1" ht="19.5" customHeight="1" x14ac:dyDescent="0.55000000000000004">
      <c r="A10874" s="18">
        <v>24.8135169</v>
      </c>
      <c r="B10874" s="18">
        <v>34.834743500000002</v>
      </c>
      <c r="C10874" s="18">
        <v>685442.58</v>
      </c>
      <c r="D10874" s="18">
        <v>2745545.33</v>
      </c>
      <c r="E10874" s="18">
        <v>280.12</v>
      </c>
      <c r="F10874" s="18">
        <v>41958.93</v>
      </c>
      <c r="G10874" s="18">
        <v>140430</v>
      </c>
      <c r="H10874" s="18">
        <f t="shared" si="250"/>
        <v>41928.93</v>
      </c>
    </row>
    <row r="10875" spans="1:8" s="10" customFormat="1" ht="19.5" customHeight="1" x14ac:dyDescent="0.55000000000000004">
      <c r="A10875" s="18">
        <v>24.8135282</v>
      </c>
      <c r="B10875" s="18">
        <v>34.834738399999999</v>
      </c>
      <c r="C10875" s="18">
        <v>685442.05</v>
      </c>
      <c r="D10875" s="18">
        <v>2745546.59</v>
      </c>
      <c r="E10875" s="18">
        <v>280.33999999999997</v>
      </c>
      <c r="F10875" s="18">
        <v>41959.33</v>
      </c>
      <c r="G10875" s="18">
        <v>140432</v>
      </c>
      <c r="H10875" s="18">
        <f t="shared" si="250"/>
        <v>41929.33</v>
      </c>
    </row>
    <row r="10876" spans="1:8" s="10" customFormat="1" ht="19.5" customHeight="1" x14ac:dyDescent="0.55000000000000004">
      <c r="A10876" s="18">
        <v>24.813544199999999</v>
      </c>
      <c r="B10876" s="18">
        <v>34.834734300000001</v>
      </c>
      <c r="C10876" s="18">
        <v>685441.61</v>
      </c>
      <c r="D10876" s="18">
        <v>2745548.35</v>
      </c>
      <c r="E10876" s="18">
        <v>280.54000000000002</v>
      </c>
      <c r="F10876" s="18">
        <v>41956.13</v>
      </c>
      <c r="G10876" s="18">
        <v>140434</v>
      </c>
      <c r="H10876" s="18">
        <f t="shared" si="250"/>
        <v>41926.129999999997</v>
      </c>
    </row>
    <row r="10877" spans="1:8" s="10" customFormat="1" ht="19.5" customHeight="1" x14ac:dyDescent="0.55000000000000004">
      <c r="A10877" s="18">
        <v>24.813560500000001</v>
      </c>
      <c r="B10877" s="18">
        <v>34.834732500000001</v>
      </c>
      <c r="C10877" s="18">
        <v>685441.4</v>
      </c>
      <c r="D10877" s="18">
        <v>2745550.16</v>
      </c>
      <c r="E10877" s="18">
        <v>280.67</v>
      </c>
      <c r="F10877" s="18">
        <v>41957.81</v>
      </c>
      <c r="G10877" s="18">
        <v>140436</v>
      </c>
      <c r="H10877" s="18">
        <f t="shared" si="250"/>
        <v>41927.81</v>
      </c>
    </row>
    <row r="10878" spans="1:8" s="10" customFormat="1" ht="19.5" customHeight="1" x14ac:dyDescent="0.55000000000000004">
      <c r="A10878" s="18">
        <v>24.813571</v>
      </c>
      <c r="B10878" s="18">
        <v>34.834732199999998</v>
      </c>
      <c r="C10878" s="18">
        <v>685441.35</v>
      </c>
      <c r="D10878" s="18">
        <v>2745551.32</v>
      </c>
      <c r="E10878" s="18">
        <v>280.83999999999997</v>
      </c>
      <c r="F10878" s="18">
        <v>41953.97</v>
      </c>
      <c r="G10878" s="18">
        <v>140438</v>
      </c>
      <c r="H10878" s="18">
        <f t="shared" si="250"/>
        <v>41923.97</v>
      </c>
    </row>
    <row r="10879" spans="1:8" s="10" customFormat="1" ht="19.5" customHeight="1" x14ac:dyDescent="0.55000000000000004">
      <c r="A10879" s="18">
        <v>24.813580999999999</v>
      </c>
      <c r="B10879" s="18">
        <v>34.834724299999998</v>
      </c>
      <c r="C10879" s="18">
        <v>685440.54</v>
      </c>
      <c r="D10879" s="18">
        <v>2745552.41</v>
      </c>
      <c r="E10879" s="18">
        <v>281</v>
      </c>
      <c r="F10879" s="18">
        <v>41957.32</v>
      </c>
      <c r="G10879" s="18">
        <v>140440</v>
      </c>
      <c r="H10879" s="18">
        <f t="shared" si="250"/>
        <v>41927.32</v>
      </c>
    </row>
    <row r="10880" spans="1:8" s="10" customFormat="1" ht="19.5" customHeight="1" x14ac:dyDescent="0.55000000000000004">
      <c r="A10880" s="18">
        <v>24.8135972</v>
      </c>
      <c r="B10880" s="18">
        <v>34.834725400000004</v>
      </c>
      <c r="C10880" s="18">
        <v>685440.63</v>
      </c>
      <c r="D10880" s="18">
        <v>2745554.21</v>
      </c>
      <c r="E10880" s="18">
        <v>281.38</v>
      </c>
      <c r="F10880" s="18">
        <v>41957.83</v>
      </c>
      <c r="G10880" s="18">
        <v>140442</v>
      </c>
      <c r="H10880" s="18">
        <f t="shared" si="250"/>
        <v>41927.83</v>
      </c>
    </row>
    <row r="10881" spans="1:8" s="10" customFormat="1" ht="19.5" customHeight="1" x14ac:dyDescent="0.55000000000000004">
      <c r="A10881" s="18">
        <v>24.8136081</v>
      </c>
      <c r="B10881" s="18">
        <v>34.834722900000003</v>
      </c>
      <c r="C10881" s="18">
        <v>685440.36</v>
      </c>
      <c r="D10881" s="18">
        <v>2745555.41</v>
      </c>
      <c r="E10881" s="18">
        <v>281.60000000000002</v>
      </c>
      <c r="F10881" s="18">
        <v>41958.91</v>
      </c>
      <c r="G10881" s="18">
        <v>140444</v>
      </c>
      <c r="H10881" s="18">
        <f t="shared" si="250"/>
        <v>41928.910000000003</v>
      </c>
    </row>
    <row r="10882" spans="1:8" s="10" customFormat="1" ht="19.5" customHeight="1" x14ac:dyDescent="0.55000000000000004">
      <c r="A10882" s="18">
        <v>24.813622299999999</v>
      </c>
      <c r="B10882" s="18">
        <v>34.834716999999998</v>
      </c>
      <c r="C10882" s="18">
        <v>685439.74</v>
      </c>
      <c r="D10882" s="18">
        <v>2745556.98</v>
      </c>
      <c r="E10882" s="18">
        <v>281.70999999999998</v>
      </c>
      <c r="F10882" s="18">
        <v>41954.93</v>
      </c>
      <c r="G10882" s="18">
        <v>140446</v>
      </c>
      <c r="H10882" s="18">
        <f t="shared" si="250"/>
        <v>41924.93</v>
      </c>
    </row>
    <row r="10883" spans="1:8" s="10" customFormat="1" ht="19.5" customHeight="1" x14ac:dyDescent="0.55000000000000004">
      <c r="A10883" s="18">
        <v>24.8136358</v>
      </c>
      <c r="B10883" s="18">
        <v>34.834718199999998</v>
      </c>
      <c r="C10883" s="18">
        <v>685439.84</v>
      </c>
      <c r="D10883" s="18">
        <v>2745558.48</v>
      </c>
      <c r="E10883" s="18">
        <v>282.18</v>
      </c>
      <c r="F10883" s="18">
        <v>41956.4</v>
      </c>
      <c r="G10883" s="18">
        <v>140448</v>
      </c>
      <c r="H10883" s="18">
        <f t="shared" si="250"/>
        <v>41926.400000000001</v>
      </c>
    </row>
    <row r="10884" spans="1:8" s="10" customFormat="1" ht="19.5" customHeight="1" x14ac:dyDescent="0.55000000000000004">
      <c r="A10884" s="18">
        <v>24.8136486</v>
      </c>
      <c r="B10884" s="18">
        <v>34.834721999999999</v>
      </c>
      <c r="C10884" s="18">
        <v>685440.21</v>
      </c>
      <c r="D10884" s="18">
        <v>2745559.9</v>
      </c>
      <c r="E10884" s="18">
        <v>282.35000000000002</v>
      </c>
      <c r="F10884" s="18">
        <v>41955.32</v>
      </c>
      <c r="G10884" s="18">
        <v>140450</v>
      </c>
      <c r="H10884" s="18">
        <f t="shared" si="250"/>
        <v>41925.32</v>
      </c>
    </row>
    <row r="10885" spans="1:8" s="10" customFormat="1" ht="19.5" customHeight="1" x14ac:dyDescent="0.55000000000000004">
      <c r="A10885" s="18">
        <v>24.813665199999999</v>
      </c>
      <c r="B10885" s="18">
        <v>34.834718199999998</v>
      </c>
      <c r="C10885" s="18">
        <v>685439.79</v>
      </c>
      <c r="D10885" s="18">
        <v>2745561.73</v>
      </c>
      <c r="E10885" s="18">
        <v>282.56</v>
      </c>
      <c r="F10885" s="18">
        <v>41952.58</v>
      </c>
      <c r="G10885" s="18">
        <v>140452</v>
      </c>
      <c r="H10885" s="18">
        <f t="shared" si="250"/>
        <v>41922.58</v>
      </c>
    </row>
    <row r="10886" spans="1:8" s="10" customFormat="1" ht="19.5" customHeight="1" x14ac:dyDescent="0.55000000000000004">
      <c r="A10886" s="18">
        <v>24.8136753</v>
      </c>
      <c r="B10886" s="18">
        <v>34.834714599999998</v>
      </c>
      <c r="C10886" s="18">
        <v>685439.42</v>
      </c>
      <c r="D10886" s="18">
        <v>2745562.84</v>
      </c>
      <c r="E10886" s="18">
        <v>282.97000000000003</v>
      </c>
      <c r="F10886" s="18">
        <v>41954.77</v>
      </c>
      <c r="G10886" s="18">
        <v>140454</v>
      </c>
      <c r="H10886" s="18">
        <f t="shared" si="250"/>
        <v>41924.769999999997</v>
      </c>
    </row>
    <row r="10887" spans="1:8" s="10" customFormat="1" ht="19.5" customHeight="1" x14ac:dyDescent="0.55000000000000004">
      <c r="A10887" s="18">
        <v>24.813688500000001</v>
      </c>
      <c r="B10887" s="18">
        <v>34.834716999999998</v>
      </c>
      <c r="C10887" s="18">
        <v>685439.64</v>
      </c>
      <c r="D10887" s="18">
        <v>2745564.3</v>
      </c>
      <c r="E10887" s="18">
        <v>283.24</v>
      </c>
      <c r="F10887" s="18">
        <v>41955.59</v>
      </c>
      <c r="G10887" s="18">
        <v>140456</v>
      </c>
      <c r="H10887" s="18">
        <f t="shared" si="250"/>
        <v>41925.589999999997</v>
      </c>
    </row>
    <row r="10888" spans="1:8" s="10" customFormat="1" ht="19.5" customHeight="1" x14ac:dyDescent="0.55000000000000004">
      <c r="A10888" s="18">
        <v>24.813705200000001</v>
      </c>
      <c r="B10888" s="18">
        <v>34.834711900000002</v>
      </c>
      <c r="C10888" s="18">
        <v>685439.11</v>
      </c>
      <c r="D10888" s="18">
        <v>2745566.15</v>
      </c>
      <c r="E10888" s="18">
        <v>283.64999999999998</v>
      </c>
      <c r="F10888" s="18">
        <v>41953.5</v>
      </c>
      <c r="G10888" s="18">
        <v>140458</v>
      </c>
      <c r="H10888" s="18">
        <f t="shared" si="250"/>
        <v>41923.5</v>
      </c>
    </row>
    <row r="10889" spans="1:8" s="10" customFormat="1" ht="19.5" customHeight="1" x14ac:dyDescent="0.55000000000000004">
      <c r="A10889" s="18">
        <v>24.813715899999998</v>
      </c>
      <c r="B10889" s="18">
        <v>34.834709099999998</v>
      </c>
      <c r="C10889" s="18">
        <v>685438.81</v>
      </c>
      <c r="D10889" s="18">
        <v>2745567.33</v>
      </c>
      <c r="E10889" s="18">
        <v>284.07</v>
      </c>
      <c r="F10889" s="18">
        <v>41957.29</v>
      </c>
      <c r="G10889" s="18">
        <v>140500</v>
      </c>
      <c r="H10889" s="18">
        <f t="shared" ref="H10889:H10952" si="251">SUM(F10889-30)</f>
        <v>41927.29</v>
      </c>
    </row>
    <row r="10890" spans="1:8" s="10" customFormat="1" ht="19.5" customHeight="1" x14ac:dyDescent="0.55000000000000004">
      <c r="A10890" s="18">
        <v>24.8137382</v>
      </c>
      <c r="B10890" s="18">
        <v>34.834708800000001</v>
      </c>
      <c r="C10890" s="18">
        <v>685438.74</v>
      </c>
      <c r="D10890" s="18">
        <v>2745569.81</v>
      </c>
      <c r="E10890" s="18">
        <v>284.8</v>
      </c>
      <c r="F10890" s="18">
        <v>41952.78</v>
      </c>
      <c r="G10890" s="18">
        <v>140502</v>
      </c>
      <c r="H10890" s="18">
        <f t="shared" si="251"/>
        <v>41922.78</v>
      </c>
    </row>
    <row r="10891" spans="1:8" s="10" customFormat="1" ht="19.5" customHeight="1" x14ac:dyDescent="0.55000000000000004">
      <c r="A10891" s="18">
        <v>24.8137474</v>
      </c>
      <c r="B10891" s="18">
        <v>34.834708300000003</v>
      </c>
      <c r="C10891" s="18">
        <v>685438.67</v>
      </c>
      <c r="D10891" s="18">
        <v>2745570.82</v>
      </c>
      <c r="E10891" s="18">
        <v>285.07</v>
      </c>
      <c r="F10891" s="18">
        <v>41952.71</v>
      </c>
      <c r="G10891" s="18">
        <v>140504</v>
      </c>
      <c r="H10891" s="18">
        <f t="shared" si="251"/>
        <v>41922.71</v>
      </c>
    </row>
    <row r="10892" spans="1:8" s="10" customFormat="1" ht="19.5" customHeight="1" x14ac:dyDescent="0.55000000000000004">
      <c r="A10892" s="18">
        <v>24.813761</v>
      </c>
      <c r="B10892" s="18">
        <v>34.834709500000002</v>
      </c>
      <c r="C10892" s="18">
        <v>685438.77</v>
      </c>
      <c r="D10892" s="18">
        <v>2745572.33</v>
      </c>
      <c r="E10892" s="18">
        <v>285.47000000000003</v>
      </c>
      <c r="F10892" s="18">
        <v>41953.5</v>
      </c>
      <c r="G10892" s="18">
        <v>140506</v>
      </c>
      <c r="H10892" s="18">
        <f t="shared" si="251"/>
        <v>41923.5</v>
      </c>
    </row>
    <row r="10893" spans="1:8" s="10" customFormat="1" ht="19.5" customHeight="1" x14ac:dyDescent="0.55000000000000004">
      <c r="A10893" s="18">
        <v>24.8137747</v>
      </c>
      <c r="B10893" s="18">
        <v>34.834708900000003</v>
      </c>
      <c r="C10893" s="18">
        <v>685438.7</v>
      </c>
      <c r="D10893" s="18">
        <v>2745573.84</v>
      </c>
      <c r="E10893" s="18">
        <v>285.55</v>
      </c>
      <c r="F10893" s="18">
        <v>41952.66</v>
      </c>
      <c r="G10893" s="18">
        <v>140508</v>
      </c>
      <c r="H10893" s="18">
        <f t="shared" si="251"/>
        <v>41922.660000000003</v>
      </c>
    </row>
    <row r="10894" spans="1:8" s="10" customFormat="1" ht="19.5" customHeight="1" x14ac:dyDescent="0.55000000000000004">
      <c r="A10894" s="18">
        <v>24.813780099999999</v>
      </c>
      <c r="B10894" s="18">
        <v>34.834708999999997</v>
      </c>
      <c r="C10894" s="18">
        <v>685438.69</v>
      </c>
      <c r="D10894" s="18">
        <v>2745574.45</v>
      </c>
      <c r="E10894" s="18">
        <v>285.67</v>
      </c>
      <c r="F10894" s="18">
        <v>41954.29</v>
      </c>
      <c r="G10894" s="18">
        <v>140510</v>
      </c>
      <c r="H10894" s="18">
        <f t="shared" si="251"/>
        <v>41924.29</v>
      </c>
    </row>
    <row r="10895" spans="1:8" s="10" customFormat="1" ht="19.5" customHeight="1" x14ac:dyDescent="0.55000000000000004">
      <c r="A10895" s="18">
        <v>24.8137911</v>
      </c>
      <c r="B10895" s="18">
        <v>34.834707199999997</v>
      </c>
      <c r="C10895" s="18">
        <v>685438.5</v>
      </c>
      <c r="D10895" s="18">
        <v>2745575.65</v>
      </c>
      <c r="E10895" s="18">
        <v>286.07</v>
      </c>
      <c r="F10895" s="18">
        <v>41951.06</v>
      </c>
      <c r="G10895" s="18">
        <v>140512</v>
      </c>
      <c r="H10895" s="18">
        <f t="shared" si="251"/>
        <v>41921.06</v>
      </c>
    </row>
    <row r="10896" spans="1:8" s="10" customFormat="1" ht="19.5" customHeight="1" x14ac:dyDescent="0.55000000000000004">
      <c r="A10896" s="18">
        <v>24.8138015</v>
      </c>
      <c r="B10896" s="18">
        <v>34.834711800000001</v>
      </c>
      <c r="C10896" s="18">
        <v>685438.94</v>
      </c>
      <c r="D10896" s="18">
        <v>2745576.82</v>
      </c>
      <c r="E10896" s="18">
        <v>286.44</v>
      </c>
      <c r="F10896" s="18">
        <v>41954.1</v>
      </c>
      <c r="G10896" s="18">
        <v>140514</v>
      </c>
      <c r="H10896" s="18">
        <f t="shared" si="251"/>
        <v>41924.1</v>
      </c>
    </row>
    <row r="10897" spans="1:8" s="10" customFormat="1" ht="19.5" customHeight="1" x14ac:dyDescent="0.55000000000000004">
      <c r="A10897" s="18">
        <v>24.813817400000001</v>
      </c>
      <c r="B10897" s="18">
        <v>34.834710600000001</v>
      </c>
      <c r="C10897" s="18">
        <v>685438.8</v>
      </c>
      <c r="D10897" s="18">
        <v>2745578.57</v>
      </c>
      <c r="E10897" s="18">
        <v>286.68</v>
      </c>
      <c r="F10897" s="18">
        <v>41954.34</v>
      </c>
      <c r="G10897" s="18">
        <v>140516</v>
      </c>
      <c r="H10897" s="18">
        <f t="shared" si="251"/>
        <v>41924.339999999997</v>
      </c>
    </row>
    <row r="10898" spans="1:8" s="10" customFormat="1" ht="19.5" customHeight="1" x14ac:dyDescent="0.55000000000000004">
      <c r="A10898" s="18">
        <v>24.813831100000002</v>
      </c>
      <c r="B10898" s="18">
        <v>34.834710000000001</v>
      </c>
      <c r="C10898" s="18">
        <v>685438.72</v>
      </c>
      <c r="D10898" s="18">
        <v>2745580.09</v>
      </c>
      <c r="E10898" s="18">
        <v>287.01</v>
      </c>
      <c r="F10898" s="18">
        <v>41953.42</v>
      </c>
      <c r="G10898" s="18">
        <v>140518</v>
      </c>
      <c r="H10898" s="18">
        <f t="shared" si="251"/>
        <v>41923.42</v>
      </c>
    </row>
    <row r="10899" spans="1:8" s="10" customFormat="1" ht="19.5" customHeight="1" x14ac:dyDescent="0.55000000000000004">
      <c r="A10899" s="18">
        <v>24.813845799999999</v>
      </c>
      <c r="B10899" s="18">
        <v>34.834705999999997</v>
      </c>
      <c r="C10899" s="18">
        <v>685438.29</v>
      </c>
      <c r="D10899" s="18">
        <v>2745581.71</v>
      </c>
      <c r="E10899" s="18">
        <v>287.01</v>
      </c>
      <c r="F10899" s="18">
        <v>41953.68</v>
      </c>
      <c r="G10899" s="18">
        <v>140520</v>
      </c>
      <c r="H10899" s="18">
        <f t="shared" si="251"/>
        <v>41923.68</v>
      </c>
    </row>
    <row r="10900" spans="1:8" s="10" customFormat="1" ht="19.5" customHeight="1" x14ac:dyDescent="0.55000000000000004">
      <c r="A10900" s="18">
        <v>24.8138614</v>
      </c>
      <c r="B10900" s="18">
        <v>34.8347038</v>
      </c>
      <c r="C10900" s="18">
        <v>685438.05</v>
      </c>
      <c r="D10900" s="18">
        <v>2745583.44</v>
      </c>
      <c r="E10900" s="18">
        <v>287.45</v>
      </c>
      <c r="F10900" s="18">
        <v>41952.14</v>
      </c>
      <c r="G10900" s="18">
        <v>140522</v>
      </c>
      <c r="H10900" s="18">
        <f t="shared" si="251"/>
        <v>41922.14</v>
      </c>
    </row>
    <row r="10901" spans="1:8" s="10" customFormat="1" ht="19.5" customHeight="1" x14ac:dyDescent="0.55000000000000004">
      <c r="A10901" s="18">
        <v>24.8138711</v>
      </c>
      <c r="B10901" s="18">
        <v>34.834700900000001</v>
      </c>
      <c r="C10901" s="18">
        <v>685437.74</v>
      </c>
      <c r="D10901" s="18">
        <v>2745584.51</v>
      </c>
      <c r="E10901" s="18">
        <v>287.70999999999998</v>
      </c>
      <c r="F10901" s="18">
        <v>41956</v>
      </c>
      <c r="G10901" s="18">
        <v>140524</v>
      </c>
      <c r="H10901" s="18">
        <f t="shared" si="251"/>
        <v>41926</v>
      </c>
    </row>
    <row r="10902" spans="1:8" s="10" customFormat="1" ht="19.5" customHeight="1" x14ac:dyDescent="0.55000000000000004">
      <c r="A10902" s="18">
        <v>24.813879499999999</v>
      </c>
      <c r="B10902" s="18">
        <v>34.834706199999999</v>
      </c>
      <c r="C10902" s="18">
        <v>685438.27</v>
      </c>
      <c r="D10902" s="18">
        <v>2745585.44</v>
      </c>
      <c r="E10902" s="18">
        <v>287.93</v>
      </c>
      <c r="F10902" s="18">
        <v>41953.33</v>
      </c>
      <c r="G10902" s="18">
        <v>140526</v>
      </c>
      <c r="H10902" s="18">
        <f t="shared" si="251"/>
        <v>41923.33</v>
      </c>
    </row>
    <row r="10903" spans="1:8" s="10" customFormat="1" ht="19.5" customHeight="1" x14ac:dyDescent="0.55000000000000004">
      <c r="A10903" s="18">
        <v>24.813891000000002</v>
      </c>
      <c r="B10903" s="18">
        <v>34.834716</v>
      </c>
      <c r="C10903" s="18">
        <v>685439.23</v>
      </c>
      <c r="D10903" s="18">
        <v>2745586.74</v>
      </c>
      <c r="E10903" s="18">
        <v>287.89999999999998</v>
      </c>
      <c r="F10903" s="18">
        <v>41953.79</v>
      </c>
      <c r="G10903" s="18">
        <v>140528</v>
      </c>
      <c r="H10903" s="18">
        <f t="shared" si="251"/>
        <v>41923.79</v>
      </c>
    </row>
    <row r="10904" spans="1:8" s="10" customFormat="1" ht="19.5" customHeight="1" x14ac:dyDescent="0.55000000000000004">
      <c r="A10904" s="18">
        <v>24.813901999999999</v>
      </c>
      <c r="B10904" s="18">
        <v>34.834724700000002</v>
      </c>
      <c r="C10904" s="18">
        <v>685440.1</v>
      </c>
      <c r="D10904" s="18">
        <v>2745587.97</v>
      </c>
      <c r="E10904" s="18">
        <v>288.22000000000003</v>
      </c>
      <c r="F10904" s="18">
        <v>41956.86</v>
      </c>
      <c r="G10904" s="18">
        <v>140530</v>
      </c>
      <c r="H10904" s="18">
        <f t="shared" si="251"/>
        <v>41926.86</v>
      </c>
    </row>
    <row r="10905" spans="1:8" s="10" customFormat="1" ht="19.5" customHeight="1" x14ac:dyDescent="0.55000000000000004">
      <c r="A10905" s="18">
        <v>24.813911999999998</v>
      </c>
      <c r="B10905" s="18">
        <v>34.834740500000002</v>
      </c>
      <c r="C10905" s="18">
        <v>685441.68</v>
      </c>
      <c r="D10905" s="18">
        <v>2745589.1</v>
      </c>
      <c r="E10905" s="18">
        <v>288.64</v>
      </c>
      <c r="F10905" s="18">
        <v>41951.91</v>
      </c>
      <c r="G10905" s="18">
        <v>140532</v>
      </c>
      <c r="H10905" s="18">
        <f t="shared" si="251"/>
        <v>41921.910000000003</v>
      </c>
    </row>
    <row r="10906" spans="1:8" s="10" customFormat="1" ht="19.5" customHeight="1" x14ac:dyDescent="0.55000000000000004">
      <c r="A10906" s="18">
        <v>24.813917799999999</v>
      </c>
      <c r="B10906" s="18">
        <v>34.834752199999997</v>
      </c>
      <c r="C10906" s="18">
        <v>685442.86</v>
      </c>
      <c r="D10906" s="18">
        <v>2745589.7599999998</v>
      </c>
      <c r="E10906" s="18">
        <v>288.8</v>
      </c>
      <c r="F10906" s="18">
        <v>41951.61</v>
      </c>
      <c r="G10906" s="18">
        <v>140534</v>
      </c>
      <c r="H10906" s="18">
        <f t="shared" si="251"/>
        <v>41921.61</v>
      </c>
    </row>
    <row r="10907" spans="1:8" s="10" customFormat="1" ht="19.5" customHeight="1" x14ac:dyDescent="0.55000000000000004">
      <c r="A10907" s="18">
        <v>24.8139249</v>
      </c>
      <c r="B10907" s="18">
        <v>34.834757099999997</v>
      </c>
      <c r="C10907" s="18">
        <v>685443.34</v>
      </c>
      <c r="D10907" s="18">
        <v>2745590.54</v>
      </c>
      <c r="E10907" s="18">
        <v>289.2</v>
      </c>
      <c r="F10907" s="18">
        <v>41954.64</v>
      </c>
      <c r="G10907" s="18">
        <v>140536</v>
      </c>
      <c r="H10907" s="18">
        <f t="shared" si="251"/>
        <v>41924.639999999999</v>
      </c>
    </row>
    <row r="10908" spans="1:8" s="10" customFormat="1" ht="19.5" customHeight="1" x14ac:dyDescent="0.55000000000000004">
      <c r="A10908" s="18">
        <v>24.813936300000002</v>
      </c>
      <c r="B10908" s="18">
        <v>34.834758999999998</v>
      </c>
      <c r="C10908" s="18">
        <v>685443.51</v>
      </c>
      <c r="D10908" s="18">
        <v>2745591.81</v>
      </c>
      <c r="E10908" s="18">
        <v>289.33999999999997</v>
      </c>
      <c r="F10908" s="18">
        <v>41954.81</v>
      </c>
      <c r="G10908" s="18">
        <v>140538</v>
      </c>
      <c r="H10908" s="18">
        <f t="shared" si="251"/>
        <v>41924.81</v>
      </c>
    </row>
    <row r="10909" spans="1:8" s="10" customFormat="1" ht="19.5" customHeight="1" x14ac:dyDescent="0.55000000000000004">
      <c r="A10909" s="18">
        <v>24.813949900000001</v>
      </c>
      <c r="B10909" s="18">
        <v>34.834763199999998</v>
      </c>
      <c r="C10909" s="18">
        <v>685443.92</v>
      </c>
      <c r="D10909" s="18">
        <v>2745593.33</v>
      </c>
      <c r="E10909" s="18">
        <v>289.45999999999998</v>
      </c>
      <c r="F10909" s="18">
        <v>41955.54</v>
      </c>
      <c r="G10909" s="18">
        <v>140540</v>
      </c>
      <c r="H10909" s="18">
        <f t="shared" si="251"/>
        <v>41925.54</v>
      </c>
    </row>
    <row r="10910" spans="1:8" s="10" customFormat="1" ht="19.5" customHeight="1" x14ac:dyDescent="0.55000000000000004">
      <c r="A10910" s="18">
        <v>24.8139629</v>
      </c>
      <c r="B10910" s="18">
        <v>34.8347683</v>
      </c>
      <c r="C10910" s="18">
        <v>685444.42</v>
      </c>
      <c r="D10910" s="18">
        <v>2745594.77</v>
      </c>
      <c r="E10910" s="18">
        <v>289.7</v>
      </c>
      <c r="F10910" s="18">
        <v>41954.17</v>
      </c>
      <c r="G10910" s="18">
        <v>140542</v>
      </c>
      <c r="H10910" s="18">
        <f t="shared" si="251"/>
        <v>41924.17</v>
      </c>
    </row>
    <row r="10911" spans="1:8" s="10" customFormat="1" ht="19.5" customHeight="1" x14ac:dyDescent="0.55000000000000004">
      <c r="A10911" s="18">
        <v>24.813977000000001</v>
      </c>
      <c r="B10911" s="18">
        <v>34.834774199999998</v>
      </c>
      <c r="C10911" s="18">
        <v>685445</v>
      </c>
      <c r="D10911" s="18">
        <v>2745596.34</v>
      </c>
      <c r="E10911" s="18">
        <v>289.95</v>
      </c>
      <c r="F10911" s="18">
        <v>41951.77</v>
      </c>
      <c r="G10911" s="18">
        <v>140544</v>
      </c>
      <c r="H10911" s="18">
        <f t="shared" si="251"/>
        <v>41921.769999999997</v>
      </c>
    </row>
    <row r="10912" spans="1:8" s="10" customFormat="1" ht="19.5" customHeight="1" x14ac:dyDescent="0.55000000000000004">
      <c r="A10912" s="18">
        <v>24.8139903</v>
      </c>
      <c r="B10912" s="18">
        <v>34.834781100000001</v>
      </c>
      <c r="C10912" s="18">
        <v>685445.67</v>
      </c>
      <c r="D10912" s="18">
        <v>2745597.82</v>
      </c>
      <c r="E10912" s="18">
        <v>290.06</v>
      </c>
      <c r="F10912" s="18">
        <v>41953.34</v>
      </c>
      <c r="G10912" s="18">
        <v>140546</v>
      </c>
      <c r="H10912" s="18">
        <f t="shared" si="251"/>
        <v>41923.339999999997</v>
      </c>
    </row>
    <row r="10913" spans="1:8" s="10" customFormat="1" ht="19.5" customHeight="1" x14ac:dyDescent="0.55000000000000004">
      <c r="A10913" s="18">
        <v>24.814003899999999</v>
      </c>
      <c r="B10913" s="18">
        <v>34.8347859</v>
      </c>
      <c r="C10913" s="18">
        <v>685446.14</v>
      </c>
      <c r="D10913" s="18">
        <v>2745599.33</v>
      </c>
      <c r="E10913" s="18">
        <v>290.11</v>
      </c>
      <c r="F10913" s="18">
        <v>41952.73</v>
      </c>
      <c r="G10913" s="18">
        <v>140548</v>
      </c>
      <c r="H10913" s="18">
        <f t="shared" si="251"/>
        <v>41922.730000000003</v>
      </c>
    </row>
    <row r="10914" spans="1:8" s="10" customFormat="1" ht="19.5" customHeight="1" x14ac:dyDescent="0.55000000000000004">
      <c r="A10914" s="18">
        <v>24.8140155</v>
      </c>
      <c r="B10914" s="18">
        <v>34.834791099999997</v>
      </c>
      <c r="C10914" s="18">
        <v>685446.64</v>
      </c>
      <c r="D10914" s="18">
        <v>2745600.62</v>
      </c>
      <c r="E10914" s="18">
        <v>290.08999999999997</v>
      </c>
      <c r="F10914" s="18">
        <v>41952.31</v>
      </c>
      <c r="G10914" s="18">
        <v>140550</v>
      </c>
      <c r="H10914" s="18">
        <f t="shared" si="251"/>
        <v>41922.31</v>
      </c>
    </row>
    <row r="10915" spans="1:8" s="10" customFormat="1" ht="19.5" customHeight="1" x14ac:dyDescent="0.55000000000000004">
      <c r="A10915" s="18">
        <v>24.814027899999999</v>
      </c>
      <c r="B10915" s="18">
        <v>34.8347956</v>
      </c>
      <c r="C10915" s="18">
        <v>685447.08</v>
      </c>
      <c r="D10915" s="18">
        <v>2745602</v>
      </c>
      <c r="E10915" s="18">
        <v>289.86</v>
      </c>
      <c r="F10915" s="18">
        <v>41952.33</v>
      </c>
      <c r="G10915" s="18">
        <v>140552</v>
      </c>
      <c r="H10915" s="18">
        <f t="shared" si="251"/>
        <v>41922.33</v>
      </c>
    </row>
    <row r="10916" spans="1:8" s="10" customFormat="1" ht="19.5" customHeight="1" x14ac:dyDescent="0.55000000000000004">
      <c r="A10916" s="18">
        <v>24.8140374</v>
      </c>
      <c r="B10916" s="18">
        <v>34.834795999999997</v>
      </c>
      <c r="C10916" s="18">
        <v>685447.11</v>
      </c>
      <c r="D10916" s="18">
        <v>2745603.06</v>
      </c>
      <c r="E10916" s="18">
        <v>289.66000000000003</v>
      </c>
      <c r="F10916" s="18">
        <v>41953.56</v>
      </c>
      <c r="G10916" s="18">
        <v>140554</v>
      </c>
      <c r="H10916" s="18">
        <f t="shared" si="251"/>
        <v>41923.56</v>
      </c>
    </row>
    <row r="10917" spans="1:8" s="10" customFormat="1" ht="19.5" customHeight="1" x14ac:dyDescent="0.55000000000000004">
      <c r="A10917" s="18">
        <v>24.8140465</v>
      </c>
      <c r="B10917" s="18">
        <v>34.8347944</v>
      </c>
      <c r="C10917" s="18">
        <v>685446.94</v>
      </c>
      <c r="D10917" s="18">
        <v>2745604.06</v>
      </c>
      <c r="E10917" s="18">
        <v>289.49</v>
      </c>
      <c r="F10917" s="18">
        <v>41954.37</v>
      </c>
      <c r="G10917" s="18">
        <v>140556</v>
      </c>
      <c r="H10917" s="18">
        <f t="shared" si="251"/>
        <v>41924.370000000003</v>
      </c>
    </row>
    <row r="10918" spans="1:8" s="10" customFormat="1" ht="19.5" customHeight="1" x14ac:dyDescent="0.55000000000000004">
      <c r="A10918" s="18">
        <v>24.814056600000001</v>
      </c>
      <c r="B10918" s="18">
        <v>34.834795200000002</v>
      </c>
      <c r="C10918" s="18">
        <v>685447</v>
      </c>
      <c r="D10918" s="18">
        <v>2745605.19</v>
      </c>
      <c r="E10918" s="18">
        <v>289.23</v>
      </c>
      <c r="F10918" s="18">
        <v>41954.74</v>
      </c>
      <c r="G10918" s="18">
        <v>140558</v>
      </c>
      <c r="H10918" s="18">
        <f t="shared" si="251"/>
        <v>41924.74</v>
      </c>
    </row>
    <row r="10919" spans="1:8" s="10" customFormat="1" ht="19.5" customHeight="1" x14ac:dyDescent="0.55000000000000004">
      <c r="A10919" s="18">
        <v>24.8140684</v>
      </c>
      <c r="B10919" s="18">
        <v>34.834794100000003</v>
      </c>
      <c r="C10919" s="18">
        <v>685446.87</v>
      </c>
      <c r="D10919" s="18">
        <v>2745606.49</v>
      </c>
      <c r="E10919" s="18">
        <v>288.86</v>
      </c>
      <c r="F10919" s="18">
        <v>41954.98</v>
      </c>
      <c r="G10919" s="18">
        <v>140600</v>
      </c>
      <c r="H10919" s="18">
        <f t="shared" si="251"/>
        <v>41924.980000000003</v>
      </c>
    </row>
    <row r="10920" spans="1:8" s="10" customFormat="1" ht="19.5" customHeight="1" x14ac:dyDescent="0.55000000000000004">
      <c r="A10920" s="18">
        <v>24.814080799999999</v>
      </c>
      <c r="B10920" s="18">
        <v>34.834786000000001</v>
      </c>
      <c r="C10920" s="18">
        <v>685446.03</v>
      </c>
      <c r="D10920" s="18">
        <v>2745607.85</v>
      </c>
      <c r="E10920" s="18">
        <v>288.74</v>
      </c>
      <c r="F10920" s="18">
        <v>41952.78</v>
      </c>
      <c r="G10920" s="18">
        <v>140602</v>
      </c>
      <c r="H10920" s="18">
        <f t="shared" si="251"/>
        <v>41922.78</v>
      </c>
    </row>
    <row r="10921" spans="1:8" s="10" customFormat="1" ht="19.5" customHeight="1" x14ac:dyDescent="0.55000000000000004">
      <c r="A10921" s="18">
        <v>24.814094999999998</v>
      </c>
      <c r="B10921" s="18">
        <v>34.8347756</v>
      </c>
      <c r="C10921" s="18">
        <v>685444.96</v>
      </c>
      <c r="D10921" s="18">
        <v>2745609.41</v>
      </c>
      <c r="E10921" s="18">
        <v>288.64999999999998</v>
      </c>
      <c r="F10921" s="18">
        <v>41953.9</v>
      </c>
      <c r="G10921" s="18">
        <v>140604</v>
      </c>
      <c r="H10921" s="18">
        <f t="shared" si="251"/>
        <v>41923.9</v>
      </c>
    </row>
    <row r="10922" spans="1:8" s="10" customFormat="1" ht="19.5" customHeight="1" x14ac:dyDescent="0.55000000000000004">
      <c r="A10922" s="18">
        <v>24.814111499999999</v>
      </c>
      <c r="B10922" s="18">
        <v>34.834772899999997</v>
      </c>
      <c r="C10922" s="18">
        <v>685444.66</v>
      </c>
      <c r="D10922" s="18">
        <v>2745611.23</v>
      </c>
      <c r="E10922" s="18">
        <v>288.23</v>
      </c>
      <c r="F10922" s="18">
        <v>41952.72</v>
      </c>
      <c r="G10922" s="18">
        <v>140606</v>
      </c>
      <c r="H10922" s="18">
        <f t="shared" si="251"/>
        <v>41922.720000000001</v>
      </c>
    </row>
    <row r="10923" spans="1:8" s="10" customFormat="1" ht="19.5" customHeight="1" x14ac:dyDescent="0.55000000000000004">
      <c r="A10923" s="18">
        <v>24.814131400000001</v>
      </c>
      <c r="B10923" s="18">
        <v>34.834766399999999</v>
      </c>
      <c r="C10923" s="18">
        <v>685443.97</v>
      </c>
      <c r="D10923" s="18">
        <v>2745613.43</v>
      </c>
      <c r="E10923" s="18">
        <v>288.13</v>
      </c>
      <c r="F10923" s="18">
        <v>41952.06</v>
      </c>
      <c r="G10923" s="18">
        <v>140608</v>
      </c>
      <c r="H10923" s="18">
        <f t="shared" si="251"/>
        <v>41922.06</v>
      </c>
    </row>
    <row r="10924" spans="1:8" s="10" customFormat="1" ht="19.5" customHeight="1" x14ac:dyDescent="0.55000000000000004">
      <c r="A10924" s="18">
        <v>24.8141426</v>
      </c>
      <c r="B10924" s="18">
        <v>34.834752999999999</v>
      </c>
      <c r="C10924" s="18">
        <v>685442.61</v>
      </c>
      <c r="D10924" s="18">
        <v>2745614.65</v>
      </c>
      <c r="E10924" s="18">
        <v>288.33999999999997</v>
      </c>
      <c r="F10924" s="18">
        <v>41954.54</v>
      </c>
      <c r="G10924" s="18">
        <v>140610</v>
      </c>
      <c r="H10924" s="18">
        <f t="shared" si="251"/>
        <v>41924.54</v>
      </c>
    </row>
    <row r="10925" spans="1:8" s="10" customFormat="1" ht="19.5" customHeight="1" x14ac:dyDescent="0.55000000000000004">
      <c r="A10925" s="18">
        <v>24.8141596</v>
      </c>
      <c r="B10925" s="18">
        <v>34.834747499999999</v>
      </c>
      <c r="C10925" s="18">
        <v>685442.02</v>
      </c>
      <c r="D10925" s="18">
        <v>2745616.53</v>
      </c>
      <c r="E10925" s="18">
        <v>288.12</v>
      </c>
      <c r="F10925" s="18">
        <v>41952.97</v>
      </c>
      <c r="G10925" s="18">
        <v>140612</v>
      </c>
      <c r="H10925" s="18">
        <f t="shared" si="251"/>
        <v>41922.97</v>
      </c>
    </row>
    <row r="10926" spans="1:8" s="10" customFormat="1" ht="19.5" customHeight="1" x14ac:dyDescent="0.55000000000000004">
      <c r="A10926" s="18">
        <v>24.8141772</v>
      </c>
      <c r="B10926" s="18">
        <v>34.834749000000002</v>
      </c>
      <c r="C10926" s="18">
        <v>685442.15</v>
      </c>
      <c r="D10926" s="18">
        <v>2745618.48</v>
      </c>
      <c r="E10926" s="18">
        <v>287.69</v>
      </c>
      <c r="F10926" s="18">
        <v>41950.26</v>
      </c>
      <c r="G10926" s="18">
        <v>140614</v>
      </c>
      <c r="H10926" s="18">
        <f t="shared" si="251"/>
        <v>41920.26</v>
      </c>
    </row>
    <row r="10927" spans="1:8" s="10" customFormat="1" ht="19.5" customHeight="1" x14ac:dyDescent="0.55000000000000004">
      <c r="A10927" s="18">
        <v>24.814193499999998</v>
      </c>
      <c r="B10927" s="18">
        <v>34.834744600000001</v>
      </c>
      <c r="C10927" s="18">
        <v>685441.68</v>
      </c>
      <c r="D10927" s="18">
        <v>2745620.27</v>
      </c>
      <c r="E10927" s="18">
        <v>287.31</v>
      </c>
      <c r="F10927" s="18">
        <v>41950.73</v>
      </c>
      <c r="G10927" s="18">
        <v>140616</v>
      </c>
      <c r="H10927" s="18">
        <f t="shared" si="251"/>
        <v>41920.730000000003</v>
      </c>
    </row>
    <row r="10928" spans="1:8" s="10" customFormat="1" ht="19.5" customHeight="1" x14ac:dyDescent="0.55000000000000004">
      <c r="A10928" s="18">
        <v>24.8142155</v>
      </c>
      <c r="B10928" s="18">
        <v>34.834741399999999</v>
      </c>
      <c r="C10928" s="18">
        <v>685441.32</v>
      </c>
      <c r="D10928" s="18">
        <v>2745622.71</v>
      </c>
      <c r="E10928" s="18">
        <v>286.93</v>
      </c>
      <c r="F10928" s="18">
        <v>41949.06</v>
      </c>
      <c r="G10928" s="18">
        <v>140618</v>
      </c>
      <c r="H10928" s="18">
        <f t="shared" si="251"/>
        <v>41919.06</v>
      </c>
    </row>
    <row r="10929" spans="1:8" s="10" customFormat="1" ht="19.5" customHeight="1" x14ac:dyDescent="0.55000000000000004">
      <c r="A10929" s="18">
        <v>24.814234899999999</v>
      </c>
      <c r="B10929" s="18">
        <v>34.8347379</v>
      </c>
      <c r="C10929" s="18">
        <v>685440.95</v>
      </c>
      <c r="D10929" s="18">
        <v>2745624.86</v>
      </c>
      <c r="E10929" s="18">
        <v>286.79000000000002</v>
      </c>
      <c r="F10929" s="18">
        <v>41951.71</v>
      </c>
      <c r="G10929" s="18">
        <v>140620</v>
      </c>
      <c r="H10929" s="18">
        <f t="shared" si="251"/>
        <v>41921.71</v>
      </c>
    </row>
    <row r="10930" spans="1:8" s="10" customFormat="1" ht="19.5" customHeight="1" x14ac:dyDescent="0.55000000000000004">
      <c r="A10930" s="18">
        <v>24.814258599999999</v>
      </c>
      <c r="B10930" s="18">
        <v>34.834741100000002</v>
      </c>
      <c r="C10930" s="18">
        <v>685441.23</v>
      </c>
      <c r="D10930" s="18">
        <v>2745627.48</v>
      </c>
      <c r="E10930" s="18">
        <v>286.76</v>
      </c>
      <c r="F10930" s="18">
        <v>41949.61</v>
      </c>
      <c r="G10930" s="18">
        <v>140622</v>
      </c>
      <c r="H10930" s="18">
        <f t="shared" si="251"/>
        <v>41919.61</v>
      </c>
    </row>
    <row r="10931" spans="1:8" s="10" customFormat="1" ht="19.5" customHeight="1" x14ac:dyDescent="0.55000000000000004">
      <c r="A10931" s="18">
        <v>24.814279299999999</v>
      </c>
      <c r="B10931" s="18">
        <v>34.834745400000003</v>
      </c>
      <c r="C10931" s="18">
        <v>685441.63</v>
      </c>
      <c r="D10931" s="18">
        <v>2745629.78</v>
      </c>
      <c r="E10931" s="18">
        <v>286.72000000000003</v>
      </c>
      <c r="F10931" s="18">
        <v>41948.82</v>
      </c>
      <c r="G10931" s="18">
        <v>140624</v>
      </c>
      <c r="H10931" s="18">
        <f t="shared" si="251"/>
        <v>41918.82</v>
      </c>
    </row>
    <row r="10932" spans="1:8" s="10" customFormat="1" ht="19.5" customHeight="1" x14ac:dyDescent="0.55000000000000004">
      <c r="A10932" s="18">
        <v>24.814298300000001</v>
      </c>
      <c r="B10932" s="18">
        <v>34.834744499999999</v>
      </c>
      <c r="C10932" s="18">
        <v>685441.51</v>
      </c>
      <c r="D10932" s="18">
        <v>2745631.88</v>
      </c>
      <c r="E10932" s="18">
        <v>286.69</v>
      </c>
      <c r="F10932" s="18">
        <v>41950.5</v>
      </c>
      <c r="G10932" s="18">
        <v>140626</v>
      </c>
      <c r="H10932" s="18">
        <f t="shared" si="251"/>
        <v>41920.5</v>
      </c>
    </row>
    <row r="10933" spans="1:8" s="10" customFormat="1" ht="19.5" customHeight="1" x14ac:dyDescent="0.55000000000000004">
      <c r="A10933" s="18">
        <v>24.814317200000001</v>
      </c>
      <c r="B10933" s="18">
        <v>34.834745400000003</v>
      </c>
      <c r="C10933" s="18">
        <v>685441.57</v>
      </c>
      <c r="D10933" s="18">
        <v>2745633.98</v>
      </c>
      <c r="E10933" s="18">
        <v>286.52999999999997</v>
      </c>
      <c r="F10933" s="18">
        <v>41951.17</v>
      </c>
      <c r="G10933" s="18">
        <v>140628</v>
      </c>
      <c r="H10933" s="18">
        <f t="shared" si="251"/>
        <v>41921.17</v>
      </c>
    </row>
    <row r="10934" spans="1:8" s="10" customFormat="1" ht="19.5" customHeight="1" x14ac:dyDescent="0.55000000000000004">
      <c r="A10934" s="18">
        <v>24.814335100000001</v>
      </c>
      <c r="B10934" s="18">
        <v>34.834747399999998</v>
      </c>
      <c r="C10934" s="18">
        <v>685441.76</v>
      </c>
      <c r="D10934" s="18">
        <v>2745635.96</v>
      </c>
      <c r="E10934" s="18">
        <v>286.52</v>
      </c>
      <c r="F10934" s="18">
        <v>41949.760000000002</v>
      </c>
      <c r="G10934" s="18">
        <v>140630</v>
      </c>
      <c r="H10934" s="18">
        <f t="shared" si="251"/>
        <v>41919.760000000002</v>
      </c>
    </row>
    <row r="10935" spans="1:8" s="10" customFormat="1" ht="19.5" customHeight="1" x14ac:dyDescent="0.55000000000000004">
      <c r="A10935" s="18">
        <v>24.814351599999998</v>
      </c>
      <c r="B10935" s="18">
        <v>34.834745599999998</v>
      </c>
      <c r="C10935" s="18">
        <v>685441.55</v>
      </c>
      <c r="D10935" s="18">
        <v>2745637.8</v>
      </c>
      <c r="E10935" s="18">
        <v>286.45</v>
      </c>
      <c r="F10935" s="18">
        <v>41951.23</v>
      </c>
      <c r="G10935" s="18">
        <v>140632</v>
      </c>
      <c r="H10935" s="18">
        <f t="shared" si="251"/>
        <v>41921.230000000003</v>
      </c>
    </row>
    <row r="10936" spans="1:8" s="10" customFormat="1" ht="19.5" customHeight="1" x14ac:dyDescent="0.55000000000000004">
      <c r="A10936" s="18">
        <v>24.8143694</v>
      </c>
      <c r="B10936" s="18">
        <v>34.834738999999999</v>
      </c>
      <c r="C10936" s="18">
        <v>685440.85</v>
      </c>
      <c r="D10936" s="18">
        <v>2745639.76</v>
      </c>
      <c r="E10936" s="18">
        <v>286.17</v>
      </c>
      <c r="F10936" s="18">
        <v>41950.93</v>
      </c>
      <c r="G10936" s="18">
        <v>140634</v>
      </c>
      <c r="H10936" s="18">
        <f t="shared" si="251"/>
        <v>41920.93</v>
      </c>
    </row>
    <row r="10937" spans="1:8" s="10" customFormat="1" ht="19.5" customHeight="1" x14ac:dyDescent="0.55000000000000004">
      <c r="A10937" s="18">
        <v>24.814387199999999</v>
      </c>
      <c r="B10937" s="18">
        <v>34.834728800000001</v>
      </c>
      <c r="C10937" s="18">
        <v>685439.8</v>
      </c>
      <c r="D10937" s="18">
        <v>2745641.71</v>
      </c>
      <c r="E10937" s="18">
        <v>285.89</v>
      </c>
      <c r="F10937" s="18">
        <v>41952.05</v>
      </c>
      <c r="G10937" s="18">
        <v>140636</v>
      </c>
      <c r="H10937" s="18">
        <f t="shared" si="251"/>
        <v>41922.050000000003</v>
      </c>
    </row>
    <row r="10938" spans="1:8" s="10" customFormat="1" ht="19.5" customHeight="1" x14ac:dyDescent="0.55000000000000004">
      <c r="A10938" s="18">
        <v>24.814406900000002</v>
      </c>
      <c r="B10938" s="18">
        <v>34.834717599999998</v>
      </c>
      <c r="C10938" s="18">
        <v>685438.63</v>
      </c>
      <c r="D10938" s="18">
        <v>2745643.88</v>
      </c>
      <c r="E10938" s="18">
        <v>285.7</v>
      </c>
      <c r="F10938" s="18">
        <v>41952.72</v>
      </c>
      <c r="G10938" s="18">
        <v>140638</v>
      </c>
      <c r="H10938" s="18">
        <f t="shared" si="251"/>
        <v>41922.720000000001</v>
      </c>
    </row>
    <row r="10939" spans="1:8" s="10" customFormat="1" ht="19.5" customHeight="1" x14ac:dyDescent="0.55000000000000004">
      <c r="A10939" s="18">
        <v>24.814423999999999</v>
      </c>
      <c r="B10939" s="18">
        <v>34.8347075</v>
      </c>
      <c r="C10939" s="18">
        <v>685437.59</v>
      </c>
      <c r="D10939" s="18">
        <v>2745645.76</v>
      </c>
      <c r="E10939" s="18">
        <v>285.89999999999998</v>
      </c>
      <c r="F10939" s="18">
        <v>41952.68</v>
      </c>
      <c r="G10939" s="18">
        <v>140640</v>
      </c>
      <c r="H10939" s="18">
        <f t="shared" si="251"/>
        <v>41922.68</v>
      </c>
    </row>
    <row r="10940" spans="1:8" s="10" customFormat="1" ht="19.5" customHeight="1" x14ac:dyDescent="0.55000000000000004">
      <c r="A10940" s="18">
        <v>24.814435499999998</v>
      </c>
      <c r="B10940" s="18">
        <v>34.834698199999998</v>
      </c>
      <c r="C10940" s="18">
        <v>685436.63</v>
      </c>
      <c r="D10940" s="18">
        <v>2745647.02</v>
      </c>
      <c r="E10940" s="18">
        <v>285.58</v>
      </c>
      <c r="F10940" s="18">
        <v>41953.53</v>
      </c>
      <c r="G10940" s="18">
        <v>140642</v>
      </c>
      <c r="H10940" s="18">
        <f t="shared" si="251"/>
        <v>41923.53</v>
      </c>
    </row>
    <row r="10941" spans="1:8" s="10" customFormat="1" ht="19.5" customHeight="1" x14ac:dyDescent="0.55000000000000004">
      <c r="A10941" s="18">
        <v>24.8144457</v>
      </c>
      <c r="B10941" s="18">
        <v>34.834691100000001</v>
      </c>
      <c r="C10941" s="18">
        <v>685435.89</v>
      </c>
      <c r="D10941" s="18">
        <v>2745648.14</v>
      </c>
      <c r="E10941" s="18">
        <v>285.27</v>
      </c>
      <c r="F10941" s="18">
        <v>41950.1</v>
      </c>
      <c r="G10941" s="18">
        <v>140644</v>
      </c>
      <c r="H10941" s="18">
        <f t="shared" si="251"/>
        <v>41920.1</v>
      </c>
    </row>
    <row r="10942" spans="1:8" s="10" customFormat="1" ht="19.5" customHeight="1" x14ac:dyDescent="0.55000000000000004">
      <c r="A10942" s="18">
        <v>24.814457999999998</v>
      </c>
      <c r="B10942" s="18">
        <v>34.834681500000002</v>
      </c>
      <c r="C10942" s="18">
        <v>685434.9</v>
      </c>
      <c r="D10942" s="18">
        <v>2745649.49</v>
      </c>
      <c r="E10942" s="18">
        <v>284.83999999999997</v>
      </c>
      <c r="F10942" s="18">
        <v>41952.13</v>
      </c>
      <c r="G10942" s="18">
        <v>140646</v>
      </c>
      <c r="H10942" s="18">
        <f t="shared" si="251"/>
        <v>41922.129999999997</v>
      </c>
    </row>
    <row r="10943" spans="1:8" s="10" customFormat="1" ht="19.5" customHeight="1" x14ac:dyDescent="0.55000000000000004">
      <c r="A10943" s="18">
        <v>24.814470199999999</v>
      </c>
      <c r="B10943" s="18">
        <v>34.834671499999999</v>
      </c>
      <c r="C10943" s="18">
        <v>685433.88</v>
      </c>
      <c r="D10943" s="18">
        <v>2745650.83</v>
      </c>
      <c r="E10943" s="18">
        <v>284.38</v>
      </c>
      <c r="F10943" s="18">
        <v>41951.06</v>
      </c>
      <c r="G10943" s="18">
        <v>140648</v>
      </c>
      <c r="H10943" s="18">
        <f t="shared" si="251"/>
        <v>41921.06</v>
      </c>
    </row>
    <row r="10944" spans="1:8" s="10" customFormat="1" ht="19.5" customHeight="1" x14ac:dyDescent="0.55000000000000004">
      <c r="A10944" s="18">
        <v>24.8144809</v>
      </c>
      <c r="B10944" s="18">
        <v>34.834660100000001</v>
      </c>
      <c r="C10944" s="18">
        <v>685432.71</v>
      </c>
      <c r="D10944" s="18">
        <v>2745652</v>
      </c>
      <c r="E10944" s="18">
        <v>283.95</v>
      </c>
      <c r="F10944" s="18">
        <v>41952.34</v>
      </c>
      <c r="G10944" s="18">
        <v>140650</v>
      </c>
      <c r="H10944" s="18">
        <f t="shared" si="251"/>
        <v>41922.339999999997</v>
      </c>
    </row>
    <row r="10945" spans="1:8" s="10" customFormat="1" ht="19.5" customHeight="1" x14ac:dyDescent="0.55000000000000004">
      <c r="A10945" s="18">
        <v>24.814493599999999</v>
      </c>
      <c r="B10945" s="18">
        <v>34.834649300000002</v>
      </c>
      <c r="C10945" s="18">
        <v>685431.6</v>
      </c>
      <c r="D10945" s="18">
        <v>2745653.4</v>
      </c>
      <c r="E10945" s="18">
        <v>283.41000000000003</v>
      </c>
      <c r="F10945" s="18">
        <v>41950.400000000001</v>
      </c>
      <c r="G10945" s="18">
        <v>140652</v>
      </c>
      <c r="H10945" s="18">
        <f t="shared" si="251"/>
        <v>41920.400000000001</v>
      </c>
    </row>
    <row r="10946" spans="1:8" s="10" customFormat="1" ht="19.5" customHeight="1" x14ac:dyDescent="0.55000000000000004">
      <c r="A10946" s="18">
        <v>24.8145031</v>
      </c>
      <c r="B10946" s="18">
        <v>34.8346369</v>
      </c>
      <c r="C10946" s="18">
        <v>685430.33</v>
      </c>
      <c r="D10946" s="18">
        <v>2745654.43</v>
      </c>
      <c r="E10946" s="18">
        <v>283.01</v>
      </c>
      <c r="F10946" s="18">
        <v>41950.35</v>
      </c>
      <c r="G10946" s="18">
        <v>140654</v>
      </c>
      <c r="H10946" s="18">
        <f t="shared" si="251"/>
        <v>41920.35</v>
      </c>
    </row>
    <row r="10947" spans="1:8" s="10" customFormat="1" ht="19.5" customHeight="1" x14ac:dyDescent="0.55000000000000004">
      <c r="A10947" s="18">
        <v>24.814513099999999</v>
      </c>
      <c r="B10947" s="18">
        <v>34.834619099999998</v>
      </c>
      <c r="C10947" s="18">
        <v>685428.52</v>
      </c>
      <c r="D10947" s="18">
        <v>2745655.51</v>
      </c>
      <c r="E10947" s="18">
        <v>282.5</v>
      </c>
      <c r="F10947" s="18">
        <v>41950.97</v>
      </c>
      <c r="G10947" s="18">
        <v>140656</v>
      </c>
      <c r="H10947" s="18">
        <f t="shared" si="251"/>
        <v>41920.97</v>
      </c>
    </row>
    <row r="10948" spans="1:8" s="10" customFormat="1" ht="19.5" customHeight="1" x14ac:dyDescent="0.55000000000000004">
      <c r="A10948" s="18">
        <v>24.8145202</v>
      </c>
      <c r="B10948" s="18">
        <v>34.834601999999997</v>
      </c>
      <c r="C10948" s="18">
        <v>685426.78</v>
      </c>
      <c r="D10948" s="18">
        <v>2745656.27</v>
      </c>
      <c r="E10948" s="18">
        <v>281.97000000000003</v>
      </c>
      <c r="F10948" s="18">
        <v>41950.93</v>
      </c>
      <c r="G10948" s="18">
        <v>140658</v>
      </c>
      <c r="H10948" s="18">
        <f t="shared" si="251"/>
        <v>41920.93</v>
      </c>
    </row>
    <row r="10949" spans="1:8" s="10" customFormat="1" ht="19.5" customHeight="1" x14ac:dyDescent="0.55000000000000004">
      <c r="A10949" s="18">
        <v>24.814531299999999</v>
      </c>
      <c r="B10949" s="18">
        <v>34.834586299999998</v>
      </c>
      <c r="C10949" s="18">
        <v>685425.17</v>
      </c>
      <c r="D10949" s="18">
        <v>2745657.48</v>
      </c>
      <c r="E10949" s="18">
        <v>281.43</v>
      </c>
      <c r="F10949" s="18">
        <v>41952.47</v>
      </c>
      <c r="G10949" s="18">
        <v>140700</v>
      </c>
      <c r="H10949" s="18">
        <f t="shared" si="251"/>
        <v>41922.47</v>
      </c>
    </row>
    <row r="10950" spans="1:8" s="10" customFormat="1" ht="19.5" customHeight="1" x14ac:dyDescent="0.55000000000000004">
      <c r="A10950" s="18">
        <v>24.814544300000001</v>
      </c>
      <c r="B10950" s="18">
        <v>34.834580699999997</v>
      </c>
      <c r="C10950" s="18">
        <v>685424.59</v>
      </c>
      <c r="D10950" s="18">
        <v>2745658.91</v>
      </c>
      <c r="E10950" s="18">
        <v>280.93</v>
      </c>
      <c r="F10950" s="18">
        <v>41950.27</v>
      </c>
      <c r="G10950" s="18">
        <v>140702</v>
      </c>
      <c r="H10950" s="18">
        <f t="shared" si="251"/>
        <v>41920.269999999997</v>
      </c>
    </row>
    <row r="10951" spans="1:8" s="10" customFormat="1" ht="19.5" customHeight="1" x14ac:dyDescent="0.55000000000000004">
      <c r="A10951" s="18">
        <v>24.814556899999999</v>
      </c>
      <c r="B10951" s="18">
        <v>34.834578399999998</v>
      </c>
      <c r="C10951" s="18">
        <v>685424.34</v>
      </c>
      <c r="D10951" s="18">
        <v>2745660.3</v>
      </c>
      <c r="E10951" s="18">
        <v>280.45999999999998</v>
      </c>
      <c r="F10951" s="18">
        <v>41950.78</v>
      </c>
      <c r="G10951" s="18">
        <v>140704</v>
      </c>
      <c r="H10951" s="18">
        <f t="shared" si="251"/>
        <v>41920.78</v>
      </c>
    </row>
    <row r="10952" spans="1:8" s="10" customFormat="1" ht="19.5" customHeight="1" x14ac:dyDescent="0.55000000000000004">
      <c r="A10952" s="18">
        <v>24.814569599999999</v>
      </c>
      <c r="B10952" s="18">
        <v>34.834575299999997</v>
      </c>
      <c r="C10952" s="18">
        <v>685424.01</v>
      </c>
      <c r="D10952" s="18">
        <v>2745661.7</v>
      </c>
      <c r="E10952" s="18">
        <v>279.93</v>
      </c>
      <c r="F10952" s="18">
        <v>41949.83</v>
      </c>
      <c r="G10952" s="18">
        <v>140706</v>
      </c>
      <c r="H10952" s="18">
        <f t="shared" si="251"/>
        <v>41919.83</v>
      </c>
    </row>
    <row r="10953" spans="1:8" s="10" customFormat="1" ht="19.5" customHeight="1" x14ac:dyDescent="0.55000000000000004">
      <c r="A10953" s="18">
        <v>24.814586899999998</v>
      </c>
      <c r="B10953" s="18">
        <v>34.834569199999997</v>
      </c>
      <c r="C10953" s="18">
        <v>685423.36</v>
      </c>
      <c r="D10953" s="18">
        <v>2745663.61</v>
      </c>
      <c r="E10953" s="18">
        <v>279.33</v>
      </c>
      <c r="F10953" s="18">
        <v>41952.49</v>
      </c>
      <c r="G10953" s="18">
        <v>140708</v>
      </c>
      <c r="H10953" s="18">
        <f t="shared" ref="H10953:H11016" si="252">SUM(F10953-30)</f>
        <v>41922.49</v>
      </c>
    </row>
    <row r="10954" spans="1:8" s="10" customFormat="1" ht="19.5" customHeight="1" x14ac:dyDescent="0.55000000000000004">
      <c r="A10954" s="18">
        <v>24.8145962</v>
      </c>
      <c r="B10954" s="18">
        <v>34.834558000000001</v>
      </c>
      <c r="C10954" s="18">
        <v>685422.21</v>
      </c>
      <c r="D10954" s="18">
        <v>2745664.63</v>
      </c>
      <c r="E10954" s="18">
        <v>278.83999999999997</v>
      </c>
      <c r="F10954" s="18">
        <v>41957.37</v>
      </c>
      <c r="G10954" s="18">
        <v>140710</v>
      </c>
      <c r="H10954" s="18">
        <f t="shared" si="252"/>
        <v>41927.370000000003</v>
      </c>
    </row>
    <row r="10955" spans="1:8" s="10" customFormat="1" ht="19.5" customHeight="1" x14ac:dyDescent="0.55000000000000004">
      <c r="A10955" s="18">
        <v>24.814606300000001</v>
      </c>
      <c r="B10955" s="18">
        <v>34.8345451</v>
      </c>
      <c r="C10955" s="18">
        <v>685420.9</v>
      </c>
      <c r="D10955" s="18">
        <v>2745665.73</v>
      </c>
      <c r="E10955" s="18">
        <v>278.38</v>
      </c>
      <c r="F10955" s="18">
        <v>41955.06</v>
      </c>
      <c r="G10955" s="18">
        <v>140712</v>
      </c>
      <c r="H10955" s="18">
        <f t="shared" si="252"/>
        <v>41925.06</v>
      </c>
    </row>
    <row r="10956" spans="1:8" s="10" customFormat="1" ht="19.5" customHeight="1" x14ac:dyDescent="0.55000000000000004">
      <c r="A10956" s="18">
        <v>24.814612</v>
      </c>
      <c r="B10956" s="18">
        <v>34.834528900000002</v>
      </c>
      <c r="C10956" s="18">
        <v>685419.25</v>
      </c>
      <c r="D10956" s="18">
        <v>2745666.34</v>
      </c>
      <c r="E10956" s="18">
        <v>277.92</v>
      </c>
      <c r="F10956" s="18">
        <v>41957.1</v>
      </c>
      <c r="G10956" s="18">
        <v>140714</v>
      </c>
      <c r="H10956" s="18">
        <f t="shared" si="252"/>
        <v>41927.1</v>
      </c>
    </row>
    <row r="10957" spans="1:8" s="10" customFormat="1" ht="19.5" customHeight="1" x14ac:dyDescent="0.55000000000000004">
      <c r="A10957" s="18">
        <v>24.814624800000001</v>
      </c>
      <c r="B10957" s="18">
        <v>34.834508</v>
      </c>
      <c r="C10957" s="18">
        <v>685417.12</v>
      </c>
      <c r="D10957" s="18">
        <v>2745667.73</v>
      </c>
      <c r="E10957" s="18">
        <v>277.51</v>
      </c>
      <c r="F10957" s="18">
        <v>41957.59</v>
      </c>
      <c r="G10957" s="18">
        <v>140716</v>
      </c>
      <c r="H10957" s="18">
        <f t="shared" si="252"/>
        <v>41927.589999999997</v>
      </c>
    </row>
    <row r="10958" spans="1:8" s="10" customFormat="1" ht="19.5" customHeight="1" x14ac:dyDescent="0.55000000000000004">
      <c r="A10958" s="18">
        <v>24.814643400000001</v>
      </c>
      <c r="B10958" s="18">
        <v>34.834493000000002</v>
      </c>
      <c r="C10958" s="18">
        <v>685415.58</v>
      </c>
      <c r="D10958" s="18">
        <v>2745669.77</v>
      </c>
      <c r="E10958" s="18">
        <v>277.57</v>
      </c>
      <c r="F10958" s="18">
        <v>41957.63</v>
      </c>
      <c r="G10958" s="18">
        <v>140718</v>
      </c>
      <c r="H10958" s="18">
        <f t="shared" si="252"/>
        <v>41927.629999999997</v>
      </c>
    </row>
    <row r="10959" spans="1:8" s="10" customFormat="1" ht="19.5" customHeight="1" x14ac:dyDescent="0.55000000000000004">
      <c r="A10959" s="18">
        <v>24.814661099999999</v>
      </c>
      <c r="B10959" s="18">
        <v>34.834487899999999</v>
      </c>
      <c r="C10959" s="18">
        <v>685415.04</v>
      </c>
      <c r="D10959" s="18">
        <v>2745671.72</v>
      </c>
      <c r="E10959" s="18">
        <v>277.61</v>
      </c>
      <c r="F10959" s="18">
        <v>41957.22</v>
      </c>
      <c r="G10959" s="18">
        <v>140720</v>
      </c>
      <c r="H10959" s="18">
        <f t="shared" si="252"/>
        <v>41927.22</v>
      </c>
    </row>
    <row r="10960" spans="1:8" s="10" customFormat="1" ht="19.5" customHeight="1" x14ac:dyDescent="0.55000000000000004">
      <c r="A10960" s="18">
        <v>24.814675900000001</v>
      </c>
      <c r="B10960" s="18">
        <v>34.834483900000002</v>
      </c>
      <c r="C10960" s="18">
        <v>685414.6</v>
      </c>
      <c r="D10960" s="18">
        <v>2745673.36</v>
      </c>
      <c r="E10960" s="18">
        <v>277.54000000000002</v>
      </c>
      <c r="F10960" s="18">
        <v>41955.95</v>
      </c>
      <c r="G10960" s="18">
        <v>140722</v>
      </c>
      <c r="H10960" s="18">
        <f t="shared" si="252"/>
        <v>41925.949999999997</v>
      </c>
    </row>
    <row r="10961" spans="1:8" s="10" customFormat="1" ht="19.5" customHeight="1" x14ac:dyDescent="0.55000000000000004">
      <c r="A10961" s="18">
        <v>24.814696000000001</v>
      </c>
      <c r="B10961" s="18">
        <v>34.834476700000003</v>
      </c>
      <c r="C10961" s="18">
        <v>685413.84</v>
      </c>
      <c r="D10961" s="18">
        <v>2745675.57</v>
      </c>
      <c r="E10961" s="18">
        <v>277.33999999999997</v>
      </c>
      <c r="F10961" s="18">
        <v>41954.92</v>
      </c>
      <c r="G10961" s="18">
        <v>140724</v>
      </c>
      <c r="H10961" s="18">
        <f t="shared" si="252"/>
        <v>41924.92</v>
      </c>
    </row>
    <row r="10962" spans="1:8" s="10" customFormat="1" ht="19.5" customHeight="1" x14ac:dyDescent="0.55000000000000004">
      <c r="A10962" s="18">
        <v>24.814715</v>
      </c>
      <c r="B10962" s="18">
        <v>34.834466800000001</v>
      </c>
      <c r="C10962" s="18">
        <v>685412.82</v>
      </c>
      <c r="D10962" s="18">
        <v>2745677.66</v>
      </c>
      <c r="E10962" s="18">
        <v>277.23</v>
      </c>
      <c r="F10962" s="18">
        <v>41955.66</v>
      </c>
      <c r="G10962" s="18">
        <v>140726</v>
      </c>
      <c r="H10962" s="18">
        <f t="shared" si="252"/>
        <v>41925.660000000003</v>
      </c>
    </row>
    <row r="10963" spans="1:8" s="10" customFormat="1" ht="19.5" customHeight="1" x14ac:dyDescent="0.55000000000000004">
      <c r="A10963" s="18">
        <v>24.814735800000001</v>
      </c>
      <c r="B10963" s="18">
        <v>34.834458499999997</v>
      </c>
      <c r="C10963" s="18">
        <v>685411.95</v>
      </c>
      <c r="D10963" s="18">
        <v>2745679.95</v>
      </c>
      <c r="E10963" s="18">
        <v>276.98</v>
      </c>
      <c r="F10963" s="18">
        <v>41955.73</v>
      </c>
      <c r="G10963" s="18">
        <v>140728</v>
      </c>
      <c r="H10963" s="18">
        <f t="shared" si="252"/>
        <v>41925.730000000003</v>
      </c>
    </row>
    <row r="10964" spans="1:8" s="10" customFormat="1" ht="19.5" customHeight="1" x14ac:dyDescent="0.55000000000000004">
      <c r="A10964" s="18">
        <v>24.814756500000001</v>
      </c>
      <c r="B10964" s="18">
        <v>34.834450699999998</v>
      </c>
      <c r="C10964" s="18">
        <v>685411.13</v>
      </c>
      <c r="D10964" s="18">
        <v>2745682.24</v>
      </c>
      <c r="E10964" s="18">
        <v>276.58999999999997</v>
      </c>
      <c r="F10964" s="18">
        <v>41954.57</v>
      </c>
      <c r="G10964" s="18">
        <v>140730</v>
      </c>
      <c r="H10964" s="18">
        <f t="shared" si="252"/>
        <v>41924.57</v>
      </c>
    </row>
    <row r="10965" spans="1:8" s="10" customFormat="1" ht="19.5" customHeight="1" x14ac:dyDescent="0.55000000000000004">
      <c r="A10965" s="18">
        <v>24.814777500000002</v>
      </c>
      <c r="B10965" s="18">
        <v>34.834444300000001</v>
      </c>
      <c r="C10965" s="18">
        <v>685410.45</v>
      </c>
      <c r="D10965" s="18">
        <v>2745684.55</v>
      </c>
      <c r="E10965" s="18">
        <v>276.44</v>
      </c>
      <c r="F10965" s="18">
        <v>41949.95</v>
      </c>
      <c r="G10965" s="18">
        <v>140732</v>
      </c>
      <c r="H10965" s="18">
        <f t="shared" si="252"/>
        <v>41919.949999999997</v>
      </c>
    </row>
    <row r="10966" spans="1:8" s="10" customFormat="1" ht="19.5" customHeight="1" x14ac:dyDescent="0.55000000000000004">
      <c r="A10966" s="18">
        <v>24.814798100000001</v>
      </c>
      <c r="B10966" s="18">
        <v>34.8344375</v>
      </c>
      <c r="C10966" s="18">
        <v>685409.73</v>
      </c>
      <c r="D10966" s="18">
        <v>2745686.83</v>
      </c>
      <c r="E10966" s="18">
        <v>276.14999999999998</v>
      </c>
      <c r="F10966" s="18">
        <v>41951.49</v>
      </c>
      <c r="G10966" s="18">
        <v>140734</v>
      </c>
      <c r="H10966" s="18">
        <f t="shared" si="252"/>
        <v>41921.49</v>
      </c>
    </row>
    <row r="10967" spans="1:8" s="10" customFormat="1" ht="19.5" customHeight="1" x14ac:dyDescent="0.55000000000000004">
      <c r="A10967" s="18">
        <v>24.814819499999999</v>
      </c>
      <c r="B10967" s="18">
        <v>34.834436599999997</v>
      </c>
      <c r="C10967" s="18">
        <v>685409.61</v>
      </c>
      <c r="D10967" s="18">
        <v>2745689.2</v>
      </c>
      <c r="E10967" s="18">
        <v>276.02999999999997</v>
      </c>
      <c r="F10967" s="18">
        <v>41954.03</v>
      </c>
      <c r="G10967" s="18">
        <v>140736</v>
      </c>
      <c r="H10967" s="18">
        <f t="shared" si="252"/>
        <v>41924.03</v>
      </c>
    </row>
    <row r="10968" spans="1:8" s="10" customFormat="1" ht="19.5" customHeight="1" x14ac:dyDescent="0.55000000000000004">
      <c r="A10968" s="18">
        <v>24.814841300000001</v>
      </c>
      <c r="B10968" s="18">
        <v>34.8344351</v>
      </c>
      <c r="C10968" s="18">
        <v>685409.43</v>
      </c>
      <c r="D10968" s="18">
        <v>2745691.61</v>
      </c>
      <c r="E10968" s="18">
        <v>275.85000000000002</v>
      </c>
      <c r="F10968" s="18">
        <v>41953.07</v>
      </c>
      <c r="G10968" s="18">
        <v>140738</v>
      </c>
      <c r="H10968" s="18">
        <f t="shared" si="252"/>
        <v>41923.07</v>
      </c>
    </row>
    <row r="10969" spans="1:8" s="10" customFormat="1" ht="19.5" customHeight="1" x14ac:dyDescent="0.55000000000000004">
      <c r="A10969" s="18">
        <v>24.814859800000001</v>
      </c>
      <c r="B10969" s="18">
        <v>34.834430699999999</v>
      </c>
      <c r="C10969" s="18">
        <v>685408.96</v>
      </c>
      <c r="D10969" s="18">
        <v>2745693.65</v>
      </c>
      <c r="E10969" s="18">
        <v>275.7</v>
      </c>
      <c r="F10969" s="18">
        <v>41941.81</v>
      </c>
      <c r="G10969" s="18">
        <v>140740</v>
      </c>
      <c r="H10969" s="18">
        <f t="shared" si="252"/>
        <v>41911.81</v>
      </c>
    </row>
    <row r="10970" spans="1:8" s="10" customFormat="1" ht="19.5" customHeight="1" x14ac:dyDescent="0.55000000000000004">
      <c r="A10970" s="18">
        <v>24.814879900000001</v>
      </c>
      <c r="B10970" s="18">
        <v>34.8344211</v>
      </c>
      <c r="C10970" s="18">
        <v>685407.95</v>
      </c>
      <c r="D10970" s="18">
        <v>2745695.87</v>
      </c>
      <c r="E10970" s="18">
        <v>275.48</v>
      </c>
      <c r="F10970" s="18">
        <v>41932.21</v>
      </c>
      <c r="G10970" s="18">
        <v>140742</v>
      </c>
      <c r="H10970" s="18">
        <f t="shared" si="252"/>
        <v>41902.21</v>
      </c>
    </row>
    <row r="10971" spans="1:8" s="10" customFormat="1" ht="19.5" customHeight="1" x14ac:dyDescent="0.55000000000000004">
      <c r="A10971" s="18">
        <v>24.814898199999998</v>
      </c>
      <c r="B10971" s="18">
        <v>34.834407400000003</v>
      </c>
      <c r="C10971" s="18">
        <v>685406.54</v>
      </c>
      <c r="D10971" s="18">
        <v>2745697.87</v>
      </c>
      <c r="E10971" s="18">
        <v>275.54000000000002</v>
      </c>
      <c r="F10971" s="18">
        <v>41928.120000000003</v>
      </c>
      <c r="G10971" s="18">
        <v>140744</v>
      </c>
      <c r="H10971" s="18">
        <f t="shared" si="252"/>
        <v>41898.120000000003</v>
      </c>
    </row>
    <row r="10972" spans="1:8" s="10" customFormat="1" ht="19.5" customHeight="1" x14ac:dyDescent="0.55000000000000004">
      <c r="A10972" s="18">
        <v>24.8149151</v>
      </c>
      <c r="B10972" s="18">
        <v>34.834389600000002</v>
      </c>
      <c r="C10972" s="18">
        <v>685404.71</v>
      </c>
      <c r="D10972" s="18">
        <v>2745699.72</v>
      </c>
      <c r="E10972" s="18">
        <v>275.7</v>
      </c>
      <c r="F10972" s="18">
        <v>41929.17</v>
      </c>
      <c r="G10972" s="18">
        <v>140746</v>
      </c>
      <c r="H10972" s="18">
        <f t="shared" si="252"/>
        <v>41899.17</v>
      </c>
    </row>
    <row r="10973" spans="1:8" s="10" customFormat="1" ht="19.5" customHeight="1" x14ac:dyDescent="0.55000000000000004">
      <c r="A10973" s="18">
        <v>24.8149315</v>
      </c>
      <c r="B10973" s="18">
        <v>34.834371099999998</v>
      </c>
      <c r="C10973" s="18">
        <v>685402.82</v>
      </c>
      <c r="D10973" s="18">
        <v>2745701.51</v>
      </c>
      <c r="E10973" s="18">
        <v>275.77</v>
      </c>
      <c r="F10973" s="18">
        <v>41928.629999999997</v>
      </c>
      <c r="G10973" s="18">
        <v>140748</v>
      </c>
      <c r="H10973" s="18">
        <f t="shared" si="252"/>
        <v>41898.629999999997</v>
      </c>
    </row>
    <row r="10974" spans="1:8" s="10" customFormat="1" ht="19.5" customHeight="1" x14ac:dyDescent="0.55000000000000004">
      <c r="A10974" s="18">
        <v>24.814945600000001</v>
      </c>
      <c r="B10974" s="18">
        <v>34.834352699999997</v>
      </c>
      <c r="C10974" s="18">
        <v>685400.94</v>
      </c>
      <c r="D10974" s="18">
        <v>2745703.06</v>
      </c>
      <c r="E10974" s="18">
        <v>276</v>
      </c>
      <c r="F10974" s="18">
        <v>41930.6</v>
      </c>
      <c r="G10974" s="18">
        <v>140750</v>
      </c>
      <c r="H10974" s="18">
        <f t="shared" si="252"/>
        <v>41900.6</v>
      </c>
    </row>
    <row r="10975" spans="1:8" s="10" customFormat="1" ht="19.5" customHeight="1" x14ac:dyDescent="0.55000000000000004">
      <c r="A10975" s="18">
        <v>24.8149549</v>
      </c>
      <c r="B10975" s="18">
        <v>34.8343335</v>
      </c>
      <c r="C10975" s="18">
        <v>685398.98</v>
      </c>
      <c r="D10975" s="18">
        <v>2745704.06</v>
      </c>
      <c r="E10975" s="18">
        <v>276.14</v>
      </c>
      <c r="F10975" s="18">
        <v>41926.480000000003</v>
      </c>
      <c r="G10975" s="18">
        <v>140752</v>
      </c>
      <c r="H10975" s="18">
        <f t="shared" si="252"/>
        <v>41896.480000000003</v>
      </c>
    </row>
    <row r="10976" spans="1:8" s="10" customFormat="1" ht="19.5" customHeight="1" x14ac:dyDescent="0.55000000000000004">
      <c r="A10976" s="18">
        <v>24.814964199999999</v>
      </c>
      <c r="B10976" s="18">
        <v>34.834313700000003</v>
      </c>
      <c r="C10976" s="18">
        <v>685396.97</v>
      </c>
      <c r="D10976" s="18">
        <v>2745705.06</v>
      </c>
      <c r="E10976" s="18">
        <v>276.08999999999997</v>
      </c>
      <c r="F10976" s="18">
        <v>41921.839999999997</v>
      </c>
      <c r="G10976" s="18">
        <v>140754</v>
      </c>
      <c r="H10976" s="18">
        <f t="shared" si="252"/>
        <v>41891.839999999997</v>
      </c>
    </row>
    <row r="10977" spans="1:8" s="10" customFormat="1" ht="19.5" customHeight="1" x14ac:dyDescent="0.55000000000000004">
      <c r="A10977" s="18">
        <v>24.814975799999999</v>
      </c>
      <c r="B10977" s="18">
        <v>34.834291100000002</v>
      </c>
      <c r="C10977" s="18">
        <v>685394.67</v>
      </c>
      <c r="D10977" s="18">
        <v>2745706.31</v>
      </c>
      <c r="E10977" s="18">
        <v>276.52</v>
      </c>
      <c r="F10977" s="18">
        <v>41934.980000000003</v>
      </c>
      <c r="G10977" s="18">
        <v>140756</v>
      </c>
      <c r="H10977" s="18">
        <f t="shared" si="252"/>
        <v>41904.980000000003</v>
      </c>
    </row>
    <row r="10978" spans="1:8" s="10" customFormat="1" ht="19.5" customHeight="1" x14ac:dyDescent="0.55000000000000004">
      <c r="A10978" s="18">
        <v>24.8149838</v>
      </c>
      <c r="B10978" s="18">
        <v>34.834270600000004</v>
      </c>
      <c r="C10978" s="18">
        <v>685392.59</v>
      </c>
      <c r="D10978" s="18">
        <v>2745707.17</v>
      </c>
      <c r="E10978" s="18">
        <v>276.64</v>
      </c>
      <c r="F10978" s="18">
        <v>41943.76</v>
      </c>
      <c r="G10978" s="18">
        <v>140758</v>
      </c>
      <c r="H10978" s="18">
        <f t="shared" si="252"/>
        <v>41913.760000000002</v>
      </c>
    </row>
    <row r="10979" spans="1:8" s="10" customFormat="1" ht="19.5" customHeight="1" x14ac:dyDescent="0.55000000000000004">
      <c r="A10979" s="18">
        <v>24.8149959</v>
      </c>
      <c r="B10979" s="18">
        <v>34.834254199999997</v>
      </c>
      <c r="C10979" s="18">
        <v>685390.91</v>
      </c>
      <c r="D10979" s="18">
        <v>2745708.49</v>
      </c>
      <c r="E10979" s="18">
        <v>276.97000000000003</v>
      </c>
      <c r="F10979" s="18">
        <v>41947.7</v>
      </c>
      <c r="G10979" s="18">
        <v>140800</v>
      </c>
      <c r="H10979" s="18">
        <f t="shared" si="252"/>
        <v>41917.699999999997</v>
      </c>
    </row>
    <row r="10980" spans="1:8" s="10" customFormat="1" ht="19.5" customHeight="1" x14ac:dyDescent="0.55000000000000004">
      <c r="A10980" s="18">
        <v>24.814999199999999</v>
      </c>
      <c r="B10980" s="18">
        <v>34.834236300000001</v>
      </c>
      <c r="C10980" s="18">
        <v>685389.09</v>
      </c>
      <c r="D10980" s="18">
        <v>2745708.83</v>
      </c>
      <c r="E10980" s="18">
        <v>277.27</v>
      </c>
      <c r="F10980" s="18">
        <v>41949.85</v>
      </c>
      <c r="G10980" s="18">
        <v>140802</v>
      </c>
      <c r="H10980" s="18">
        <f t="shared" si="252"/>
        <v>41919.85</v>
      </c>
    </row>
    <row r="10981" spans="1:8" s="10" customFormat="1" ht="19.5" customHeight="1" x14ac:dyDescent="0.55000000000000004">
      <c r="A10981" s="18">
        <v>24.815014300000001</v>
      </c>
      <c r="B10981" s="18">
        <v>34.834221200000002</v>
      </c>
      <c r="C10981" s="18">
        <v>685387.55</v>
      </c>
      <c r="D10981" s="18">
        <v>2745710.48</v>
      </c>
      <c r="E10981" s="18">
        <v>277.37</v>
      </c>
      <c r="F10981" s="18">
        <v>41950.080000000002</v>
      </c>
      <c r="G10981" s="18">
        <v>140804</v>
      </c>
      <c r="H10981" s="18">
        <f t="shared" si="252"/>
        <v>41920.080000000002</v>
      </c>
    </row>
    <row r="10982" spans="1:8" s="10" customFormat="1" ht="19.5" customHeight="1" x14ac:dyDescent="0.55000000000000004">
      <c r="A10982" s="18">
        <v>24.8150263</v>
      </c>
      <c r="B10982" s="18">
        <v>34.834204499999998</v>
      </c>
      <c r="C10982" s="18">
        <v>685385.84</v>
      </c>
      <c r="D10982" s="18">
        <v>2745711.78</v>
      </c>
      <c r="E10982" s="18">
        <v>277.69</v>
      </c>
      <c r="F10982" s="18">
        <v>41950.85</v>
      </c>
      <c r="G10982" s="18">
        <v>140806</v>
      </c>
      <c r="H10982" s="18">
        <f t="shared" si="252"/>
        <v>41920.85</v>
      </c>
    </row>
    <row r="10983" spans="1:8" s="10" customFormat="1" ht="19.5" customHeight="1" x14ac:dyDescent="0.55000000000000004">
      <c r="A10983" s="18">
        <v>24.815041900000001</v>
      </c>
      <c r="B10983" s="18">
        <v>34.834193900000002</v>
      </c>
      <c r="C10983" s="18">
        <v>685384.75</v>
      </c>
      <c r="D10983" s="18">
        <v>2745713.5</v>
      </c>
      <c r="E10983" s="18">
        <v>277.76</v>
      </c>
      <c r="F10983" s="18">
        <v>41951.58</v>
      </c>
      <c r="G10983" s="18">
        <v>140808</v>
      </c>
      <c r="H10983" s="18">
        <f t="shared" si="252"/>
        <v>41921.58</v>
      </c>
    </row>
    <row r="10984" spans="1:8" s="10" customFormat="1" ht="19.5" customHeight="1" x14ac:dyDescent="0.55000000000000004">
      <c r="A10984" s="18">
        <v>24.815060800000001</v>
      </c>
      <c r="B10984" s="18">
        <v>34.834185900000001</v>
      </c>
      <c r="C10984" s="18">
        <v>685383.9</v>
      </c>
      <c r="D10984" s="18">
        <v>2745715.58</v>
      </c>
      <c r="E10984" s="18">
        <v>277.38</v>
      </c>
      <c r="F10984" s="18">
        <v>41950.84</v>
      </c>
      <c r="G10984" s="18">
        <v>140810</v>
      </c>
      <c r="H10984" s="18">
        <f t="shared" si="252"/>
        <v>41920.839999999997</v>
      </c>
    </row>
    <row r="10985" spans="1:8" s="10" customFormat="1" ht="19.5" customHeight="1" x14ac:dyDescent="0.55000000000000004">
      <c r="A10985" s="18">
        <v>24.815081899999999</v>
      </c>
      <c r="B10985" s="18">
        <v>34.834182300000002</v>
      </c>
      <c r="C10985" s="18">
        <v>685383.52</v>
      </c>
      <c r="D10985" s="18">
        <v>2745717.92</v>
      </c>
      <c r="E10985" s="18">
        <v>277.79000000000002</v>
      </c>
      <c r="F10985" s="18">
        <v>41951.44</v>
      </c>
      <c r="G10985" s="18">
        <v>140812</v>
      </c>
      <c r="H10985" s="18">
        <f t="shared" si="252"/>
        <v>41921.440000000002</v>
      </c>
    </row>
    <row r="10986" spans="1:8" s="10" customFormat="1" ht="19.5" customHeight="1" x14ac:dyDescent="0.55000000000000004">
      <c r="A10986" s="18">
        <v>24.815094899999998</v>
      </c>
      <c r="B10986" s="18">
        <v>34.834197600000003</v>
      </c>
      <c r="C10986" s="18">
        <v>685385.04</v>
      </c>
      <c r="D10986" s="18">
        <v>2745719.38</v>
      </c>
      <c r="E10986" s="18">
        <v>278.18</v>
      </c>
      <c r="F10986" s="18">
        <v>41947.1</v>
      </c>
      <c r="G10986" s="18">
        <v>140814</v>
      </c>
      <c r="H10986" s="18">
        <f t="shared" si="252"/>
        <v>41917.1</v>
      </c>
    </row>
    <row r="10987" spans="1:8" s="10" customFormat="1" ht="19.5" customHeight="1" x14ac:dyDescent="0.55000000000000004">
      <c r="A10987" s="18">
        <v>24.8151039</v>
      </c>
      <c r="B10987" s="18">
        <v>34.834216599999998</v>
      </c>
      <c r="C10987" s="18">
        <v>685386.95</v>
      </c>
      <c r="D10987" s="18">
        <v>2745720.4</v>
      </c>
      <c r="E10987" s="18">
        <v>278.64999999999998</v>
      </c>
      <c r="F10987" s="18">
        <v>41944.94</v>
      </c>
      <c r="G10987" s="18">
        <v>140816</v>
      </c>
      <c r="H10987" s="18">
        <f t="shared" si="252"/>
        <v>41914.94</v>
      </c>
    </row>
    <row r="10988" spans="1:8" s="10" customFormat="1" ht="19.5" customHeight="1" x14ac:dyDescent="0.55000000000000004">
      <c r="A10988" s="18">
        <v>24.8151148</v>
      </c>
      <c r="B10988" s="18">
        <v>34.834229000000001</v>
      </c>
      <c r="C10988" s="18">
        <v>685388.18</v>
      </c>
      <c r="D10988" s="18">
        <v>2745721.63</v>
      </c>
      <c r="E10988" s="18">
        <v>279.13</v>
      </c>
      <c r="F10988" s="18">
        <v>41945.52</v>
      </c>
      <c r="G10988" s="18">
        <v>140818</v>
      </c>
      <c r="H10988" s="18">
        <f t="shared" si="252"/>
        <v>41915.519999999997</v>
      </c>
    </row>
    <row r="10989" spans="1:8" s="10" customFormat="1" ht="19.5" customHeight="1" x14ac:dyDescent="0.55000000000000004">
      <c r="A10989" s="18">
        <v>24.815126500000002</v>
      </c>
      <c r="B10989" s="18">
        <v>34.834239099999998</v>
      </c>
      <c r="C10989" s="18">
        <v>685389.19</v>
      </c>
      <c r="D10989" s="18">
        <v>2745722.93</v>
      </c>
      <c r="E10989" s="18">
        <v>279.57</v>
      </c>
      <c r="F10989" s="18">
        <v>41948.55</v>
      </c>
      <c r="G10989" s="18">
        <v>140820</v>
      </c>
      <c r="H10989" s="18">
        <f t="shared" si="252"/>
        <v>41918.550000000003</v>
      </c>
    </row>
    <row r="10990" spans="1:8" s="10" customFormat="1" ht="19.5" customHeight="1" x14ac:dyDescent="0.55000000000000004">
      <c r="A10990" s="18">
        <v>24.815138600000001</v>
      </c>
      <c r="B10990" s="18">
        <v>34.834243499999999</v>
      </c>
      <c r="C10990" s="18">
        <v>685389.61</v>
      </c>
      <c r="D10990" s="18">
        <v>2745724.28</v>
      </c>
      <c r="E10990" s="18">
        <v>279.98</v>
      </c>
      <c r="F10990" s="18">
        <v>41946.21</v>
      </c>
      <c r="G10990" s="18">
        <v>140822</v>
      </c>
      <c r="H10990" s="18">
        <f t="shared" si="252"/>
        <v>41916.21</v>
      </c>
    </row>
    <row r="10991" spans="1:8" s="10" customFormat="1" ht="19.5" customHeight="1" x14ac:dyDescent="0.55000000000000004">
      <c r="A10991" s="18">
        <v>24.8151522</v>
      </c>
      <c r="B10991" s="18">
        <v>34.834232299999996</v>
      </c>
      <c r="C10991" s="18">
        <v>685388.46</v>
      </c>
      <c r="D10991" s="18">
        <v>2745725.78</v>
      </c>
      <c r="E10991" s="18">
        <v>280.10000000000002</v>
      </c>
      <c r="F10991" s="18">
        <v>41948.160000000003</v>
      </c>
      <c r="G10991" s="18">
        <v>140824</v>
      </c>
      <c r="H10991" s="18">
        <f t="shared" si="252"/>
        <v>41918.160000000003</v>
      </c>
    </row>
    <row r="10992" spans="1:8" s="10" customFormat="1" ht="19.5" customHeight="1" x14ac:dyDescent="0.55000000000000004">
      <c r="A10992" s="18">
        <v>24.815166300000001</v>
      </c>
      <c r="B10992" s="18">
        <v>34.834214099999997</v>
      </c>
      <c r="C10992" s="18">
        <v>685386.6</v>
      </c>
      <c r="D10992" s="18">
        <v>2745727.31</v>
      </c>
      <c r="E10992" s="18">
        <v>280.29000000000002</v>
      </c>
      <c r="F10992" s="18">
        <v>41950.76</v>
      </c>
      <c r="G10992" s="18">
        <v>140826</v>
      </c>
      <c r="H10992" s="18">
        <f t="shared" si="252"/>
        <v>41920.76</v>
      </c>
    </row>
    <row r="10993" spans="1:8" s="10" customFormat="1" ht="19.5" customHeight="1" x14ac:dyDescent="0.55000000000000004">
      <c r="A10993" s="18">
        <v>24.815183300000001</v>
      </c>
      <c r="B10993" s="18">
        <v>34.834201299999997</v>
      </c>
      <c r="C10993" s="18">
        <v>685385.28</v>
      </c>
      <c r="D10993" s="18">
        <v>2745729.17</v>
      </c>
      <c r="E10993" s="18">
        <v>280.63</v>
      </c>
      <c r="F10993" s="18">
        <v>41950.92</v>
      </c>
      <c r="G10993" s="18">
        <v>140828</v>
      </c>
      <c r="H10993" s="18">
        <f t="shared" si="252"/>
        <v>41920.92</v>
      </c>
    </row>
    <row r="10994" spans="1:8" s="10" customFormat="1" ht="19.5" customHeight="1" x14ac:dyDescent="0.55000000000000004">
      <c r="A10994" s="18">
        <v>24.815199700000001</v>
      </c>
      <c r="B10994" s="18">
        <v>34.834189000000002</v>
      </c>
      <c r="C10994" s="18">
        <v>685384.02</v>
      </c>
      <c r="D10994" s="18">
        <v>2745730.98</v>
      </c>
      <c r="E10994" s="18">
        <v>280.97000000000003</v>
      </c>
      <c r="F10994" s="18">
        <v>41949.91</v>
      </c>
      <c r="G10994" s="18">
        <v>140830</v>
      </c>
      <c r="H10994" s="18">
        <f t="shared" si="252"/>
        <v>41919.910000000003</v>
      </c>
    </row>
    <row r="10995" spans="1:8" s="10" customFormat="1" ht="19.5" customHeight="1" x14ac:dyDescent="0.55000000000000004">
      <c r="A10995" s="18">
        <v>24.8152179</v>
      </c>
      <c r="B10995" s="18">
        <v>34.834177699999998</v>
      </c>
      <c r="C10995" s="18">
        <v>685382.84</v>
      </c>
      <c r="D10995" s="18">
        <v>2745732.98</v>
      </c>
      <c r="E10995" s="18">
        <v>281.33</v>
      </c>
      <c r="F10995" s="18">
        <v>41949.77</v>
      </c>
      <c r="G10995" s="18">
        <v>140832</v>
      </c>
      <c r="H10995" s="18">
        <f t="shared" si="252"/>
        <v>41919.769999999997</v>
      </c>
    </row>
    <row r="10996" spans="1:8" s="10" customFormat="1" ht="19.5" customHeight="1" x14ac:dyDescent="0.55000000000000004">
      <c r="A10996" s="18">
        <v>24.815234799999999</v>
      </c>
      <c r="B10996" s="18">
        <v>34.834169299999999</v>
      </c>
      <c r="C10996" s="18">
        <v>685381.97</v>
      </c>
      <c r="D10996" s="18">
        <v>2745734.84</v>
      </c>
      <c r="E10996" s="18">
        <v>281.47000000000003</v>
      </c>
      <c r="F10996" s="18">
        <v>41949.58</v>
      </c>
      <c r="G10996" s="18">
        <v>140834</v>
      </c>
      <c r="H10996" s="18">
        <f t="shared" si="252"/>
        <v>41919.58</v>
      </c>
    </row>
    <row r="10997" spans="1:8" s="10" customFormat="1" ht="19.5" customHeight="1" x14ac:dyDescent="0.55000000000000004">
      <c r="A10997" s="18">
        <v>24.815253899999998</v>
      </c>
      <c r="B10997" s="18">
        <v>34.834156399999998</v>
      </c>
      <c r="C10997" s="18">
        <v>685380.64</v>
      </c>
      <c r="D10997" s="18">
        <v>2745736.93</v>
      </c>
      <c r="E10997" s="18">
        <v>281.32</v>
      </c>
      <c r="F10997" s="18">
        <v>41948.54</v>
      </c>
      <c r="G10997" s="18">
        <v>140836</v>
      </c>
      <c r="H10997" s="18">
        <f t="shared" si="252"/>
        <v>41918.54</v>
      </c>
    </row>
    <row r="10998" spans="1:8" s="10" customFormat="1" ht="19.5" customHeight="1" x14ac:dyDescent="0.55000000000000004">
      <c r="A10998" s="18">
        <v>24.8152735</v>
      </c>
      <c r="B10998" s="18">
        <v>34.834140699999999</v>
      </c>
      <c r="C10998" s="18">
        <v>685379.02</v>
      </c>
      <c r="D10998" s="18">
        <v>2745739.08</v>
      </c>
      <c r="E10998" s="18">
        <v>281.02999999999997</v>
      </c>
      <c r="F10998" s="18">
        <v>41948.67</v>
      </c>
      <c r="G10998" s="18">
        <v>140838</v>
      </c>
      <c r="H10998" s="18">
        <f t="shared" si="252"/>
        <v>41918.67</v>
      </c>
    </row>
    <row r="10999" spans="1:8" s="10" customFormat="1" ht="19.5" customHeight="1" x14ac:dyDescent="0.55000000000000004">
      <c r="A10999" s="18">
        <v>24.8152933</v>
      </c>
      <c r="B10999" s="18">
        <v>34.834125499999999</v>
      </c>
      <c r="C10999" s="18">
        <v>685377.46</v>
      </c>
      <c r="D10999" s="18">
        <v>2745741.25</v>
      </c>
      <c r="E10999" s="18">
        <v>280.98</v>
      </c>
      <c r="F10999" s="18">
        <v>41948.15</v>
      </c>
      <c r="G10999" s="18">
        <v>140840</v>
      </c>
      <c r="H10999" s="18">
        <f t="shared" si="252"/>
        <v>41918.15</v>
      </c>
    </row>
    <row r="11000" spans="1:8" s="10" customFormat="1" ht="19.5" customHeight="1" x14ac:dyDescent="0.55000000000000004">
      <c r="A11000" s="18">
        <v>24.8153088</v>
      </c>
      <c r="B11000" s="18">
        <v>34.834109499999997</v>
      </c>
      <c r="C11000" s="18">
        <v>685375.81</v>
      </c>
      <c r="D11000" s="18">
        <v>2745742.95</v>
      </c>
      <c r="E11000" s="18">
        <v>281</v>
      </c>
      <c r="F11000" s="18">
        <v>41948.7</v>
      </c>
      <c r="G11000" s="18">
        <v>140842</v>
      </c>
      <c r="H11000" s="18">
        <f t="shared" si="252"/>
        <v>41918.699999999997</v>
      </c>
    </row>
    <row r="11001" spans="1:8" s="10" customFormat="1" ht="19.5" customHeight="1" x14ac:dyDescent="0.55000000000000004">
      <c r="A11001" s="18">
        <v>24.815324700000001</v>
      </c>
      <c r="B11001" s="18">
        <v>34.834092300000002</v>
      </c>
      <c r="C11001" s="18">
        <v>685374.05</v>
      </c>
      <c r="D11001" s="18">
        <v>2745744.69</v>
      </c>
      <c r="E11001" s="18">
        <v>280.91000000000003</v>
      </c>
      <c r="F11001" s="18">
        <v>41948.04</v>
      </c>
      <c r="G11001" s="18">
        <v>140844</v>
      </c>
      <c r="H11001" s="18">
        <f t="shared" si="252"/>
        <v>41918.04</v>
      </c>
    </row>
    <row r="11002" spans="1:8" s="10" customFormat="1" ht="19.5" customHeight="1" x14ac:dyDescent="0.55000000000000004">
      <c r="A11002" s="18">
        <v>24.815339699999999</v>
      </c>
      <c r="B11002" s="18">
        <v>34.834077100000002</v>
      </c>
      <c r="C11002" s="18">
        <v>685372.49</v>
      </c>
      <c r="D11002" s="18">
        <v>2745746.33</v>
      </c>
      <c r="E11002" s="18">
        <v>280.62</v>
      </c>
      <c r="F11002" s="18">
        <v>41948.87</v>
      </c>
      <c r="G11002" s="18">
        <v>140846</v>
      </c>
      <c r="H11002" s="18">
        <f t="shared" si="252"/>
        <v>41918.870000000003</v>
      </c>
    </row>
    <row r="11003" spans="1:8" s="10" customFormat="1" ht="19.5" customHeight="1" x14ac:dyDescent="0.55000000000000004">
      <c r="A11003" s="18">
        <v>24.8153544</v>
      </c>
      <c r="B11003" s="18">
        <v>34.834068100000003</v>
      </c>
      <c r="C11003" s="18">
        <v>685371.57</v>
      </c>
      <c r="D11003" s="18">
        <v>2745747.94</v>
      </c>
      <c r="E11003" s="18">
        <v>280.52</v>
      </c>
      <c r="F11003" s="18">
        <v>41949.55</v>
      </c>
      <c r="G11003" s="18">
        <v>140848</v>
      </c>
      <c r="H11003" s="18">
        <f t="shared" si="252"/>
        <v>41919.550000000003</v>
      </c>
    </row>
    <row r="11004" spans="1:8" s="10" customFormat="1" ht="19.5" customHeight="1" x14ac:dyDescent="0.55000000000000004">
      <c r="A11004" s="18">
        <v>24.8153732</v>
      </c>
      <c r="B11004" s="18">
        <v>34.834054100000003</v>
      </c>
      <c r="C11004" s="18">
        <v>685370.12</v>
      </c>
      <c r="D11004" s="18">
        <v>2745750.01</v>
      </c>
      <c r="E11004" s="18">
        <v>280.37</v>
      </c>
      <c r="F11004" s="18">
        <v>41948.71</v>
      </c>
      <c r="G11004" s="18">
        <v>140850</v>
      </c>
      <c r="H11004" s="18">
        <f t="shared" si="252"/>
        <v>41918.71</v>
      </c>
    </row>
    <row r="11005" spans="1:8" s="10" customFormat="1" ht="19.5" customHeight="1" x14ac:dyDescent="0.55000000000000004">
      <c r="A11005" s="18">
        <v>24.815390799999999</v>
      </c>
      <c r="B11005" s="18">
        <v>34.834041599999999</v>
      </c>
      <c r="C11005" s="18">
        <v>685368.83</v>
      </c>
      <c r="D11005" s="18">
        <v>2745751.94</v>
      </c>
      <c r="E11005" s="18">
        <v>280.63</v>
      </c>
      <c r="F11005" s="18">
        <v>41948.79</v>
      </c>
      <c r="G11005" s="18">
        <v>140852</v>
      </c>
      <c r="H11005" s="18">
        <f t="shared" si="252"/>
        <v>41918.79</v>
      </c>
    </row>
    <row r="11006" spans="1:8" s="10" customFormat="1" ht="19.5" customHeight="1" x14ac:dyDescent="0.55000000000000004">
      <c r="A11006" s="18">
        <v>24.815402800000001</v>
      </c>
      <c r="B11006" s="18">
        <v>34.834024800000002</v>
      </c>
      <c r="C11006" s="18">
        <v>685367.12</v>
      </c>
      <c r="D11006" s="18">
        <v>2745753.25</v>
      </c>
      <c r="E11006" s="18">
        <v>280.91000000000003</v>
      </c>
      <c r="F11006" s="18">
        <v>41950.66</v>
      </c>
      <c r="G11006" s="18">
        <v>140854</v>
      </c>
      <c r="H11006" s="18">
        <f t="shared" si="252"/>
        <v>41920.660000000003</v>
      </c>
    </row>
    <row r="11007" spans="1:8" s="10" customFormat="1" ht="19.5" customHeight="1" x14ac:dyDescent="0.55000000000000004">
      <c r="A11007" s="18">
        <v>24.815413599999999</v>
      </c>
      <c r="B11007" s="18">
        <v>34.834009199999997</v>
      </c>
      <c r="C11007" s="18">
        <v>685365.52</v>
      </c>
      <c r="D11007" s="18">
        <v>2745754.42</v>
      </c>
      <c r="E11007" s="18">
        <v>280.75</v>
      </c>
      <c r="F11007" s="18">
        <v>41951.360000000001</v>
      </c>
      <c r="G11007" s="18">
        <v>140856</v>
      </c>
      <c r="H11007" s="18">
        <f t="shared" si="252"/>
        <v>41921.360000000001</v>
      </c>
    </row>
    <row r="11008" spans="1:8" s="10" customFormat="1" ht="19.5" customHeight="1" x14ac:dyDescent="0.55000000000000004">
      <c r="A11008" s="18">
        <v>24.815432900000001</v>
      </c>
      <c r="B11008" s="18">
        <v>34.8340046</v>
      </c>
      <c r="C11008" s="18">
        <v>685365.02</v>
      </c>
      <c r="D11008" s="18">
        <v>2745756.55</v>
      </c>
      <c r="E11008" s="18">
        <v>280.49</v>
      </c>
      <c r="F11008" s="18">
        <v>41950.07</v>
      </c>
      <c r="G11008" s="18">
        <v>140858</v>
      </c>
      <c r="H11008" s="18">
        <f t="shared" si="252"/>
        <v>41920.07</v>
      </c>
    </row>
    <row r="11009" spans="1:8" s="10" customFormat="1" ht="19.5" customHeight="1" x14ac:dyDescent="0.55000000000000004">
      <c r="A11009" s="18">
        <v>24.815456900000001</v>
      </c>
      <c r="B11009" s="18">
        <v>34.834004</v>
      </c>
      <c r="C11009" s="18">
        <v>685364.93</v>
      </c>
      <c r="D11009" s="18">
        <v>2745759.21</v>
      </c>
      <c r="E11009" s="18">
        <v>280.54000000000002</v>
      </c>
      <c r="F11009" s="18">
        <v>41949.22</v>
      </c>
      <c r="G11009" s="18">
        <v>140900</v>
      </c>
      <c r="H11009" s="18">
        <f t="shared" si="252"/>
        <v>41919.22</v>
      </c>
    </row>
    <row r="11010" spans="1:8" s="10" customFormat="1" ht="19.5" customHeight="1" x14ac:dyDescent="0.55000000000000004">
      <c r="A11010" s="18">
        <v>24.815474600000002</v>
      </c>
      <c r="B11010" s="18">
        <v>34.833994300000001</v>
      </c>
      <c r="C11010" s="18">
        <v>685363.92</v>
      </c>
      <c r="D11010" s="18">
        <v>2745761.15</v>
      </c>
      <c r="E11010" s="18">
        <v>280.91000000000003</v>
      </c>
      <c r="F11010" s="18">
        <v>41951.82</v>
      </c>
      <c r="G11010" s="18">
        <v>140902</v>
      </c>
      <c r="H11010" s="18">
        <f t="shared" si="252"/>
        <v>41921.82</v>
      </c>
    </row>
    <row r="11011" spans="1:8" s="10" customFormat="1" ht="19.5" customHeight="1" x14ac:dyDescent="0.55000000000000004">
      <c r="A11011" s="18">
        <v>24.815492200000001</v>
      </c>
      <c r="B11011" s="18">
        <v>34.833989299999999</v>
      </c>
      <c r="C11011" s="18">
        <v>685363.39</v>
      </c>
      <c r="D11011" s="18">
        <v>2745763.1</v>
      </c>
      <c r="E11011" s="18">
        <v>281.56</v>
      </c>
      <c r="F11011" s="18">
        <v>41952.87</v>
      </c>
      <c r="G11011" s="18">
        <v>140904</v>
      </c>
      <c r="H11011" s="18">
        <f t="shared" si="252"/>
        <v>41922.870000000003</v>
      </c>
    </row>
    <row r="11012" spans="1:8" s="10" customFormat="1" ht="19.5" customHeight="1" x14ac:dyDescent="0.55000000000000004">
      <c r="A11012" s="18">
        <v>24.815507700000001</v>
      </c>
      <c r="B11012" s="18">
        <v>34.833981799999997</v>
      </c>
      <c r="C11012" s="18">
        <v>685362.6</v>
      </c>
      <c r="D11012" s="18">
        <v>2745764.81</v>
      </c>
      <c r="E11012" s="18">
        <v>282.07</v>
      </c>
      <c r="F11012" s="18">
        <v>41951.98</v>
      </c>
      <c r="G11012" s="18">
        <v>140906</v>
      </c>
      <c r="H11012" s="18">
        <f t="shared" si="252"/>
        <v>41921.980000000003</v>
      </c>
    </row>
    <row r="11013" spans="1:8" s="10" customFormat="1" ht="19.5" customHeight="1" x14ac:dyDescent="0.55000000000000004">
      <c r="A11013" s="18">
        <v>24.815523299999999</v>
      </c>
      <c r="B11013" s="18">
        <v>34.8339742</v>
      </c>
      <c r="C11013" s="18">
        <v>685361.82</v>
      </c>
      <c r="D11013" s="18">
        <v>2745766.52</v>
      </c>
      <c r="E11013" s="18">
        <v>282.54000000000002</v>
      </c>
      <c r="F11013" s="18">
        <v>41951.75</v>
      </c>
      <c r="G11013" s="18">
        <v>140908</v>
      </c>
      <c r="H11013" s="18">
        <f t="shared" si="252"/>
        <v>41921.75</v>
      </c>
    </row>
    <row r="11014" spans="1:8" s="10" customFormat="1" ht="19.5" customHeight="1" x14ac:dyDescent="0.55000000000000004">
      <c r="A11014" s="18">
        <v>24.815538400000001</v>
      </c>
      <c r="B11014" s="18">
        <v>34.8339699</v>
      </c>
      <c r="C11014" s="18">
        <v>685361.36</v>
      </c>
      <c r="D11014" s="18">
        <v>2745768.2</v>
      </c>
      <c r="E11014" s="18">
        <v>283.08</v>
      </c>
      <c r="F11014" s="18">
        <v>41951.9</v>
      </c>
      <c r="G11014" s="18">
        <v>140910</v>
      </c>
      <c r="H11014" s="18">
        <f t="shared" si="252"/>
        <v>41921.9</v>
      </c>
    </row>
    <row r="11015" spans="1:8" s="10" customFormat="1" ht="19.5" customHeight="1" x14ac:dyDescent="0.55000000000000004">
      <c r="A11015" s="18">
        <v>24.8155535</v>
      </c>
      <c r="B11015" s="18">
        <v>34.833963599999997</v>
      </c>
      <c r="C11015" s="18">
        <v>685360.7</v>
      </c>
      <c r="D11015" s="18">
        <v>2745769.86</v>
      </c>
      <c r="E11015" s="18">
        <v>283.44</v>
      </c>
      <c r="F11015" s="18">
        <v>41951.66</v>
      </c>
      <c r="G11015" s="18">
        <v>140912</v>
      </c>
      <c r="H11015" s="18">
        <f t="shared" si="252"/>
        <v>41921.660000000003</v>
      </c>
    </row>
    <row r="11016" spans="1:8" s="10" customFormat="1" ht="19.5" customHeight="1" x14ac:dyDescent="0.55000000000000004">
      <c r="A11016" s="18">
        <v>24.815565899999999</v>
      </c>
      <c r="B11016" s="18">
        <v>34.8339541</v>
      </c>
      <c r="C11016" s="18">
        <v>685359.72</v>
      </c>
      <c r="D11016" s="18">
        <v>2745771.21</v>
      </c>
      <c r="E11016" s="18">
        <v>283.81</v>
      </c>
      <c r="F11016" s="18">
        <v>41951.44</v>
      </c>
      <c r="G11016" s="18">
        <v>140914</v>
      </c>
      <c r="H11016" s="18">
        <f t="shared" si="252"/>
        <v>41921.440000000002</v>
      </c>
    </row>
    <row r="11017" spans="1:8" s="10" customFormat="1" ht="19.5" customHeight="1" x14ac:dyDescent="0.55000000000000004">
      <c r="A11017" s="18">
        <v>24.815579199999998</v>
      </c>
      <c r="B11017" s="18">
        <v>34.833944899999999</v>
      </c>
      <c r="C11017" s="18">
        <v>685358.77</v>
      </c>
      <c r="D11017" s="18">
        <v>2745772.68</v>
      </c>
      <c r="E11017" s="18">
        <v>284.05</v>
      </c>
      <c r="F11017" s="18">
        <v>41952.81</v>
      </c>
      <c r="G11017" s="18">
        <v>140916</v>
      </c>
      <c r="H11017" s="18">
        <f t="shared" ref="H11017:H11038" si="253">SUM(F11017-30)</f>
        <v>41922.81</v>
      </c>
    </row>
    <row r="11018" spans="1:8" s="10" customFormat="1" ht="19.5" customHeight="1" x14ac:dyDescent="0.55000000000000004">
      <c r="A11018" s="18">
        <v>24.8155918</v>
      </c>
      <c r="B11018" s="18">
        <v>34.833929599999998</v>
      </c>
      <c r="C11018" s="18">
        <v>685357.2</v>
      </c>
      <c r="D11018" s="18">
        <v>2745774.06</v>
      </c>
      <c r="E11018" s="18">
        <v>284.29000000000002</v>
      </c>
      <c r="F11018" s="18">
        <v>41953.31</v>
      </c>
      <c r="G11018" s="18">
        <v>140918</v>
      </c>
      <c r="H11018" s="18">
        <f t="shared" si="253"/>
        <v>41923.31</v>
      </c>
    </row>
    <row r="11019" spans="1:8" s="10" customFormat="1" ht="19.5" customHeight="1" x14ac:dyDescent="0.55000000000000004">
      <c r="A11019" s="18">
        <v>24.815599800000001</v>
      </c>
      <c r="B11019" s="18">
        <v>34.833908299999997</v>
      </c>
      <c r="C11019" s="18">
        <v>685355.04</v>
      </c>
      <c r="D11019" s="18">
        <v>2745774.9</v>
      </c>
      <c r="E11019" s="18">
        <v>284.48</v>
      </c>
      <c r="F11019" s="18">
        <v>41950.1</v>
      </c>
      <c r="G11019" s="18">
        <v>140920</v>
      </c>
      <c r="H11019" s="18">
        <f t="shared" si="253"/>
        <v>41920.1</v>
      </c>
    </row>
    <row r="11020" spans="1:8" s="10" customFormat="1" ht="19.5" customHeight="1" x14ac:dyDescent="0.55000000000000004">
      <c r="A11020" s="18">
        <v>24.815603599999999</v>
      </c>
      <c r="B11020" s="18">
        <v>34.833887400000002</v>
      </c>
      <c r="C11020" s="18">
        <v>685352.92</v>
      </c>
      <c r="D11020" s="18">
        <v>2745775.3</v>
      </c>
      <c r="E11020" s="18">
        <v>284.75</v>
      </c>
      <c r="F11020" s="18">
        <v>41950.71</v>
      </c>
      <c r="G11020" s="18">
        <v>140922</v>
      </c>
      <c r="H11020" s="18">
        <f t="shared" si="253"/>
        <v>41920.71</v>
      </c>
    </row>
    <row r="11021" spans="1:8" s="10" customFormat="1" ht="19.5" customHeight="1" x14ac:dyDescent="0.55000000000000004">
      <c r="A11021" s="18">
        <v>24.815605600000001</v>
      </c>
      <c r="B11021" s="18">
        <v>34.833864499999997</v>
      </c>
      <c r="C11021" s="18">
        <v>685350.6</v>
      </c>
      <c r="D11021" s="18">
        <v>2745775.49</v>
      </c>
      <c r="E11021" s="18">
        <v>284.63</v>
      </c>
      <c r="F11021" s="18">
        <v>41950.82</v>
      </c>
      <c r="G11021" s="18">
        <v>140924</v>
      </c>
      <c r="H11021" s="18">
        <f t="shared" si="253"/>
        <v>41920.82</v>
      </c>
    </row>
    <row r="11022" spans="1:8" s="10" customFormat="1" ht="19.5" customHeight="1" x14ac:dyDescent="0.55000000000000004">
      <c r="A11022" s="18">
        <v>24.815611000000001</v>
      </c>
      <c r="B11022" s="18">
        <v>34.833840700000003</v>
      </c>
      <c r="C11022" s="18">
        <v>685348.19</v>
      </c>
      <c r="D11022" s="18">
        <v>2745776.06</v>
      </c>
      <c r="E11022" s="18">
        <v>284.62</v>
      </c>
      <c r="F11022" s="18">
        <v>41950.78</v>
      </c>
      <c r="G11022" s="18">
        <v>140926</v>
      </c>
      <c r="H11022" s="18">
        <f t="shared" si="253"/>
        <v>41920.78</v>
      </c>
    </row>
    <row r="11023" spans="1:8" s="10" customFormat="1" ht="19.5" customHeight="1" x14ac:dyDescent="0.55000000000000004">
      <c r="A11023" s="18">
        <v>24.815624799999998</v>
      </c>
      <c r="B11023" s="18">
        <v>34.833825099999999</v>
      </c>
      <c r="C11023" s="18">
        <v>685346.59</v>
      </c>
      <c r="D11023" s="18">
        <v>2745777.56</v>
      </c>
      <c r="E11023" s="18">
        <v>284.79000000000002</v>
      </c>
      <c r="F11023" s="18">
        <v>41949.919999999998</v>
      </c>
      <c r="G11023" s="18">
        <v>140928</v>
      </c>
      <c r="H11023" s="18">
        <f t="shared" si="253"/>
        <v>41919.919999999998</v>
      </c>
    </row>
    <row r="11024" spans="1:8" s="10" customFormat="1" ht="19.5" customHeight="1" x14ac:dyDescent="0.55000000000000004">
      <c r="A11024" s="18">
        <v>24.8156389</v>
      </c>
      <c r="B11024" s="18">
        <v>34.833811500000003</v>
      </c>
      <c r="C11024" s="18">
        <v>685345.19</v>
      </c>
      <c r="D11024" s="18">
        <v>2745779.1</v>
      </c>
      <c r="E11024" s="18">
        <v>284.89999999999998</v>
      </c>
      <c r="F11024" s="18">
        <v>41950.59</v>
      </c>
      <c r="G11024" s="18">
        <v>140930</v>
      </c>
      <c r="H11024" s="18">
        <f t="shared" si="253"/>
        <v>41920.589999999997</v>
      </c>
    </row>
    <row r="11025" spans="1:8" s="10" customFormat="1" ht="19.5" customHeight="1" x14ac:dyDescent="0.55000000000000004">
      <c r="A11025" s="18">
        <v>24.815655199999998</v>
      </c>
      <c r="B11025" s="18">
        <v>34.833800099999998</v>
      </c>
      <c r="C11025" s="18">
        <v>685344.02</v>
      </c>
      <c r="D11025" s="18">
        <v>2745780.9</v>
      </c>
      <c r="E11025" s="18">
        <v>284.85000000000002</v>
      </c>
      <c r="F11025" s="18">
        <v>41949.68</v>
      </c>
      <c r="G11025" s="18">
        <v>140932</v>
      </c>
      <c r="H11025" s="18">
        <f t="shared" si="253"/>
        <v>41919.68</v>
      </c>
    </row>
    <row r="11026" spans="1:8" s="10" customFormat="1" ht="19.5" customHeight="1" x14ac:dyDescent="0.55000000000000004">
      <c r="A11026" s="18">
        <v>24.815670300000001</v>
      </c>
      <c r="B11026" s="18">
        <v>34.833786099999998</v>
      </c>
      <c r="C11026" s="18">
        <v>685342.58</v>
      </c>
      <c r="D11026" s="18">
        <v>2745782.55</v>
      </c>
      <c r="E11026" s="18">
        <v>284.85000000000002</v>
      </c>
      <c r="F11026" s="18">
        <v>41949.34</v>
      </c>
      <c r="G11026" s="18">
        <v>140934</v>
      </c>
      <c r="H11026" s="18">
        <f t="shared" si="253"/>
        <v>41919.339999999997</v>
      </c>
    </row>
    <row r="11027" spans="1:8" s="10" customFormat="1" ht="19.5" customHeight="1" x14ac:dyDescent="0.55000000000000004">
      <c r="A11027" s="18">
        <v>24.815683400000001</v>
      </c>
      <c r="B11027" s="18">
        <v>34.8337748</v>
      </c>
      <c r="C11027" s="18">
        <v>685341.42</v>
      </c>
      <c r="D11027" s="18">
        <v>2745783.99</v>
      </c>
      <c r="E11027" s="18">
        <v>284.89999999999998</v>
      </c>
      <c r="F11027" s="18">
        <v>41951</v>
      </c>
      <c r="G11027" s="18">
        <v>140936</v>
      </c>
      <c r="H11027" s="18">
        <f t="shared" si="253"/>
        <v>41921</v>
      </c>
    </row>
    <row r="11028" spans="1:8" s="10" customFormat="1" ht="19.5" customHeight="1" x14ac:dyDescent="0.55000000000000004">
      <c r="A11028" s="18">
        <v>24.8156955</v>
      </c>
      <c r="B11028" s="18">
        <v>34.833761299999999</v>
      </c>
      <c r="C11028" s="18">
        <v>685340.04</v>
      </c>
      <c r="D11028" s="18">
        <v>2745785.31</v>
      </c>
      <c r="E11028" s="18">
        <v>284.98</v>
      </c>
      <c r="F11028" s="18">
        <v>41950.63</v>
      </c>
      <c r="G11028" s="18">
        <v>140938</v>
      </c>
      <c r="H11028" s="18">
        <f t="shared" si="253"/>
        <v>41920.629999999997</v>
      </c>
    </row>
    <row r="11029" spans="1:8" s="10" customFormat="1" ht="19.5" customHeight="1" x14ac:dyDescent="0.55000000000000004">
      <c r="A11029" s="18">
        <v>24.8157061</v>
      </c>
      <c r="B11029" s="18">
        <v>34.833746599999998</v>
      </c>
      <c r="C11029" s="18">
        <v>685338.54</v>
      </c>
      <c r="D11029" s="18">
        <v>2745786.46</v>
      </c>
      <c r="E11029" s="18">
        <v>284.87</v>
      </c>
      <c r="F11029" s="18">
        <v>41950.39</v>
      </c>
      <c r="G11029" s="18">
        <v>140940</v>
      </c>
      <c r="H11029" s="18">
        <f t="shared" si="253"/>
        <v>41920.39</v>
      </c>
    </row>
    <row r="11030" spans="1:8" s="10" customFormat="1" ht="19.5" customHeight="1" x14ac:dyDescent="0.55000000000000004">
      <c r="A11030" s="18">
        <v>24.815713299999999</v>
      </c>
      <c r="B11030" s="18">
        <v>34.833727199999998</v>
      </c>
      <c r="C11030" s="18">
        <v>685336.57</v>
      </c>
      <c r="D11030" s="18">
        <v>2745787.23</v>
      </c>
      <c r="E11030" s="18">
        <v>284.76</v>
      </c>
      <c r="F11030" s="18">
        <v>41953.16</v>
      </c>
      <c r="G11030" s="18">
        <v>140942</v>
      </c>
      <c r="H11030" s="18">
        <f t="shared" si="253"/>
        <v>41923.160000000003</v>
      </c>
    </row>
    <row r="11031" spans="1:8" s="10" customFormat="1" ht="19.5" customHeight="1" x14ac:dyDescent="0.55000000000000004">
      <c r="A11031" s="18">
        <v>24.815719699999999</v>
      </c>
      <c r="B11031" s="18">
        <v>34.833708899999998</v>
      </c>
      <c r="C11031" s="18">
        <v>685334.7</v>
      </c>
      <c r="D11031" s="18">
        <v>2745787.92</v>
      </c>
      <c r="E11031" s="18">
        <v>284.58</v>
      </c>
      <c r="F11031" s="18">
        <v>41953.29</v>
      </c>
      <c r="G11031" s="18">
        <v>140944</v>
      </c>
      <c r="H11031" s="18">
        <f t="shared" si="253"/>
        <v>41923.29</v>
      </c>
    </row>
    <row r="11032" spans="1:8" s="10" customFormat="1" ht="19.5" customHeight="1" x14ac:dyDescent="0.55000000000000004">
      <c r="A11032" s="18">
        <v>24.8157268</v>
      </c>
      <c r="B11032" s="18">
        <v>34.833690900000001</v>
      </c>
      <c r="C11032" s="18">
        <v>685332.88</v>
      </c>
      <c r="D11032" s="18">
        <v>2745788.68</v>
      </c>
      <c r="E11032" s="18">
        <v>284.24</v>
      </c>
      <c r="F11032" s="18">
        <v>41951.5</v>
      </c>
      <c r="G11032" s="18">
        <v>140946</v>
      </c>
      <c r="H11032" s="18">
        <f t="shared" si="253"/>
        <v>41921.5</v>
      </c>
    </row>
    <row r="11033" spans="1:8" s="10" customFormat="1" ht="19.5" customHeight="1" x14ac:dyDescent="0.55000000000000004">
      <c r="A11033" s="18">
        <v>24.815732700000002</v>
      </c>
      <c r="B11033" s="18">
        <v>34.833672100000001</v>
      </c>
      <c r="C11033" s="18">
        <v>685330.97</v>
      </c>
      <c r="D11033" s="18">
        <v>2745789.31</v>
      </c>
      <c r="E11033" s="18">
        <v>283.97000000000003</v>
      </c>
      <c r="F11033" s="18">
        <v>41952.61</v>
      </c>
      <c r="G11033" s="18">
        <v>140948</v>
      </c>
      <c r="H11033" s="18">
        <f t="shared" si="253"/>
        <v>41922.61</v>
      </c>
    </row>
    <row r="11034" spans="1:8" s="10" customFormat="1" ht="19.5" customHeight="1" x14ac:dyDescent="0.55000000000000004">
      <c r="A11034" s="18">
        <v>24.815740600000002</v>
      </c>
      <c r="B11034" s="18">
        <v>34.833655800000003</v>
      </c>
      <c r="C11034" s="18">
        <v>685329.3</v>
      </c>
      <c r="D11034" s="18">
        <v>2745790.16</v>
      </c>
      <c r="E11034" s="18">
        <v>283.52999999999997</v>
      </c>
      <c r="F11034" s="18">
        <v>41951.75</v>
      </c>
      <c r="G11034" s="18">
        <v>140950</v>
      </c>
      <c r="H11034" s="18">
        <f t="shared" si="253"/>
        <v>41921.75</v>
      </c>
    </row>
    <row r="11035" spans="1:8" s="10" customFormat="1" ht="19.5" customHeight="1" x14ac:dyDescent="0.55000000000000004">
      <c r="A11035" s="18">
        <v>24.8157432</v>
      </c>
      <c r="B11035" s="18">
        <v>34.8336386</v>
      </c>
      <c r="C11035" s="18">
        <v>685327.56</v>
      </c>
      <c r="D11035" s="18">
        <v>2745790.42</v>
      </c>
      <c r="E11035" s="18">
        <v>283.13</v>
      </c>
      <c r="F11035" s="18">
        <v>41951.88</v>
      </c>
      <c r="G11035" s="18">
        <v>140952</v>
      </c>
      <c r="H11035" s="18">
        <f t="shared" si="253"/>
        <v>41921.879999999997</v>
      </c>
    </row>
    <row r="11036" spans="1:8" s="10" customFormat="1" ht="19.5" customHeight="1" x14ac:dyDescent="0.55000000000000004">
      <c r="A11036" s="18">
        <v>24.815743600000001</v>
      </c>
      <c r="B11036" s="18">
        <v>34.833618700000002</v>
      </c>
      <c r="C11036" s="18">
        <v>685325.55</v>
      </c>
      <c r="D11036" s="18">
        <v>2745790.45</v>
      </c>
      <c r="E11036" s="18">
        <v>282.72000000000003</v>
      </c>
      <c r="F11036" s="18">
        <v>41953.24</v>
      </c>
      <c r="G11036" s="18">
        <v>140954</v>
      </c>
      <c r="H11036" s="18">
        <f t="shared" si="253"/>
        <v>41923.24</v>
      </c>
    </row>
    <row r="11037" spans="1:8" s="10" customFormat="1" ht="19.5" customHeight="1" x14ac:dyDescent="0.55000000000000004">
      <c r="A11037" s="18">
        <v>24.815751899999999</v>
      </c>
      <c r="B11037" s="18">
        <v>34.833601799999997</v>
      </c>
      <c r="C11037" s="18">
        <v>685323.83</v>
      </c>
      <c r="D11037" s="18">
        <v>2745791.34</v>
      </c>
      <c r="E11037" s="18">
        <v>282.22000000000003</v>
      </c>
      <c r="F11037" s="18">
        <v>41951.9</v>
      </c>
      <c r="G11037" s="18">
        <v>140956</v>
      </c>
      <c r="H11037" s="18">
        <f t="shared" si="253"/>
        <v>41921.9</v>
      </c>
    </row>
    <row r="11038" spans="1:8" s="10" customFormat="1" ht="19.5" customHeight="1" x14ac:dyDescent="0.55000000000000004">
      <c r="A11038" s="18">
        <v>24.815765200000001</v>
      </c>
      <c r="B11038" s="18">
        <v>34.833590800000003</v>
      </c>
      <c r="C11038" s="18">
        <v>685322.7</v>
      </c>
      <c r="D11038" s="18">
        <v>2745792.8</v>
      </c>
      <c r="E11038" s="18">
        <v>281.64</v>
      </c>
      <c r="F11038" s="18">
        <v>41950.51</v>
      </c>
      <c r="G11038" s="18">
        <v>140958</v>
      </c>
      <c r="H11038" s="18">
        <f t="shared" si="253"/>
        <v>41920.51</v>
      </c>
    </row>
    <row r="11039" spans="1:8" s="10" customFormat="1" ht="19.5" customHeight="1" x14ac:dyDescent="0.55000000000000004">
      <c r="A11039" s="18">
        <v>24.815776400000001</v>
      </c>
      <c r="B11039" s="18">
        <v>34.833579</v>
      </c>
      <c r="C11039" s="18">
        <v>685321.49</v>
      </c>
      <c r="D11039" s="18">
        <v>2745794.02</v>
      </c>
      <c r="E11039" s="18">
        <v>281.27</v>
      </c>
      <c r="F11039" s="18">
        <v>41951.5</v>
      </c>
      <c r="G11039" s="18">
        <v>141000</v>
      </c>
      <c r="H11039" s="18">
        <f>SUM(F11039-33)</f>
        <v>41918.5</v>
      </c>
    </row>
    <row r="11040" spans="1:8" s="10" customFormat="1" ht="19.5" customHeight="1" x14ac:dyDescent="0.55000000000000004">
      <c r="A11040" s="18">
        <v>24.815786500000002</v>
      </c>
      <c r="B11040" s="18">
        <v>34.833564299999999</v>
      </c>
      <c r="C11040" s="18">
        <v>685319.99</v>
      </c>
      <c r="D11040" s="18">
        <v>2745795.12</v>
      </c>
      <c r="E11040" s="18">
        <v>280.74</v>
      </c>
      <c r="F11040" s="18">
        <v>41949.3</v>
      </c>
      <c r="G11040" s="18">
        <v>141002</v>
      </c>
      <c r="H11040" s="18">
        <f t="shared" ref="H11040:H11103" si="254">SUM(F11040-33)</f>
        <v>41916.300000000003</v>
      </c>
    </row>
    <row r="11041" spans="1:8" s="10" customFormat="1" ht="19.5" customHeight="1" x14ac:dyDescent="0.55000000000000004">
      <c r="A11041" s="18">
        <v>24.815792200000001</v>
      </c>
      <c r="B11041" s="18">
        <v>34.833548499999999</v>
      </c>
      <c r="C11041" s="18">
        <v>685318.38</v>
      </c>
      <c r="D11041" s="18">
        <v>2745795.73</v>
      </c>
      <c r="E11041" s="18">
        <v>280.3</v>
      </c>
      <c r="F11041" s="18">
        <v>41950.65</v>
      </c>
      <c r="G11041" s="18">
        <v>141004</v>
      </c>
      <c r="H11041" s="18">
        <f t="shared" si="254"/>
        <v>41917.65</v>
      </c>
    </row>
    <row r="11042" spans="1:8" s="10" customFormat="1" ht="19.5" customHeight="1" x14ac:dyDescent="0.55000000000000004">
      <c r="A11042" s="18">
        <v>24.8158013</v>
      </c>
      <c r="B11042" s="18">
        <v>34.833532699999999</v>
      </c>
      <c r="C11042" s="18">
        <v>685316.77</v>
      </c>
      <c r="D11042" s="18">
        <v>2745796.72</v>
      </c>
      <c r="E11042" s="18">
        <v>279.8</v>
      </c>
      <c r="F11042" s="18">
        <v>41949.75</v>
      </c>
      <c r="G11042" s="18">
        <v>141006</v>
      </c>
      <c r="H11042" s="18">
        <f t="shared" si="254"/>
        <v>41916.75</v>
      </c>
    </row>
    <row r="11043" spans="1:8" s="10" customFormat="1" ht="19.5" customHeight="1" x14ac:dyDescent="0.55000000000000004">
      <c r="A11043" s="18">
        <v>24.815808499999999</v>
      </c>
      <c r="B11043" s="18">
        <v>34.833515800000001</v>
      </c>
      <c r="C11043" s="18">
        <v>685315.05</v>
      </c>
      <c r="D11043" s="18">
        <v>2745797.49</v>
      </c>
      <c r="E11043" s="18">
        <v>279.32</v>
      </c>
      <c r="F11043" s="18">
        <v>41951.16</v>
      </c>
      <c r="G11043" s="18">
        <v>141008</v>
      </c>
      <c r="H11043" s="18">
        <f t="shared" si="254"/>
        <v>41918.160000000003</v>
      </c>
    </row>
    <row r="11044" spans="1:8" s="10" customFormat="1" ht="19.5" customHeight="1" x14ac:dyDescent="0.55000000000000004">
      <c r="A11044" s="18">
        <v>24.815815000000001</v>
      </c>
      <c r="B11044" s="18">
        <v>34.833499199999999</v>
      </c>
      <c r="C11044" s="18">
        <v>685313.36</v>
      </c>
      <c r="D11044" s="18">
        <v>2745798.19</v>
      </c>
      <c r="E11044" s="18">
        <v>278.83999999999997</v>
      </c>
      <c r="F11044" s="18">
        <v>41951.47</v>
      </c>
      <c r="G11044" s="18">
        <v>141010</v>
      </c>
      <c r="H11044" s="18">
        <f t="shared" si="254"/>
        <v>41918.47</v>
      </c>
    </row>
    <row r="11045" spans="1:8" s="10" customFormat="1" ht="19.5" customHeight="1" x14ac:dyDescent="0.55000000000000004">
      <c r="A11045" s="18">
        <v>24.815821799999998</v>
      </c>
      <c r="B11045" s="18">
        <v>34.833485400000001</v>
      </c>
      <c r="C11045" s="18">
        <v>685311.96</v>
      </c>
      <c r="D11045" s="18">
        <v>2745798.92</v>
      </c>
      <c r="E11045" s="18">
        <v>278.49</v>
      </c>
      <c r="F11045" s="18">
        <v>41952.639999999999</v>
      </c>
      <c r="G11045" s="18">
        <v>141012</v>
      </c>
      <c r="H11045" s="18">
        <f t="shared" si="254"/>
        <v>41919.64</v>
      </c>
    </row>
    <row r="11046" spans="1:8" s="10" customFormat="1" ht="19.5" customHeight="1" x14ac:dyDescent="0.55000000000000004">
      <c r="A11046" s="18">
        <v>24.815835499999999</v>
      </c>
      <c r="B11046" s="18">
        <v>34.833471899999999</v>
      </c>
      <c r="C11046" s="18">
        <v>685310.57</v>
      </c>
      <c r="D11046" s="18">
        <v>2745800.42</v>
      </c>
      <c r="E11046" s="18">
        <v>277.95999999999998</v>
      </c>
      <c r="F11046" s="18">
        <v>41947.96</v>
      </c>
      <c r="G11046" s="18">
        <v>141014</v>
      </c>
      <c r="H11046" s="18">
        <f t="shared" si="254"/>
        <v>41914.959999999999</v>
      </c>
    </row>
    <row r="11047" spans="1:8" s="10" customFormat="1" ht="19.5" customHeight="1" x14ac:dyDescent="0.55000000000000004">
      <c r="A11047" s="18">
        <v>24.815845599999999</v>
      </c>
      <c r="B11047" s="18">
        <v>34.833457699999997</v>
      </c>
      <c r="C11047" s="18">
        <v>685309.12</v>
      </c>
      <c r="D11047" s="18">
        <v>2745801.52</v>
      </c>
      <c r="E11047" s="18">
        <v>277.5</v>
      </c>
      <c r="F11047" s="18">
        <v>41948.54</v>
      </c>
      <c r="G11047" s="18">
        <v>141016</v>
      </c>
      <c r="H11047" s="18">
        <f t="shared" si="254"/>
        <v>41915.54</v>
      </c>
    </row>
    <row r="11048" spans="1:8" s="10" customFormat="1" ht="19.5" customHeight="1" x14ac:dyDescent="0.55000000000000004">
      <c r="A11048" s="18">
        <v>24.8158539</v>
      </c>
      <c r="B11048" s="18">
        <v>34.8334343</v>
      </c>
      <c r="C11048" s="18">
        <v>685306.74</v>
      </c>
      <c r="D11048" s="18">
        <v>2745802.41</v>
      </c>
      <c r="E11048" s="18">
        <v>277.2</v>
      </c>
      <c r="F11048" s="18">
        <v>41949.82</v>
      </c>
      <c r="G11048" s="18">
        <v>141018</v>
      </c>
      <c r="H11048" s="18">
        <f t="shared" si="254"/>
        <v>41916.82</v>
      </c>
    </row>
    <row r="11049" spans="1:8" s="10" customFormat="1" ht="19.5" customHeight="1" x14ac:dyDescent="0.55000000000000004">
      <c r="A11049" s="18">
        <v>24.815861200000001</v>
      </c>
      <c r="B11049" s="18">
        <v>34.833412000000003</v>
      </c>
      <c r="C11049" s="18">
        <v>685304.48</v>
      </c>
      <c r="D11049" s="18">
        <v>2745803.19</v>
      </c>
      <c r="E11049" s="18">
        <v>277.22000000000003</v>
      </c>
      <c r="F11049" s="18">
        <v>41950.73</v>
      </c>
      <c r="G11049" s="18">
        <v>141020</v>
      </c>
      <c r="H11049" s="18">
        <f t="shared" si="254"/>
        <v>41917.730000000003</v>
      </c>
    </row>
    <row r="11050" spans="1:8" s="10" customFormat="1" ht="19.5" customHeight="1" x14ac:dyDescent="0.55000000000000004">
      <c r="A11050" s="18">
        <v>24.815868399999999</v>
      </c>
      <c r="B11050" s="18">
        <v>34.833388900000003</v>
      </c>
      <c r="C11050" s="18">
        <v>685302.14</v>
      </c>
      <c r="D11050" s="18">
        <v>2745803.96</v>
      </c>
      <c r="E11050" s="18">
        <v>277.13</v>
      </c>
      <c r="F11050" s="18">
        <v>41952.25</v>
      </c>
      <c r="G11050" s="18">
        <v>141022</v>
      </c>
      <c r="H11050" s="18">
        <f t="shared" si="254"/>
        <v>41919.25</v>
      </c>
    </row>
    <row r="11051" spans="1:8" s="10" customFormat="1" ht="19.5" customHeight="1" x14ac:dyDescent="0.55000000000000004">
      <c r="A11051" s="18">
        <v>24.815877499999999</v>
      </c>
      <c r="B11051" s="18">
        <v>34.8333643</v>
      </c>
      <c r="C11051" s="18">
        <v>685299.63</v>
      </c>
      <c r="D11051" s="18">
        <v>2745804.93</v>
      </c>
      <c r="E11051" s="18">
        <v>277.16000000000003</v>
      </c>
      <c r="F11051" s="18">
        <v>41953.73</v>
      </c>
      <c r="G11051" s="18">
        <v>141024</v>
      </c>
      <c r="H11051" s="18">
        <f t="shared" si="254"/>
        <v>41920.730000000003</v>
      </c>
    </row>
    <row r="11052" spans="1:8" s="10" customFormat="1" ht="19.5" customHeight="1" x14ac:dyDescent="0.55000000000000004">
      <c r="A11052" s="18">
        <v>24.8158852</v>
      </c>
      <c r="B11052" s="18">
        <v>34.833342600000002</v>
      </c>
      <c r="C11052" s="18">
        <v>685297.42</v>
      </c>
      <c r="D11052" s="18">
        <v>2745805.75</v>
      </c>
      <c r="E11052" s="18">
        <v>277.25</v>
      </c>
      <c r="F11052" s="18">
        <v>41950.95</v>
      </c>
      <c r="G11052" s="18">
        <v>141026</v>
      </c>
      <c r="H11052" s="18">
        <f t="shared" si="254"/>
        <v>41917.949999999997</v>
      </c>
    </row>
    <row r="11053" spans="1:8" s="10" customFormat="1" ht="19.5" customHeight="1" x14ac:dyDescent="0.55000000000000004">
      <c r="A11053" s="18">
        <v>24.8158888</v>
      </c>
      <c r="B11053" s="18">
        <v>34.833319299999999</v>
      </c>
      <c r="C11053" s="18">
        <v>685295.06</v>
      </c>
      <c r="D11053" s="18">
        <v>2745806.12</v>
      </c>
      <c r="E11053" s="18">
        <v>277.29000000000002</v>
      </c>
      <c r="F11053" s="18">
        <v>41950.44</v>
      </c>
      <c r="G11053" s="18">
        <v>141028</v>
      </c>
      <c r="H11053" s="18">
        <f t="shared" si="254"/>
        <v>41917.440000000002</v>
      </c>
    </row>
    <row r="11054" spans="1:8" s="10" customFormat="1" ht="19.5" customHeight="1" x14ac:dyDescent="0.55000000000000004">
      <c r="A11054" s="18">
        <v>24.815894400000001</v>
      </c>
      <c r="B11054" s="18">
        <v>34.833295800000002</v>
      </c>
      <c r="C11054" s="18">
        <v>685292.68</v>
      </c>
      <c r="D11054" s="18">
        <v>2745806.71</v>
      </c>
      <c r="E11054" s="18">
        <v>277.29000000000002</v>
      </c>
      <c r="F11054" s="18">
        <v>41952.56</v>
      </c>
      <c r="G11054" s="18">
        <v>141030</v>
      </c>
      <c r="H11054" s="18">
        <f t="shared" si="254"/>
        <v>41919.56</v>
      </c>
    </row>
    <row r="11055" spans="1:8" s="10" customFormat="1" ht="19.5" customHeight="1" x14ac:dyDescent="0.55000000000000004">
      <c r="A11055" s="18">
        <v>24.815910200000001</v>
      </c>
      <c r="B11055" s="18">
        <v>34.833280999999999</v>
      </c>
      <c r="C11055" s="18">
        <v>685291.17</v>
      </c>
      <c r="D11055" s="18">
        <v>2745808.44</v>
      </c>
      <c r="E11055" s="18">
        <v>277.29000000000002</v>
      </c>
      <c r="F11055" s="18">
        <v>41949.87</v>
      </c>
      <c r="G11055" s="18">
        <v>141032</v>
      </c>
      <c r="H11055" s="18">
        <f t="shared" si="254"/>
        <v>41916.870000000003</v>
      </c>
    </row>
    <row r="11056" spans="1:8" s="10" customFormat="1" ht="19.5" customHeight="1" x14ac:dyDescent="0.55000000000000004">
      <c r="A11056" s="18">
        <v>24.815918400000001</v>
      </c>
      <c r="B11056" s="18">
        <v>34.8332622</v>
      </c>
      <c r="C11056" s="18">
        <v>685289.25</v>
      </c>
      <c r="D11056" s="18">
        <v>2745809.32</v>
      </c>
      <c r="E11056" s="18">
        <v>277.36</v>
      </c>
      <c r="F11056" s="18">
        <v>41950.65</v>
      </c>
      <c r="G11056" s="18">
        <v>141034</v>
      </c>
      <c r="H11056" s="18">
        <f t="shared" si="254"/>
        <v>41917.65</v>
      </c>
    </row>
    <row r="11057" spans="1:8" s="10" customFormat="1" ht="19.5" customHeight="1" x14ac:dyDescent="0.55000000000000004">
      <c r="A11057" s="18">
        <v>24.815920899999998</v>
      </c>
      <c r="B11057" s="18">
        <v>34.833241700000002</v>
      </c>
      <c r="C11057" s="18">
        <v>685287.17</v>
      </c>
      <c r="D11057" s="18">
        <v>2745809.57</v>
      </c>
      <c r="E11057" s="18">
        <v>277.39999999999998</v>
      </c>
      <c r="F11057" s="18">
        <v>41952.29</v>
      </c>
      <c r="G11057" s="18">
        <v>141036</v>
      </c>
      <c r="H11057" s="18">
        <f t="shared" si="254"/>
        <v>41919.29</v>
      </c>
    </row>
    <row r="11058" spans="1:8" s="10" customFormat="1" ht="19.5" customHeight="1" x14ac:dyDescent="0.55000000000000004">
      <c r="A11058" s="18">
        <v>24.815925700000001</v>
      </c>
      <c r="B11058" s="18">
        <v>34.833218700000003</v>
      </c>
      <c r="C11058" s="18">
        <v>685284.84</v>
      </c>
      <c r="D11058" s="18">
        <v>2745810.07</v>
      </c>
      <c r="E11058" s="18">
        <v>277.37</v>
      </c>
      <c r="F11058" s="18">
        <v>41952.01</v>
      </c>
      <c r="G11058" s="18">
        <v>141038</v>
      </c>
      <c r="H11058" s="18">
        <f t="shared" si="254"/>
        <v>41919.01</v>
      </c>
    </row>
    <row r="11059" spans="1:8" s="10" customFormat="1" ht="19.5" customHeight="1" x14ac:dyDescent="0.55000000000000004">
      <c r="A11059" s="18">
        <v>24.815938899999999</v>
      </c>
      <c r="B11059" s="18">
        <v>34.833197200000001</v>
      </c>
      <c r="C11059" s="18">
        <v>685282.65</v>
      </c>
      <c r="D11059" s="18">
        <v>2745811.51</v>
      </c>
      <c r="E11059" s="18">
        <v>277.35000000000002</v>
      </c>
      <c r="F11059" s="18">
        <v>41950.48</v>
      </c>
      <c r="G11059" s="18">
        <v>141040</v>
      </c>
      <c r="H11059" s="18">
        <f t="shared" si="254"/>
        <v>41917.480000000003</v>
      </c>
    </row>
    <row r="11060" spans="1:8" s="10" customFormat="1" ht="19.5" customHeight="1" x14ac:dyDescent="0.55000000000000004">
      <c r="A11060" s="18">
        <v>24.815947999999999</v>
      </c>
      <c r="B11060" s="18">
        <v>34.833175300000001</v>
      </c>
      <c r="C11060" s="18">
        <v>685280.42</v>
      </c>
      <c r="D11060" s="18">
        <v>2745812.48</v>
      </c>
      <c r="E11060" s="18">
        <v>277.31</v>
      </c>
      <c r="F11060" s="18">
        <v>41951.7</v>
      </c>
      <c r="G11060" s="18">
        <v>141042</v>
      </c>
      <c r="H11060" s="18">
        <f t="shared" si="254"/>
        <v>41918.699999999997</v>
      </c>
    </row>
    <row r="11061" spans="1:8" s="10" customFormat="1" ht="19.5" customHeight="1" x14ac:dyDescent="0.55000000000000004">
      <c r="A11061" s="18">
        <v>24.8159578</v>
      </c>
      <c r="B11061" s="18">
        <v>34.833149900000002</v>
      </c>
      <c r="C11061" s="18">
        <v>685277.84</v>
      </c>
      <c r="D11061" s="18">
        <v>2745813.53</v>
      </c>
      <c r="E11061" s="18">
        <v>277.31</v>
      </c>
      <c r="F11061" s="18">
        <v>41951.040000000001</v>
      </c>
      <c r="G11061" s="18">
        <v>141044</v>
      </c>
      <c r="H11061" s="18">
        <f t="shared" si="254"/>
        <v>41918.04</v>
      </c>
    </row>
    <row r="11062" spans="1:8" s="10" customFormat="1" ht="19.5" customHeight="1" x14ac:dyDescent="0.55000000000000004">
      <c r="A11062" s="18">
        <v>24.815965599999998</v>
      </c>
      <c r="B11062" s="18">
        <v>34.833127900000001</v>
      </c>
      <c r="C11062" s="18">
        <v>685275.61</v>
      </c>
      <c r="D11062" s="18">
        <v>2745814.36</v>
      </c>
      <c r="E11062" s="18">
        <v>277.52</v>
      </c>
      <c r="F11062" s="18">
        <v>41951.13</v>
      </c>
      <c r="G11062" s="18">
        <v>141046</v>
      </c>
      <c r="H11062" s="18">
        <f t="shared" si="254"/>
        <v>41918.129999999997</v>
      </c>
    </row>
    <row r="11063" spans="1:8" s="10" customFormat="1" ht="19.5" customHeight="1" x14ac:dyDescent="0.55000000000000004">
      <c r="A11063" s="18">
        <v>24.815972299999999</v>
      </c>
      <c r="B11063" s="18">
        <v>34.833106399999998</v>
      </c>
      <c r="C11063" s="18">
        <v>685273.42</v>
      </c>
      <c r="D11063" s="18">
        <v>2745815.08</v>
      </c>
      <c r="E11063" s="18">
        <v>277.58999999999997</v>
      </c>
      <c r="F11063" s="18">
        <v>41950.79</v>
      </c>
      <c r="G11063" s="18">
        <v>141048</v>
      </c>
      <c r="H11063" s="18">
        <f t="shared" si="254"/>
        <v>41917.79</v>
      </c>
    </row>
    <row r="11064" spans="1:8" s="10" customFormat="1" ht="19.5" customHeight="1" x14ac:dyDescent="0.55000000000000004">
      <c r="A11064" s="18">
        <v>24.815982000000002</v>
      </c>
      <c r="B11064" s="18">
        <v>34.833084999999997</v>
      </c>
      <c r="C11064" s="18">
        <v>685271.25</v>
      </c>
      <c r="D11064" s="18">
        <v>2745816.13</v>
      </c>
      <c r="E11064" s="18">
        <v>277.64999999999998</v>
      </c>
      <c r="F11064" s="18">
        <v>41951.26</v>
      </c>
      <c r="G11064" s="18">
        <v>141050</v>
      </c>
      <c r="H11064" s="18">
        <f t="shared" si="254"/>
        <v>41918.26</v>
      </c>
    </row>
    <row r="11065" spans="1:8" s="10" customFormat="1" ht="19.5" customHeight="1" x14ac:dyDescent="0.55000000000000004">
      <c r="A11065" s="18">
        <v>24.815989900000002</v>
      </c>
      <c r="B11065" s="18">
        <v>34.833062300000002</v>
      </c>
      <c r="C11065" s="18">
        <v>685268.94</v>
      </c>
      <c r="D11065" s="18">
        <v>2745816.96</v>
      </c>
      <c r="E11065" s="18">
        <v>277.7</v>
      </c>
      <c r="F11065" s="18">
        <v>41952.29</v>
      </c>
      <c r="G11065" s="18">
        <v>141052</v>
      </c>
      <c r="H11065" s="18">
        <f t="shared" si="254"/>
        <v>41919.29</v>
      </c>
    </row>
    <row r="11066" spans="1:8" s="10" customFormat="1" ht="19.5" customHeight="1" x14ac:dyDescent="0.55000000000000004">
      <c r="A11066" s="18">
        <v>24.815998799999999</v>
      </c>
      <c r="B11066" s="18">
        <v>34.833041299999998</v>
      </c>
      <c r="C11066" s="18">
        <v>685266.8</v>
      </c>
      <c r="D11066" s="18">
        <v>2745817.92</v>
      </c>
      <c r="E11066" s="18">
        <v>277.60000000000002</v>
      </c>
      <c r="F11066" s="18">
        <v>41952.86</v>
      </c>
      <c r="G11066" s="18">
        <v>141054</v>
      </c>
      <c r="H11066" s="18">
        <f t="shared" si="254"/>
        <v>41919.86</v>
      </c>
    </row>
    <row r="11067" spans="1:8" s="10" customFormat="1" ht="19.5" customHeight="1" x14ac:dyDescent="0.55000000000000004">
      <c r="A11067" s="18">
        <v>24.816005400000002</v>
      </c>
      <c r="B11067" s="18">
        <v>34.8330214</v>
      </c>
      <c r="C11067" s="18">
        <v>685264.78</v>
      </c>
      <c r="D11067" s="18">
        <v>2745818.63</v>
      </c>
      <c r="E11067" s="18">
        <v>277.87</v>
      </c>
      <c r="F11067" s="18">
        <v>41952.77</v>
      </c>
      <c r="G11067" s="18">
        <v>141056</v>
      </c>
      <c r="H11067" s="18">
        <f t="shared" si="254"/>
        <v>41919.769999999997</v>
      </c>
    </row>
    <row r="11068" spans="1:8" s="10" customFormat="1" ht="19.5" customHeight="1" x14ac:dyDescent="0.55000000000000004">
      <c r="A11068" s="18">
        <v>24.816013600000002</v>
      </c>
      <c r="B11068" s="18">
        <v>34.832998699999997</v>
      </c>
      <c r="C11068" s="18">
        <v>685262.47</v>
      </c>
      <c r="D11068" s="18">
        <v>2745819.51</v>
      </c>
      <c r="E11068" s="18">
        <v>277.95</v>
      </c>
      <c r="F11068" s="18">
        <v>41952.74</v>
      </c>
      <c r="G11068" s="18">
        <v>141058</v>
      </c>
      <c r="H11068" s="18">
        <f t="shared" si="254"/>
        <v>41919.74</v>
      </c>
    </row>
    <row r="11069" spans="1:8" s="10" customFormat="1" ht="19.5" customHeight="1" x14ac:dyDescent="0.55000000000000004">
      <c r="A11069" s="18">
        <v>24.8160217</v>
      </c>
      <c r="B11069" s="18">
        <v>34.832976600000002</v>
      </c>
      <c r="C11069" s="18">
        <v>685260.22</v>
      </c>
      <c r="D11069" s="18">
        <v>2745820.38</v>
      </c>
      <c r="E11069" s="18">
        <v>278.05</v>
      </c>
      <c r="F11069" s="18">
        <v>41954.29</v>
      </c>
      <c r="G11069" s="18">
        <v>141100</v>
      </c>
      <c r="H11069" s="18">
        <f t="shared" si="254"/>
        <v>41921.29</v>
      </c>
    </row>
    <row r="11070" spans="1:8" s="10" customFormat="1" ht="19.5" customHeight="1" x14ac:dyDescent="0.55000000000000004">
      <c r="A11070" s="18">
        <v>24.816034299999998</v>
      </c>
      <c r="B11070" s="18">
        <v>34.832954899999997</v>
      </c>
      <c r="C11070" s="18">
        <v>685258.01</v>
      </c>
      <c r="D11070" s="18">
        <v>2745821.74</v>
      </c>
      <c r="E11070" s="18">
        <v>278.08999999999997</v>
      </c>
      <c r="F11070" s="18">
        <v>41951.93</v>
      </c>
      <c r="G11070" s="18">
        <v>141102</v>
      </c>
      <c r="H11070" s="18">
        <f t="shared" si="254"/>
        <v>41918.93</v>
      </c>
    </row>
    <row r="11071" spans="1:8" s="10" customFormat="1" ht="19.5" customHeight="1" x14ac:dyDescent="0.55000000000000004">
      <c r="A11071" s="18">
        <v>24.816043700000002</v>
      </c>
      <c r="B11071" s="18">
        <v>34.832932700000001</v>
      </c>
      <c r="C11071" s="18">
        <v>685255.75</v>
      </c>
      <c r="D11071" s="18">
        <v>2745822.75</v>
      </c>
      <c r="E11071" s="18">
        <v>278.20999999999998</v>
      </c>
      <c r="F11071" s="18">
        <v>41951.66</v>
      </c>
      <c r="G11071" s="18">
        <v>141104</v>
      </c>
      <c r="H11071" s="18">
        <f t="shared" si="254"/>
        <v>41918.660000000003</v>
      </c>
    </row>
    <row r="11072" spans="1:8" s="10" customFormat="1" ht="19.5" customHeight="1" x14ac:dyDescent="0.55000000000000004">
      <c r="A11072" s="18">
        <v>24.816057499999999</v>
      </c>
      <c r="B11072" s="18">
        <v>34.832912499999999</v>
      </c>
      <c r="C11072" s="18">
        <v>685253.69</v>
      </c>
      <c r="D11072" s="18">
        <v>2745824.25</v>
      </c>
      <c r="E11072" s="18">
        <v>278.32</v>
      </c>
      <c r="F11072" s="18">
        <v>41949.7</v>
      </c>
      <c r="G11072" s="18">
        <v>141106</v>
      </c>
      <c r="H11072" s="18">
        <f t="shared" si="254"/>
        <v>41916.699999999997</v>
      </c>
    </row>
    <row r="11073" spans="1:8" s="10" customFormat="1" ht="19.5" customHeight="1" x14ac:dyDescent="0.55000000000000004">
      <c r="A11073" s="18">
        <v>24.8160679</v>
      </c>
      <c r="B11073" s="18">
        <v>34.8328913</v>
      </c>
      <c r="C11073" s="18">
        <v>685251.53</v>
      </c>
      <c r="D11073" s="18">
        <v>2745825.38</v>
      </c>
      <c r="E11073" s="18">
        <v>278.39</v>
      </c>
      <c r="F11073" s="18">
        <v>41950.37</v>
      </c>
      <c r="G11073" s="18">
        <v>141108</v>
      </c>
      <c r="H11073" s="18">
        <f t="shared" si="254"/>
        <v>41917.370000000003</v>
      </c>
    </row>
    <row r="11074" spans="1:8" s="10" customFormat="1" ht="19.5" customHeight="1" x14ac:dyDescent="0.55000000000000004">
      <c r="A11074" s="18">
        <v>24.8160761</v>
      </c>
      <c r="B11074" s="18">
        <v>34.832872799999997</v>
      </c>
      <c r="C11074" s="18">
        <v>685249.65</v>
      </c>
      <c r="D11074" s="18">
        <v>2745826.26</v>
      </c>
      <c r="E11074" s="18">
        <v>278.16000000000003</v>
      </c>
      <c r="F11074" s="18">
        <v>41947.97</v>
      </c>
      <c r="G11074" s="18">
        <v>141110</v>
      </c>
      <c r="H11074" s="18">
        <f t="shared" si="254"/>
        <v>41914.97</v>
      </c>
    </row>
    <row r="11075" spans="1:8" s="10" customFormat="1" ht="19.5" customHeight="1" x14ac:dyDescent="0.55000000000000004">
      <c r="A11075" s="18">
        <v>24.816085300000001</v>
      </c>
      <c r="B11075" s="18">
        <v>34.832857099999998</v>
      </c>
      <c r="C11075" s="18">
        <v>685248.05</v>
      </c>
      <c r="D11075" s="18">
        <v>2745827.26</v>
      </c>
      <c r="E11075" s="18">
        <v>278.25</v>
      </c>
      <c r="F11075" s="18">
        <v>41950.41</v>
      </c>
      <c r="G11075" s="18">
        <v>141112</v>
      </c>
      <c r="H11075" s="18">
        <f t="shared" si="254"/>
        <v>41917.410000000003</v>
      </c>
    </row>
    <row r="11076" spans="1:8" s="10" customFormat="1" ht="19.5" customHeight="1" x14ac:dyDescent="0.55000000000000004">
      <c r="A11076" s="18">
        <v>24.816088199999999</v>
      </c>
      <c r="B11076" s="18">
        <v>34.832837300000001</v>
      </c>
      <c r="C11076" s="18">
        <v>685246.05</v>
      </c>
      <c r="D11076" s="18">
        <v>2745827.55</v>
      </c>
      <c r="E11076" s="18">
        <v>278.39999999999998</v>
      </c>
      <c r="F11076" s="18">
        <v>41949.61</v>
      </c>
      <c r="G11076" s="18">
        <v>141114</v>
      </c>
      <c r="H11076" s="18">
        <f t="shared" si="254"/>
        <v>41916.61</v>
      </c>
    </row>
    <row r="11077" spans="1:8" s="10" customFormat="1" ht="19.5" customHeight="1" x14ac:dyDescent="0.55000000000000004">
      <c r="A11077" s="18">
        <v>24.8160852</v>
      </c>
      <c r="B11077" s="18">
        <v>34.832814399999997</v>
      </c>
      <c r="C11077" s="18">
        <v>685243.74</v>
      </c>
      <c r="D11077" s="18">
        <v>2745827.19</v>
      </c>
      <c r="E11077" s="18">
        <v>278.48</v>
      </c>
      <c r="F11077" s="18">
        <v>41952.57</v>
      </c>
      <c r="G11077" s="18">
        <v>141116</v>
      </c>
      <c r="H11077" s="18">
        <f t="shared" si="254"/>
        <v>41919.57</v>
      </c>
    </row>
    <row r="11078" spans="1:8" s="10" customFormat="1" ht="19.5" customHeight="1" x14ac:dyDescent="0.55000000000000004">
      <c r="A11078" s="18">
        <v>24.816087199999998</v>
      </c>
      <c r="B11078" s="18">
        <v>34.832790600000003</v>
      </c>
      <c r="C11078" s="18">
        <v>685241.32</v>
      </c>
      <c r="D11078" s="18">
        <v>2745827.38</v>
      </c>
      <c r="E11078" s="18">
        <v>278.57</v>
      </c>
      <c r="F11078" s="18">
        <v>41952.25</v>
      </c>
      <c r="G11078" s="18">
        <v>141118</v>
      </c>
      <c r="H11078" s="18">
        <f t="shared" si="254"/>
        <v>41919.25</v>
      </c>
    </row>
    <row r="11079" spans="1:8" s="10" customFormat="1" ht="19.5" customHeight="1" x14ac:dyDescent="0.55000000000000004">
      <c r="A11079" s="18">
        <v>24.816089999999999</v>
      </c>
      <c r="B11079" s="18">
        <v>34.832765999999999</v>
      </c>
      <c r="C11079" s="18">
        <v>685238.84</v>
      </c>
      <c r="D11079" s="18">
        <v>2745827.65</v>
      </c>
      <c r="E11079" s="18">
        <v>278.52</v>
      </c>
      <c r="F11079" s="18">
        <v>41952.33</v>
      </c>
      <c r="G11079" s="18">
        <v>141120</v>
      </c>
      <c r="H11079" s="18">
        <f t="shared" si="254"/>
        <v>41919.33</v>
      </c>
    </row>
    <row r="11080" spans="1:8" s="10" customFormat="1" ht="19.5" customHeight="1" x14ac:dyDescent="0.55000000000000004">
      <c r="A11080" s="18">
        <v>24.816095900000001</v>
      </c>
      <c r="B11080" s="18">
        <v>34.832743600000001</v>
      </c>
      <c r="C11080" s="18">
        <v>685236.56</v>
      </c>
      <c r="D11080" s="18">
        <v>2745828.27</v>
      </c>
      <c r="E11080" s="18">
        <v>278.64</v>
      </c>
      <c r="F11080" s="18">
        <v>41951.41</v>
      </c>
      <c r="G11080" s="18">
        <v>141122</v>
      </c>
      <c r="H11080" s="18">
        <f t="shared" si="254"/>
        <v>41918.410000000003</v>
      </c>
    </row>
    <row r="11081" spans="1:8" s="10" customFormat="1" ht="19.5" customHeight="1" x14ac:dyDescent="0.55000000000000004">
      <c r="A11081" s="18">
        <v>24.816108</v>
      </c>
      <c r="B11081" s="18">
        <v>34.832727400000003</v>
      </c>
      <c r="C11081" s="18">
        <v>685234.9</v>
      </c>
      <c r="D11081" s="18">
        <v>2745829.6</v>
      </c>
      <c r="E11081" s="18">
        <v>278.79000000000002</v>
      </c>
      <c r="F11081" s="18">
        <v>41952.33</v>
      </c>
      <c r="G11081" s="18">
        <v>141124</v>
      </c>
      <c r="H11081" s="18">
        <f t="shared" si="254"/>
        <v>41919.33</v>
      </c>
    </row>
    <row r="11082" spans="1:8" s="10" customFormat="1" ht="19.5" customHeight="1" x14ac:dyDescent="0.55000000000000004">
      <c r="A11082" s="18">
        <v>24.8161244</v>
      </c>
      <c r="B11082" s="18">
        <v>34.832712299999997</v>
      </c>
      <c r="C11082" s="18">
        <v>685233.35</v>
      </c>
      <c r="D11082" s="18">
        <v>2745831.4</v>
      </c>
      <c r="E11082" s="18">
        <v>278.75</v>
      </c>
      <c r="F11082" s="18">
        <v>41951.69</v>
      </c>
      <c r="G11082" s="18">
        <v>141126</v>
      </c>
      <c r="H11082" s="18">
        <f t="shared" si="254"/>
        <v>41918.69</v>
      </c>
    </row>
    <row r="11083" spans="1:8" s="10" customFormat="1" ht="19.5" customHeight="1" x14ac:dyDescent="0.55000000000000004">
      <c r="A11083" s="18">
        <v>24.816137999999999</v>
      </c>
      <c r="B11083" s="18">
        <v>34.832692899999998</v>
      </c>
      <c r="C11083" s="18">
        <v>685231.37</v>
      </c>
      <c r="D11083" s="18">
        <v>2745832.87</v>
      </c>
      <c r="E11083" s="18">
        <v>278.76</v>
      </c>
      <c r="F11083" s="18">
        <v>41951.38</v>
      </c>
      <c r="G11083" s="18">
        <v>141128</v>
      </c>
      <c r="H11083" s="18">
        <f t="shared" si="254"/>
        <v>41918.379999999997</v>
      </c>
    </row>
    <row r="11084" spans="1:8" s="10" customFormat="1" ht="19.5" customHeight="1" x14ac:dyDescent="0.55000000000000004">
      <c r="A11084" s="18">
        <v>24.8161466</v>
      </c>
      <c r="B11084" s="18">
        <v>34.832670999999998</v>
      </c>
      <c r="C11084" s="18">
        <v>685229.15</v>
      </c>
      <c r="D11084" s="18">
        <v>2745833.79</v>
      </c>
      <c r="E11084" s="18">
        <v>278.8</v>
      </c>
      <c r="F11084" s="18">
        <v>41952.9</v>
      </c>
      <c r="G11084" s="18">
        <v>141130</v>
      </c>
      <c r="H11084" s="18">
        <f t="shared" si="254"/>
        <v>41919.9</v>
      </c>
    </row>
    <row r="11085" spans="1:8" s="10" customFormat="1" ht="19.5" customHeight="1" x14ac:dyDescent="0.55000000000000004">
      <c r="A11085" s="18">
        <v>24.816160799999999</v>
      </c>
      <c r="B11085" s="18">
        <v>34.832655600000002</v>
      </c>
      <c r="C11085" s="18">
        <v>685227.56</v>
      </c>
      <c r="D11085" s="18">
        <v>2745835.35</v>
      </c>
      <c r="E11085" s="18">
        <v>279.02999999999997</v>
      </c>
      <c r="F11085" s="18">
        <v>41952.03</v>
      </c>
      <c r="G11085" s="18">
        <v>141132</v>
      </c>
      <c r="H11085" s="18">
        <f t="shared" si="254"/>
        <v>41919.03</v>
      </c>
    </row>
    <row r="11086" spans="1:8" s="10" customFormat="1" ht="19.5" customHeight="1" x14ac:dyDescent="0.55000000000000004">
      <c r="A11086" s="18">
        <v>24.8161682</v>
      </c>
      <c r="B11086" s="18">
        <v>34.832636299999997</v>
      </c>
      <c r="C11086" s="18">
        <v>685225.6</v>
      </c>
      <c r="D11086" s="18">
        <v>2745836.14</v>
      </c>
      <c r="E11086" s="18">
        <v>279.29000000000002</v>
      </c>
      <c r="F11086" s="18">
        <v>41954</v>
      </c>
      <c r="G11086" s="18">
        <v>141134</v>
      </c>
      <c r="H11086" s="18">
        <f t="shared" si="254"/>
        <v>41921</v>
      </c>
    </row>
    <row r="11087" spans="1:8" s="10" customFormat="1" ht="19.5" customHeight="1" x14ac:dyDescent="0.55000000000000004">
      <c r="A11087" s="18">
        <v>24.816178000000001</v>
      </c>
      <c r="B11087" s="18">
        <v>34.832615400000002</v>
      </c>
      <c r="C11087" s="18">
        <v>685223.48</v>
      </c>
      <c r="D11087" s="18">
        <v>2745837.19</v>
      </c>
      <c r="E11087" s="18">
        <v>279.26</v>
      </c>
      <c r="F11087" s="18">
        <v>41951.95</v>
      </c>
      <c r="G11087" s="18">
        <v>141136</v>
      </c>
      <c r="H11087" s="18">
        <f t="shared" si="254"/>
        <v>41918.949999999997</v>
      </c>
    </row>
    <row r="11088" spans="1:8" s="10" customFormat="1" ht="19.5" customHeight="1" x14ac:dyDescent="0.55000000000000004">
      <c r="A11088" s="18">
        <v>24.816185900000001</v>
      </c>
      <c r="B11088" s="18">
        <v>34.832593899999999</v>
      </c>
      <c r="C11088" s="18">
        <v>685221.3</v>
      </c>
      <c r="D11088" s="18">
        <v>2745838.04</v>
      </c>
      <c r="E11088" s="18">
        <v>279.36</v>
      </c>
      <c r="F11088" s="18">
        <v>41951.87</v>
      </c>
      <c r="G11088" s="18">
        <v>141138</v>
      </c>
      <c r="H11088" s="18">
        <f t="shared" si="254"/>
        <v>41918.870000000003</v>
      </c>
    </row>
    <row r="11089" spans="1:8" s="10" customFormat="1" ht="19.5" customHeight="1" x14ac:dyDescent="0.55000000000000004">
      <c r="A11089" s="18">
        <v>24.8161956</v>
      </c>
      <c r="B11089" s="18">
        <v>34.832574299999997</v>
      </c>
      <c r="C11089" s="18">
        <v>685219.3</v>
      </c>
      <c r="D11089" s="18">
        <v>2745839.09</v>
      </c>
      <c r="E11089" s="18">
        <v>279.38</v>
      </c>
      <c r="F11089" s="18">
        <v>41950.48</v>
      </c>
      <c r="G11089" s="18">
        <v>141140</v>
      </c>
      <c r="H11089" s="18">
        <f t="shared" si="254"/>
        <v>41917.480000000003</v>
      </c>
    </row>
    <row r="11090" spans="1:8" s="10" customFormat="1" ht="19.5" customHeight="1" x14ac:dyDescent="0.55000000000000004">
      <c r="A11090" s="18">
        <v>24.816202199999999</v>
      </c>
      <c r="B11090" s="18">
        <v>34.832554000000002</v>
      </c>
      <c r="C11090" s="18">
        <v>685217.23</v>
      </c>
      <c r="D11090" s="18">
        <v>2745839.79</v>
      </c>
      <c r="E11090" s="18">
        <v>279.43</v>
      </c>
      <c r="F11090" s="18">
        <v>41952.91</v>
      </c>
      <c r="G11090" s="18">
        <v>141142</v>
      </c>
      <c r="H11090" s="18">
        <f t="shared" si="254"/>
        <v>41919.910000000003</v>
      </c>
    </row>
    <row r="11091" spans="1:8" s="10" customFormat="1" ht="19.5" customHeight="1" x14ac:dyDescent="0.55000000000000004">
      <c r="A11091" s="18">
        <v>24.816209700000002</v>
      </c>
      <c r="B11091" s="18">
        <v>34.832532399999998</v>
      </c>
      <c r="C11091" s="18">
        <v>685215.04</v>
      </c>
      <c r="D11091" s="18">
        <v>2745840.59</v>
      </c>
      <c r="E11091" s="18">
        <v>279.35000000000002</v>
      </c>
      <c r="F11091" s="18">
        <v>41953.1</v>
      </c>
      <c r="G11091" s="18">
        <v>141144</v>
      </c>
      <c r="H11091" s="18">
        <f t="shared" si="254"/>
        <v>41920.1</v>
      </c>
    </row>
    <row r="11092" spans="1:8" s="10" customFormat="1" ht="19.5" customHeight="1" x14ac:dyDescent="0.55000000000000004">
      <c r="A11092" s="18">
        <v>24.816217000000002</v>
      </c>
      <c r="B11092" s="18">
        <v>34.832509999999999</v>
      </c>
      <c r="C11092" s="18">
        <v>685212.76</v>
      </c>
      <c r="D11092" s="18">
        <v>2745841.37</v>
      </c>
      <c r="E11092" s="18">
        <v>279.42</v>
      </c>
      <c r="F11092" s="18">
        <v>41951.18</v>
      </c>
      <c r="G11092" s="18">
        <v>141146</v>
      </c>
      <c r="H11092" s="18">
        <f t="shared" si="254"/>
        <v>41918.18</v>
      </c>
    </row>
    <row r="11093" spans="1:8" s="10" customFormat="1" ht="19.5" customHeight="1" x14ac:dyDescent="0.55000000000000004">
      <c r="A11093" s="18">
        <v>24.8162251</v>
      </c>
      <c r="B11093" s="18">
        <v>34.832487299999997</v>
      </c>
      <c r="C11093" s="18">
        <v>685210.46</v>
      </c>
      <c r="D11093" s="18">
        <v>2745842.24</v>
      </c>
      <c r="E11093" s="18">
        <v>279.52</v>
      </c>
      <c r="F11093" s="18">
        <v>41953.24</v>
      </c>
      <c r="G11093" s="18">
        <v>141148</v>
      </c>
      <c r="H11093" s="18">
        <f t="shared" si="254"/>
        <v>41920.239999999998</v>
      </c>
    </row>
    <row r="11094" spans="1:8" s="10" customFormat="1" ht="19.5" customHeight="1" x14ac:dyDescent="0.55000000000000004">
      <c r="A11094" s="18">
        <v>24.816231999999999</v>
      </c>
      <c r="B11094" s="18">
        <v>34.832464600000002</v>
      </c>
      <c r="C11094" s="18">
        <v>685208.15</v>
      </c>
      <c r="D11094" s="18">
        <v>2745842.97</v>
      </c>
      <c r="E11094" s="18">
        <v>279.64999999999998</v>
      </c>
      <c r="F11094" s="18">
        <v>41953.59</v>
      </c>
      <c r="G11094" s="18">
        <v>141150</v>
      </c>
      <c r="H11094" s="18">
        <f t="shared" si="254"/>
        <v>41920.589999999997</v>
      </c>
    </row>
    <row r="11095" spans="1:8" s="10" customFormat="1" ht="19.5" customHeight="1" x14ac:dyDescent="0.55000000000000004">
      <c r="A11095" s="18">
        <v>24.816239100000001</v>
      </c>
      <c r="B11095" s="18">
        <v>34.832441099999997</v>
      </c>
      <c r="C11095" s="18">
        <v>685205.77</v>
      </c>
      <c r="D11095" s="18">
        <v>2745843.72</v>
      </c>
      <c r="E11095" s="18">
        <v>279.76</v>
      </c>
      <c r="F11095" s="18">
        <v>41953.3</v>
      </c>
      <c r="G11095" s="18">
        <v>141152</v>
      </c>
      <c r="H11095" s="18">
        <f t="shared" si="254"/>
        <v>41920.300000000003</v>
      </c>
    </row>
    <row r="11096" spans="1:8" s="10" customFormat="1" ht="19.5" customHeight="1" x14ac:dyDescent="0.55000000000000004">
      <c r="A11096" s="18">
        <v>24.816247199999999</v>
      </c>
      <c r="B11096" s="18">
        <v>34.8324183</v>
      </c>
      <c r="C11096" s="18">
        <v>685203.45</v>
      </c>
      <c r="D11096" s="18">
        <v>2745844.59</v>
      </c>
      <c r="E11096" s="18">
        <v>279.73</v>
      </c>
      <c r="F11096" s="18">
        <v>41953.13</v>
      </c>
      <c r="G11096" s="18">
        <v>141154</v>
      </c>
      <c r="H11096" s="18">
        <f t="shared" si="254"/>
        <v>41920.129999999997</v>
      </c>
    </row>
    <row r="11097" spans="1:8" s="10" customFormat="1" ht="19.5" customHeight="1" x14ac:dyDescent="0.55000000000000004">
      <c r="A11097" s="18">
        <v>24.8162588</v>
      </c>
      <c r="B11097" s="18">
        <v>34.832396500000002</v>
      </c>
      <c r="C11097" s="18">
        <v>685201.23</v>
      </c>
      <c r="D11097" s="18">
        <v>2745845.84</v>
      </c>
      <c r="E11097" s="18">
        <v>279.87</v>
      </c>
      <c r="F11097" s="18">
        <v>41952.75</v>
      </c>
      <c r="G11097" s="18">
        <v>141156</v>
      </c>
      <c r="H11097" s="18">
        <f t="shared" si="254"/>
        <v>41919.75</v>
      </c>
    </row>
    <row r="11098" spans="1:8" s="10" customFormat="1" ht="19.5" customHeight="1" x14ac:dyDescent="0.55000000000000004">
      <c r="A11098" s="18">
        <v>24.816273500000001</v>
      </c>
      <c r="B11098" s="18">
        <v>34.832377399999999</v>
      </c>
      <c r="C11098" s="18">
        <v>685199.28</v>
      </c>
      <c r="D11098" s="18">
        <v>2745847.45</v>
      </c>
      <c r="E11098" s="18">
        <v>280</v>
      </c>
      <c r="F11098" s="18">
        <v>41952.9</v>
      </c>
      <c r="G11098" s="18">
        <v>141158</v>
      </c>
      <c r="H11098" s="18">
        <f t="shared" si="254"/>
        <v>41919.9</v>
      </c>
    </row>
    <row r="11099" spans="1:8" s="10" customFormat="1" ht="19.5" customHeight="1" x14ac:dyDescent="0.55000000000000004">
      <c r="A11099" s="18">
        <v>24.816288799999999</v>
      </c>
      <c r="B11099" s="18">
        <v>34.832358800000002</v>
      </c>
      <c r="C11099" s="18">
        <v>685197.37</v>
      </c>
      <c r="D11099" s="18">
        <v>2745849.12</v>
      </c>
      <c r="E11099" s="18">
        <v>280.06</v>
      </c>
      <c r="F11099" s="18">
        <v>41951.9</v>
      </c>
      <c r="G11099" s="18">
        <v>141200</v>
      </c>
      <c r="H11099" s="18">
        <f t="shared" si="254"/>
        <v>41918.9</v>
      </c>
    </row>
    <row r="11100" spans="1:8" s="10" customFormat="1" ht="19.5" customHeight="1" x14ac:dyDescent="0.55000000000000004">
      <c r="A11100" s="18">
        <v>24.816299999999998</v>
      </c>
      <c r="B11100" s="18">
        <v>34.8323362</v>
      </c>
      <c r="C11100" s="18">
        <v>685195.07</v>
      </c>
      <c r="D11100" s="18">
        <v>2745850.33</v>
      </c>
      <c r="E11100" s="18">
        <v>280.16000000000003</v>
      </c>
      <c r="F11100" s="18">
        <v>41953.53</v>
      </c>
      <c r="G11100" s="18">
        <v>141202</v>
      </c>
      <c r="H11100" s="18">
        <f t="shared" si="254"/>
        <v>41920.53</v>
      </c>
    </row>
    <row r="11101" spans="1:8" s="10" customFormat="1" ht="19.5" customHeight="1" x14ac:dyDescent="0.55000000000000004">
      <c r="A11101" s="18">
        <v>24.816311800000001</v>
      </c>
      <c r="B11101" s="18">
        <v>34.832313200000002</v>
      </c>
      <c r="C11101" s="18">
        <v>685192.73</v>
      </c>
      <c r="D11101" s="18">
        <v>2745851.61</v>
      </c>
      <c r="E11101" s="18">
        <v>280.24</v>
      </c>
      <c r="F11101" s="18">
        <v>41953.75</v>
      </c>
      <c r="G11101" s="18">
        <v>141204</v>
      </c>
      <c r="H11101" s="18">
        <f t="shared" si="254"/>
        <v>41920.75</v>
      </c>
    </row>
    <row r="11102" spans="1:8" s="10" customFormat="1" ht="19.5" customHeight="1" x14ac:dyDescent="0.55000000000000004">
      <c r="A11102" s="18">
        <v>24.816322799999998</v>
      </c>
      <c r="B11102" s="18">
        <v>34.832291900000001</v>
      </c>
      <c r="C11102" s="18">
        <v>685190.56</v>
      </c>
      <c r="D11102" s="18">
        <v>2745852.8</v>
      </c>
      <c r="E11102" s="18">
        <v>280.31</v>
      </c>
      <c r="F11102" s="18">
        <v>41953.81</v>
      </c>
      <c r="G11102" s="18">
        <v>141206</v>
      </c>
      <c r="H11102" s="18">
        <f t="shared" si="254"/>
        <v>41920.81</v>
      </c>
    </row>
    <row r="11103" spans="1:8" s="10" customFormat="1" ht="19.5" customHeight="1" x14ac:dyDescent="0.55000000000000004">
      <c r="A11103" s="18">
        <v>24.816334699999999</v>
      </c>
      <c r="B11103" s="18">
        <v>34.832271300000002</v>
      </c>
      <c r="C11103" s="18">
        <v>685188.46</v>
      </c>
      <c r="D11103" s="18">
        <v>2745854.08</v>
      </c>
      <c r="E11103" s="18">
        <v>280.49</v>
      </c>
      <c r="F11103" s="18">
        <v>41953.15</v>
      </c>
      <c r="G11103" s="18">
        <v>141208</v>
      </c>
      <c r="H11103" s="18">
        <f t="shared" si="254"/>
        <v>41920.15</v>
      </c>
    </row>
    <row r="11104" spans="1:8" s="10" customFormat="1" ht="19.5" customHeight="1" x14ac:dyDescent="0.55000000000000004">
      <c r="A11104" s="18">
        <v>24.816347799999999</v>
      </c>
      <c r="B11104" s="18">
        <v>34.832250999999999</v>
      </c>
      <c r="C11104" s="18">
        <v>685186.38</v>
      </c>
      <c r="D11104" s="18">
        <v>2745855.51</v>
      </c>
      <c r="E11104" s="18">
        <v>280.5</v>
      </c>
      <c r="F11104" s="18">
        <v>41952.56</v>
      </c>
      <c r="G11104" s="18">
        <v>141210</v>
      </c>
      <c r="H11104" s="18">
        <f t="shared" ref="H11104:H11167" si="255">SUM(F11104-33)</f>
        <v>41919.56</v>
      </c>
    </row>
    <row r="11105" spans="1:8" s="10" customFormat="1" ht="19.5" customHeight="1" x14ac:dyDescent="0.55000000000000004">
      <c r="A11105" s="18">
        <v>24.816361700000002</v>
      </c>
      <c r="B11105" s="18">
        <v>34.832230899999999</v>
      </c>
      <c r="C11105" s="18">
        <v>685184.34</v>
      </c>
      <c r="D11105" s="18">
        <v>2745857.02</v>
      </c>
      <c r="E11105" s="18">
        <v>280.64</v>
      </c>
      <c r="F11105" s="18">
        <v>41953.9</v>
      </c>
      <c r="G11105" s="18">
        <v>141212</v>
      </c>
      <c r="H11105" s="18">
        <f t="shared" si="255"/>
        <v>41920.9</v>
      </c>
    </row>
    <row r="11106" spans="1:8" s="10" customFormat="1" ht="19.5" customHeight="1" x14ac:dyDescent="0.55000000000000004">
      <c r="A11106" s="18">
        <v>24.8163722</v>
      </c>
      <c r="B11106" s="18">
        <v>34.832208399999999</v>
      </c>
      <c r="C11106" s="18">
        <v>685182.04</v>
      </c>
      <c r="D11106" s="18">
        <v>2745858.15</v>
      </c>
      <c r="E11106" s="18">
        <v>280.44</v>
      </c>
      <c r="F11106" s="18">
        <v>41953.23</v>
      </c>
      <c r="G11106" s="18">
        <v>141214</v>
      </c>
      <c r="H11106" s="18">
        <f t="shared" si="255"/>
        <v>41920.230000000003</v>
      </c>
    </row>
    <row r="11107" spans="1:8" s="10" customFormat="1" ht="19.5" customHeight="1" x14ac:dyDescent="0.55000000000000004">
      <c r="A11107" s="18">
        <v>24.816380500000001</v>
      </c>
      <c r="B11107" s="18">
        <v>34.832185600000003</v>
      </c>
      <c r="C11107" s="18">
        <v>685179.73</v>
      </c>
      <c r="D11107" s="18">
        <v>2745859.04</v>
      </c>
      <c r="E11107" s="18">
        <v>280.57</v>
      </c>
      <c r="F11107" s="18">
        <v>41953.15</v>
      </c>
      <c r="G11107" s="18">
        <v>141216</v>
      </c>
      <c r="H11107" s="18">
        <f t="shared" si="255"/>
        <v>41920.15</v>
      </c>
    </row>
    <row r="11108" spans="1:8" s="10" customFormat="1" ht="19.5" customHeight="1" x14ac:dyDescent="0.55000000000000004">
      <c r="A11108" s="18">
        <v>24.816387299999999</v>
      </c>
      <c r="B11108" s="18">
        <v>34.832161200000002</v>
      </c>
      <c r="C11108" s="18">
        <v>685177.25</v>
      </c>
      <c r="D11108" s="18">
        <v>2745859.76</v>
      </c>
      <c r="E11108" s="18">
        <v>280.58999999999997</v>
      </c>
      <c r="F11108" s="18">
        <v>41952.959999999999</v>
      </c>
      <c r="G11108" s="18">
        <v>141218</v>
      </c>
      <c r="H11108" s="18">
        <f t="shared" si="255"/>
        <v>41919.96</v>
      </c>
    </row>
    <row r="11109" spans="1:8" s="10" customFormat="1" ht="19.5" customHeight="1" x14ac:dyDescent="0.55000000000000004">
      <c r="A11109" s="18">
        <v>24.816393000000001</v>
      </c>
      <c r="B11109" s="18">
        <v>34.832137199999998</v>
      </c>
      <c r="C11109" s="18">
        <v>685174.81</v>
      </c>
      <c r="D11109" s="18">
        <v>2745860.36</v>
      </c>
      <c r="E11109" s="18">
        <v>280.68</v>
      </c>
      <c r="F11109" s="18">
        <v>41954.86</v>
      </c>
      <c r="G11109" s="18">
        <v>141220</v>
      </c>
      <c r="H11109" s="18">
        <f t="shared" si="255"/>
        <v>41921.86</v>
      </c>
    </row>
    <row r="11110" spans="1:8" s="10" customFormat="1" ht="19.5" customHeight="1" x14ac:dyDescent="0.55000000000000004">
      <c r="A11110" s="18">
        <v>24.816404599999998</v>
      </c>
      <c r="B11110" s="18">
        <v>34.832114199999999</v>
      </c>
      <c r="C11110" s="18">
        <v>685172.47</v>
      </c>
      <c r="D11110" s="18">
        <v>2745861.61</v>
      </c>
      <c r="E11110" s="18">
        <v>280.75</v>
      </c>
      <c r="F11110" s="18">
        <v>41954.12</v>
      </c>
      <c r="G11110" s="18">
        <v>141222</v>
      </c>
      <c r="H11110" s="18">
        <f t="shared" si="255"/>
        <v>41921.120000000003</v>
      </c>
    </row>
    <row r="11111" spans="1:8" s="10" customFormat="1" ht="19.5" customHeight="1" x14ac:dyDescent="0.55000000000000004">
      <c r="A11111" s="18">
        <v>24.8164099</v>
      </c>
      <c r="B11111" s="18">
        <v>34.832090100000002</v>
      </c>
      <c r="C11111" s="18">
        <v>685170.02</v>
      </c>
      <c r="D11111" s="18">
        <v>2745862.17</v>
      </c>
      <c r="E11111" s="18">
        <v>280.79000000000002</v>
      </c>
      <c r="F11111" s="18">
        <v>41954.91</v>
      </c>
      <c r="G11111" s="18">
        <v>141224</v>
      </c>
      <c r="H11111" s="18">
        <f t="shared" si="255"/>
        <v>41921.910000000003</v>
      </c>
    </row>
    <row r="11112" spans="1:8" s="10" customFormat="1" ht="19.5" customHeight="1" x14ac:dyDescent="0.55000000000000004">
      <c r="A11112" s="18">
        <v>24.816418800000001</v>
      </c>
      <c r="B11112" s="18">
        <v>34.832065700000001</v>
      </c>
      <c r="C11112" s="18">
        <v>685167.55</v>
      </c>
      <c r="D11112" s="18">
        <v>2745863.12</v>
      </c>
      <c r="E11112" s="18">
        <v>280.95</v>
      </c>
      <c r="F11112" s="18">
        <v>41954.63</v>
      </c>
      <c r="G11112" s="18">
        <v>141226</v>
      </c>
      <c r="H11112" s="18">
        <f t="shared" si="255"/>
        <v>41921.629999999997</v>
      </c>
    </row>
    <row r="11113" spans="1:8" s="10" customFormat="1" ht="19.5" customHeight="1" x14ac:dyDescent="0.55000000000000004">
      <c r="A11113" s="18">
        <v>24.8164245</v>
      </c>
      <c r="B11113" s="18">
        <v>34.832040999999997</v>
      </c>
      <c r="C11113" s="18">
        <v>685165.04</v>
      </c>
      <c r="D11113" s="18">
        <v>2745863.72</v>
      </c>
      <c r="E11113" s="18">
        <v>280.95999999999998</v>
      </c>
      <c r="F11113" s="18">
        <v>41954.7</v>
      </c>
      <c r="G11113" s="18">
        <v>141228</v>
      </c>
      <c r="H11113" s="18">
        <f t="shared" si="255"/>
        <v>41921.699999999997</v>
      </c>
    </row>
    <row r="11114" spans="1:8" s="10" customFormat="1" ht="19.5" customHeight="1" x14ac:dyDescent="0.55000000000000004">
      <c r="A11114" s="18">
        <v>24.816442899999998</v>
      </c>
      <c r="B11114" s="18">
        <v>34.832027799999999</v>
      </c>
      <c r="C11114" s="18">
        <v>685163.68</v>
      </c>
      <c r="D11114" s="18">
        <v>2745865.74</v>
      </c>
      <c r="E11114" s="18">
        <v>281.02999999999997</v>
      </c>
      <c r="F11114" s="18">
        <v>41955.57</v>
      </c>
      <c r="G11114" s="18">
        <v>141230</v>
      </c>
      <c r="H11114" s="18">
        <f t="shared" si="255"/>
        <v>41922.57</v>
      </c>
    </row>
    <row r="11115" spans="1:8" s="10" customFormat="1" ht="19.5" customHeight="1" x14ac:dyDescent="0.55000000000000004">
      <c r="A11115" s="18">
        <v>24.816465300000001</v>
      </c>
      <c r="B11115" s="18">
        <v>34.832029599999998</v>
      </c>
      <c r="C11115" s="18">
        <v>685163.83</v>
      </c>
      <c r="D11115" s="18">
        <v>2745868.22</v>
      </c>
      <c r="E11115" s="18">
        <v>280.97000000000003</v>
      </c>
      <c r="F11115" s="18">
        <v>41953.64</v>
      </c>
      <c r="G11115" s="18">
        <v>141232</v>
      </c>
      <c r="H11115" s="18">
        <f t="shared" si="255"/>
        <v>41920.639999999999</v>
      </c>
    </row>
    <row r="11116" spans="1:8" s="10" customFormat="1" ht="19.5" customHeight="1" x14ac:dyDescent="0.55000000000000004">
      <c r="A11116" s="18">
        <v>24.816478</v>
      </c>
      <c r="B11116" s="18">
        <v>34.832042299999998</v>
      </c>
      <c r="C11116" s="18">
        <v>685165.1</v>
      </c>
      <c r="D11116" s="18">
        <v>2745869.65</v>
      </c>
      <c r="E11116" s="18">
        <v>280.95999999999998</v>
      </c>
      <c r="F11116" s="18">
        <v>41955.07</v>
      </c>
      <c r="G11116" s="18">
        <v>141234</v>
      </c>
      <c r="H11116" s="18">
        <f t="shared" si="255"/>
        <v>41922.07</v>
      </c>
    </row>
    <row r="11117" spans="1:8" s="10" customFormat="1" ht="19.5" customHeight="1" x14ac:dyDescent="0.55000000000000004">
      <c r="A11117" s="18">
        <v>24.8164959</v>
      </c>
      <c r="B11117" s="18">
        <v>34.832042199999997</v>
      </c>
      <c r="C11117" s="18">
        <v>685165.05</v>
      </c>
      <c r="D11117" s="18">
        <v>2745871.63</v>
      </c>
      <c r="E11117" s="18">
        <v>280.93</v>
      </c>
      <c r="F11117" s="18">
        <v>41952.06</v>
      </c>
      <c r="G11117" s="18">
        <v>141236</v>
      </c>
      <c r="H11117" s="18">
        <f t="shared" si="255"/>
        <v>41919.06</v>
      </c>
    </row>
    <row r="11118" spans="1:8" s="10" customFormat="1" ht="19.5" customHeight="1" x14ac:dyDescent="0.55000000000000004">
      <c r="A11118" s="18">
        <v>24.8165087</v>
      </c>
      <c r="B11118" s="18">
        <v>34.832025000000002</v>
      </c>
      <c r="C11118" s="18">
        <v>685163.3</v>
      </c>
      <c r="D11118" s="18">
        <v>2745873.03</v>
      </c>
      <c r="E11118" s="18">
        <v>281.02999999999997</v>
      </c>
      <c r="F11118" s="18">
        <v>41953</v>
      </c>
      <c r="G11118" s="18">
        <v>141238</v>
      </c>
      <c r="H11118" s="18">
        <f t="shared" si="255"/>
        <v>41920</v>
      </c>
    </row>
    <row r="11119" spans="1:8" s="10" customFormat="1" ht="19.5" customHeight="1" x14ac:dyDescent="0.55000000000000004">
      <c r="A11119" s="18">
        <v>24.8165151</v>
      </c>
      <c r="B11119" s="18">
        <v>34.832000899999997</v>
      </c>
      <c r="C11119" s="18">
        <v>685160.85</v>
      </c>
      <c r="D11119" s="18">
        <v>2745873.7</v>
      </c>
      <c r="E11119" s="18">
        <v>281.16000000000003</v>
      </c>
      <c r="F11119" s="18">
        <v>41955.31</v>
      </c>
      <c r="G11119" s="18">
        <v>141240</v>
      </c>
      <c r="H11119" s="18">
        <f t="shared" si="255"/>
        <v>41922.31</v>
      </c>
    </row>
    <row r="11120" spans="1:8" s="10" customFormat="1" ht="19.5" customHeight="1" x14ac:dyDescent="0.55000000000000004">
      <c r="A11120" s="18">
        <v>24.8165239</v>
      </c>
      <c r="B11120" s="18">
        <v>34.831977799999997</v>
      </c>
      <c r="C11120" s="18">
        <v>685158.5</v>
      </c>
      <c r="D11120" s="18">
        <v>2745874.64</v>
      </c>
      <c r="E11120" s="18">
        <v>281.14999999999998</v>
      </c>
      <c r="F11120" s="18">
        <v>41955.49</v>
      </c>
      <c r="G11120" s="18">
        <v>141242</v>
      </c>
      <c r="H11120" s="18">
        <f t="shared" si="255"/>
        <v>41922.49</v>
      </c>
    </row>
    <row r="11121" spans="1:8" s="10" customFormat="1" ht="19.5" customHeight="1" x14ac:dyDescent="0.55000000000000004">
      <c r="A11121" s="18">
        <v>24.816534900000001</v>
      </c>
      <c r="B11121" s="18">
        <v>34.831956900000002</v>
      </c>
      <c r="C11121" s="18">
        <v>685156.38</v>
      </c>
      <c r="D11121" s="18">
        <v>2745875.83</v>
      </c>
      <c r="E11121" s="18">
        <v>281.27999999999997</v>
      </c>
      <c r="F11121" s="18">
        <v>41954.67</v>
      </c>
      <c r="G11121" s="18">
        <v>141244</v>
      </c>
      <c r="H11121" s="18">
        <f t="shared" si="255"/>
        <v>41921.67</v>
      </c>
    </row>
    <row r="11122" spans="1:8" s="10" customFormat="1" ht="19.5" customHeight="1" x14ac:dyDescent="0.55000000000000004">
      <c r="A11122" s="18">
        <v>24.816543500000002</v>
      </c>
      <c r="B11122" s="18">
        <v>34.831933800000002</v>
      </c>
      <c r="C11122" s="18">
        <v>685154.02</v>
      </c>
      <c r="D11122" s="18">
        <v>2745876.76</v>
      </c>
      <c r="E11122" s="18">
        <v>281.44</v>
      </c>
      <c r="F11122" s="18">
        <v>41953.59</v>
      </c>
      <c r="G11122" s="18">
        <v>141246</v>
      </c>
      <c r="H11122" s="18">
        <f t="shared" si="255"/>
        <v>41920.589999999997</v>
      </c>
    </row>
    <row r="11123" spans="1:8" s="10" customFormat="1" ht="19.5" customHeight="1" x14ac:dyDescent="0.55000000000000004">
      <c r="A11123" s="18">
        <v>24.816548999999998</v>
      </c>
      <c r="B11123" s="18">
        <v>34.831911400000003</v>
      </c>
      <c r="C11123" s="18">
        <v>685151.76</v>
      </c>
      <c r="D11123" s="18">
        <v>2745877.33</v>
      </c>
      <c r="E11123" s="18">
        <v>281.48</v>
      </c>
      <c r="F11123" s="18">
        <v>41953.29</v>
      </c>
      <c r="G11123" s="18">
        <v>141248</v>
      </c>
      <c r="H11123" s="18">
        <f t="shared" si="255"/>
        <v>41920.29</v>
      </c>
    </row>
    <row r="11124" spans="1:8" s="10" customFormat="1" ht="19.5" customHeight="1" x14ac:dyDescent="0.55000000000000004">
      <c r="A11124" s="18">
        <v>24.8165543</v>
      </c>
      <c r="B11124" s="18">
        <v>34.831887799999997</v>
      </c>
      <c r="C11124" s="18">
        <v>685149.36</v>
      </c>
      <c r="D11124" s="18">
        <v>2745877.89</v>
      </c>
      <c r="E11124" s="18">
        <v>281.54000000000002</v>
      </c>
      <c r="F11124" s="18">
        <v>41956.01</v>
      </c>
      <c r="G11124" s="18">
        <v>141250</v>
      </c>
      <c r="H11124" s="18">
        <f t="shared" si="255"/>
        <v>41923.01</v>
      </c>
    </row>
    <row r="11125" spans="1:8" s="10" customFormat="1" ht="19.5" customHeight="1" x14ac:dyDescent="0.55000000000000004">
      <c r="A11125" s="18">
        <v>24.816563500000001</v>
      </c>
      <c r="B11125" s="18">
        <v>34.831863800000001</v>
      </c>
      <c r="C11125" s="18">
        <v>685146.92</v>
      </c>
      <c r="D11125" s="18">
        <v>2745878.88</v>
      </c>
      <c r="E11125" s="18">
        <v>281.55</v>
      </c>
      <c r="F11125" s="18">
        <v>41954.52</v>
      </c>
      <c r="G11125" s="18">
        <v>141252</v>
      </c>
      <c r="H11125" s="18">
        <f t="shared" si="255"/>
        <v>41921.519999999997</v>
      </c>
    </row>
    <row r="11126" spans="1:8" s="10" customFormat="1" ht="19.5" customHeight="1" x14ac:dyDescent="0.55000000000000004">
      <c r="A11126" s="18">
        <v>24.816566900000002</v>
      </c>
      <c r="B11126" s="18">
        <v>34.831837899999996</v>
      </c>
      <c r="C11126" s="18">
        <v>685144.29</v>
      </c>
      <c r="D11126" s="18">
        <v>2745879.22</v>
      </c>
      <c r="E11126" s="18">
        <v>281.58999999999997</v>
      </c>
      <c r="F11126" s="18">
        <v>41955.93</v>
      </c>
      <c r="G11126" s="18">
        <v>141254</v>
      </c>
      <c r="H11126" s="18">
        <f t="shared" si="255"/>
        <v>41922.93</v>
      </c>
    </row>
    <row r="11127" spans="1:8" s="10" customFormat="1" ht="19.5" customHeight="1" x14ac:dyDescent="0.55000000000000004">
      <c r="A11127" s="18">
        <v>24.816571700000001</v>
      </c>
      <c r="B11127" s="18">
        <v>34.831812200000002</v>
      </c>
      <c r="C11127" s="18">
        <v>685141.7</v>
      </c>
      <c r="D11127" s="18">
        <v>2745879.71</v>
      </c>
      <c r="E11127" s="18">
        <v>281.74</v>
      </c>
      <c r="F11127" s="18">
        <v>41954.98</v>
      </c>
      <c r="G11127" s="18">
        <v>141256</v>
      </c>
      <c r="H11127" s="18">
        <f t="shared" si="255"/>
        <v>41921.980000000003</v>
      </c>
    </row>
    <row r="11128" spans="1:8" s="10" customFormat="1" ht="19.5" customHeight="1" x14ac:dyDescent="0.55000000000000004">
      <c r="A11128" s="18">
        <v>24.816577500000001</v>
      </c>
      <c r="B11128" s="18">
        <v>34.831790400000003</v>
      </c>
      <c r="C11128" s="18">
        <v>685139.49</v>
      </c>
      <c r="D11128" s="18">
        <v>2745880.33</v>
      </c>
      <c r="E11128" s="18">
        <v>281.86</v>
      </c>
      <c r="F11128" s="18">
        <v>41955</v>
      </c>
      <c r="G11128" s="18">
        <v>141258</v>
      </c>
      <c r="H11128" s="18">
        <f t="shared" si="255"/>
        <v>41922</v>
      </c>
    </row>
    <row r="11129" spans="1:8" s="10" customFormat="1" ht="19.5" customHeight="1" x14ac:dyDescent="0.55000000000000004">
      <c r="A11129" s="18">
        <v>24.816581100000001</v>
      </c>
      <c r="B11129" s="18">
        <v>34.831766899999998</v>
      </c>
      <c r="C11129" s="18">
        <v>685137.1</v>
      </c>
      <c r="D11129" s="18">
        <v>2745880.69</v>
      </c>
      <c r="E11129" s="18">
        <v>281.93</v>
      </c>
      <c r="F11129" s="18">
        <v>41956.66</v>
      </c>
      <c r="G11129" s="18">
        <v>141300</v>
      </c>
      <c r="H11129" s="18">
        <f t="shared" si="255"/>
        <v>41923.660000000003</v>
      </c>
    </row>
    <row r="11130" spans="1:8" s="10" customFormat="1" ht="19.5" customHeight="1" x14ac:dyDescent="0.55000000000000004">
      <c r="A11130" s="18">
        <v>24.816584500000001</v>
      </c>
      <c r="B11130" s="18">
        <v>34.831741200000003</v>
      </c>
      <c r="C11130" s="18">
        <v>685134.5</v>
      </c>
      <c r="D11130" s="18">
        <v>2745881.03</v>
      </c>
      <c r="E11130" s="18">
        <v>282.01</v>
      </c>
      <c r="F11130" s="18">
        <v>41955.92</v>
      </c>
      <c r="G11130" s="18">
        <v>141302</v>
      </c>
      <c r="H11130" s="18">
        <f t="shared" si="255"/>
        <v>41922.92</v>
      </c>
    </row>
    <row r="11131" spans="1:8" s="10" customFormat="1" ht="19.5" customHeight="1" x14ac:dyDescent="0.55000000000000004">
      <c r="A11131" s="18">
        <v>24.8165896</v>
      </c>
      <c r="B11131" s="18">
        <v>34.831715099999997</v>
      </c>
      <c r="C11131" s="18">
        <v>685131.85</v>
      </c>
      <c r="D11131" s="18">
        <v>2745881.57</v>
      </c>
      <c r="E11131" s="18">
        <v>282.04000000000002</v>
      </c>
      <c r="F11131" s="18">
        <v>41956.41</v>
      </c>
      <c r="G11131" s="18">
        <v>141304</v>
      </c>
      <c r="H11131" s="18">
        <f t="shared" si="255"/>
        <v>41923.410000000003</v>
      </c>
    </row>
    <row r="11132" spans="1:8" s="10" customFormat="1" ht="19.5" customHeight="1" x14ac:dyDescent="0.55000000000000004">
      <c r="A11132" s="18">
        <v>24.816596700000002</v>
      </c>
      <c r="B11132" s="18">
        <v>34.831691200000002</v>
      </c>
      <c r="C11132" s="18">
        <v>685129.42</v>
      </c>
      <c r="D11132" s="18">
        <v>2745882.32</v>
      </c>
      <c r="E11132" s="18">
        <v>282.16000000000003</v>
      </c>
      <c r="F11132" s="18">
        <v>41956.14</v>
      </c>
      <c r="G11132" s="18">
        <v>141306</v>
      </c>
      <c r="H11132" s="18">
        <f t="shared" si="255"/>
        <v>41923.14</v>
      </c>
    </row>
    <row r="11133" spans="1:8" s="10" customFormat="1" ht="19.5" customHeight="1" x14ac:dyDescent="0.55000000000000004">
      <c r="A11133" s="18">
        <v>24.816607900000001</v>
      </c>
      <c r="B11133" s="18">
        <v>34.831669699999999</v>
      </c>
      <c r="C11133" s="18">
        <v>685127.24</v>
      </c>
      <c r="D11133" s="18">
        <v>2745883.53</v>
      </c>
      <c r="E11133" s="18">
        <v>282.18</v>
      </c>
      <c r="F11133" s="18">
        <v>41954.74</v>
      </c>
      <c r="G11133" s="18">
        <v>141308</v>
      </c>
      <c r="H11133" s="18">
        <f t="shared" si="255"/>
        <v>41921.74</v>
      </c>
    </row>
    <row r="11134" spans="1:8" s="10" customFormat="1" ht="19.5" customHeight="1" x14ac:dyDescent="0.55000000000000004">
      <c r="A11134" s="18">
        <v>24.816615299999999</v>
      </c>
      <c r="B11134" s="18">
        <v>34.8316461</v>
      </c>
      <c r="C11134" s="18">
        <v>685124.84</v>
      </c>
      <c r="D11134" s="18">
        <v>2745884.32</v>
      </c>
      <c r="E11134" s="18">
        <v>282.20999999999998</v>
      </c>
      <c r="F11134" s="18">
        <v>41955.93</v>
      </c>
      <c r="G11134" s="18">
        <v>141310</v>
      </c>
      <c r="H11134" s="18">
        <f t="shared" si="255"/>
        <v>41922.93</v>
      </c>
    </row>
    <row r="11135" spans="1:8" s="10" customFormat="1" ht="19.5" customHeight="1" x14ac:dyDescent="0.55000000000000004">
      <c r="A11135" s="18">
        <v>24.816617300000001</v>
      </c>
      <c r="B11135" s="18">
        <v>34.831619699999997</v>
      </c>
      <c r="C11135" s="18">
        <v>685122.17</v>
      </c>
      <c r="D11135" s="18">
        <v>2745884.5</v>
      </c>
      <c r="E11135" s="18">
        <v>282.29000000000002</v>
      </c>
      <c r="F11135" s="18">
        <v>41958.21</v>
      </c>
      <c r="G11135" s="18">
        <v>141312</v>
      </c>
      <c r="H11135" s="18">
        <f t="shared" si="255"/>
        <v>41925.21</v>
      </c>
    </row>
    <row r="11136" spans="1:8" s="10" customFormat="1" ht="19.5" customHeight="1" x14ac:dyDescent="0.55000000000000004">
      <c r="A11136" s="18">
        <v>24.816625500000001</v>
      </c>
      <c r="B11136" s="18">
        <v>34.831595</v>
      </c>
      <c r="C11136" s="18">
        <v>685119.65</v>
      </c>
      <c r="D11136" s="18">
        <v>2745885.38</v>
      </c>
      <c r="E11136" s="18">
        <v>282.29000000000002</v>
      </c>
      <c r="F11136" s="18">
        <v>41957.31</v>
      </c>
      <c r="G11136" s="18">
        <v>141314</v>
      </c>
      <c r="H11136" s="18">
        <f t="shared" si="255"/>
        <v>41924.31</v>
      </c>
    </row>
    <row r="11137" spans="1:8" s="10" customFormat="1" ht="19.5" customHeight="1" x14ac:dyDescent="0.55000000000000004">
      <c r="A11137" s="18">
        <v>24.816633499999998</v>
      </c>
      <c r="B11137" s="18">
        <v>34.831571099999998</v>
      </c>
      <c r="C11137" s="18">
        <v>685117.22</v>
      </c>
      <c r="D11137" s="18">
        <v>2745886.23</v>
      </c>
      <c r="E11137" s="18">
        <v>282.33</v>
      </c>
      <c r="F11137" s="18">
        <v>41956.88</v>
      </c>
      <c r="G11137" s="18">
        <v>141316</v>
      </c>
      <c r="H11137" s="18">
        <f t="shared" si="255"/>
        <v>41923.879999999997</v>
      </c>
    </row>
    <row r="11138" spans="1:8" s="10" customFormat="1" ht="19.5" customHeight="1" x14ac:dyDescent="0.55000000000000004">
      <c r="A11138" s="18">
        <v>24.8166364</v>
      </c>
      <c r="B11138" s="18">
        <v>34.831544999999998</v>
      </c>
      <c r="C11138" s="18">
        <v>685114.59</v>
      </c>
      <c r="D11138" s="18">
        <v>2745886.52</v>
      </c>
      <c r="E11138" s="18">
        <v>282.44</v>
      </c>
      <c r="F11138" s="18">
        <v>41956.04</v>
      </c>
      <c r="G11138" s="18">
        <v>141318</v>
      </c>
      <c r="H11138" s="18">
        <f t="shared" si="255"/>
        <v>41923.040000000001</v>
      </c>
    </row>
    <row r="11139" spans="1:8" s="10" customFormat="1" ht="19.5" customHeight="1" x14ac:dyDescent="0.55000000000000004">
      <c r="A11139" s="18">
        <v>24.816641600000001</v>
      </c>
      <c r="B11139" s="18">
        <v>34.8315196</v>
      </c>
      <c r="C11139" s="18">
        <v>685112.01</v>
      </c>
      <c r="D11139" s="18">
        <v>2745887.06</v>
      </c>
      <c r="E11139" s="18">
        <v>282.45</v>
      </c>
      <c r="F11139" s="18">
        <v>41957.19</v>
      </c>
      <c r="G11139" s="18">
        <v>141320</v>
      </c>
      <c r="H11139" s="18">
        <f t="shared" si="255"/>
        <v>41924.19</v>
      </c>
    </row>
    <row r="11140" spans="1:8" s="10" customFormat="1" ht="19.5" customHeight="1" x14ac:dyDescent="0.55000000000000004">
      <c r="A11140" s="18">
        <v>24.8166467</v>
      </c>
      <c r="B11140" s="18">
        <v>34.831493600000002</v>
      </c>
      <c r="C11140" s="18">
        <v>685109.38</v>
      </c>
      <c r="D11140" s="18">
        <v>2745887.59</v>
      </c>
      <c r="E11140" s="18">
        <v>282.54000000000002</v>
      </c>
      <c r="F11140" s="18">
        <v>41956.5</v>
      </c>
      <c r="G11140" s="18">
        <v>141322</v>
      </c>
      <c r="H11140" s="18">
        <f t="shared" si="255"/>
        <v>41923.5</v>
      </c>
    </row>
    <row r="11141" spans="1:8" s="10" customFormat="1" ht="19.5" customHeight="1" x14ac:dyDescent="0.55000000000000004">
      <c r="A11141" s="18">
        <v>24.816654100000001</v>
      </c>
      <c r="B11141" s="18">
        <v>34.8314685</v>
      </c>
      <c r="C11141" s="18">
        <v>685106.83</v>
      </c>
      <c r="D11141" s="18">
        <v>2745888.37</v>
      </c>
      <c r="E11141" s="18">
        <v>282.60000000000002</v>
      </c>
      <c r="F11141" s="18">
        <v>41956.68</v>
      </c>
      <c r="G11141" s="18">
        <v>141324</v>
      </c>
      <c r="H11141" s="18">
        <f t="shared" si="255"/>
        <v>41923.68</v>
      </c>
    </row>
    <row r="11142" spans="1:8" s="10" customFormat="1" ht="19.5" customHeight="1" x14ac:dyDescent="0.55000000000000004">
      <c r="A11142" s="18">
        <v>24.816662099999999</v>
      </c>
      <c r="B11142" s="18">
        <v>34.831442699999997</v>
      </c>
      <c r="C11142" s="18">
        <v>685104.2</v>
      </c>
      <c r="D11142" s="18">
        <v>2745889.22</v>
      </c>
      <c r="E11142" s="18">
        <v>282.69</v>
      </c>
      <c r="F11142" s="18">
        <v>41956.99</v>
      </c>
      <c r="G11142" s="18">
        <v>141326</v>
      </c>
      <c r="H11142" s="18">
        <f t="shared" si="255"/>
        <v>41923.99</v>
      </c>
    </row>
    <row r="11143" spans="1:8" s="10" customFormat="1" ht="19.5" customHeight="1" x14ac:dyDescent="0.55000000000000004">
      <c r="A11143" s="18">
        <v>24.8166701</v>
      </c>
      <c r="B11143" s="18">
        <v>34.831418599999999</v>
      </c>
      <c r="C11143" s="18">
        <v>685101.76</v>
      </c>
      <c r="D11143" s="18">
        <v>2745890.08</v>
      </c>
      <c r="E11143" s="18">
        <v>282.73</v>
      </c>
      <c r="F11143" s="18">
        <v>41955.98</v>
      </c>
      <c r="G11143" s="18">
        <v>141328</v>
      </c>
      <c r="H11143" s="18">
        <f t="shared" si="255"/>
        <v>41922.980000000003</v>
      </c>
    </row>
    <row r="11144" spans="1:8" s="10" customFormat="1" ht="19.5" customHeight="1" x14ac:dyDescent="0.55000000000000004">
      <c r="A11144" s="18">
        <v>24.816677599999998</v>
      </c>
      <c r="B11144" s="18">
        <v>34.831393900000002</v>
      </c>
      <c r="C11144" s="18">
        <v>685099.25</v>
      </c>
      <c r="D11144" s="18">
        <v>2745890.87</v>
      </c>
      <c r="E11144" s="18">
        <v>282.92</v>
      </c>
      <c r="F11144" s="18">
        <v>41957.22</v>
      </c>
      <c r="G11144" s="18">
        <v>141330</v>
      </c>
      <c r="H11144" s="18">
        <f t="shared" si="255"/>
        <v>41924.22</v>
      </c>
    </row>
    <row r="11145" spans="1:8" s="10" customFormat="1" ht="19.5" customHeight="1" x14ac:dyDescent="0.55000000000000004">
      <c r="A11145" s="18">
        <v>24.8166811</v>
      </c>
      <c r="B11145" s="18">
        <v>34.831367999999998</v>
      </c>
      <c r="C11145" s="18">
        <v>685096.63</v>
      </c>
      <c r="D11145" s="18">
        <v>2745891.23</v>
      </c>
      <c r="E11145" s="18">
        <v>282.98</v>
      </c>
      <c r="F11145" s="18">
        <v>41957.07</v>
      </c>
      <c r="G11145" s="18">
        <v>141332</v>
      </c>
      <c r="H11145" s="18">
        <f t="shared" si="255"/>
        <v>41924.07</v>
      </c>
    </row>
    <row r="11146" spans="1:8" s="10" customFormat="1" ht="19.5" customHeight="1" x14ac:dyDescent="0.55000000000000004">
      <c r="A11146" s="18">
        <v>24.816687200000001</v>
      </c>
      <c r="B11146" s="18">
        <v>34.831342300000003</v>
      </c>
      <c r="C11146" s="18">
        <v>685094.02</v>
      </c>
      <c r="D11146" s="18">
        <v>2745891.87</v>
      </c>
      <c r="E11146" s="18">
        <v>283.05</v>
      </c>
      <c r="F11146" s="18">
        <v>41956.74</v>
      </c>
      <c r="G11146" s="18">
        <v>141334</v>
      </c>
      <c r="H11146" s="18">
        <f t="shared" si="255"/>
        <v>41923.74</v>
      </c>
    </row>
    <row r="11147" spans="1:8" s="10" customFormat="1" ht="19.5" customHeight="1" x14ac:dyDescent="0.55000000000000004">
      <c r="A11147" s="18">
        <v>24.816689799999999</v>
      </c>
      <c r="B11147" s="18">
        <v>34.831316000000001</v>
      </c>
      <c r="C11147" s="18">
        <v>685091.36</v>
      </c>
      <c r="D11147" s="18">
        <v>2745892.12</v>
      </c>
      <c r="E11147" s="18">
        <v>283.20999999999998</v>
      </c>
      <c r="F11147" s="18">
        <v>41958.61</v>
      </c>
      <c r="G11147" s="18">
        <v>141336</v>
      </c>
      <c r="H11147" s="18">
        <f t="shared" si="255"/>
        <v>41925.61</v>
      </c>
    </row>
    <row r="11148" spans="1:8" s="10" customFormat="1" ht="19.5" customHeight="1" x14ac:dyDescent="0.55000000000000004">
      <c r="A11148" s="18">
        <v>24.816699700000001</v>
      </c>
      <c r="B11148" s="18">
        <v>34.831291899999997</v>
      </c>
      <c r="C11148" s="18">
        <v>685088.91</v>
      </c>
      <c r="D11148" s="18">
        <v>2745893.18</v>
      </c>
      <c r="E11148" s="18">
        <v>283.24</v>
      </c>
      <c r="F11148" s="18">
        <v>41957.279999999999</v>
      </c>
      <c r="G11148" s="18">
        <v>141338</v>
      </c>
      <c r="H11148" s="18">
        <f t="shared" si="255"/>
        <v>41924.28</v>
      </c>
    </row>
    <row r="11149" spans="1:8" s="10" customFormat="1" ht="19.5" customHeight="1" x14ac:dyDescent="0.55000000000000004">
      <c r="A11149" s="18">
        <v>24.816708999999999</v>
      </c>
      <c r="B11149" s="18">
        <v>34.831267099999998</v>
      </c>
      <c r="C11149" s="18">
        <v>685086.38</v>
      </c>
      <c r="D11149" s="18">
        <v>2745894.18</v>
      </c>
      <c r="E11149" s="18">
        <v>283.27</v>
      </c>
      <c r="F11149" s="18">
        <v>41956.89</v>
      </c>
      <c r="G11149" s="18">
        <v>141340</v>
      </c>
      <c r="H11149" s="18">
        <f t="shared" si="255"/>
        <v>41923.89</v>
      </c>
    </row>
    <row r="11150" spans="1:8" s="10" customFormat="1" ht="19.5" customHeight="1" x14ac:dyDescent="0.55000000000000004">
      <c r="A11150" s="18">
        <v>24.816714699999999</v>
      </c>
      <c r="B11150" s="18">
        <v>34.831241599999998</v>
      </c>
      <c r="C11150" s="18">
        <v>685083.8</v>
      </c>
      <c r="D11150" s="18">
        <v>2745894.77</v>
      </c>
      <c r="E11150" s="18">
        <v>283.36</v>
      </c>
      <c r="F11150" s="18">
        <v>41956.39</v>
      </c>
      <c r="G11150" s="18">
        <v>141342</v>
      </c>
      <c r="H11150" s="18">
        <f t="shared" si="255"/>
        <v>41923.39</v>
      </c>
    </row>
    <row r="11151" spans="1:8" s="10" customFormat="1" ht="19.5" customHeight="1" x14ac:dyDescent="0.55000000000000004">
      <c r="A11151" s="18">
        <v>24.816718399999999</v>
      </c>
      <c r="B11151" s="18">
        <v>34.831214099999997</v>
      </c>
      <c r="C11151" s="18">
        <v>685081.01</v>
      </c>
      <c r="D11151" s="18">
        <v>2745895.15</v>
      </c>
      <c r="E11151" s="18">
        <v>283.42</v>
      </c>
      <c r="F11151" s="18">
        <v>41956.01</v>
      </c>
      <c r="G11151" s="18">
        <v>141344</v>
      </c>
      <c r="H11151" s="18">
        <f t="shared" si="255"/>
        <v>41923.01</v>
      </c>
    </row>
    <row r="11152" spans="1:8" s="10" customFormat="1" ht="19.5" customHeight="1" x14ac:dyDescent="0.55000000000000004">
      <c r="A11152" s="18">
        <v>24.816720700000001</v>
      </c>
      <c r="B11152" s="18">
        <v>34.831188400000002</v>
      </c>
      <c r="C11152" s="18">
        <v>685078.41</v>
      </c>
      <c r="D11152" s="18">
        <v>2745895.37</v>
      </c>
      <c r="E11152" s="18">
        <v>283.52999999999997</v>
      </c>
      <c r="F11152" s="18">
        <v>41955.98</v>
      </c>
      <c r="G11152" s="18">
        <v>141346</v>
      </c>
      <c r="H11152" s="18">
        <f t="shared" si="255"/>
        <v>41922.980000000003</v>
      </c>
    </row>
    <row r="11153" spans="1:8" s="10" customFormat="1" ht="19.5" customHeight="1" x14ac:dyDescent="0.55000000000000004">
      <c r="A11153" s="18">
        <v>24.8167233</v>
      </c>
      <c r="B11153" s="18">
        <v>34.831161700000003</v>
      </c>
      <c r="C11153" s="18">
        <v>685075.7</v>
      </c>
      <c r="D11153" s="18">
        <v>2745895.62</v>
      </c>
      <c r="E11153" s="18">
        <v>283.61</v>
      </c>
      <c r="F11153" s="18">
        <v>41956.31</v>
      </c>
      <c r="G11153" s="18">
        <v>141348</v>
      </c>
      <c r="H11153" s="18">
        <f t="shared" si="255"/>
        <v>41923.31</v>
      </c>
    </row>
    <row r="11154" spans="1:8" s="10" customFormat="1" ht="19.5" customHeight="1" x14ac:dyDescent="0.55000000000000004">
      <c r="A11154" s="18">
        <v>24.816723</v>
      </c>
      <c r="B11154" s="18">
        <v>34.831135000000003</v>
      </c>
      <c r="C11154" s="18">
        <v>685073.01</v>
      </c>
      <c r="D11154" s="18">
        <v>2745895.56</v>
      </c>
      <c r="E11154" s="18">
        <v>283.7</v>
      </c>
      <c r="F11154" s="18">
        <v>41958.239999999998</v>
      </c>
      <c r="G11154" s="18">
        <v>141350</v>
      </c>
      <c r="H11154" s="18">
        <f t="shared" si="255"/>
        <v>41925.24</v>
      </c>
    </row>
    <row r="11155" spans="1:8" s="10" customFormat="1" ht="19.5" customHeight="1" x14ac:dyDescent="0.55000000000000004">
      <c r="A11155" s="18">
        <v>24.816728300000001</v>
      </c>
      <c r="B11155" s="18">
        <v>34.831108800000003</v>
      </c>
      <c r="C11155" s="18">
        <v>685070.35</v>
      </c>
      <c r="D11155" s="18">
        <v>2745896.1</v>
      </c>
      <c r="E11155" s="18">
        <v>283.75</v>
      </c>
      <c r="F11155" s="18">
        <v>41958.86</v>
      </c>
      <c r="G11155" s="18">
        <v>141352</v>
      </c>
      <c r="H11155" s="18">
        <f t="shared" si="255"/>
        <v>41925.86</v>
      </c>
    </row>
    <row r="11156" spans="1:8" s="10" customFormat="1" ht="19.5" customHeight="1" x14ac:dyDescent="0.55000000000000004">
      <c r="A11156" s="18">
        <v>24.8167407</v>
      </c>
      <c r="B11156" s="18">
        <v>34.831087400000001</v>
      </c>
      <c r="C11156" s="18">
        <v>685068.17</v>
      </c>
      <c r="D11156" s="18">
        <v>2745897.44</v>
      </c>
      <c r="E11156" s="18">
        <v>284.02999999999997</v>
      </c>
      <c r="F11156" s="18">
        <v>41956</v>
      </c>
      <c r="G11156" s="18">
        <v>141354</v>
      </c>
      <c r="H11156" s="18">
        <f t="shared" si="255"/>
        <v>41923</v>
      </c>
    </row>
    <row r="11157" spans="1:8" s="10" customFormat="1" ht="19.5" customHeight="1" x14ac:dyDescent="0.55000000000000004">
      <c r="A11157" s="18">
        <v>24.8167483</v>
      </c>
      <c r="B11157" s="18">
        <v>34.831063899999997</v>
      </c>
      <c r="C11157" s="18">
        <v>685065.79</v>
      </c>
      <c r="D11157" s="18">
        <v>2745898.25</v>
      </c>
      <c r="E11157" s="18">
        <v>284.22000000000003</v>
      </c>
      <c r="F11157" s="18">
        <v>41954.559999999998</v>
      </c>
      <c r="G11157" s="18">
        <v>141356</v>
      </c>
      <c r="H11157" s="18">
        <f t="shared" si="255"/>
        <v>41921.56</v>
      </c>
    </row>
    <row r="11158" spans="1:8" s="10" customFormat="1" ht="19.5" customHeight="1" x14ac:dyDescent="0.55000000000000004">
      <c r="A11158" s="18">
        <v>24.816747500000002</v>
      </c>
      <c r="B11158" s="18">
        <v>34.831038200000002</v>
      </c>
      <c r="C11158" s="18">
        <v>685063.18</v>
      </c>
      <c r="D11158" s="18">
        <v>2745898.13</v>
      </c>
      <c r="E11158" s="18">
        <v>284.32</v>
      </c>
      <c r="F11158" s="18">
        <v>41956.15</v>
      </c>
      <c r="G11158" s="18">
        <v>141358</v>
      </c>
      <c r="H11158" s="18">
        <f t="shared" si="255"/>
        <v>41923.15</v>
      </c>
    </row>
    <row r="11159" spans="1:8" s="10" customFormat="1" ht="19.5" customHeight="1" x14ac:dyDescent="0.55000000000000004">
      <c r="A11159" s="18">
        <v>24.816749600000001</v>
      </c>
      <c r="B11159" s="18">
        <v>34.831010800000001</v>
      </c>
      <c r="C11159" s="18">
        <v>685060.42</v>
      </c>
      <c r="D11159" s="18">
        <v>2745898.33</v>
      </c>
      <c r="E11159" s="18">
        <v>284.32</v>
      </c>
      <c r="F11159" s="18">
        <v>41956.18</v>
      </c>
      <c r="G11159" s="18">
        <v>141400</v>
      </c>
      <c r="H11159" s="18">
        <f t="shared" si="255"/>
        <v>41923.18</v>
      </c>
    </row>
    <row r="11160" spans="1:8" s="10" customFormat="1" ht="19.5" customHeight="1" x14ac:dyDescent="0.55000000000000004">
      <c r="A11160" s="18">
        <v>24.8167565</v>
      </c>
      <c r="B11160" s="18">
        <v>34.8309845</v>
      </c>
      <c r="C11160" s="18">
        <v>685057.74</v>
      </c>
      <c r="D11160" s="18">
        <v>2745899.06</v>
      </c>
      <c r="E11160" s="18">
        <v>284.44</v>
      </c>
      <c r="F11160" s="18">
        <v>41955.69</v>
      </c>
      <c r="G11160" s="18">
        <v>141402</v>
      </c>
      <c r="H11160" s="18">
        <f t="shared" si="255"/>
        <v>41922.69</v>
      </c>
    </row>
    <row r="11161" spans="1:8" s="10" customFormat="1" ht="19.5" customHeight="1" x14ac:dyDescent="0.55000000000000004">
      <c r="A11161" s="18">
        <v>24.816762600000001</v>
      </c>
      <c r="B11161" s="18">
        <v>34.830957900000001</v>
      </c>
      <c r="C11161" s="18">
        <v>685055.05</v>
      </c>
      <c r="D11161" s="18">
        <v>2745899.7</v>
      </c>
      <c r="E11161" s="18">
        <v>284.61</v>
      </c>
      <c r="F11161" s="18">
        <v>41956.45</v>
      </c>
      <c r="G11161" s="18">
        <v>141404</v>
      </c>
      <c r="H11161" s="18">
        <f t="shared" si="255"/>
        <v>41923.449999999997</v>
      </c>
    </row>
    <row r="11162" spans="1:8" s="10" customFormat="1" ht="19.5" customHeight="1" x14ac:dyDescent="0.55000000000000004">
      <c r="A11162" s="18">
        <v>24.816768199999999</v>
      </c>
      <c r="B11162" s="18">
        <v>34.8309335</v>
      </c>
      <c r="C11162" s="18">
        <v>685052.57</v>
      </c>
      <c r="D11162" s="18">
        <v>2745900.29</v>
      </c>
      <c r="E11162" s="18">
        <v>284.64</v>
      </c>
      <c r="F11162" s="18">
        <v>41956.42</v>
      </c>
      <c r="G11162" s="18">
        <v>141406</v>
      </c>
      <c r="H11162" s="18">
        <f t="shared" si="255"/>
        <v>41923.42</v>
      </c>
    </row>
    <row r="11163" spans="1:8" s="10" customFormat="1" ht="19.5" customHeight="1" x14ac:dyDescent="0.55000000000000004">
      <c r="A11163" s="18">
        <v>24.8167732</v>
      </c>
      <c r="B11163" s="18">
        <v>34.830908700000002</v>
      </c>
      <c r="C11163" s="18">
        <v>685050.06</v>
      </c>
      <c r="D11163" s="18">
        <v>2745900.81</v>
      </c>
      <c r="E11163" s="18">
        <v>284.73</v>
      </c>
      <c r="F11163" s="18">
        <v>41955.83</v>
      </c>
      <c r="G11163" s="18">
        <v>141408</v>
      </c>
      <c r="H11163" s="18">
        <f t="shared" si="255"/>
        <v>41922.83</v>
      </c>
    </row>
    <row r="11164" spans="1:8" s="10" customFormat="1" ht="19.5" customHeight="1" x14ac:dyDescent="0.55000000000000004">
      <c r="A11164" s="18">
        <v>24.8167753</v>
      </c>
      <c r="B11164" s="18">
        <v>34.830883100000001</v>
      </c>
      <c r="C11164" s="18">
        <v>685047.47</v>
      </c>
      <c r="D11164" s="18">
        <v>2745901</v>
      </c>
      <c r="E11164" s="18">
        <v>284.91000000000003</v>
      </c>
      <c r="F11164" s="18">
        <v>41958.67</v>
      </c>
      <c r="G11164" s="18">
        <v>141410</v>
      </c>
      <c r="H11164" s="18">
        <f t="shared" si="255"/>
        <v>41925.67</v>
      </c>
    </row>
    <row r="11165" spans="1:8" s="10" customFormat="1" ht="19.5" customHeight="1" x14ac:dyDescent="0.55000000000000004">
      <c r="A11165" s="18">
        <v>24.816786199999999</v>
      </c>
      <c r="B11165" s="18">
        <v>34.830859699999998</v>
      </c>
      <c r="C11165" s="18">
        <v>685045.09</v>
      </c>
      <c r="D11165" s="18">
        <v>2745902.17</v>
      </c>
      <c r="E11165" s="18">
        <v>284.99</v>
      </c>
      <c r="F11165" s="18">
        <v>41958.8</v>
      </c>
      <c r="G11165" s="18">
        <v>141412</v>
      </c>
      <c r="H11165" s="18">
        <f t="shared" si="255"/>
        <v>41925.800000000003</v>
      </c>
    </row>
    <row r="11166" spans="1:8" s="10" customFormat="1" ht="19.5" customHeight="1" x14ac:dyDescent="0.55000000000000004">
      <c r="A11166" s="18">
        <v>24.816797099999999</v>
      </c>
      <c r="B11166" s="18">
        <v>34.830837500000001</v>
      </c>
      <c r="C11166" s="18">
        <v>685042.82</v>
      </c>
      <c r="D11166" s="18">
        <v>2745903.35</v>
      </c>
      <c r="E11166" s="18">
        <v>285.10000000000002</v>
      </c>
      <c r="F11166" s="18">
        <v>41957.57</v>
      </c>
      <c r="G11166" s="18">
        <v>141414</v>
      </c>
      <c r="H11166" s="18">
        <f t="shared" si="255"/>
        <v>41924.57</v>
      </c>
    </row>
    <row r="11167" spans="1:8" s="10" customFormat="1" ht="19.5" customHeight="1" x14ac:dyDescent="0.55000000000000004">
      <c r="A11167" s="18">
        <v>24.8168051</v>
      </c>
      <c r="B11167" s="18">
        <v>34.8308131</v>
      </c>
      <c r="C11167" s="18">
        <v>685040.34</v>
      </c>
      <c r="D11167" s="18">
        <v>2745904.2</v>
      </c>
      <c r="E11167" s="18">
        <v>285.27</v>
      </c>
      <c r="F11167" s="18">
        <v>41960.07</v>
      </c>
      <c r="G11167" s="18">
        <v>141416</v>
      </c>
      <c r="H11167" s="18">
        <f t="shared" si="255"/>
        <v>41927.07</v>
      </c>
    </row>
    <row r="11168" spans="1:8" s="10" customFormat="1" ht="19.5" customHeight="1" x14ac:dyDescent="0.55000000000000004">
      <c r="A11168" s="18">
        <v>24.816814099999998</v>
      </c>
      <c r="B11168" s="18">
        <v>34.830789099999997</v>
      </c>
      <c r="C11168" s="18">
        <v>685037.91</v>
      </c>
      <c r="D11168" s="18">
        <v>2745905.17</v>
      </c>
      <c r="E11168" s="18">
        <v>285.37</v>
      </c>
      <c r="F11168" s="18">
        <v>41961.69</v>
      </c>
      <c r="G11168" s="18">
        <v>141418</v>
      </c>
      <c r="H11168" s="18">
        <f t="shared" ref="H11168:H11218" si="256">SUM(F11168-33)</f>
        <v>41928.69</v>
      </c>
    </row>
    <row r="11169" spans="1:8" s="10" customFormat="1" ht="19.5" customHeight="1" x14ac:dyDescent="0.55000000000000004">
      <c r="A11169" s="18">
        <v>24.816826299999999</v>
      </c>
      <c r="B11169" s="18">
        <v>34.830765200000002</v>
      </c>
      <c r="C11169" s="18">
        <v>685035.47</v>
      </c>
      <c r="D11169" s="18">
        <v>2745906.5</v>
      </c>
      <c r="E11169" s="18">
        <v>285.37</v>
      </c>
      <c r="F11169" s="18">
        <v>41963.199999999997</v>
      </c>
      <c r="G11169" s="18">
        <v>141420</v>
      </c>
      <c r="H11169" s="18">
        <f t="shared" si="256"/>
        <v>41930.199999999997</v>
      </c>
    </row>
    <row r="11170" spans="1:8" s="10" customFormat="1" ht="19.5" customHeight="1" x14ac:dyDescent="0.55000000000000004">
      <c r="A11170" s="18">
        <v>24.8168352</v>
      </c>
      <c r="B11170" s="18">
        <v>34.830740599999999</v>
      </c>
      <c r="C11170" s="18">
        <v>685032.97</v>
      </c>
      <c r="D11170" s="18">
        <v>2745907.45</v>
      </c>
      <c r="E11170" s="18">
        <v>285.5</v>
      </c>
      <c r="F11170" s="18">
        <v>41962.81</v>
      </c>
      <c r="G11170" s="18">
        <v>141422</v>
      </c>
      <c r="H11170" s="18">
        <f t="shared" si="256"/>
        <v>41929.81</v>
      </c>
    </row>
    <row r="11171" spans="1:8" s="10" customFormat="1" ht="19.5" customHeight="1" x14ac:dyDescent="0.55000000000000004">
      <c r="A11171" s="18">
        <v>24.816842900000001</v>
      </c>
      <c r="B11171" s="18">
        <v>34.830718300000001</v>
      </c>
      <c r="C11171" s="18">
        <v>685030.71</v>
      </c>
      <c r="D11171" s="18">
        <v>2745908.26</v>
      </c>
      <c r="E11171" s="18">
        <v>285.62</v>
      </c>
      <c r="F11171" s="18">
        <v>41965.04</v>
      </c>
      <c r="G11171" s="18">
        <v>141424</v>
      </c>
      <c r="H11171" s="18">
        <f t="shared" si="256"/>
        <v>41932.04</v>
      </c>
    </row>
    <row r="11172" spans="1:8" s="10" customFormat="1" ht="19.5" customHeight="1" x14ac:dyDescent="0.55000000000000004">
      <c r="A11172" s="18">
        <v>24.8168525</v>
      </c>
      <c r="B11172" s="18">
        <v>34.830695200000001</v>
      </c>
      <c r="C11172" s="18">
        <v>685028.36</v>
      </c>
      <c r="D11172" s="18">
        <v>2745909.3</v>
      </c>
      <c r="E11172" s="18">
        <v>285.63</v>
      </c>
      <c r="F11172" s="18">
        <v>41964.02</v>
      </c>
      <c r="G11172" s="18">
        <v>141426</v>
      </c>
      <c r="H11172" s="18">
        <f t="shared" si="256"/>
        <v>41931.019999999997</v>
      </c>
    </row>
    <row r="11173" spans="1:8" s="10" customFormat="1" ht="19.5" customHeight="1" x14ac:dyDescent="0.55000000000000004">
      <c r="A11173" s="18">
        <v>24.8168592</v>
      </c>
      <c r="B11173" s="18">
        <v>34.830671100000004</v>
      </c>
      <c r="C11173" s="18">
        <v>685025.91</v>
      </c>
      <c r="D11173" s="18">
        <v>2745910</v>
      </c>
      <c r="E11173" s="18">
        <v>285.74</v>
      </c>
      <c r="F11173" s="18">
        <v>41963.31</v>
      </c>
      <c r="G11173" s="18">
        <v>141428</v>
      </c>
      <c r="H11173" s="18">
        <f t="shared" si="256"/>
        <v>41930.31</v>
      </c>
    </row>
    <row r="11174" spans="1:8" s="10" customFormat="1" ht="19.5" customHeight="1" x14ac:dyDescent="0.55000000000000004">
      <c r="A11174" s="18">
        <v>24.816857800000001</v>
      </c>
      <c r="B11174" s="18">
        <v>34.830645599999997</v>
      </c>
      <c r="C11174" s="18">
        <v>685023.33</v>
      </c>
      <c r="D11174" s="18">
        <v>2745909.82</v>
      </c>
      <c r="E11174" s="18">
        <v>285.68</v>
      </c>
      <c r="F11174" s="18">
        <v>41964.38</v>
      </c>
      <c r="G11174" s="18">
        <v>141430</v>
      </c>
      <c r="H11174" s="18">
        <f t="shared" si="256"/>
        <v>41931.379999999997</v>
      </c>
    </row>
    <row r="11175" spans="1:8" s="10" customFormat="1" ht="19.5" customHeight="1" x14ac:dyDescent="0.55000000000000004">
      <c r="A11175" s="18">
        <v>24.816859300000001</v>
      </c>
      <c r="B11175" s="18">
        <v>34.830621200000003</v>
      </c>
      <c r="C11175" s="18">
        <v>685020.87</v>
      </c>
      <c r="D11175" s="18">
        <v>2745909.95</v>
      </c>
      <c r="E11175" s="18">
        <v>285.69</v>
      </c>
      <c r="F11175" s="18">
        <v>41963.97</v>
      </c>
      <c r="G11175" s="18">
        <v>141432</v>
      </c>
      <c r="H11175" s="18">
        <f t="shared" si="256"/>
        <v>41930.97</v>
      </c>
    </row>
    <row r="11176" spans="1:8" s="10" customFormat="1" ht="19.5" customHeight="1" x14ac:dyDescent="0.55000000000000004">
      <c r="A11176" s="18">
        <v>24.816861500000002</v>
      </c>
      <c r="B11176" s="18">
        <v>34.830598199999997</v>
      </c>
      <c r="C11176" s="18">
        <v>685018.54</v>
      </c>
      <c r="D11176" s="18">
        <v>2745910.16</v>
      </c>
      <c r="E11176" s="18">
        <v>285.81</v>
      </c>
      <c r="F11176" s="18">
        <v>41959.69</v>
      </c>
      <c r="G11176" s="18">
        <v>141434</v>
      </c>
      <c r="H11176" s="18">
        <f t="shared" si="256"/>
        <v>41926.69</v>
      </c>
    </row>
    <row r="11177" spans="1:8" s="10" customFormat="1" ht="19.5" customHeight="1" x14ac:dyDescent="0.55000000000000004">
      <c r="A11177" s="18">
        <v>24.816863600000001</v>
      </c>
      <c r="B11177" s="18">
        <v>34.830573600000001</v>
      </c>
      <c r="C11177" s="18">
        <v>685016.05</v>
      </c>
      <c r="D11177" s="18">
        <v>2745910.36</v>
      </c>
      <c r="E11177" s="18">
        <v>285.81</v>
      </c>
      <c r="F11177" s="18">
        <v>41960.85</v>
      </c>
      <c r="G11177" s="18">
        <v>141436</v>
      </c>
      <c r="H11177" s="18">
        <f t="shared" si="256"/>
        <v>41927.85</v>
      </c>
    </row>
    <row r="11178" spans="1:8" s="10" customFormat="1" ht="19.5" customHeight="1" x14ac:dyDescent="0.55000000000000004">
      <c r="A11178" s="18">
        <v>24.8168702</v>
      </c>
      <c r="B11178" s="18">
        <v>34.830549599999998</v>
      </c>
      <c r="C11178" s="18">
        <v>685013.61</v>
      </c>
      <c r="D11178" s="18">
        <v>2745911.06</v>
      </c>
      <c r="E11178" s="18">
        <v>285.92</v>
      </c>
      <c r="F11178" s="18">
        <v>41959.6</v>
      </c>
      <c r="G11178" s="18">
        <v>141438</v>
      </c>
      <c r="H11178" s="18">
        <f t="shared" si="256"/>
        <v>41926.6</v>
      </c>
    </row>
    <row r="11179" spans="1:8" s="10" customFormat="1" ht="19.5" customHeight="1" x14ac:dyDescent="0.55000000000000004">
      <c r="A11179" s="18">
        <v>24.816878899999999</v>
      </c>
      <c r="B11179" s="18">
        <v>34.830526999999996</v>
      </c>
      <c r="C11179" s="18">
        <v>685011.31</v>
      </c>
      <c r="D11179" s="18">
        <v>2745911.99</v>
      </c>
      <c r="E11179" s="18">
        <v>285.79000000000002</v>
      </c>
      <c r="F11179" s="18">
        <v>41960.45</v>
      </c>
      <c r="G11179" s="18">
        <v>141440</v>
      </c>
      <c r="H11179" s="18">
        <f t="shared" si="256"/>
        <v>41927.449999999997</v>
      </c>
    </row>
    <row r="11180" spans="1:8" s="10" customFormat="1" ht="19.5" customHeight="1" x14ac:dyDescent="0.55000000000000004">
      <c r="A11180" s="18">
        <v>24.816891399999999</v>
      </c>
      <c r="B11180" s="18">
        <v>34.830504400000002</v>
      </c>
      <c r="C11180" s="18">
        <v>685009.01</v>
      </c>
      <c r="D11180" s="18">
        <v>2745913.35</v>
      </c>
      <c r="E11180" s="18">
        <v>285.81</v>
      </c>
      <c r="F11180" s="18">
        <v>41958.83</v>
      </c>
      <c r="G11180" s="18">
        <v>141442</v>
      </c>
      <c r="H11180" s="18">
        <f t="shared" si="256"/>
        <v>41925.83</v>
      </c>
    </row>
    <row r="11181" spans="1:8" s="10" customFormat="1" ht="19.5" customHeight="1" x14ac:dyDescent="0.55000000000000004">
      <c r="A11181" s="18">
        <v>24.816902200000001</v>
      </c>
      <c r="B11181" s="18">
        <v>34.830483200000003</v>
      </c>
      <c r="C11181" s="18">
        <v>685006.85</v>
      </c>
      <c r="D11181" s="18">
        <v>2745914.52</v>
      </c>
      <c r="E11181" s="18">
        <v>285.99</v>
      </c>
      <c r="F11181" s="18">
        <v>41958.78</v>
      </c>
      <c r="G11181" s="18">
        <v>141444</v>
      </c>
      <c r="H11181" s="18">
        <f t="shared" si="256"/>
        <v>41925.78</v>
      </c>
    </row>
    <row r="11182" spans="1:8" s="10" customFormat="1" ht="19.5" customHeight="1" x14ac:dyDescent="0.55000000000000004">
      <c r="A11182" s="18">
        <v>24.816912800000001</v>
      </c>
      <c r="B11182" s="18">
        <v>34.830460899999999</v>
      </c>
      <c r="C11182" s="18">
        <v>685004.58</v>
      </c>
      <c r="D11182" s="18">
        <v>2745915.67</v>
      </c>
      <c r="E11182" s="18">
        <v>286.01</v>
      </c>
      <c r="F11182" s="18">
        <v>41958.27</v>
      </c>
      <c r="G11182" s="18">
        <v>141446</v>
      </c>
      <c r="H11182" s="18">
        <f t="shared" si="256"/>
        <v>41925.269999999997</v>
      </c>
    </row>
    <row r="11183" spans="1:8" s="10" customFormat="1" ht="19.5" customHeight="1" x14ac:dyDescent="0.55000000000000004">
      <c r="A11183" s="18">
        <v>24.816924700000001</v>
      </c>
      <c r="B11183" s="18">
        <v>34.830441200000003</v>
      </c>
      <c r="C11183" s="18">
        <v>685002.57</v>
      </c>
      <c r="D11183" s="18">
        <v>2745916.96</v>
      </c>
      <c r="E11183" s="18">
        <v>286.14999999999998</v>
      </c>
      <c r="F11183" s="18">
        <v>41961.05</v>
      </c>
      <c r="G11183" s="18">
        <v>141448</v>
      </c>
      <c r="H11183" s="18">
        <f t="shared" si="256"/>
        <v>41928.050000000003</v>
      </c>
    </row>
    <row r="11184" spans="1:8" s="10" customFormat="1" ht="19.5" customHeight="1" x14ac:dyDescent="0.55000000000000004">
      <c r="A11184" s="18">
        <v>24.816939000000001</v>
      </c>
      <c r="B11184" s="18">
        <v>34.830422900000002</v>
      </c>
      <c r="C11184" s="18">
        <v>685000.7</v>
      </c>
      <c r="D11184" s="18">
        <v>2745918.51</v>
      </c>
      <c r="E11184" s="18">
        <v>286.32</v>
      </c>
      <c r="F11184" s="18">
        <v>41962.09</v>
      </c>
      <c r="G11184" s="18">
        <v>141450</v>
      </c>
      <c r="H11184" s="18">
        <f t="shared" si="256"/>
        <v>41929.089999999997</v>
      </c>
    </row>
    <row r="11185" spans="1:8" s="10" customFormat="1" ht="19.5" customHeight="1" x14ac:dyDescent="0.55000000000000004">
      <c r="A11185" s="18">
        <v>24.816952000000001</v>
      </c>
      <c r="B11185" s="18">
        <v>34.830403199999999</v>
      </c>
      <c r="C11185" s="18">
        <v>684998.68</v>
      </c>
      <c r="D11185" s="18">
        <v>2745919.93</v>
      </c>
      <c r="E11185" s="18">
        <v>286.37</v>
      </c>
      <c r="F11185" s="18">
        <v>41963.51</v>
      </c>
      <c r="G11185" s="18">
        <v>141452</v>
      </c>
      <c r="H11185" s="18">
        <f t="shared" si="256"/>
        <v>41930.51</v>
      </c>
    </row>
    <row r="11186" spans="1:8" s="10" customFormat="1" ht="19.5" customHeight="1" x14ac:dyDescent="0.55000000000000004">
      <c r="A11186" s="18">
        <v>24.816963399999999</v>
      </c>
      <c r="B11186" s="18">
        <v>34.830382700000001</v>
      </c>
      <c r="C11186" s="18">
        <v>684996.6</v>
      </c>
      <c r="D11186" s="18">
        <v>2745921.16</v>
      </c>
      <c r="E11186" s="18">
        <v>286.54000000000002</v>
      </c>
      <c r="F11186" s="18">
        <v>41962.559999999998</v>
      </c>
      <c r="G11186" s="18">
        <v>141454</v>
      </c>
      <c r="H11186" s="18">
        <f t="shared" si="256"/>
        <v>41929.56</v>
      </c>
    </row>
    <row r="11187" spans="1:8" s="10" customFormat="1" ht="19.5" customHeight="1" x14ac:dyDescent="0.55000000000000004">
      <c r="A11187" s="18">
        <v>24.8169711</v>
      </c>
      <c r="B11187" s="18">
        <v>34.830358699999998</v>
      </c>
      <c r="C11187" s="18">
        <v>684994.16</v>
      </c>
      <c r="D11187" s="18">
        <v>2745921.98</v>
      </c>
      <c r="E11187" s="18">
        <v>286.51</v>
      </c>
      <c r="F11187" s="18">
        <v>41963.91</v>
      </c>
      <c r="G11187" s="18">
        <v>141456</v>
      </c>
      <c r="H11187" s="18">
        <f t="shared" si="256"/>
        <v>41930.910000000003</v>
      </c>
    </row>
    <row r="11188" spans="1:8" s="10" customFormat="1" ht="19.5" customHeight="1" x14ac:dyDescent="0.55000000000000004">
      <c r="A11188" s="18">
        <v>24.816982200000002</v>
      </c>
      <c r="B11188" s="18">
        <v>34.830334200000003</v>
      </c>
      <c r="C11188" s="18">
        <v>684991.67</v>
      </c>
      <c r="D11188" s="18">
        <v>2745923.18</v>
      </c>
      <c r="E11188" s="18">
        <v>286.48</v>
      </c>
      <c r="F11188" s="18">
        <v>41965.11</v>
      </c>
      <c r="G11188" s="18">
        <v>141458</v>
      </c>
      <c r="H11188" s="18">
        <f t="shared" si="256"/>
        <v>41932.11</v>
      </c>
    </row>
    <row r="11189" spans="1:8" s="10" customFormat="1" ht="19.5" customHeight="1" x14ac:dyDescent="0.55000000000000004">
      <c r="A11189" s="18">
        <v>24.8169963</v>
      </c>
      <c r="B11189" s="18">
        <v>34.830313199999999</v>
      </c>
      <c r="C11189" s="18">
        <v>684989.53</v>
      </c>
      <c r="D11189" s="18">
        <v>2745924.71</v>
      </c>
      <c r="E11189" s="18">
        <v>286.64</v>
      </c>
      <c r="F11189" s="18">
        <v>41964.77</v>
      </c>
      <c r="G11189" s="18">
        <v>141500</v>
      </c>
      <c r="H11189" s="18">
        <f t="shared" si="256"/>
        <v>41931.769999999997</v>
      </c>
    </row>
    <row r="11190" spans="1:8" s="10" customFormat="1" ht="19.5" customHeight="1" x14ac:dyDescent="0.55000000000000004">
      <c r="A11190" s="18">
        <v>24.817009800000001</v>
      </c>
      <c r="B11190" s="18">
        <v>34.830292999999998</v>
      </c>
      <c r="C11190" s="18">
        <v>684987.46</v>
      </c>
      <c r="D11190" s="18">
        <v>2745926.17</v>
      </c>
      <c r="E11190" s="18">
        <v>286.69</v>
      </c>
      <c r="F11190" s="18">
        <v>41965.13</v>
      </c>
      <c r="G11190" s="18">
        <v>141502</v>
      </c>
      <c r="H11190" s="18">
        <f t="shared" si="256"/>
        <v>41932.129999999997</v>
      </c>
    </row>
    <row r="11191" spans="1:8" s="10" customFormat="1" ht="19.5" customHeight="1" x14ac:dyDescent="0.55000000000000004">
      <c r="A11191" s="18">
        <v>24.817021100000002</v>
      </c>
      <c r="B11191" s="18">
        <v>34.830269800000003</v>
      </c>
      <c r="C11191" s="18">
        <v>684985.1</v>
      </c>
      <c r="D11191" s="18">
        <v>2745927.4</v>
      </c>
      <c r="E11191" s="18">
        <v>286.74</v>
      </c>
      <c r="F11191" s="18">
        <v>41965.02</v>
      </c>
      <c r="G11191" s="18">
        <v>141504</v>
      </c>
      <c r="H11191" s="18">
        <f t="shared" si="256"/>
        <v>41932.019999999997</v>
      </c>
    </row>
    <row r="11192" spans="1:8" s="10" customFormat="1" ht="19.5" customHeight="1" x14ac:dyDescent="0.55000000000000004">
      <c r="A11192" s="18">
        <v>24.817035300000001</v>
      </c>
      <c r="B11192" s="18">
        <v>34.830248599999997</v>
      </c>
      <c r="C11192" s="18">
        <v>684982.94</v>
      </c>
      <c r="D11192" s="18">
        <v>2745928.95</v>
      </c>
      <c r="E11192" s="18">
        <v>286.89999999999998</v>
      </c>
      <c r="F11192" s="18">
        <v>41963.77</v>
      </c>
      <c r="G11192" s="18">
        <v>141506</v>
      </c>
      <c r="H11192" s="18">
        <f t="shared" si="256"/>
        <v>41930.769999999997</v>
      </c>
    </row>
    <row r="11193" spans="1:8" s="10" customFormat="1" ht="19.5" customHeight="1" x14ac:dyDescent="0.55000000000000004">
      <c r="A11193" s="18">
        <v>24.817052</v>
      </c>
      <c r="B11193" s="18">
        <v>34.830229799999998</v>
      </c>
      <c r="C11193" s="18">
        <v>684981.01</v>
      </c>
      <c r="D11193" s="18">
        <v>2745930.77</v>
      </c>
      <c r="E11193" s="18">
        <v>286.95999999999998</v>
      </c>
      <c r="F11193" s="18">
        <v>41963.92</v>
      </c>
      <c r="G11193" s="18">
        <v>141508</v>
      </c>
      <c r="H11193" s="18">
        <f t="shared" si="256"/>
        <v>41930.92</v>
      </c>
    </row>
    <row r="11194" spans="1:8" s="10" customFormat="1" ht="19.5" customHeight="1" x14ac:dyDescent="0.55000000000000004">
      <c r="A11194" s="18">
        <v>24.817069700000001</v>
      </c>
      <c r="B11194" s="18">
        <v>34.830211200000001</v>
      </c>
      <c r="C11194" s="18">
        <v>684979.11</v>
      </c>
      <c r="D11194" s="18">
        <v>2745932.7</v>
      </c>
      <c r="E11194" s="18">
        <v>286.95999999999998</v>
      </c>
      <c r="F11194" s="18">
        <v>41963.94</v>
      </c>
      <c r="G11194" s="18">
        <v>141510</v>
      </c>
      <c r="H11194" s="18">
        <f t="shared" si="256"/>
        <v>41930.94</v>
      </c>
    </row>
    <row r="11195" spans="1:8" s="10" customFormat="1" ht="19.5" customHeight="1" x14ac:dyDescent="0.55000000000000004">
      <c r="A11195" s="18">
        <v>24.817080700000002</v>
      </c>
      <c r="B11195" s="18">
        <v>34.830187899999999</v>
      </c>
      <c r="C11195" s="18">
        <v>684976.73</v>
      </c>
      <c r="D11195" s="18">
        <v>2745933.89</v>
      </c>
      <c r="E11195" s="18">
        <v>287.10000000000002</v>
      </c>
      <c r="F11195" s="18">
        <v>41963.26</v>
      </c>
      <c r="G11195" s="18">
        <v>141512</v>
      </c>
      <c r="H11195" s="18">
        <f t="shared" si="256"/>
        <v>41930.26</v>
      </c>
    </row>
    <row r="11196" spans="1:8" s="10" customFormat="1" ht="19.5" customHeight="1" x14ac:dyDescent="0.55000000000000004">
      <c r="A11196" s="18">
        <v>24.817088099999999</v>
      </c>
      <c r="B11196" s="18">
        <v>34.8301637</v>
      </c>
      <c r="C11196" s="18">
        <v>684974.28</v>
      </c>
      <c r="D11196" s="18">
        <v>2745934.68</v>
      </c>
      <c r="E11196" s="18">
        <v>287.23</v>
      </c>
      <c r="F11196" s="18">
        <v>41963.360000000001</v>
      </c>
      <c r="G11196" s="18">
        <v>141514</v>
      </c>
      <c r="H11196" s="18">
        <f t="shared" si="256"/>
        <v>41930.36</v>
      </c>
    </row>
    <row r="11197" spans="1:8" s="10" customFormat="1" ht="19.5" customHeight="1" x14ac:dyDescent="0.55000000000000004">
      <c r="A11197" s="18">
        <v>24.8170994</v>
      </c>
      <c r="B11197" s="18">
        <v>34.830139699999997</v>
      </c>
      <c r="C11197" s="18">
        <v>684971.83</v>
      </c>
      <c r="D11197" s="18">
        <v>2745935.89</v>
      </c>
      <c r="E11197" s="18">
        <v>287.19</v>
      </c>
      <c r="F11197" s="18">
        <v>41961.91</v>
      </c>
      <c r="G11197" s="18">
        <v>141516</v>
      </c>
      <c r="H11197" s="18">
        <f t="shared" si="256"/>
        <v>41928.910000000003</v>
      </c>
    </row>
    <row r="11198" spans="1:8" s="10" customFormat="1" ht="19.5" customHeight="1" x14ac:dyDescent="0.55000000000000004">
      <c r="A11198" s="18">
        <v>24.8171146</v>
      </c>
      <c r="B11198" s="18">
        <v>34.830120200000003</v>
      </c>
      <c r="C11198" s="18">
        <v>684969.84</v>
      </c>
      <c r="D11198" s="18">
        <v>2745937.55</v>
      </c>
      <c r="E11198" s="18">
        <v>287.23</v>
      </c>
      <c r="F11198" s="18">
        <v>41960.05</v>
      </c>
      <c r="G11198" s="18">
        <v>141518</v>
      </c>
      <c r="H11198" s="18">
        <f t="shared" si="256"/>
        <v>41927.050000000003</v>
      </c>
    </row>
    <row r="11199" spans="1:8" s="10" customFormat="1" ht="19.5" customHeight="1" x14ac:dyDescent="0.55000000000000004">
      <c r="A11199" s="18">
        <v>24.8171268</v>
      </c>
      <c r="B11199" s="18">
        <v>34.830098800000002</v>
      </c>
      <c r="C11199" s="18">
        <v>684967.65</v>
      </c>
      <c r="D11199" s="18">
        <v>2745938.88</v>
      </c>
      <c r="E11199" s="18">
        <v>287.41000000000003</v>
      </c>
      <c r="F11199" s="18">
        <v>41958.41</v>
      </c>
      <c r="G11199" s="18">
        <v>141520</v>
      </c>
      <c r="H11199" s="18">
        <f t="shared" si="256"/>
        <v>41925.410000000003</v>
      </c>
    </row>
    <row r="11200" spans="1:8" s="10" customFormat="1" ht="19.5" customHeight="1" x14ac:dyDescent="0.55000000000000004">
      <c r="A11200" s="18">
        <v>24.817140299999998</v>
      </c>
      <c r="B11200" s="18">
        <v>34.830077500000002</v>
      </c>
      <c r="C11200" s="18">
        <v>684965.48</v>
      </c>
      <c r="D11200" s="18">
        <v>2745940.34</v>
      </c>
      <c r="E11200" s="18">
        <v>287.45</v>
      </c>
      <c r="F11200" s="18">
        <v>41957.21</v>
      </c>
      <c r="G11200" s="18">
        <v>141522</v>
      </c>
      <c r="H11200" s="18">
        <f t="shared" si="256"/>
        <v>41924.21</v>
      </c>
    </row>
    <row r="11201" spans="1:8" s="10" customFormat="1" ht="19.5" customHeight="1" x14ac:dyDescent="0.55000000000000004">
      <c r="A11201" s="18">
        <v>24.8171547</v>
      </c>
      <c r="B11201" s="18">
        <v>34.830055700000003</v>
      </c>
      <c r="C11201" s="18">
        <v>684963.26</v>
      </c>
      <c r="D11201" s="18">
        <v>2745941.9</v>
      </c>
      <c r="E11201" s="18">
        <v>287.57</v>
      </c>
      <c r="F11201" s="18">
        <v>41956.3</v>
      </c>
      <c r="G11201" s="18">
        <v>141524</v>
      </c>
      <c r="H11201" s="18">
        <f t="shared" si="256"/>
        <v>41923.300000000003</v>
      </c>
    </row>
    <row r="11202" spans="1:8" s="10" customFormat="1" ht="19.5" customHeight="1" x14ac:dyDescent="0.55000000000000004">
      <c r="A11202" s="18">
        <v>24.817167699999999</v>
      </c>
      <c r="B11202" s="18">
        <v>34.830035000000002</v>
      </c>
      <c r="C11202" s="18">
        <v>684961.15</v>
      </c>
      <c r="D11202" s="18">
        <v>2745943.32</v>
      </c>
      <c r="E11202" s="18">
        <v>287.77999999999997</v>
      </c>
      <c r="F11202" s="18">
        <v>41956.28</v>
      </c>
      <c r="G11202" s="18">
        <v>141526</v>
      </c>
      <c r="H11202" s="18">
        <f t="shared" si="256"/>
        <v>41923.279999999999</v>
      </c>
    </row>
    <row r="11203" spans="1:8" s="10" customFormat="1" ht="19.5" customHeight="1" x14ac:dyDescent="0.55000000000000004">
      <c r="A11203" s="18">
        <v>24.817184000000001</v>
      </c>
      <c r="B11203" s="18">
        <v>34.830013999999998</v>
      </c>
      <c r="C11203" s="18">
        <v>684959</v>
      </c>
      <c r="D11203" s="18">
        <v>2745945.09</v>
      </c>
      <c r="E11203" s="18">
        <v>287.83</v>
      </c>
      <c r="F11203" s="18">
        <v>41955</v>
      </c>
      <c r="G11203" s="18">
        <v>141528</v>
      </c>
      <c r="H11203" s="18">
        <f t="shared" si="256"/>
        <v>41922</v>
      </c>
    </row>
    <row r="11204" spans="1:8" s="10" customFormat="1" ht="19.5" customHeight="1" x14ac:dyDescent="0.55000000000000004">
      <c r="A11204" s="18">
        <v>24.817194199999999</v>
      </c>
      <c r="B11204" s="18">
        <v>34.829993899999998</v>
      </c>
      <c r="C11204" s="18">
        <v>684956.96</v>
      </c>
      <c r="D11204" s="18">
        <v>2745946.19</v>
      </c>
      <c r="E11204" s="18">
        <v>288.04000000000002</v>
      </c>
      <c r="F11204" s="18">
        <v>41952.84</v>
      </c>
      <c r="G11204" s="18">
        <v>141530</v>
      </c>
      <c r="H11204" s="18">
        <f t="shared" si="256"/>
        <v>41919.839999999997</v>
      </c>
    </row>
    <row r="11205" spans="1:8" s="10" customFormat="1" ht="19.5" customHeight="1" x14ac:dyDescent="0.55000000000000004">
      <c r="A11205" s="18">
        <v>24.817199599999999</v>
      </c>
      <c r="B11205" s="18">
        <v>34.829969599999998</v>
      </c>
      <c r="C11205" s="18">
        <v>684954.48</v>
      </c>
      <c r="D11205" s="18">
        <v>2745946.76</v>
      </c>
      <c r="E11205" s="18">
        <v>288.38</v>
      </c>
      <c r="F11205" s="18">
        <v>41954.13</v>
      </c>
      <c r="G11205" s="18">
        <v>141532</v>
      </c>
      <c r="H11205" s="18">
        <f t="shared" si="256"/>
        <v>41921.129999999997</v>
      </c>
    </row>
    <row r="11206" spans="1:8" s="10" customFormat="1" ht="19.5" customHeight="1" x14ac:dyDescent="0.55000000000000004">
      <c r="A11206" s="18">
        <v>24.8172034</v>
      </c>
      <c r="B11206" s="18">
        <v>34.829947699999998</v>
      </c>
      <c r="C11206" s="18">
        <v>684952.27</v>
      </c>
      <c r="D11206" s="18">
        <v>2745947.15</v>
      </c>
      <c r="E11206" s="18">
        <v>288.79000000000002</v>
      </c>
      <c r="F11206" s="18">
        <v>41956.2</v>
      </c>
      <c r="G11206" s="18">
        <v>141534</v>
      </c>
      <c r="H11206" s="18">
        <f t="shared" si="256"/>
        <v>41923.199999999997</v>
      </c>
    </row>
    <row r="11207" spans="1:8" s="10" customFormat="1" ht="19.5" customHeight="1" x14ac:dyDescent="0.55000000000000004">
      <c r="A11207" s="18">
        <v>24.817212600000001</v>
      </c>
      <c r="B11207" s="18">
        <v>34.829926200000003</v>
      </c>
      <c r="C11207" s="18">
        <v>684950.08</v>
      </c>
      <c r="D11207" s="18">
        <v>2745948.15</v>
      </c>
      <c r="E11207" s="18">
        <v>289.04000000000002</v>
      </c>
      <c r="F11207" s="18">
        <v>41955.35</v>
      </c>
      <c r="G11207" s="18">
        <v>141536</v>
      </c>
      <c r="H11207" s="18">
        <f t="shared" si="256"/>
        <v>41922.35</v>
      </c>
    </row>
    <row r="11208" spans="1:8" s="10" customFormat="1" ht="19.5" customHeight="1" x14ac:dyDescent="0.55000000000000004">
      <c r="A11208" s="18">
        <v>24.8172216</v>
      </c>
      <c r="B11208" s="18">
        <v>34.829902799999999</v>
      </c>
      <c r="C11208" s="18">
        <v>684947.7</v>
      </c>
      <c r="D11208" s="18">
        <v>2745949.1</v>
      </c>
      <c r="E11208" s="18">
        <v>289.17</v>
      </c>
      <c r="F11208" s="18">
        <v>41956.19</v>
      </c>
      <c r="G11208" s="18">
        <v>141538</v>
      </c>
      <c r="H11208" s="18">
        <f t="shared" si="256"/>
        <v>41923.19</v>
      </c>
    </row>
    <row r="11209" spans="1:8" s="10" customFormat="1" ht="19.5" customHeight="1" x14ac:dyDescent="0.55000000000000004">
      <c r="A11209" s="18">
        <v>24.8172304</v>
      </c>
      <c r="B11209" s="18">
        <v>34.829879400000003</v>
      </c>
      <c r="C11209" s="18">
        <v>684945.33</v>
      </c>
      <c r="D11209" s="18">
        <v>2745950.05</v>
      </c>
      <c r="E11209" s="18">
        <v>289.25</v>
      </c>
      <c r="F11209" s="18">
        <v>41956.27</v>
      </c>
      <c r="G11209" s="18">
        <v>141540</v>
      </c>
      <c r="H11209" s="18">
        <f t="shared" si="256"/>
        <v>41923.269999999997</v>
      </c>
    </row>
    <row r="11210" spans="1:8" s="10" customFormat="1" ht="19.5" customHeight="1" x14ac:dyDescent="0.55000000000000004">
      <c r="A11210" s="18">
        <v>24.8172377</v>
      </c>
      <c r="B11210" s="18">
        <v>34.829856100000001</v>
      </c>
      <c r="C11210" s="18">
        <v>684942.96</v>
      </c>
      <c r="D11210" s="18">
        <v>2745950.83</v>
      </c>
      <c r="E11210" s="18">
        <v>289.33</v>
      </c>
      <c r="F11210" s="18">
        <v>41953.279999999999</v>
      </c>
      <c r="G11210" s="18">
        <v>141542</v>
      </c>
      <c r="H11210" s="18">
        <f t="shared" si="256"/>
        <v>41920.28</v>
      </c>
    </row>
    <row r="11211" spans="1:8" s="10" customFormat="1" ht="19.5" customHeight="1" x14ac:dyDescent="0.55000000000000004">
      <c r="A11211" s="18">
        <v>24.817241500000002</v>
      </c>
      <c r="B11211" s="18">
        <v>34.8298311</v>
      </c>
      <c r="C11211" s="18">
        <v>684940.43</v>
      </c>
      <c r="D11211" s="18">
        <v>2745951.21</v>
      </c>
      <c r="E11211" s="18">
        <v>289.45999999999998</v>
      </c>
      <c r="F11211" s="18">
        <v>41952.72</v>
      </c>
      <c r="G11211" s="18">
        <v>141544</v>
      </c>
      <c r="H11211" s="18">
        <f t="shared" si="256"/>
        <v>41919.72</v>
      </c>
    </row>
    <row r="11212" spans="1:8" s="10" customFormat="1" ht="19.5" customHeight="1" x14ac:dyDescent="0.55000000000000004">
      <c r="A11212" s="18">
        <v>24.817250600000001</v>
      </c>
      <c r="B11212" s="18">
        <v>34.829809300000001</v>
      </c>
      <c r="C11212" s="18">
        <v>684938.21</v>
      </c>
      <c r="D11212" s="18">
        <v>2745952.19</v>
      </c>
      <c r="E11212" s="18">
        <v>289.41000000000003</v>
      </c>
      <c r="F11212" s="18">
        <v>41954</v>
      </c>
      <c r="G11212" s="18">
        <v>141546</v>
      </c>
      <c r="H11212" s="18">
        <f t="shared" si="256"/>
        <v>41921</v>
      </c>
    </row>
    <row r="11213" spans="1:8" s="10" customFormat="1" ht="19.5" customHeight="1" x14ac:dyDescent="0.55000000000000004">
      <c r="A11213" s="18">
        <v>24.817265500000001</v>
      </c>
      <c r="B11213" s="18">
        <v>34.829785999999999</v>
      </c>
      <c r="C11213" s="18">
        <v>684935.83</v>
      </c>
      <c r="D11213" s="18">
        <v>2745953.81</v>
      </c>
      <c r="E11213" s="18">
        <v>289.44</v>
      </c>
      <c r="F11213" s="18">
        <v>41952.25</v>
      </c>
      <c r="G11213" s="18">
        <v>141548</v>
      </c>
      <c r="H11213" s="18">
        <f t="shared" si="256"/>
        <v>41919.25</v>
      </c>
    </row>
    <row r="11214" spans="1:8" s="10" customFormat="1" ht="19.5" customHeight="1" x14ac:dyDescent="0.55000000000000004">
      <c r="A11214" s="18">
        <v>24.817276</v>
      </c>
      <c r="B11214" s="18">
        <v>34.8297648</v>
      </c>
      <c r="C11214" s="18">
        <v>684933.67</v>
      </c>
      <c r="D11214" s="18">
        <v>2745954.94</v>
      </c>
      <c r="E11214" s="18">
        <v>289.7</v>
      </c>
      <c r="F11214" s="18">
        <v>41954.07</v>
      </c>
      <c r="G11214" s="18">
        <v>141550</v>
      </c>
      <c r="H11214" s="18">
        <f t="shared" si="256"/>
        <v>41921.07</v>
      </c>
    </row>
    <row r="11215" spans="1:8" s="10" customFormat="1" ht="19.5" customHeight="1" x14ac:dyDescent="0.55000000000000004">
      <c r="A11215" s="18">
        <v>24.8172879</v>
      </c>
      <c r="B11215" s="18">
        <v>34.829743000000001</v>
      </c>
      <c r="C11215" s="18">
        <v>684931.45</v>
      </c>
      <c r="D11215" s="18">
        <v>2745956.24</v>
      </c>
      <c r="E11215" s="18">
        <v>289.85000000000002</v>
      </c>
      <c r="F11215" s="18">
        <v>41954.05</v>
      </c>
      <c r="G11215" s="18">
        <v>141552</v>
      </c>
      <c r="H11215" s="18">
        <f t="shared" si="256"/>
        <v>41921.050000000003</v>
      </c>
    </row>
    <row r="11216" spans="1:8" s="10" customFormat="1" ht="19.5" customHeight="1" x14ac:dyDescent="0.55000000000000004">
      <c r="A11216" s="18">
        <v>24.817296500000001</v>
      </c>
      <c r="B11216" s="18">
        <v>34.829720299999998</v>
      </c>
      <c r="C11216" s="18">
        <v>684929.14</v>
      </c>
      <c r="D11216" s="18">
        <v>2745957.16</v>
      </c>
      <c r="E11216" s="18">
        <v>289.94</v>
      </c>
      <c r="F11216" s="18">
        <v>41954.78</v>
      </c>
      <c r="G11216" s="18">
        <v>141554</v>
      </c>
      <c r="H11216" s="18">
        <f t="shared" si="256"/>
        <v>41921.78</v>
      </c>
    </row>
    <row r="11217" spans="1:8" s="10" customFormat="1" ht="19.5" customHeight="1" x14ac:dyDescent="0.55000000000000004">
      <c r="A11217" s="18">
        <v>24.817309399999999</v>
      </c>
      <c r="B11217" s="18">
        <v>34.829700000000003</v>
      </c>
      <c r="C11217" s="18">
        <v>684927.07</v>
      </c>
      <c r="D11217" s="18">
        <v>2745958.56</v>
      </c>
      <c r="E11217" s="18">
        <v>290.01</v>
      </c>
      <c r="F11217" s="18">
        <v>41953.66</v>
      </c>
      <c r="G11217" s="18">
        <v>141556</v>
      </c>
      <c r="H11217" s="18">
        <f t="shared" si="256"/>
        <v>41920.660000000003</v>
      </c>
    </row>
    <row r="11218" spans="1:8" s="10" customFormat="1" ht="19.5" customHeight="1" x14ac:dyDescent="0.55000000000000004">
      <c r="A11218" s="18">
        <v>24.817323900000002</v>
      </c>
      <c r="B11218" s="18">
        <v>34.8296809</v>
      </c>
      <c r="C11218" s="18">
        <v>684925.12</v>
      </c>
      <c r="D11218" s="18">
        <v>2745960.14</v>
      </c>
      <c r="E11218" s="18">
        <v>289.79000000000002</v>
      </c>
      <c r="F11218" s="18">
        <v>41953.11</v>
      </c>
      <c r="G11218" s="18">
        <v>141558</v>
      </c>
      <c r="H11218" s="18">
        <f t="shared" si="256"/>
        <v>41920.11</v>
      </c>
    </row>
    <row r="11219" spans="1:8" s="10" customFormat="1" ht="19.5" customHeight="1" x14ac:dyDescent="0.55000000000000004">
      <c r="A11219" s="18">
        <v>24.8173314</v>
      </c>
      <c r="B11219" s="18">
        <v>34.829658600000002</v>
      </c>
      <c r="C11219" s="18">
        <v>684922.85</v>
      </c>
      <c r="D11219" s="18">
        <v>2745960.93</v>
      </c>
      <c r="E11219" s="18">
        <v>289.63</v>
      </c>
      <c r="F11219" s="18">
        <v>41953.26</v>
      </c>
      <c r="G11219" s="18">
        <v>141600</v>
      </c>
      <c r="H11219" s="18">
        <f>SUM(F11219-35)</f>
        <v>41918.26</v>
      </c>
    </row>
    <row r="11220" spans="1:8" s="10" customFormat="1" ht="19.5" customHeight="1" x14ac:dyDescent="0.55000000000000004">
      <c r="A11220" s="18">
        <v>24.8173408</v>
      </c>
      <c r="B11220" s="18">
        <v>34.829634400000003</v>
      </c>
      <c r="C11220" s="18">
        <v>684920.39</v>
      </c>
      <c r="D11220" s="18">
        <v>2745961.95</v>
      </c>
      <c r="E11220" s="18">
        <v>289.39</v>
      </c>
      <c r="F11220" s="18">
        <v>41952.99</v>
      </c>
      <c r="G11220" s="18">
        <v>141602</v>
      </c>
      <c r="H11220" s="18">
        <f t="shared" ref="H11220:H11283" si="257">SUM(F11220-35)</f>
        <v>41917.99</v>
      </c>
    </row>
    <row r="11221" spans="1:8" s="10" customFormat="1" ht="19.5" customHeight="1" x14ac:dyDescent="0.55000000000000004">
      <c r="A11221" s="18">
        <v>24.8173542</v>
      </c>
      <c r="B11221" s="18">
        <v>34.829611</v>
      </c>
      <c r="C11221" s="18">
        <v>684918.01</v>
      </c>
      <c r="D11221" s="18">
        <v>2745963.4</v>
      </c>
      <c r="E11221" s="18">
        <v>289.43</v>
      </c>
      <c r="F11221" s="18">
        <v>41954.3</v>
      </c>
      <c r="G11221" s="18">
        <v>141604</v>
      </c>
      <c r="H11221" s="18">
        <f t="shared" si="257"/>
        <v>41919.300000000003</v>
      </c>
    </row>
    <row r="11222" spans="1:8" s="10" customFormat="1" ht="19.5" customHeight="1" x14ac:dyDescent="0.55000000000000004">
      <c r="A11222" s="18">
        <v>24.817363400000001</v>
      </c>
      <c r="B11222" s="18">
        <v>34.829594</v>
      </c>
      <c r="C11222" s="18">
        <v>684916.28</v>
      </c>
      <c r="D11222" s="18">
        <v>2745964.4</v>
      </c>
      <c r="E11222" s="18">
        <v>289.76</v>
      </c>
      <c r="F11222" s="18">
        <v>41953.13</v>
      </c>
      <c r="G11222" s="18">
        <v>141606</v>
      </c>
      <c r="H11222" s="18">
        <f t="shared" si="257"/>
        <v>41918.129999999997</v>
      </c>
    </row>
    <row r="11223" spans="1:8" s="10" customFormat="1" ht="19.5" customHeight="1" x14ac:dyDescent="0.55000000000000004">
      <c r="A11223" s="18">
        <v>24.817373799999999</v>
      </c>
      <c r="B11223" s="18">
        <v>34.829575300000002</v>
      </c>
      <c r="C11223" s="18">
        <v>684914.37</v>
      </c>
      <c r="D11223" s="18">
        <v>2745965.52</v>
      </c>
      <c r="E11223" s="18">
        <v>289.70999999999998</v>
      </c>
      <c r="F11223" s="18">
        <v>41953.11</v>
      </c>
      <c r="G11223" s="18">
        <v>141608</v>
      </c>
      <c r="H11223" s="18">
        <f t="shared" si="257"/>
        <v>41918.11</v>
      </c>
    </row>
    <row r="11224" spans="1:8" s="10" customFormat="1" ht="19.5" customHeight="1" x14ac:dyDescent="0.55000000000000004">
      <c r="A11224" s="18">
        <v>24.817385600000001</v>
      </c>
      <c r="B11224" s="18">
        <v>34.829563999999998</v>
      </c>
      <c r="C11224" s="18">
        <v>684913.21</v>
      </c>
      <c r="D11224" s="18">
        <v>2745966.81</v>
      </c>
      <c r="E11224" s="18">
        <v>289.83</v>
      </c>
      <c r="F11224" s="18">
        <v>41952.93</v>
      </c>
      <c r="G11224" s="18">
        <v>141610</v>
      </c>
      <c r="H11224" s="18">
        <f t="shared" si="257"/>
        <v>41917.93</v>
      </c>
    </row>
    <row r="11225" spans="1:8" s="10" customFormat="1" ht="19.5" customHeight="1" x14ac:dyDescent="0.55000000000000004">
      <c r="A11225" s="18">
        <v>24.8173855</v>
      </c>
      <c r="B11225" s="18">
        <v>34.829565199999998</v>
      </c>
      <c r="C11225" s="18">
        <v>684913.33</v>
      </c>
      <c r="D11225" s="18">
        <v>2745966.8</v>
      </c>
      <c r="E11225" s="18">
        <v>289.83999999999997</v>
      </c>
      <c r="F11225" s="18">
        <v>41951.07</v>
      </c>
      <c r="G11225" s="18">
        <v>141612</v>
      </c>
      <c r="H11225" s="18">
        <f t="shared" si="257"/>
        <v>41916.07</v>
      </c>
    </row>
    <row r="11226" spans="1:8" s="10" customFormat="1" ht="19.5" customHeight="1" x14ac:dyDescent="0.55000000000000004">
      <c r="A11226" s="18">
        <v>24.816214200000001</v>
      </c>
      <c r="B11226" s="18">
        <v>34.8330117</v>
      </c>
      <c r="C11226" s="18">
        <v>685263.49</v>
      </c>
      <c r="D11226" s="18">
        <v>2745841.74</v>
      </c>
      <c r="E11226" s="18">
        <v>277.72000000000003</v>
      </c>
      <c r="F11226" s="18">
        <v>41948.73</v>
      </c>
      <c r="G11226" s="18">
        <v>142128</v>
      </c>
      <c r="H11226" s="18">
        <f t="shared" si="257"/>
        <v>41913.730000000003</v>
      </c>
    </row>
    <row r="11227" spans="1:8" s="10" customFormat="1" ht="19.5" customHeight="1" x14ac:dyDescent="0.55000000000000004">
      <c r="A11227" s="18">
        <v>24.816201700000001</v>
      </c>
      <c r="B11227" s="18">
        <v>34.833035299999999</v>
      </c>
      <c r="C11227" s="18">
        <v>685265.89</v>
      </c>
      <c r="D11227" s="18">
        <v>2745840.39</v>
      </c>
      <c r="E11227" s="18">
        <v>277.66000000000003</v>
      </c>
      <c r="F11227" s="18">
        <v>41949.31</v>
      </c>
      <c r="G11227" s="18">
        <v>142130</v>
      </c>
      <c r="H11227" s="18">
        <f t="shared" si="257"/>
        <v>41914.31</v>
      </c>
    </row>
    <row r="11228" spans="1:8" s="10" customFormat="1" ht="19.5" customHeight="1" x14ac:dyDescent="0.55000000000000004">
      <c r="A11228" s="18">
        <v>24.816184199999999</v>
      </c>
      <c r="B11228" s="18">
        <v>34.833056200000001</v>
      </c>
      <c r="C11228" s="18">
        <v>685268.03</v>
      </c>
      <c r="D11228" s="18">
        <v>2745838.49</v>
      </c>
      <c r="E11228" s="18">
        <v>277.57</v>
      </c>
      <c r="F11228" s="18">
        <v>41948.55</v>
      </c>
      <c r="G11228" s="18">
        <v>142132</v>
      </c>
      <c r="H11228" s="18">
        <f t="shared" si="257"/>
        <v>41913.550000000003</v>
      </c>
    </row>
    <row r="11229" spans="1:8" s="10" customFormat="1" ht="19.5" customHeight="1" x14ac:dyDescent="0.55000000000000004">
      <c r="A11229" s="18">
        <v>24.816169800000001</v>
      </c>
      <c r="B11229" s="18">
        <v>34.833078299999997</v>
      </c>
      <c r="C11229" s="18">
        <v>685270.29</v>
      </c>
      <c r="D11229" s="18">
        <v>2745836.92</v>
      </c>
      <c r="E11229" s="18">
        <v>277.54000000000002</v>
      </c>
      <c r="F11229" s="18">
        <v>41948.94</v>
      </c>
      <c r="G11229" s="18">
        <v>142134</v>
      </c>
      <c r="H11229" s="18">
        <f t="shared" si="257"/>
        <v>41913.94</v>
      </c>
    </row>
    <row r="11230" spans="1:8" s="10" customFormat="1" ht="19.5" customHeight="1" x14ac:dyDescent="0.55000000000000004">
      <c r="A11230" s="18">
        <v>24.816162500000001</v>
      </c>
      <c r="B11230" s="18">
        <v>34.833102599999997</v>
      </c>
      <c r="C11230" s="18">
        <v>685272.76</v>
      </c>
      <c r="D11230" s="18">
        <v>2745836.14</v>
      </c>
      <c r="E11230" s="18">
        <v>277.56</v>
      </c>
      <c r="F11230" s="18">
        <v>41947.94</v>
      </c>
      <c r="G11230" s="18">
        <v>142136</v>
      </c>
      <c r="H11230" s="18">
        <f t="shared" si="257"/>
        <v>41912.94</v>
      </c>
    </row>
    <row r="11231" spans="1:8" s="10" customFormat="1" ht="19.5" customHeight="1" x14ac:dyDescent="0.55000000000000004">
      <c r="A11231" s="18">
        <v>24.8161585</v>
      </c>
      <c r="B11231" s="18">
        <v>34.833128899999998</v>
      </c>
      <c r="C11231" s="18">
        <v>685275.41</v>
      </c>
      <c r="D11231" s="18">
        <v>2745835.73</v>
      </c>
      <c r="E11231" s="18">
        <v>277.5</v>
      </c>
      <c r="F11231" s="18">
        <v>41947.08</v>
      </c>
      <c r="G11231" s="18">
        <v>142138</v>
      </c>
      <c r="H11231" s="18">
        <f t="shared" si="257"/>
        <v>41912.080000000002</v>
      </c>
    </row>
    <row r="11232" spans="1:8" s="10" customFormat="1" ht="19.5" customHeight="1" x14ac:dyDescent="0.55000000000000004">
      <c r="A11232" s="18">
        <v>24.816155699999999</v>
      </c>
      <c r="B11232" s="18">
        <v>34.833156099999997</v>
      </c>
      <c r="C11232" s="18">
        <v>685278.17</v>
      </c>
      <c r="D11232" s="18">
        <v>2745835.46</v>
      </c>
      <c r="E11232" s="18">
        <v>277.35000000000002</v>
      </c>
      <c r="F11232" s="18">
        <v>41948.61</v>
      </c>
      <c r="G11232" s="18">
        <v>142140</v>
      </c>
      <c r="H11232" s="18">
        <f t="shared" si="257"/>
        <v>41913.61</v>
      </c>
    </row>
    <row r="11233" spans="1:8" s="10" customFormat="1" ht="19.5" customHeight="1" x14ac:dyDescent="0.55000000000000004">
      <c r="A11233" s="18">
        <v>24.816149100000001</v>
      </c>
      <c r="B11233" s="18">
        <v>34.833181500000002</v>
      </c>
      <c r="C11233" s="18">
        <v>685280.75</v>
      </c>
      <c r="D11233" s="18">
        <v>2745834.77</v>
      </c>
      <c r="E11233" s="18">
        <v>277.31</v>
      </c>
      <c r="F11233" s="18">
        <v>41945.08</v>
      </c>
      <c r="G11233" s="18">
        <v>142142</v>
      </c>
      <c r="H11233" s="18">
        <f t="shared" si="257"/>
        <v>41910.080000000002</v>
      </c>
    </row>
    <row r="11234" spans="1:8" s="10" customFormat="1" ht="19.5" customHeight="1" x14ac:dyDescent="0.55000000000000004">
      <c r="A11234" s="18">
        <v>24.8161469</v>
      </c>
      <c r="B11234" s="18">
        <v>34.8332075</v>
      </c>
      <c r="C11234" s="18">
        <v>685283.38</v>
      </c>
      <c r="D11234" s="18">
        <v>2745834.55</v>
      </c>
      <c r="E11234" s="18">
        <v>277.19</v>
      </c>
      <c r="F11234" s="18">
        <v>41948.59</v>
      </c>
      <c r="G11234" s="18">
        <v>142144</v>
      </c>
      <c r="H11234" s="18">
        <f t="shared" si="257"/>
        <v>41913.589999999997</v>
      </c>
    </row>
    <row r="11235" spans="1:8" s="10" customFormat="1" ht="19.5" customHeight="1" x14ac:dyDescent="0.55000000000000004">
      <c r="A11235" s="18">
        <v>24.8161451</v>
      </c>
      <c r="B11235" s="18">
        <v>34.833234500000003</v>
      </c>
      <c r="C11235" s="18">
        <v>685286.11</v>
      </c>
      <c r="D11235" s="18">
        <v>2745834.39</v>
      </c>
      <c r="E11235" s="18">
        <v>277.11</v>
      </c>
      <c r="F11235" s="18">
        <v>41949.35</v>
      </c>
      <c r="G11235" s="18">
        <v>142146</v>
      </c>
      <c r="H11235" s="18">
        <f t="shared" si="257"/>
        <v>41914.35</v>
      </c>
    </row>
    <row r="11236" spans="1:8" s="10" customFormat="1" ht="19.5" customHeight="1" x14ac:dyDescent="0.55000000000000004">
      <c r="A11236" s="18">
        <v>24.816141300000002</v>
      </c>
      <c r="B11236" s="18">
        <v>34.8332604</v>
      </c>
      <c r="C11236" s="18">
        <v>685288.74</v>
      </c>
      <c r="D11236" s="18">
        <v>2745834.01</v>
      </c>
      <c r="E11236" s="18">
        <v>277.02</v>
      </c>
      <c r="F11236" s="18">
        <v>41946.95</v>
      </c>
      <c r="G11236" s="18">
        <v>142148</v>
      </c>
      <c r="H11236" s="18">
        <f t="shared" si="257"/>
        <v>41911.949999999997</v>
      </c>
    </row>
    <row r="11237" spans="1:8" s="10" customFormat="1" ht="19.5" customHeight="1" x14ac:dyDescent="0.55000000000000004">
      <c r="A11237" s="18">
        <v>24.816137000000001</v>
      </c>
      <c r="B11237" s="18">
        <v>34.833286899999997</v>
      </c>
      <c r="C11237" s="18">
        <v>685291.42</v>
      </c>
      <c r="D11237" s="18">
        <v>2745833.57</v>
      </c>
      <c r="E11237" s="18">
        <v>276.93</v>
      </c>
      <c r="F11237" s="18">
        <v>41947.65</v>
      </c>
      <c r="G11237" s="18">
        <v>142150</v>
      </c>
      <c r="H11237" s="18">
        <f t="shared" si="257"/>
        <v>41912.65</v>
      </c>
    </row>
    <row r="11238" spans="1:8" s="10" customFormat="1" ht="19.5" customHeight="1" x14ac:dyDescent="0.55000000000000004">
      <c r="A11238" s="18">
        <v>24.8161296</v>
      </c>
      <c r="B11238" s="18">
        <v>34.8333133</v>
      </c>
      <c r="C11238" s="18">
        <v>685294.1</v>
      </c>
      <c r="D11238" s="18">
        <v>2745832.78</v>
      </c>
      <c r="E11238" s="18">
        <v>276.81</v>
      </c>
      <c r="F11238" s="18">
        <v>41946.52</v>
      </c>
      <c r="G11238" s="18">
        <v>142152</v>
      </c>
      <c r="H11238" s="18">
        <f t="shared" si="257"/>
        <v>41911.519999999997</v>
      </c>
    </row>
    <row r="11239" spans="1:8" s="10" customFormat="1" ht="19.5" customHeight="1" x14ac:dyDescent="0.55000000000000004">
      <c r="A11239" s="18">
        <v>24.816120900000001</v>
      </c>
      <c r="B11239" s="18">
        <v>34.833339299999999</v>
      </c>
      <c r="C11239" s="18">
        <v>685296.74</v>
      </c>
      <c r="D11239" s="18">
        <v>2745831.85</v>
      </c>
      <c r="E11239" s="18">
        <v>276.64999999999998</v>
      </c>
      <c r="F11239" s="18">
        <v>41946.43</v>
      </c>
      <c r="G11239" s="18">
        <v>142154</v>
      </c>
      <c r="H11239" s="18">
        <f t="shared" si="257"/>
        <v>41911.43</v>
      </c>
    </row>
    <row r="11240" spans="1:8" s="10" customFormat="1" ht="19.5" customHeight="1" x14ac:dyDescent="0.55000000000000004">
      <c r="A11240" s="18">
        <v>24.816110299999998</v>
      </c>
      <c r="B11240" s="18">
        <v>34.8333662</v>
      </c>
      <c r="C11240" s="18">
        <v>685299.48</v>
      </c>
      <c r="D11240" s="18">
        <v>2745830.72</v>
      </c>
      <c r="E11240" s="18">
        <v>276.52</v>
      </c>
      <c r="F11240" s="18">
        <v>41945.99</v>
      </c>
      <c r="G11240" s="18">
        <v>142156</v>
      </c>
      <c r="H11240" s="18">
        <f t="shared" si="257"/>
        <v>41910.99</v>
      </c>
    </row>
    <row r="11241" spans="1:8" s="10" customFormat="1" ht="19.5" customHeight="1" x14ac:dyDescent="0.55000000000000004">
      <c r="A11241" s="18">
        <v>24.816102399999998</v>
      </c>
      <c r="B11241" s="18">
        <v>34.833392500000002</v>
      </c>
      <c r="C11241" s="18">
        <v>685302.15</v>
      </c>
      <c r="D11241" s="18">
        <v>2745829.88</v>
      </c>
      <c r="E11241" s="18">
        <v>276.47000000000003</v>
      </c>
      <c r="F11241" s="18">
        <v>41943.75</v>
      </c>
      <c r="G11241" s="18">
        <v>142158</v>
      </c>
      <c r="H11241" s="18">
        <f t="shared" si="257"/>
        <v>41908.75</v>
      </c>
    </row>
    <row r="11242" spans="1:8" s="10" customFormat="1" ht="19.5" customHeight="1" x14ac:dyDescent="0.55000000000000004">
      <c r="A11242" s="18">
        <v>24.816098700000001</v>
      </c>
      <c r="B11242" s="18">
        <v>34.833421100000002</v>
      </c>
      <c r="C11242" s="18">
        <v>685305.05</v>
      </c>
      <c r="D11242" s="18">
        <v>2745829.51</v>
      </c>
      <c r="E11242" s="18">
        <v>276.26</v>
      </c>
      <c r="F11242" s="18">
        <v>41947.09</v>
      </c>
      <c r="G11242" s="18">
        <v>142200</v>
      </c>
      <c r="H11242" s="18">
        <f t="shared" si="257"/>
        <v>41912.089999999997</v>
      </c>
    </row>
    <row r="11243" spans="1:8" s="10" customFormat="1" ht="19.5" customHeight="1" x14ac:dyDescent="0.55000000000000004">
      <c r="A11243" s="18">
        <v>24.8160943</v>
      </c>
      <c r="B11243" s="18">
        <v>34.833447900000003</v>
      </c>
      <c r="C11243" s="18">
        <v>685307.77</v>
      </c>
      <c r="D11243" s="18">
        <v>2745829.06</v>
      </c>
      <c r="E11243" s="18">
        <v>276.26</v>
      </c>
      <c r="F11243" s="18">
        <v>41947.53</v>
      </c>
      <c r="G11243" s="18">
        <v>142202</v>
      </c>
      <c r="H11243" s="18">
        <f t="shared" si="257"/>
        <v>41912.53</v>
      </c>
    </row>
    <row r="11244" spans="1:8" s="10" customFormat="1" ht="19.5" customHeight="1" x14ac:dyDescent="0.55000000000000004">
      <c r="A11244" s="18">
        <v>24.816092099999999</v>
      </c>
      <c r="B11244" s="18">
        <v>34.833474099999997</v>
      </c>
      <c r="C11244" s="18">
        <v>685310.42</v>
      </c>
      <c r="D11244" s="18">
        <v>2745828.85</v>
      </c>
      <c r="E11244" s="18">
        <v>276.18</v>
      </c>
      <c r="F11244" s="18">
        <v>41946.35</v>
      </c>
      <c r="G11244" s="18">
        <v>142204</v>
      </c>
      <c r="H11244" s="18">
        <f t="shared" si="257"/>
        <v>41911.35</v>
      </c>
    </row>
    <row r="11245" spans="1:8" s="10" customFormat="1" ht="19.5" customHeight="1" x14ac:dyDescent="0.55000000000000004">
      <c r="A11245" s="18">
        <v>24.816098700000001</v>
      </c>
      <c r="B11245" s="18">
        <v>34.833499699999997</v>
      </c>
      <c r="C11245" s="18">
        <v>685312.99</v>
      </c>
      <c r="D11245" s="18">
        <v>2745829.62</v>
      </c>
      <c r="E11245" s="18">
        <v>276.24</v>
      </c>
      <c r="F11245" s="18">
        <v>41944.92</v>
      </c>
      <c r="G11245" s="18">
        <v>142206</v>
      </c>
      <c r="H11245" s="18">
        <f t="shared" si="257"/>
        <v>41909.919999999998</v>
      </c>
    </row>
    <row r="11246" spans="1:8" s="10" customFormat="1" ht="19.5" customHeight="1" x14ac:dyDescent="0.55000000000000004">
      <c r="A11246" s="18">
        <v>24.8161095</v>
      </c>
      <c r="B11246" s="18">
        <v>34.833520399999998</v>
      </c>
      <c r="C11246" s="18">
        <v>685315.07</v>
      </c>
      <c r="D11246" s="18">
        <v>2745830.84</v>
      </c>
      <c r="E11246" s="18">
        <v>276.31</v>
      </c>
      <c r="F11246" s="18">
        <v>41947.01</v>
      </c>
      <c r="G11246" s="18">
        <v>142208</v>
      </c>
      <c r="H11246" s="18">
        <f t="shared" si="257"/>
        <v>41912.01</v>
      </c>
    </row>
    <row r="11247" spans="1:8" s="10" customFormat="1" ht="19.5" customHeight="1" x14ac:dyDescent="0.55000000000000004">
      <c r="A11247" s="18">
        <v>24.816118500000002</v>
      </c>
      <c r="B11247" s="18">
        <v>34.833544099999997</v>
      </c>
      <c r="C11247" s="18">
        <v>685317.46</v>
      </c>
      <c r="D11247" s="18">
        <v>2745831.86</v>
      </c>
      <c r="E11247" s="18">
        <v>276.13</v>
      </c>
      <c r="F11247" s="18">
        <v>41943.019999999997</v>
      </c>
      <c r="G11247" s="18">
        <v>142210</v>
      </c>
      <c r="H11247" s="18">
        <f t="shared" si="257"/>
        <v>41908.019999999997</v>
      </c>
    </row>
    <row r="11248" spans="1:8" s="10" customFormat="1" ht="19.5" customHeight="1" x14ac:dyDescent="0.55000000000000004">
      <c r="A11248" s="18">
        <v>24.816132</v>
      </c>
      <c r="B11248" s="18">
        <v>34.833566500000003</v>
      </c>
      <c r="C11248" s="18">
        <v>685319.7</v>
      </c>
      <c r="D11248" s="18">
        <v>2745833.39</v>
      </c>
      <c r="E11248" s="18">
        <v>276</v>
      </c>
      <c r="F11248" s="18">
        <v>41943.49</v>
      </c>
      <c r="G11248" s="18">
        <v>142212</v>
      </c>
      <c r="H11248" s="18">
        <f t="shared" si="257"/>
        <v>41908.49</v>
      </c>
    </row>
    <row r="11249" spans="1:8" s="10" customFormat="1" ht="19.5" customHeight="1" x14ac:dyDescent="0.55000000000000004">
      <c r="A11249" s="18">
        <v>24.816147300000001</v>
      </c>
      <c r="B11249" s="18">
        <v>34.8335881</v>
      </c>
      <c r="C11249" s="18">
        <v>685321.86</v>
      </c>
      <c r="D11249" s="18">
        <v>2745835.12</v>
      </c>
      <c r="E11249" s="18">
        <v>275.87</v>
      </c>
      <c r="F11249" s="18">
        <v>41942.769999999997</v>
      </c>
      <c r="G11249" s="18">
        <v>142214</v>
      </c>
      <c r="H11249" s="18">
        <f t="shared" si="257"/>
        <v>41907.769999999997</v>
      </c>
    </row>
    <row r="11250" spans="1:8" s="10" customFormat="1" ht="19.5" customHeight="1" x14ac:dyDescent="0.55000000000000004">
      <c r="A11250" s="18">
        <v>24.816161699999999</v>
      </c>
      <c r="B11250" s="18">
        <v>34.833609600000003</v>
      </c>
      <c r="C11250" s="18">
        <v>685324.01</v>
      </c>
      <c r="D11250" s="18">
        <v>2745836.74</v>
      </c>
      <c r="E11250" s="18">
        <v>275.68</v>
      </c>
      <c r="F11250" s="18">
        <v>41943.81</v>
      </c>
      <c r="G11250" s="18">
        <v>142216</v>
      </c>
      <c r="H11250" s="18">
        <f t="shared" si="257"/>
        <v>41908.81</v>
      </c>
    </row>
    <row r="11251" spans="1:8" s="10" customFormat="1" ht="19.5" customHeight="1" x14ac:dyDescent="0.55000000000000004">
      <c r="A11251" s="18">
        <v>24.816172099999999</v>
      </c>
      <c r="B11251" s="18">
        <v>34.833634400000001</v>
      </c>
      <c r="C11251" s="18">
        <v>685326.5</v>
      </c>
      <c r="D11251" s="18">
        <v>2745837.92</v>
      </c>
      <c r="E11251" s="18">
        <v>275.38</v>
      </c>
      <c r="F11251" s="18">
        <v>41941.870000000003</v>
      </c>
      <c r="G11251" s="18">
        <v>142218</v>
      </c>
      <c r="H11251" s="18">
        <f t="shared" si="257"/>
        <v>41906.870000000003</v>
      </c>
    </row>
    <row r="11252" spans="1:8" s="10" customFormat="1" ht="19.5" customHeight="1" x14ac:dyDescent="0.55000000000000004">
      <c r="A11252" s="18">
        <v>24.816181799999999</v>
      </c>
      <c r="B11252" s="18">
        <v>34.833660700000003</v>
      </c>
      <c r="C11252" s="18">
        <v>685329.14</v>
      </c>
      <c r="D11252" s="18">
        <v>2745839.03</v>
      </c>
      <c r="E11252" s="18">
        <v>275.3</v>
      </c>
      <c r="F11252" s="18">
        <v>41942.36</v>
      </c>
      <c r="G11252" s="18">
        <v>142220</v>
      </c>
      <c r="H11252" s="18">
        <f t="shared" si="257"/>
        <v>41907.360000000001</v>
      </c>
    </row>
    <row r="11253" spans="1:8" s="10" customFormat="1" ht="19.5" customHeight="1" x14ac:dyDescent="0.55000000000000004">
      <c r="A11253" s="18">
        <v>24.816188799999999</v>
      </c>
      <c r="B11253" s="18">
        <v>34.833685000000003</v>
      </c>
      <c r="C11253" s="18">
        <v>685331.59</v>
      </c>
      <c r="D11253" s="18">
        <v>2745839.84</v>
      </c>
      <c r="E11253" s="18">
        <v>275.27999999999997</v>
      </c>
      <c r="F11253" s="18">
        <v>41943.9</v>
      </c>
      <c r="G11253" s="18">
        <v>142222</v>
      </c>
      <c r="H11253" s="18">
        <f t="shared" si="257"/>
        <v>41908.9</v>
      </c>
    </row>
    <row r="11254" spans="1:8" s="10" customFormat="1" ht="19.5" customHeight="1" x14ac:dyDescent="0.55000000000000004">
      <c r="A11254" s="18">
        <v>24.816186299999998</v>
      </c>
      <c r="B11254" s="18">
        <v>34.833708600000001</v>
      </c>
      <c r="C11254" s="18">
        <v>685333.98</v>
      </c>
      <c r="D11254" s="18">
        <v>2745839.6</v>
      </c>
      <c r="E11254" s="18">
        <v>275.23</v>
      </c>
      <c r="F11254" s="18">
        <v>41941.019999999997</v>
      </c>
      <c r="G11254" s="18">
        <v>142224</v>
      </c>
      <c r="H11254" s="18">
        <f t="shared" si="257"/>
        <v>41906.019999999997</v>
      </c>
    </row>
    <row r="11255" spans="1:8" s="10" customFormat="1" ht="19.5" customHeight="1" x14ac:dyDescent="0.55000000000000004">
      <c r="A11255" s="18">
        <v>24.8161883</v>
      </c>
      <c r="B11255" s="18">
        <v>34.833730099999997</v>
      </c>
      <c r="C11255" s="18">
        <v>685336.15</v>
      </c>
      <c r="D11255" s="18">
        <v>2745839.85</v>
      </c>
      <c r="E11255" s="18">
        <v>275.26</v>
      </c>
      <c r="F11255" s="18">
        <v>41937.17</v>
      </c>
      <c r="G11255" s="18">
        <v>142226</v>
      </c>
      <c r="H11255" s="18">
        <f t="shared" si="257"/>
        <v>41902.17</v>
      </c>
    </row>
    <row r="11256" spans="1:8" s="10" customFormat="1" ht="19.5" customHeight="1" x14ac:dyDescent="0.55000000000000004">
      <c r="A11256" s="18">
        <v>24.816196099999999</v>
      </c>
      <c r="B11256" s="18">
        <v>34.833750700000003</v>
      </c>
      <c r="C11256" s="18">
        <v>685338.22</v>
      </c>
      <c r="D11256" s="18">
        <v>2745840.74</v>
      </c>
      <c r="E11256" s="18">
        <v>275.13</v>
      </c>
      <c r="F11256" s="18">
        <v>41943.76</v>
      </c>
      <c r="G11256" s="18">
        <v>142228</v>
      </c>
      <c r="H11256" s="18">
        <f t="shared" si="257"/>
        <v>41908.76</v>
      </c>
    </row>
    <row r="11257" spans="1:8" s="10" customFormat="1" ht="19.5" customHeight="1" x14ac:dyDescent="0.55000000000000004">
      <c r="A11257" s="18">
        <v>24.8161919</v>
      </c>
      <c r="B11257" s="18">
        <v>34.833773299999997</v>
      </c>
      <c r="C11257" s="18">
        <v>685340.51</v>
      </c>
      <c r="D11257" s="18">
        <v>2745840.31</v>
      </c>
      <c r="E11257" s="18">
        <v>274.98</v>
      </c>
      <c r="F11257" s="18">
        <v>41943.839999999997</v>
      </c>
      <c r="G11257" s="18">
        <v>142230</v>
      </c>
      <c r="H11257" s="18">
        <f t="shared" si="257"/>
        <v>41908.839999999997</v>
      </c>
    </row>
    <row r="11258" spans="1:8" s="10" customFormat="1" ht="19.5" customHeight="1" x14ac:dyDescent="0.55000000000000004">
      <c r="A11258" s="18">
        <v>24.816189600000001</v>
      </c>
      <c r="B11258" s="18">
        <v>34.833795700000003</v>
      </c>
      <c r="C11258" s="18">
        <v>685342.79</v>
      </c>
      <c r="D11258" s="18">
        <v>2745840.08</v>
      </c>
      <c r="E11258" s="18">
        <v>274.76</v>
      </c>
      <c r="F11258" s="18">
        <v>41941.61</v>
      </c>
      <c r="G11258" s="18">
        <v>142232</v>
      </c>
      <c r="H11258" s="18">
        <f t="shared" si="257"/>
        <v>41906.61</v>
      </c>
    </row>
    <row r="11259" spans="1:8" s="10" customFormat="1" ht="19.5" customHeight="1" x14ac:dyDescent="0.55000000000000004">
      <c r="A11259" s="18">
        <v>24.8161819</v>
      </c>
      <c r="B11259" s="18">
        <v>34.833821</v>
      </c>
      <c r="C11259" s="18">
        <v>685345.35</v>
      </c>
      <c r="D11259" s="18">
        <v>2745839.26</v>
      </c>
      <c r="E11259" s="18">
        <v>274.64</v>
      </c>
      <c r="F11259" s="18">
        <v>41940.97</v>
      </c>
      <c r="G11259" s="18">
        <v>142234</v>
      </c>
      <c r="H11259" s="18">
        <f t="shared" si="257"/>
        <v>41905.97</v>
      </c>
    </row>
    <row r="11260" spans="1:8" s="10" customFormat="1" ht="19.5" customHeight="1" x14ac:dyDescent="0.55000000000000004">
      <c r="A11260" s="18">
        <v>24.8161767</v>
      </c>
      <c r="B11260" s="18">
        <v>34.833846399999999</v>
      </c>
      <c r="C11260" s="18">
        <v>685347.93</v>
      </c>
      <c r="D11260" s="18">
        <v>2745838.72</v>
      </c>
      <c r="E11260" s="18">
        <v>274.52</v>
      </c>
      <c r="F11260" s="18">
        <v>41940.57</v>
      </c>
      <c r="G11260" s="18">
        <v>142236</v>
      </c>
      <c r="H11260" s="18">
        <f t="shared" si="257"/>
        <v>41905.57</v>
      </c>
    </row>
    <row r="11261" spans="1:8" s="10" customFormat="1" ht="19.5" customHeight="1" x14ac:dyDescent="0.55000000000000004">
      <c r="A11261" s="18">
        <v>24.816168099999999</v>
      </c>
      <c r="B11261" s="18">
        <v>34.8338708</v>
      </c>
      <c r="C11261" s="18">
        <v>685350.40000000002</v>
      </c>
      <c r="D11261" s="18">
        <v>2745837.81</v>
      </c>
      <c r="E11261" s="18">
        <v>274.41000000000003</v>
      </c>
      <c r="F11261" s="18">
        <v>41937.620000000003</v>
      </c>
      <c r="G11261" s="18">
        <v>142238</v>
      </c>
      <c r="H11261" s="18">
        <f t="shared" si="257"/>
        <v>41902.620000000003</v>
      </c>
    </row>
    <row r="11262" spans="1:8" s="10" customFormat="1" ht="19.5" customHeight="1" x14ac:dyDescent="0.55000000000000004">
      <c r="A11262" s="18">
        <v>24.8161615</v>
      </c>
      <c r="B11262" s="18">
        <v>34.833895499999997</v>
      </c>
      <c r="C11262" s="18">
        <v>685352.91</v>
      </c>
      <c r="D11262" s="18">
        <v>2745837.1</v>
      </c>
      <c r="E11262" s="18">
        <v>274.16000000000003</v>
      </c>
      <c r="F11262" s="18">
        <v>41937.65</v>
      </c>
      <c r="G11262" s="18">
        <v>142240</v>
      </c>
      <c r="H11262" s="18">
        <f t="shared" si="257"/>
        <v>41902.65</v>
      </c>
    </row>
    <row r="11263" spans="1:8" s="10" customFormat="1" ht="19.5" customHeight="1" x14ac:dyDescent="0.55000000000000004">
      <c r="A11263" s="18">
        <v>24.816158300000001</v>
      </c>
      <c r="B11263" s="18">
        <v>34.833922600000001</v>
      </c>
      <c r="C11263" s="18">
        <v>685355.66</v>
      </c>
      <c r="D11263" s="18">
        <v>2745836.79</v>
      </c>
      <c r="E11263" s="18">
        <v>274.01</v>
      </c>
      <c r="F11263" s="18">
        <v>41941.22</v>
      </c>
      <c r="G11263" s="18">
        <v>142242</v>
      </c>
      <c r="H11263" s="18">
        <f t="shared" si="257"/>
        <v>41906.22</v>
      </c>
    </row>
    <row r="11264" spans="1:8" s="10" customFormat="1" ht="19.5" customHeight="1" x14ac:dyDescent="0.55000000000000004">
      <c r="A11264" s="18">
        <v>24.816146400000001</v>
      </c>
      <c r="B11264" s="18">
        <v>34.833943699999999</v>
      </c>
      <c r="C11264" s="18">
        <v>685357.81</v>
      </c>
      <c r="D11264" s="18">
        <v>2745835.5</v>
      </c>
      <c r="E11264" s="18">
        <v>273.95</v>
      </c>
      <c r="F11264" s="18">
        <v>41938.629999999997</v>
      </c>
      <c r="G11264" s="18">
        <v>142244</v>
      </c>
      <c r="H11264" s="18">
        <f t="shared" si="257"/>
        <v>41903.629999999997</v>
      </c>
    </row>
    <row r="11265" spans="1:8" s="10" customFormat="1" ht="19.5" customHeight="1" x14ac:dyDescent="0.55000000000000004">
      <c r="A11265" s="18">
        <v>24.8161311</v>
      </c>
      <c r="B11265" s="18">
        <v>34.833964399999999</v>
      </c>
      <c r="C11265" s="18">
        <v>685359.92</v>
      </c>
      <c r="D11265" s="18">
        <v>2745833.83</v>
      </c>
      <c r="E11265" s="18">
        <v>273.77999999999997</v>
      </c>
      <c r="F11265" s="18">
        <v>41937.51</v>
      </c>
      <c r="G11265" s="18">
        <v>142246</v>
      </c>
      <c r="H11265" s="18">
        <f t="shared" si="257"/>
        <v>41902.51</v>
      </c>
    </row>
    <row r="11266" spans="1:8" s="10" customFormat="1" ht="19.5" customHeight="1" x14ac:dyDescent="0.55000000000000004">
      <c r="A11266" s="18">
        <v>24.816113099999999</v>
      </c>
      <c r="B11266" s="18">
        <v>34.8339815</v>
      </c>
      <c r="C11266" s="18">
        <v>685361.67</v>
      </c>
      <c r="D11266" s="18">
        <v>2745831.86</v>
      </c>
      <c r="E11266" s="18">
        <v>273.61</v>
      </c>
      <c r="F11266" s="18">
        <v>41936.35</v>
      </c>
      <c r="G11266" s="18">
        <v>142248</v>
      </c>
      <c r="H11266" s="18">
        <f t="shared" si="257"/>
        <v>41901.35</v>
      </c>
    </row>
    <row r="11267" spans="1:8" s="10" customFormat="1" ht="19.5" customHeight="1" x14ac:dyDescent="0.55000000000000004">
      <c r="A11267" s="18">
        <v>24.816095900000001</v>
      </c>
      <c r="B11267" s="18">
        <v>34.834001700000002</v>
      </c>
      <c r="C11267" s="18">
        <v>685363.74</v>
      </c>
      <c r="D11267" s="18">
        <v>2745829.98</v>
      </c>
      <c r="E11267" s="18">
        <v>273.51</v>
      </c>
      <c r="F11267" s="18">
        <v>41937.35</v>
      </c>
      <c r="G11267" s="18">
        <v>142250</v>
      </c>
      <c r="H11267" s="18">
        <f t="shared" si="257"/>
        <v>41902.35</v>
      </c>
    </row>
    <row r="11268" spans="1:8" s="10" customFormat="1" ht="19.5" customHeight="1" x14ac:dyDescent="0.55000000000000004">
      <c r="A11268" s="18">
        <v>24.8160779</v>
      </c>
      <c r="B11268" s="18">
        <v>34.834021399999997</v>
      </c>
      <c r="C11268" s="18">
        <v>685365.76000000001</v>
      </c>
      <c r="D11268" s="18">
        <v>2745828.01</v>
      </c>
      <c r="E11268" s="18">
        <v>273.51</v>
      </c>
      <c r="F11268" s="18">
        <v>41938.07</v>
      </c>
      <c r="G11268" s="18">
        <v>142252</v>
      </c>
      <c r="H11268" s="18">
        <f t="shared" si="257"/>
        <v>41903.07</v>
      </c>
    </row>
    <row r="11269" spans="1:8" s="10" customFormat="1" ht="19.5" customHeight="1" x14ac:dyDescent="0.55000000000000004">
      <c r="A11269" s="18">
        <v>24.816060199999999</v>
      </c>
      <c r="B11269" s="18">
        <v>34.834040100000003</v>
      </c>
      <c r="C11269" s="18">
        <v>685367.68</v>
      </c>
      <c r="D11269" s="18">
        <v>2745826.08</v>
      </c>
      <c r="E11269" s="18">
        <v>273.45</v>
      </c>
      <c r="F11269" s="18">
        <v>41938.980000000003</v>
      </c>
      <c r="G11269" s="18">
        <v>142254</v>
      </c>
      <c r="H11269" s="18">
        <f t="shared" si="257"/>
        <v>41903.980000000003</v>
      </c>
    </row>
    <row r="11270" spans="1:8" s="10" customFormat="1" ht="19.5" customHeight="1" x14ac:dyDescent="0.55000000000000004">
      <c r="A11270" s="18">
        <v>24.816040399999999</v>
      </c>
      <c r="B11270" s="18">
        <v>34.834054500000001</v>
      </c>
      <c r="C11270" s="18">
        <v>685369.17</v>
      </c>
      <c r="D11270" s="18">
        <v>2745823.91</v>
      </c>
      <c r="E11270" s="18">
        <v>273.38</v>
      </c>
      <c r="F11270" s="18">
        <v>41938.25</v>
      </c>
      <c r="G11270" s="18">
        <v>142256</v>
      </c>
      <c r="H11270" s="18">
        <f t="shared" si="257"/>
        <v>41903.25</v>
      </c>
    </row>
    <row r="11271" spans="1:8" s="10" customFormat="1" ht="19.5" customHeight="1" x14ac:dyDescent="0.55000000000000004">
      <c r="A11271" s="18">
        <v>24.816021899999999</v>
      </c>
      <c r="B11271" s="18">
        <v>34.834070400000002</v>
      </c>
      <c r="C11271" s="18">
        <v>685370.8</v>
      </c>
      <c r="D11271" s="18">
        <v>2745821.88</v>
      </c>
      <c r="E11271" s="18">
        <v>273.33</v>
      </c>
      <c r="F11271" s="18">
        <v>41939</v>
      </c>
      <c r="G11271" s="18">
        <v>142258</v>
      </c>
      <c r="H11271" s="18">
        <f t="shared" si="257"/>
        <v>41904</v>
      </c>
    </row>
    <row r="11272" spans="1:8" s="10" customFormat="1" ht="19.5" customHeight="1" x14ac:dyDescent="0.55000000000000004">
      <c r="A11272" s="18">
        <v>24.816003200000001</v>
      </c>
      <c r="B11272" s="18">
        <v>34.834087199999999</v>
      </c>
      <c r="C11272" s="18">
        <v>685372.52</v>
      </c>
      <c r="D11272" s="18">
        <v>2745819.84</v>
      </c>
      <c r="E11272" s="18">
        <v>273.23</v>
      </c>
      <c r="F11272" s="18">
        <v>41937.81</v>
      </c>
      <c r="G11272" s="18">
        <v>142300</v>
      </c>
      <c r="H11272" s="18">
        <f t="shared" si="257"/>
        <v>41902.81</v>
      </c>
    </row>
    <row r="11273" spans="1:8" s="10" customFormat="1" ht="19.5" customHeight="1" x14ac:dyDescent="0.55000000000000004">
      <c r="A11273" s="18">
        <v>24.8159864</v>
      </c>
      <c r="B11273" s="18">
        <v>34.834107600000003</v>
      </c>
      <c r="C11273" s="18">
        <v>685374.61</v>
      </c>
      <c r="D11273" s="18">
        <v>2745818</v>
      </c>
      <c r="E11273" s="18">
        <v>273.08999999999997</v>
      </c>
      <c r="F11273" s="18">
        <v>41938.300000000003</v>
      </c>
      <c r="G11273" s="18">
        <v>142302</v>
      </c>
      <c r="H11273" s="18">
        <f t="shared" si="257"/>
        <v>41903.300000000003</v>
      </c>
    </row>
    <row r="11274" spans="1:8" s="10" customFormat="1" ht="19.5" customHeight="1" x14ac:dyDescent="0.55000000000000004">
      <c r="A11274" s="18">
        <v>24.815967499999999</v>
      </c>
      <c r="B11274" s="18">
        <v>34.834124699999997</v>
      </c>
      <c r="C11274" s="18">
        <v>685376.37</v>
      </c>
      <c r="D11274" s="18">
        <v>2745815.94</v>
      </c>
      <c r="E11274" s="18">
        <v>272.97000000000003</v>
      </c>
      <c r="F11274" s="18">
        <v>41938.019999999997</v>
      </c>
      <c r="G11274" s="18">
        <v>142304</v>
      </c>
      <c r="H11274" s="18">
        <f t="shared" si="257"/>
        <v>41903.019999999997</v>
      </c>
    </row>
    <row r="11275" spans="1:8" s="10" customFormat="1" ht="19.5" customHeight="1" x14ac:dyDescent="0.55000000000000004">
      <c r="A11275" s="18">
        <v>24.8159493</v>
      </c>
      <c r="B11275" s="18">
        <v>34.834144600000002</v>
      </c>
      <c r="C11275" s="18">
        <v>685378.41</v>
      </c>
      <c r="D11275" s="18">
        <v>2745813.94</v>
      </c>
      <c r="E11275" s="18">
        <v>272.93</v>
      </c>
      <c r="F11275" s="18">
        <v>41938.870000000003</v>
      </c>
      <c r="G11275" s="18">
        <v>142306</v>
      </c>
      <c r="H11275" s="18">
        <f t="shared" si="257"/>
        <v>41903.870000000003</v>
      </c>
    </row>
    <row r="11276" spans="1:8" s="10" customFormat="1" ht="19.5" customHeight="1" x14ac:dyDescent="0.55000000000000004">
      <c r="A11276" s="18">
        <v>24.815932</v>
      </c>
      <c r="B11276" s="18">
        <v>34.834164899999998</v>
      </c>
      <c r="C11276" s="18">
        <v>685380.49</v>
      </c>
      <c r="D11276" s="18">
        <v>2745812.05</v>
      </c>
      <c r="E11276" s="18">
        <v>272.95</v>
      </c>
      <c r="F11276" s="18">
        <v>41938.61</v>
      </c>
      <c r="G11276" s="18">
        <v>142308</v>
      </c>
      <c r="H11276" s="18">
        <f t="shared" si="257"/>
        <v>41903.61</v>
      </c>
    </row>
    <row r="11277" spans="1:8" s="10" customFormat="1" ht="19.5" customHeight="1" x14ac:dyDescent="0.55000000000000004">
      <c r="A11277" s="18">
        <v>24.8159177</v>
      </c>
      <c r="B11277" s="18">
        <v>34.834186699999997</v>
      </c>
      <c r="C11277" s="18">
        <v>685382.72</v>
      </c>
      <c r="D11277" s="18">
        <v>2745810.5</v>
      </c>
      <c r="E11277" s="18">
        <v>272.8</v>
      </c>
      <c r="F11277" s="18">
        <v>41939.47</v>
      </c>
      <c r="G11277" s="18">
        <v>142310</v>
      </c>
      <c r="H11277" s="18">
        <f t="shared" si="257"/>
        <v>41904.47</v>
      </c>
    </row>
    <row r="11278" spans="1:8" s="10" customFormat="1" ht="19.5" customHeight="1" x14ac:dyDescent="0.55000000000000004">
      <c r="A11278" s="18">
        <v>24.8159025</v>
      </c>
      <c r="B11278" s="18">
        <v>34.834207499999998</v>
      </c>
      <c r="C11278" s="18">
        <v>685384.84</v>
      </c>
      <c r="D11278" s="18">
        <v>2745808.85</v>
      </c>
      <c r="E11278" s="18">
        <v>272.74</v>
      </c>
      <c r="F11278" s="18">
        <v>41939.839999999997</v>
      </c>
      <c r="G11278" s="18">
        <v>142312</v>
      </c>
      <c r="H11278" s="18">
        <f t="shared" si="257"/>
        <v>41904.839999999997</v>
      </c>
    </row>
    <row r="11279" spans="1:8" s="10" customFormat="1" ht="19.5" customHeight="1" x14ac:dyDescent="0.55000000000000004">
      <c r="A11279" s="18">
        <v>24.8158882</v>
      </c>
      <c r="B11279" s="18">
        <v>34.834227800000001</v>
      </c>
      <c r="C11279" s="18">
        <v>685386.91</v>
      </c>
      <c r="D11279" s="18">
        <v>2745807.28</v>
      </c>
      <c r="E11279" s="18">
        <v>272.77999999999997</v>
      </c>
      <c r="F11279" s="18">
        <v>41939.94</v>
      </c>
      <c r="G11279" s="18">
        <v>142314</v>
      </c>
      <c r="H11279" s="18">
        <f t="shared" si="257"/>
        <v>41904.94</v>
      </c>
    </row>
    <row r="11280" spans="1:8" s="10" customFormat="1" ht="19.5" customHeight="1" x14ac:dyDescent="0.55000000000000004">
      <c r="A11280" s="18">
        <v>24.815873799999999</v>
      </c>
      <c r="B11280" s="18">
        <v>34.8342496</v>
      </c>
      <c r="C11280" s="18">
        <v>685389.14</v>
      </c>
      <c r="D11280" s="18">
        <v>2745805.73</v>
      </c>
      <c r="E11280" s="18">
        <v>272.77</v>
      </c>
      <c r="F11280" s="18">
        <v>41939.440000000002</v>
      </c>
      <c r="G11280" s="18">
        <v>142316</v>
      </c>
      <c r="H11280" s="18">
        <f t="shared" si="257"/>
        <v>41904.44</v>
      </c>
    </row>
    <row r="11281" spans="1:8" s="10" customFormat="1" ht="19.5" customHeight="1" x14ac:dyDescent="0.55000000000000004">
      <c r="A11281" s="18">
        <v>24.815857399999999</v>
      </c>
      <c r="B11281" s="18">
        <v>34.834269999999997</v>
      </c>
      <c r="C11281" s="18">
        <v>685391.23</v>
      </c>
      <c r="D11281" s="18">
        <v>2745803.93</v>
      </c>
      <c r="E11281" s="18">
        <v>272.70999999999998</v>
      </c>
      <c r="F11281" s="18">
        <v>41939.49</v>
      </c>
      <c r="G11281" s="18">
        <v>142318</v>
      </c>
      <c r="H11281" s="18">
        <f t="shared" si="257"/>
        <v>41904.49</v>
      </c>
    </row>
    <row r="11282" spans="1:8" s="10" customFormat="1" ht="19.5" customHeight="1" x14ac:dyDescent="0.55000000000000004">
      <c r="A11282" s="18">
        <v>24.815840900000001</v>
      </c>
      <c r="B11282" s="18">
        <v>34.834290199999998</v>
      </c>
      <c r="C11282" s="18">
        <v>685393.29</v>
      </c>
      <c r="D11282" s="18">
        <v>2745802.13</v>
      </c>
      <c r="E11282" s="18">
        <v>272.68</v>
      </c>
      <c r="F11282" s="18">
        <v>41939.279999999999</v>
      </c>
      <c r="G11282" s="18">
        <v>142320</v>
      </c>
      <c r="H11282" s="18">
        <f t="shared" si="257"/>
        <v>41904.28</v>
      </c>
    </row>
    <row r="11283" spans="1:8" s="10" customFormat="1" ht="19.5" customHeight="1" x14ac:dyDescent="0.55000000000000004">
      <c r="A11283" s="18">
        <v>24.815826399999999</v>
      </c>
      <c r="B11283" s="18">
        <v>34.834311900000003</v>
      </c>
      <c r="C11283" s="18">
        <v>685395.51</v>
      </c>
      <c r="D11283" s="18">
        <v>2745800.56</v>
      </c>
      <c r="E11283" s="18">
        <v>272.67</v>
      </c>
      <c r="F11283" s="18">
        <v>41938.769999999997</v>
      </c>
      <c r="G11283" s="18">
        <v>142322</v>
      </c>
      <c r="H11283" s="18">
        <f t="shared" si="257"/>
        <v>41903.769999999997</v>
      </c>
    </row>
    <row r="11284" spans="1:8" s="10" customFormat="1" ht="19.5" customHeight="1" x14ac:dyDescent="0.55000000000000004">
      <c r="A11284" s="18">
        <v>24.815809000000002</v>
      </c>
      <c r="B11284" s="18">
        <v>34.834332600000003</v>
      </c>
      <c r="C11284" s="18">
        <v>685397.62</v>
      </c>
      <c r="D11284" s="18">
        <v>2745798.66</v>
      </c>
      <c r="E11284" s="18">
        <v>272.62</v>
      </c>
      <c r="F11284" s="18">
        <v>41939.49</v>
      </c>
      <c r="G11284" s="18">
        <v>142324</v>
      </c>
      <c r="H11284" s="18">
        <f t="shared" ref="H11284:H11347" si="258">SUM(F11284-35)</f>
        <v>41904.49</v>
      </c>
    </row>
    <row r="11285" spans="1:8" s="10" customFormat="1" ht="19.5" customHeight="1" x14ac:dyDescent="0.55000000000000004">
      <c r="A11285" s="18">
        <v>24.8157906</v>
      </c>
      <c r="B11285" s="18">
        <v>34.834352000000003</v>
      </c>
      <c r="C11285" s="18">
        <v>685399.62</v>
      </c>
      <c r="D11285" s="18">
        <v>2745796.64</v>
      </c>
      <c r="E11285" s="18">
        <v>272.55</v>
      </c>
      <c r="F11285" s="18">
        <v>41939.51</v>
      </c>
      <c r="G11285" s="18">
        <v>142326</v>
      </c>
      <c r="H11285" s="18">
        <f t="shared" si="258"/>
        <v>41904.51</v>
      </c>
    </row>
    <row r="11286" spans="1:8" s="10" customFormat="1" ht="19.5" customHeight="1" x14ac:dyDescent="0.55000000000000004">
      <c r="A11286" s="18">
        <v>24.8157733</v>
      </c>
      <c r="B11286" s="18">
        <v>34.834370499999999</v>
      </c>
      <c r="C11286" s="18">
        <v>685401.51</v>
      </c>
      <c r="D11286" s="18">
        <v>2745794.76</v>
      </c>
      <c r="E11286" s="18">
        <v>272.5</v>
      </c>
      <c r="F11286" s="18">
        <v>41939.69</v>
      </c>
      <c r="G11286" s="18">
        <v>142328</v>
      </c>
      <c r="H11286" s="18">
        <f t="shared" si="258"/>
        <v>41904.69</v>
      </c>
    </row>
    <row r="11287" spans="1:8" s="10" customFormat="1" ht="19.5" customHeight="1" x14ac:dyDescent="0.55000000000000004">
      <c r="A11287" s="18">
        <v>24.815755500000002</v>
      </c>
      <c r="B11287" s="18">
        <v>34.834389199999997</v>
      </c>
      <c r="C11287" s="18">
        <v>685403.42</v>
      </c>
      <c r="D11287" s="18">
        <v>2745792.81</v>
      </c>
      <c r="E11287" s="18">
        <v>272.52999999999997</v>
      </c>
      <c r="F11287" s="18">
        <v>41939.65</v>
      </c>
      <c r="G11287" s="18">
        <v>142330</v>
      </c>
      <c r="H11287" s="18">
        <f t="shared" si="258"/>
        <v>41904.65</v>
      </c>
    </row>
    <row r="11288" spans="1:8" s="10" customFormat="1" ht="19.5" customHeight="1" x14ac:dyDescent="0.55000000000000004">
      <c r="A11288" s="18">
        <v>24.815739700000002</v>
      </c>
      <c r="B11288" s="18">
        <v>34.834409700000002</v>
      </c>
      <c r="C11288" s="18">
        <v>685405.53</v>
      </c>
      <c r="D11288" s="18">
        <v>2745791.09</v>
      </c>
      <c r="E11288" s="18">
        <v>272.47000000000003</v>
      </c>
      <c r="F11288" s="18">
        <v>41939.599999999999</v>
      </c>
      <c r="G11288" s="18">
        <v>142332</v>
      </c>
      <c r="H11288" s="18">
        <f t="shared" si="258"/>
        <v>41904.6</v>
      </c>
    </row>
    <row r="11289" spans="1:8" s="10" customFormat="1" ht="19.5" customHeight="1" x14ac:dyDescent="0.55000000000000004">
      <c r="A11289" s="18">
        <v>24.8157231</v>
      </c>
      <c r="B11289" s="18">
        <v>34.834429499999999</v>
      </c>
      <c r="C11289" s="18">
        <v>685407.54</v>
      </c>
      <c r="D11289" s="18">
        <v>2745789.27</v>
      </c>
      <c r="E11289" s="18">
        <v>272.37</v>
      </c>
      <c r="F11289" s="18">
        <v>41939.9</v>
      </c>
      <c r="G11289" s="18">
        <v>142334</v>
      </c>
      <c r="H11289" s="18">
        <f t="shared" si="258"/>
        <v>41904.9</v>
      </c>
    </row>
    <row r="11290" spans="1:8" s="10" customFormat="1" ht="19.5" customHeight="1" x14ac:dyDescent="0.55000000000000004">
      <c r="A11290" s="18">
        <v>24.815706500000001</v>
      </c>
      <c r="B11290" s="18">
        <v>34.834449200000002</v>
      </c>
      <c r="C11290" s="18">
        <v>685409.56</v>
      </c>
      <c r="D11290" s="18">
        <v>2745787.47</v>
      </c>
      <c r="E11290" s="18">
        <v>272.35000000000002</v>
      </c>
      <c r="F11290" s="18">
        <v>41940</v>
      </c>
      <c r="G11290" s="18">
        <v>142336</v>
      </c>
      <c r="H11290" s="18">
        <f t="shared" si="258"/>
        <v>41905</v>
      </c>
    </row>
    <row r="11291" spans="1:8" s="10" customFormat="1" ht="19.5" customHeight="1" x14ac:dyDescent="0.55000000000000004">
      <c r="A11291" s="18">
        <v>24.815692200000001</v>
      </c>
      <c r="B11291" s="18">
        <v>34.834471000000001</v>
      </c>
      <c r="C11291" s="18">
        <v>685411.79</v>
      </c>
      <c r="D11291" s="18">
        <v>2745785.91</v>
      </c>
      <c r="E11291" s="18">
        <v>272.31</v>
      </c>
      <c r="F11291" s="18">
        <v>41940.26</v>
      </c>
      <c r="G11291" s="18">
        <v>142338</v>
      </c>
      <c r="H11291" s="18">
        <f t="shared" si="258"/>
        <v>41905.26</v>
      </c>
    </row>
    <row r="11292" spans="1:8" s="10" customFormat="1" ht="19.5" customHeight="1" x14ac:dyDescent="0.55000000000000004">
      <c r="A11292" s="18">
        <v>24.815677999999998</v>
      </c>
      <c r="B11292" s="18">
        <v>34.834493000000002</v>
      </c>
      <c r="C11292" s="18">
        <v>685414.03</v>
      </c>
      <c r="D11292" s="18">
        <v>2745784.36</v>
      </c>
      <c r="E11292" s="18">
        <v>272.27</v>
      </c>
      <c r="F11292" s="18">
        <v>41940.269999999997</v>
      </c>
      <c r="G11292" s="18">
        <v>142340</v>
      </c>
      <c r="H11292" s="18">
        <f t="shared" si="258"/>
        <v>41905.269999999997</v>
      </c>
    </row>
    <row r="11293" spans="1:8" s="10" customFormat="1" ht="19.5" customHeight="1" x14ac:dyDescent="0.55000000000000004">
      <c r="A11293" s="18">
        <v>24.815662400000001</v>
      </c>
      <c r="B11293" s="18">
        <v>34.834513800000003</v>
      </c>
      <c r="C11293" s="18">
        <v>685416.16</v>
      </c>
      <c r="D11293" s="18">
        <v>2745782.67</v>
      </c>
      <c r="E11293" s="18">
        <v>272.17</v>
      </c>
      <c r="F11293" s="18">
        <v>41940.629999999997</v>
      </c>
      <c r="G11293" s="18">
        <v>142342</v>
      </c>
      <c r="H11293" s="18">
        <f t="shared" si="258"/>
        <v>41905.629999999997</v>
      </c>
    </row>
    <row r="11294" spans="1:8" s="10" customFormat="1" ht="19.5" customHeight="1" x14ac:dyDescent="0.55000000000000004">
      <c r="A11294" s="18">
        <v>24.815643600000001</v>
      </c>
      <c r="B11294" s="18">
        <v>34.834530600000001</v>
      </c>
      <c r="C11294" s="18">
        <v>685417.89</v>
      </c>
      <c r="D11294" s="18">
        <v>2745780.61</v>
      </c>
      <c r="E11294" s="18">
        <v>272.16000000000003</v>
      </c>
      <c r="F11294" s="18">
        <v>41940.28</v>
      </c>
      <c r="G11294" s="18">
        <v>142344</v>
      </c>
      <c r="H11294" s="18">
        <f t="shared" si="258"/>
        <v>41905.279999999999</v>
      </c>
    </row>
    <row r="11295" spans="1:8" s="10" customFormat="1" ht="19.5" customHeight="1" x14ac:dyDescent="0.55000000000000004">
      <c r="A11295" s="18">
        <v>24.8156304</v>
      </c>
      <c r="B11295" s="18">
        <v>34.8345494</v>
      </c>
      <c r="C11295" s="18">
        <v>685419.81</v>
      </c>
      <c r="D11295" s="18">
        <v>2745779.17</v>
      </c>
      <c r="E11295" s="18">
        <v>272.18</v>
      </c>
      <c r="F11295" s="18">
        <v>41939.01</v>
      </c>
      <c r="G11295" s="18">
        <v>142346</v>
      </c>
      <c r="H11295" s="18">
        <f t="shared" si="258"/>
        <v>41904.01</v>
      </c>
    </row>
    <row r="11296" spans="1:8" s="10" customFormat="1" ht="19.5" customHeight="1" x14ac:dyDescent="0.55000000000000004">
      <c r="A11296" s="18">
        <v>24.815620800000001</v>
      </c>
      <c r="B11296" s="18">
        <v>34.834570900000003</v>
      </c>
      <c r="C11296" s="18">
        <v>685422</v>
      </c>
      <c r="D11296" s="18">
        <v>2745778.13</v>
      </c>
      <c r="E11296" s="18">
        <v>272.02999999999997</v>
      </c>
      <c r="F11296" s="18">
        <v>41942.32</v>
      </c>
      <c r="G11296" s="18">
        <v>142348</v>
      </c>
      <c r="H11296" s="18">
        <f t="shared" si="258"/>
        <v>41907.32</v>
      </c>
    </row>
    <row r="11297" spans="1:8" s="10" customFormat="1" ht="19.5" customHeight="1" x14ac:dyDescent="0.55000000000000004">
      <c r="A11297" s="18">
        <v>24.815603599999999</v>
      </c>
      <c r="B11297" s="18">
        <v>34.834587200000001</v>
      </c>
      <c r="C11297" s="18">
        <v>685423.67</v>
      </c>
      <c r="D11297" s="18">
        <v>2745776.25</v>
      </c>
      <c r="E11297" s="18">
        <v>272.07</v>
      </c>
      <c r="F11297" s="18">
        <v>41940.949999999997</v>
      </c>
      <c r="G11297" s="18">
        <v>142350</v>
      </c>
      <c r="H11297" s="18">
        <f t="shared" si="258"/>
        <v>41905.949999999997</v>
      </c>
    </row>
    <row r="11298" spans="1:8" s="10" customFormat="1" ht="19.5" customHeight="1" x14ac:dyDescent="0.55000000000000004">
      <c r="A11298" s="18">
        <v>24.815587099999998</v>
      </c>
      <c r="B11298" s="18">
        <v>34.834604900000002</v>
      </c>
      <c r="C11298" s="18">
        <v>685425.48</v>
      </c>
      <c r="D11298" s="18">
        <v>2745774.45</v>
      </c>
      <c r="E11298" s="18">
        <v>271.93</v>
      </c>
      <c r="F11298" s="18">
        <v>41942.17</v>
      </c>
      <c r="G11298" s="18">
        <v>142352</v>
      </c>
      <c r="H11298" s="18">
        <f t="shared" si="258"/>
        <v>41907.17</v>
      </c>
    </row>
    <row r="11299" spans="1:8" s="10" customFormat="1" ht="19.5" customHeight="1" x14ac:dyDescent="0.55000000000000004">
      <c r="A11299" s="18">
        <v>24.815570000000001</v>
      </c>
      <c r="B11299" s="18">
        <v>34.834622899999999</v>
      </c>
      <c r="C11299" s="18">
        <v>685427.32</v>
      </c>
      <c r="D11299" s="18">
        <v>2745772.58</v>
      </c>
      <c r="E11299" s="18">
        <v>271.87</v>
      </c>
      <c r="F11299" s="18">
        <v>41941.129999999997</v>
      </c>
      <c r="G11299" s="18">
        <v>142354</v>
      </c>
      <c r="H11299" s="18">
        <f t="shared" si="258"/>
        <v>41906.129999999997</v>
      </c>
    </row>
    <row r="11300" spans="1:8" s="10" customFormat="1" ht="19.5" customHeight="1" x14ac:dyDescent="0.55000000000000004">
      <c r="A11300" s="18">
        <v>24.815554899999999</v>
      </c>
      <c r="B11300" s="18">
        <v>34.834642299999999</v>
      </c>
      <c r="C11300" s="18">
        <v>685429.31</v>
      </c>
      <c r="D11300" s="18">
        <v>2745770.93</v>
      </c>
      <c r="E11300" s="18">
        <v>271.89999999999998</v>
      </c>
      <c r="F11300" s="18">
        <v>41942.620000000003</v>
      </c>
      <c r="G11300" s="18">
        <v>142356</v>
      </c>
      <c r="H11300" s="18">
        <f t="shared" si="258"/>
        <v>41907.620000000003</v>
      </c>
    </row>
    <row r="11301" spans="1:8" s="10" customFormat="1" ht="19.5" customHeight="1" x14ac:dyDescent="0.55000000000000004">
      <c r="A11301" s="18">
        <v>24.8155356</v>
      </c>
      <c r="B11301" s="18">
        <v>34.8346558</v>
      </c>
      <c r="C11301" s="18">
        <v>685430.71</v>
      </c>
      <c r="D11301" s="18">
        <v>2745768.81</v>
      </c>
      <c r="E11301" s="18">
        <v>271.76</v>
      </c>
      <c r="F11301" s="18">
        <v>41942.160000000003</v>
      </c>
      <c r="G11301" s="18">
        <v>142358</v>
      </c>
      <c r="H11301" s="18">
        <f t="shared" si="258"/>
        <v>41907.160000000003</v>
      </c>
    </row>
    <row r="11302" spans="1:8" s="10" customFormat="1" ht="19.5" customHeight="1" x14ac:dyDescent="0.55000000000000004">
      <c r="A11302" s="18">
        <v>24.8155152</v>
      </c>
      <c r="B11302" s="18">
        <v>34.834668100000002</v>
      </c>
      <c r="C11302" s="18">
        <v>685431.98</v>
      </c>
      <c r="D11302" s="18">
        <v>2745766.57</v>
      </c>
      <c r="E11302" s="18">
        <v>271.66000000000003</v>
      </c>
      <c r="F11302" s="18">
        <v>41941.449999999997</v>
      </c>
      <c r="G11302" s="18">
        <v>142400</v>
      </c>
      <c r="H11302" s="18">
        <f t="shared" si="258"/>
        <v>41906.449999999997</v>
      </c>
    </row>
    <row r="11303" spans="1:8" s="10" customFormat="1" ht="19.5" customHeight="1" x14ac:dyDescent="0.55000000000000004">
      <c r="A11303" s="18">
        <v>24.815495599999998</v>
      </c>
      <c r="B11303" s="18">
        <v>34.834683300000002</v>
      </c>
      <c r="C11303" s="18">
        <v>685433.54</v>
      </c>
      <c r="D11303" s="18">
        <v>2745764.42</v>
      </c>
      <c r="E11303" s="18">
        <v>271.57</v>
      </c>
      <c r="F11303" s="18">
        <v>41941.760000000002</v>
      </c>
      <c r="G11303" s="18">
        <v>142402</v>
      </c>
      <c r="H11303" s="18">
        <f t="shared" si="258"/>
        <v>41906.76</v>
      </c>
    </row>
    <row r="11304" spans="1:8" s="10" customFormat="1" ht="19.5" customHeight="1" x14ac:dyDescent="0.55000000000000004">
      <c r="A11304" s="18">
        <v>24.815475899999999</v>
      </c>
      <c r="B11304" s="18">
        <v>34.834699700000002</v>
      </c>
      <c r="C11304" s="18">
        <v>685435.23</v>
      </c>
      <c r="D11304" s="18">
        <v>2745762.26</v>
      </c>
      <c r="E11304" s="18">
        <v>271.51</v>
      </c>
      <c r="F11304" s="18">
        <v>41942.269999999997</v>
      </c>
      <c r="G11304" s="18">
        <v>142404</v>
      </c>
      <c r="H11304" s="18">
        <f t="shared" si="258"/>
        <v>41907.269999999997</v>
      </c>
    </row>
    <row r="11305" spans="1:8" s="10" customFormat="1" ht="19.5" customHeight="1" x14ac:dyDescent="0.55000000000000004">
      <c r="A11305" s="18">
        <v>24.815459000000001</v>
      </c>
      <c r="B11305" s="18">
        <v>34.834717599999998</v>
      </c>
      <c r="C11305" s="18">
        <v>685437.06</v>
      </c>
      <c r="D11305" s="18">
        <v>2745760.41</v>
      </c>
      <c r="E11305" s="18">
        <v>271.44</v>
      </c>
      <c r="F11305" s="18">
        <v>41942.36</v>
      </c>
      <c r="G11305" s="18">
        <v>142406</v>
      </c>
      <c r="H11305" s="18">
        <f t="shared" si="258"/>
        <v>41907.360000000001</v>
      </c>
    </row>
    <row r="11306" spans="1:8" s="10" customFormat="1" ht="19.5" customHeight="1" x14ac:dyDescent="0.55000000000000004">
      <c r="A11306" s="18">
        <v>24.815443599999998</v>
      </c>
      <c r="B11306" s="18">
        <v>34.8347373</v>
      </c>
      <c r="C11306" s="18">
        <v>685439.08</v>
      </c>
      <c r="D11306" s="18">
        <v>2745758.73</v>
      </c>
      <c r="E11306" s="18">
        <v>271.39</v>
      </c>
      <c r="F11306" s="18">
        <v>41942.71</v>
      </c>
      <c r="G11306" s="18">
        <v>142408</v>
      </c>
      <c r="H11306" s="18">
        <f t="shared" si="258"/>
        <v>41907.71</v>
      </c>
    </row>
    <row r="11307" spans="1:8" s="10" customFormat="1" ht="19.5" customHeight="1" x14ac:dyDescent="0.55000000000000004">
      <c r="A11307" s="18">
        <v>24.815427199999998</v>
      </c>
      <c r="B11307" s="18">
        <v>34.834755100000002</v>
      </c>
      <c r="C11307" s="18">
        <v>685440.9</v>
      </c>
      <c r="D11307" s="18">
        <v>2745756.94</v>
      </c>
      <c r="E11307" s="18">
        <v>271.36</v>
      </c>
      <c r="F11307" s="18">
        <v>41942.49</v>
      </c>
      <c r="G11307" s="18">
        <v>142410</v>
      </c>
      <c r="H11307" s="18">
        <f t="shared" si="258"/>
        <v>41907.49</v>
      </c>
    </row>
    <row r="11308" spans="1:8" s="10" customFormat="1" ht="19.5" customHeight="1" x14ac:dyDescent="0.55000000000000004">
      <c r="A11308" s="18">
        <v>24.8154091</v>
      </c>
      <c r="B11308" s="18">
        <v>34.834772999999998</v>
      </c>
      <c r="C11308" s="18">
        <v>685442.75</v>
      </c>
      <c r="D11308" s="18">
        <v>2745754.96</v>
      </c>
      <c r="E11308" s="18">
        <v>271.33</v>
      </c>
      <c r="F11308" s="18">
        <v>41942.699999999997</v>
      </c>
      <c r="G11308" s="18">
        <v>142412</v>
      </c>
      <c r="H11308" s="18">
        <f t="shared" si="258"/>
        <v>41907.699999999997</v>
      </c>
    </row>
    <row r="11309" spans="1:8" s="10" customFormat="1" ht="19.5" customHeight="1" x14ac:dyDescent="0.55000000000000004">
      <c r="A11309" s="18">
        <v>24.815389400000001</v>
      </c>
      <c r="B11309" s="18">
        <v>34.834790300000002</v>
      </c>
      <c r="C11309" s="18">
        <v>685444.52</v>
      </c>
      <c r="D11309" s="18">
        <v>2745752.8</v>
      </c>
      <c r="E11309" s="18">
        <v>271.29000000000002</v>
      </c>
      <c r="F11309" s="18">
        <v>41942.949999999997</v>
      </c>
      <c r="G11309" s="18">
        <v>142414</v>
      </c>
      <c r="H11309" s="18">
        <f t="shared" si="258"/>
        <v>41907.949999999997</v>
      </c>
    </row>
    <row r="11310" spans="1:8" s="10" customFormat="1" ht="19.5" customHeight="1" x14ac:dyDescent="0.55000000000000004">
      <c r="A11310" s="18">
        <v>24.8153708</v>
      </c>
      <c r="B11310" s="18">
        <v>34.834806700000001</v>
      </c>
      <c r="C11310" s="18">
        <v>685446.21</v>
      </c>
      <c r="D11310" s="18">
        <v>2745750.76</v>
      </c>
      <c r="E11310" s="18">
        <v>271.23</v>
      </c>
      <c r="F11310" s="18">
        <v>41943.21</v>
      </c>
      <c r="G11310" s="18">
        <v>142416</v>
      </c>
      <c r="H11310" s="18">
        <f t="shared" si="258"/>
        <v>41908.21</v>
      </c>
    </row>
    <row r="11311" spans="1:8" s="10" customFormat="1" ht="19.5" customHeight="1" x14ac:dyDescent="0.55000000000000004">
      <c r="A11311" s="18">
        <v>24.8153495</v>
      </c>
      <c r="B11311" s="18">
        <v>34.834811199999997</v>
      </c>
      <c r="C11311" s="18">
        <v>685446.69</v>
      </c>
      <c r="D11311" s="18">
        <v>2745748.41</v>
      </c>
      <c r="E11311" s="18">
        <v>271.08</v>
      </c>
      <c r="F11311" s="18">
        <v>41942.46</v>
      </c>
      <c r="G11311" s="18">
        <v>142418</v>
      </c>
      <c r="H11311" s="18">
        <f t="shared" si="258"/>
        <v>41907.46</v>
      </c>
    </row>
    <row r="11312" spans="1:8" s="10" customFormat="1" ht="19.5" customHeight="1" x14ac:dyDescent="0.55000000000000004">
      <c r="A11312" s="18">
        <v>24.8153258</v>
      </c>
      <c r="B11312" s="18">
        <v>34.834819600000003</v>
      </c>
      <c r="C11312" s="18">
        <v>685447.58</v>
      </c>
      <c r="D11312" s="18">
        <v>2745745.79</v>
      </c>
      <c r="E11312" s="18">
        <v>270.89999999999998</v>
      </c>
      <c r="F11312" s="18">
        <v>41944.37</v>
      </c>
      <c r="G11312" s="18">
        <v>142420</v>
      </c>
      <c r="H11312" s="18">
        <f t="shared" si="258"/>
        <v>41909.370000000003</v>
      </c>
    </row>
    <row r="11313" spans="1:8" s="10" customFormat="1" ht="19.5" customHeight="1" x14ac:dyDescent="0.55000000000000004">
      <c r="A11313" s="18">
        <v>24.815307199999999</v>
      </c>
      <c r="B11313" s="18">
        <v>34.834837399999998</v>
      </c>
      <c r="C11313" s="18">
        <v>685449.41</v>
      </c>
      <c r="D11313" s="18">
        <v>2745743.76</v>
      </c>
      <c r="E11313" s="18">
        <v>270.91000000000003</v>
      </c>
      <c r="F11313" s="18">
        <v>41945.02</v>
      </c>
      <c r="G11313" s="18">
        <v>142422</v>
      </c>
      <c r="H11313" s="18">
        <f t="shared" si="258"/>
        <v>41910.019999999997</v>
      </c>
    </row>
    <row r="11314" spans="1:8" s="10" customFormat="1" ht="19.5" customHeight="1" x14ac:dyDescent="0.55000000000000004">
      <c r="A11314" s="18">
        <v>24.8152908</v>
      </c>
      <c r="B11314" s="18">
        <v>34.834857300000003</v>
      </c>
      <c r="C11314" s="18">
        <v>685451.43</v>
      </c>
      <c r="D11314" s="18">
        <v>2745741.98</v>
      </c>
      <c r="E11314" s="18">
        <v>270.97000000000003</v>
      </c>
      <c r="F11314" s="18">
        <v>41943.839999999997</v>
      </c>
      <c r="G11314" s="18">
        <v>142424</v>
      </c>
      <c r="H11314" s="18">
        <f t="shared" si="258"/>
        <v>41908.839999999997</v>
      </c>
    </row>
    <row r="11315" spans="1:8" s="10" customFormat="1" ht="19.5" customHeight="1" x14ac:dyDescent="0.55000000000000004">
      <c r="A11315" s="18">
        <v>24.815276000000001</v>
      </c>
      <c r="B11315" s="18">
        <v>34.8348783</v>
      </c>
      <c r="C11315" s="18">
        <v>685453.58</v>
      </c>
      <c r="D11315" s="18">
        <v>2745740.36</v>
      </c>
      <c r="E11315" s="18">
        <v>270.93</v>
      </c>
      <c r="F11315" s="18">
        <v>41945.01</v>
      </c>
      <c r="G11315" s="18">
        <v>142426</v>
      </c>
      <c r="H11315" s="18">
        <f t="shared" si="258"/>
        <v>41910.01</v>
      </c>
    </row>
    <row r="11316" spans="1:8" s="10" customFormat="1" ht="19.5" customHeight="1" x14ac:dyDescent="0.55000000000000004">
      <c r="A11316" s="18">
        <v>24.8152592</v>
      </c>
      <c r="B11316" s="18">
        <v>34.834898899999999</v>
      </c>
      <c r="C11316" s="18">
        <v>685455.69</v>
      </c>
      <c r="D11316" s="18">
        <v>2745738.53</v>
      </c>
      <c r="E11316" s="18">
        <v>270.81</v>
      </c>
      <c r="F11316" s="18">
        <v>41944.62</v>
      </c>
      <c r="G11316" s="18">
        <v>142428</v>
      </c>
      <c r="H11316" s="18">
        <f t="shared" si="258"/>
        <v>41909.620000000003</v>
      </c>
    </row>
    <row r="11317" spans="1:8" s="10" customFormat="1" ht="19.5" customHeight="1" x14ac:dyDescent="0.55000000000000004">
      <c r="A11317" s="18">
        <v>24.8152452</v>
      </c>
      <c r="B11317" s="18">
        <v>34.8349197</v>
      </c>
      <c r="C11317" s="18">
        <v>685457.81</v>
      </c>
      <c r="D11317" s="18">
        <v>2745737.01</v>
      </c>
      <c r="E11317" s="18">
        <v>270.79000000000002</v>
      </c>
      <c r="F11317" s="18">
        <v>41945.23</v>
      </c>
      <c r="G11317" s="18">
        <v>142430</v>
      </c>
      <c r="H11317" s="18">
        <f t="shared" si="258"/>
        <v>41910.230000000003</v>
      </c>
    </row>
    <row r="11318" spans="1:8" s="10" customFormat="1" ht="19.5" customHeight="1" x14ac:dyDescent="0.55000000000000004">
      <c r="A11318" s="18">
        <v>24.815233800000001</v>
      </c>
      <c r="B11318" s="18">
        <v>34.834943099999997</v>
      </c>
      <c r="C11318" s="18">
        <v>685460.2</v>
      </c>
      <c r="D11318" s="18">
        <v>2745735.78</v>
      </c>
      <c r="E11318" s="18">
        <v>270.74</v>
      </c>
      <c r="F11318" s="18">
        <v>41944.78</v>
      </c>
      <c r="G11318" s="18">
        <v>142432</v>
      </c>
      <c r="H11318" s="18">
        <f t="shared" si="258"/>
        <v>41909.78</v>
      </c>
    </row>
    <row r="11319" spans="1:8" s="10" customFormat="1" ht="19.5" customHeight="1" x14ac:dyDescent="0.55000000000000004">
      <c r="A11319" s="18">
        <v>24.8152191</v>
      </c>
      <c r="B11319" s="18">
        <v>34.834963899999998</v>
      </c>
      <c r="C11319" s="18">
        <v>685462.32</v>
      </c>
      <c r="D11319" s="18">
        <v>2745734.18</v>
      </c>
      <c r="E11319" s="18">
        <v>270.70999999999998</v>
      </c>
      <c r="F11319" s="18">
        <v>41945.64</v>
      </c>
      <c r="G11319" s="18">
        <v>142434</v>
      </c>
      <c r="H11319" s="18">
        <f t="shared" si="258"/>
        <v>41910.639999999999</v>
      </c>
    </row>
    <row r="11320" spans="1:8" s="10" customFormat="1" ht="19.5" customHeight="1" x14ac:dyDescent="0.55000000000000004">
      <c r="A11320" s="18">
        <v>24.815199700000001</v>
      </c>
      <c r="B11320" s="18">
        <v>34.834979500000003</v>
      </c>
      <c r="C11320" s="18">
        <v>685463.93</v>
      </c>
      <c r="D11320" s="18">
        <v>2745732.04</v>
      </c>
      <c r="E11320" s="18">
        <v>270.70999999999998</v>
      </c>
      <c r="F11320" s="18">
        <v>41945.03</v>
      </c>
      <c r="G11320" s="18">
        <v>142436</v>
      </c>
      <c r="H11320" s="18">
        <f t="shared" si="258"/>
        <v>41910.03</v>
      </c>
    </row>
    <row r="11321" spans="1:8" s="10" customFormat="1" ht="19.5" customHeight="1" x14ac:dyDescent="0.55000000000000004">
      <c r="A11321" s="18">
        <v>24.8151844</v>
      </c>
      <c r="B11321" s="18">
        <v>34.834999500000002</v>
      </c>
      <c r="C11321" s="18">
        <v>685465.97</v>
      </c>
      <c r="D11321" s="18">
        <v>2745730.38</v>
      </c>
      <c r="E11321" s="18">
        <v>270.79000000000002</v>
      </c>
      <c r="F11321" s="18">
        <v>41945.11</v>
      </c>
      <c r="G11321" s="18">
        <v>142438</v>
      </c>
      <c r="H11321" s="18">
        <f t="shared" si="258"/>
        <v>41910.11</v>
      </c>
    </row>
    <row r="11322" spans="1:8" s="10" customFormat="1" ht="19.5" customHeight="1" x14ac:dyDescent="0.55000000000000004">
      <c r="A11322" s="18">
        <v>24.815169999999998</v>
      </c>
      <c r="B11322" s="18">
        <v>34.835019699999997</v>
      </c>
      <c r="C11322" s="18">
        <v>685468.04</v>
      </c>
      <c r="D11322" s="18">
        <v>2745728.81</v>
      </c>
      <c r="E11322" s="18">
        <v>270.73</v>
      </c>
      <c r="F11322" s="18">
        <v>41944.69</v>
      </c>
      <c r="G11322" s="18">
        <v>142440</v>
      </c>
      <c r="H11322" s="18">
        <f t="shared" si="258"/>
        <v>41909.69</v>
      </c>
    </row>
    <row r="11323" spans="1:8" s="10" customFormat="1" ht="19.5" customHeight="1" x14ac:dyDescent="0.55000000000000004">
      <c r="A11323" s="18">
        <v>24.815157200000002</v>
      </c>
      <c r="B11323" s="18">
        <v>34.8350425</v>
      </c>
      <c r="C11323" s="18">
        <v>685470.37</v>
      </c>
      <c r="D11323" s="18">
        <v>2745727.43</v>
      </c>
      <c r="E11323" s="18">
        <v>270.64</v>
      </c>
      <c r="F11323" s="18">
        <v>41944.14</v>
      </c>
      <c r="G11323" s="18">
        <v>142442</v>
      </c>
      <c r="H11323" s="18">
        <f t="shared" si="258"/>
        <v>41909.14</v>
      </c>
    </row>
    <row r="11324" spans="1:8" s="10" customFormat="1" ht="19.5" customHeight="1" x14ac:dyDescent="0.55000000000000004">
      <c r="A11324" s="18">
        <v>24.8151452</v>
      </c>
      <c r="B11324" s="18">
        <v>34.835065399999998</v>
      </c>
      <c r="C11324" s="18">
        <v>685472.7</v>
      </c>
      <c r="D11324" s="18">
        <v>2745726.12</v>
      </c>
      <c r="E11324" s="18">
        <v>270.64</v>
      </c>
      <c r="F11324" s="18">
        <v>41943.31</v>
      </c>
      <c r="G11324" s="18">
        <v>142444</v>
      </c>
      <c r="H11324" s="18">
        <f t="shared" si="258"/>
        <v>41908.31</v>
      </c>
    </row>
    <row r="11325" spans="1:8" s="10" customFormat="1" ht="19.5" customHeight="1" x14ac:dyDescent="0.55000000000000004">
      <c r="A11325" s="18">
        <v>24.815133800000002</v>
      </c>
      <c r="B11325" s="18">
        <v>34.835087100000003</v>
      </c>
      <c r="C11325" s="18">
        <v>685474.91</v>
      </c>
      <c r="D11325" s="18">
        <v>2745724.89</v>
      </c>
      <c r="E11325" s="18">
        <v>270.64999999999998</v>
      </c>
      <c r="F11325" s="18">
        <v>41943.14</v>
      </c>
      <c r="G11325" s="18">
        <v>142446</v>
      </c>
      <c r="H11325" s="18">
        <f t="shared" si="258"/>
        <v>41908.14</v>
      </c>
    </row>
    <row r="11326" spans="1:8" s="10" customFormat="1" ht="19.5" customHeight="1" x14ac:dyDescent="0.55000000000000004">
      <c r="A11326" s="18">
        <v>24.8151197</v>
      </c>
      <c r="B11326" s="18">
        <v>34.835108400000003</v>
      </c>
      <c r="C11326" s="18">
        <v>685477.08</v>
      </c>
      <c r="D11326" s="18">
        <v>2745723.37</v>
      </c>
      <c r="E11326" s="18">
        <v>270.58</v>
      </c>
      <c r="F11326" s="18">
        <v>41944.57</v>
      </c>
      <c r="G11326" s="18">
        <v>142448</v>
      </c>
      <c r="H11326" s="18">
        <f t="shared" si="258"/>
        <v>41909.57</v>
      </c>
    </row>
    <row r="11327" spans="1:8" s="10" customFormat="1" ht="19.5" customHeight="1" x14ac:dyDescent="0.55000000000000004">
      <c r="A11327" s="18">
        <v>24.815101800000001</v>
      </c>
      <c r="B11327" s="18">
        <v>34.835123400000001</v>
      </c>
      <c r="C11327" s="18">
        <v>685478.62</v>
      </c>
      <c r="D11327" s="18">
        <v>2745721.41</v>
      </c>
      <c r="E11327" s="18">
        <v>270.52</v>
      </c>
      <c r="F11327" s="18">
        <v>41944.17</v>
      </c>
      <c r="G11327" s="18">
        <v>142450</v>
      </c>
      <c r="H11327" s="18">
        <f t="shared" si="258"/>
        <v>41909.17</v>
      </c>
    </row>
    <row r="11328" spans="1:8" s="10" customFormat="1" ht="19.5" customHeight="1" x14ac:dyDescent="0.55000000000000004">
      <c r="A11328" s="18">
        <v>24.815082100000001</v>
      </c>
      <c r="B11328" s="18">
        <v>34.835137000000003</v>
      </c>
      <c r="C11328" s="18">
        <v>685480.03</v>
      </c>
      <c r="D11328" s="18">
        <v>2745719.24</v>
      </c>
      <c r="E11328" s="18">
        <v>270.63</v>
      </c>
      <c r="F11328" s="18">
        <v>41944.15</v>
      </c>
      <c r="G11328" s="18">
        <v>142452</v>
      </c>
      <c r="H11328" s="18">
        <f t="shared" si="258"/>
        <v>41909.15</v>
      </c>
    </row>
    <row r="11329" spans="1:8" s="10" customFormat="1" ht="19.5" customHeight="1" x14ac:dyDescent="0.55000000000000004">
      <c r="A11329" s="18">
        <v>24.815064799999998</v>
      </c>
      <c r="B11329" s="18">
        <v>34.8351525</v>
      </c>
      <c r="C11329" s="18">
        <v>685481.62</v>
      </c>
      <c r="D11329" s="18">
        <v>2745717.35</v>
      </c>
      <c r="E11329" s="18">
        <v>270.52999999999997</v>
      </c>
      <c r="F11329" s="18">
        <v>41944.79</v>
      </c>
      <c r="G11329" s="18">
        <v>142454</v>
      </c>
      <c r="H11329" s="18">
        <f t="shared" si="258"/>
        <v>41909.79</v>
      </c>
    </row>
    <row r="11330" spans="1:8" s="10" customFormat="1" ht="19.5" customHeight="1" x14ac:dyDescent="0.55000000000000004">
      <c r="A11330" s="18">
        <v>24.815047400000001</v>
      </c>
      <c r="B11330" s="18">
        <v>34.835169700000002</v>
      </c>
      <c r="C11330" s="18">
        <v>685483.39</v>
      </c>
      <c r="D11330" s="18">
        <v>2745715.44</v>
      </c>
      <c r="E11330" s="18">
        <v>270.43</v>
      </c>
      <c r="F11330" s="18">
        <v>41945.79</v>
      </c>
      <c r="G11330" s="18">
        <v>142456</v>
      </c>
      <c r="H11330" s="18">
        <f t="shared" si="258"/>
        <v>41910.79</v>
      </c>
    </row>
    <row r="11331" spans="1:8" s="10" customFormat="1" ht="19.5" customHeight="1" x14ac:dyDescent="0.55000000000000004">
      <c r="A11331" s="18">
        <v>24.815027700000002</v>
      </c>
      <c r="B11331" s="18">
        <v>34.835184499999997</v>
      </c>
      <c r="C11331" s="18">
        <v>685484.91</v>
      </c>
      <c r="D11331" s="18">
        <v>2745713.28</v>
      </c>
      <c r="E11331" s="18">
        <v>270.45999999999998</v>
      </c>
      <c r="F11331" s="18">
        <v>41945.74</v>
      </c>
      <c r="G11331" s="18">
        <v>142458</v>
      </c>
      <c r="H11331" s="18">
        <f t="shared" si="258"/>
        <v>41910.74</v>
      </c>
    </row>
    <row r="11332" spans="1:8" s="10" customFormat="1" ht="19.5" customHeight="1" x14ac:dyDescent="0.55000000000000004">
      <c r="A11332" s="18">
        <v>24.815011500000001</v>
      </c>
      <c r="B11332" s="18">
        <v>34.835202199999998</v>
      </c>
      <c r="C11332" s="18">
        <v>685486.72</v>
      </c>
      <c r="D11332" s="18">
        <v>2745711.51</v>
      </c>
      <c r="E11332" s="18">
        <v>270.39999999999998</v>
      </c>
      <c r="F11332" s="18">
        <v>41947.199999999997</v>
      </c>
      <c r="G11332" s="18">
        <v>142500</v>
      </c>
      <c r="H11332" s="18">
        <f t="shared" si="258"/>
        <v>41912.199999999997</v>
      </c>
    </row>
    <row r="11333" spans="1:8" s="10" customFormat="1" ht="19.5" customHeight="1" x14ac:dyDescent="0.55000000000000004">
      <c r="A11333" s="18">
        <v>24.814995199999998</v>
      </c>
      <c r="B11333" s="18">
        <v>34.835219299999999</v>
      </c>
      <c r="C11333" s="18">
        <v>685488.47</v>
      </c>
      <c r="D11333" s="18">
        <v>2745709.73</v>
      </c>
      <c r="E11333" s="18">
        <v>270.37</v>
      </c>
      <c r="F11333" s="18">
        <v>41946.23</v>
      </c>
      <c r="G11333" s="18">
        <v>142502</v>
      </c>
      <c r="H11333" s="18">
        <f t="shared" si="258"/>
        <v>41911.230000000003</v>
      </c>
    </row>
    <row r="11334" spans="1:8" s="10" customFormat="1" ht="19.5" customHeight="1" x14ac:dyDescent="0.55000000000000004">
      <c r="A11334" s="18">
        <v>24.814977299999999</v>
      </c>
      <c r="B11334" s="18">
        <v>34.835235900000001</v>
      </c>
      <c r="C11334" s="18">
        <v>685490.18</v>
      </c>
      <c r="D11334" s="18">
        <v>2745707.76</v>
      </c>
      <c r="E11334" s="18">
        <v>270.38</v>
      </c>
      <c r="F11334" s="18">
        <v>41945.84</v>
      </c>
      <c r="G11334" s="18">
        <v>142504</v>
      </c>
      <c r="H11334" s="18">
        <f t="shared" si="258"/>
        <v>41910.839999999997</v>
      </c>
    </row>
    <row r="11335" spans="1:8" s="10" customFormat="1" ht="19.5" customHeight="1" x14ac:dyDescent="0.55000000000000004">
      <c r="A11335" s="18">
        <v>24.8149619</v>
      </c>
      <c r="B11335" s="18">
        <v>34.835251700000001</v>
      </c>
      <c r="C11335" s="18">
        <v>685491.8</v>
      </c>
      <c r="D11335" s="18">
        <v>2745706.08</v>
      </c>
      <c r="E11335" s="18">
        <v>270.31</v>
      </c>
      <c r="F11335" s="18">
        <v>41947.64</v>
      </c>
      <c r="G11335" s="18">
        <v>142506</v>
      </c>
      <c r="H11335" s="18">
        <f t="shared" si="258"/>
        <v>41912.639999999999</v>
      </c>
    </row>
    <row r="11336" spans="1:8" s="10" customFormat="1" ht="19.5" customHeight="1" x14ac:dyDescent="0.55000000000000004">
      <c r="A11336" s="18">
        <v>24.814943400000001</v>
      </c>
      <c r="B11336" s="18">
        <v>34.835265900000003</v>
      </c>
      <c r="C11336" s="18">
        <v>685493.26</v>
      </c>
      <c r="D11336" s="18">
        <v>2745704.05</v>
      </c>
      <c r="E11336" s="18">
        <v>270.26</v>
      </c>
      <c r="F11336" s="18">
        <v>41946.12</v>
      </c>
      <c r="G11336" s="18">
        <v>142508</v>
      </c>
      <c r="H11336" s="18">
        <f t="shared" si="258"/>
        <v>41911.120000000003</v>
      </c>
    </row>
    <row r="11337" spans="1:8" s="10" customFormat="1" ht="19.5" customHeight="1" x14ac:dyDescent="0.55000000000000004">
      <c r="A11337" s="18">
        <v>24.814925500000001</v>
      </c>
      <c r="B11337" s="18">
        <v>34.835279900000003</v>
      </c>
      <c r="C11337" s="18">
        <v>685494.71</v>
      </c>
      <c r="D11337" s="18">
        <v>2745702.09</v>
      </c>
      <c r="E11337" s="18">
        <v>270.19</v>
      </c>
      <c r="F11337" s="18">
        <v>41945.22</v>
      </c>
      <c r="G11337" s="18">
        <v>142510</v>
      </c>
      <c r="H11337" s="18">
        <f t="shared" si="258"/>
        <v>41910.22</v>
      </c>
    </row>
    <row r="11338" spans="1:8" s="10" customFormat="1" ht="19.5" customHeight="1" x14ac:dyDescent="0.55000000000000004">
      <c r="A11338" s="18">
        <v>24.814907300000002</v>
      </c>
      <c r="B11338" s="18">
        <v>34.835296200000002</v>
      </c>
      <c r="C11338" s="18">
        <v>685496.38</v>
      </c>
      <c r="D11338" s="18">
        <v>2745700.09</v>
      </c>
      <c r="E11338" s="18">
        <v>270.19</v>
      </c>
      <c r="F11338" s="18">
        <v>41945.47</v>
      </c>
      <c r="G11338" s="18">
        <v>142512</v>
      </c>
      <c r="H11338" s="18">
        <f t="shared" si="258"/>
        <v>41910.47</v>
      </c>
    </row>
    <row r="11339" spans="1:8" s="10" customFormat="1" ht="19.5" customHeight="1" x14ac:dyDescent="0.55000000000000004">
      <c r="A11339" s="18">
        <v>24.8148892</v>
      </c>
      <c r="B11339" s="18">
        <v>34.835310399999997</v>
      </c>
      <c r="C11339" s="18">
        <v>685497.84</v>
      </c>
      <c r="D11339" s="18">
        <v>2745698.11</v>
      </c>
      <c r="E11339" s="18">
        <v>270.10000000000002</v>
      </c>
      <c r="F11339" s="18">
        <v>41946.66</v>
      </c>
      <c r="G11339" s="18">
        <v>142514</v>
      </c>
      <c r="H11339" s="18">
        <f t="shared" si="258"/>
        <v>41911.660000000003</v>
      </c>
    </row>
    <row r="11340" spans="1:8" s="10" customFormat="1" ht="19.5" customHeight="1" x14ac:dyDescent="0.55000000000000004">
      <c r="A11340" s="18">
        <v>24.814867799999998</v>
      </c>
      <c r="B11340" s="18">
        <v>34.835321700000001</v>
      </c>
      <c r="C11340" s="18">
        <v>685499.02</v>
      </c>
      <c r="D11340" s="18">
        <v>2745695.75</v>
      </c>
      <c r="E11340" s="18">
        <v>270</v>
      </c>
      <c r="F11340" s="18">
        <v>41945.24</v>
      </c>
      <c r="G11340" s="18">
        <v>142516</v>
      </c>
      <c r="H11340" s="18">
        <f t="shared" si="258"/>
        <v>41910.239999999998</v>
      </c>
    </row>
    <row r="11341" spans="1:8" s="10" customFormat="1" ht="19.5" customHeight="1" x14ac:dyDescent="0.55000000000000004">
      <c r="A11341" s="18">
        <v>24.814847</v>
      </c>
      <c r="B11341" s="18">
        <v>34.8353331</v>
      </c>
      <c r="C11341" s="18">
        <v>685500.21</v>
      </c>
      <c r="D11341" s="18">
        <v>2745693.46</v>
      </c>
      <c r="E11341" s="18">
        <v>269.99</v>
      </c>
      <c r="F11341" s="18">
        <v>41946.05</v>
      </c>
      <c r="G11341" s="18">
        <v>142518</v>
      </c>
      <c r="H11341" s="18">
        <f t="shared" si="258"/>
        <v>41911.050000000003</v>
      </c>
    </row>
    <row r="11342" spans="1:8" s="10" customFormat="1" ht="19.5" customHeight="1" x14ac:dyDescent="0.55000000000000004">
      <c r="A11342" s="18">
        <v>24.814826199999999</v>
      </c>
      <c r="B11342" s="18">
        <v>34.835342699999998</v>
      </c>
      <c r="C11342" s="18">
        <v>685501.2</v>
      </c>
      <c r="D11342" s="18">
        <v>2745691.17</v>
      </c>
      <c r="E11342" s="18">
        <v>269.98</v>
      </c>
      <c r="F11342" s="18">
        <v>41945.02</v>
      </c>
      <c r="G11342" s="18">
        <v>142520</v>
      </c>
      <c r="H11342" s="18">
        <f t="shared" si="258"/>
        <v>41910.019999999997</v>
      </c>
    </row>
    <row r="11343" spans="1:8" s="10" customFormat="1" ht="19.5" customHeight="1" x14ac:dyDescent="0.55000000000000004">
      <c r="A11343" s="18">
        <v>24.8148065</v>
      </c>
      <c r="B11343" s="18">
        <v>34.835355900000003</v>
      </c>
      <c r="C11343" s="18">
        <v>685502.57</v>
      </c>
      <c r="D11343" s="18">
        <v>2745689.01</v>
      </c>
      <c r="E11343" s="18">
        <v>269.83</v>
      </c>
      <c r="F11343" s="18">
        <v>41945.53</v>
      </c>
      <c r="G11343" s="18">
        <v>142522</v>
      </c>
      <c r="H11343" s="18">
        <f t="shared" si="258"/>
        <v>41910.53</v>
      </c>
    </row>
    <row r="11344" spans="1:8" s="10" customFormat="1" ht="19.5" customHeight="1" x14ac:dyDescent="0.55000000000000004">
      <c r="A11344" s="18">
        <v>24.814788499999999</v>
      </c>
      <c r="B11344" s="18">
        <v>34.835374100000003</v>
      </c>
      <c r="C11344" s="18">
        <v>685504.43</v>
      </c>
      <c r="D11344" s="18">
        <v>2745687.04</v>
      </c>
      <c r="E11344" s="18">
        <v>269.77</v>
      </c>
      <c r="F11344" s="18">
        <v>41947.35</v>
      </c>
      <c r="G11344" s="18">
        <v>142524</v>
      </c>
      <c r="H11344" s="18">
        <f t="shared" si="258"/>
        <v>41912.35</v>
      </c>
    </row>
    <row r="11345" spans="1:8" s="10" customFormat="1" ht="19.5" customHeight="1" x14ac:dyDescent="0.55000000000000004">
      <c r="A11345" s="18">
        <v>24.814769099999999</v>
      </c>
      <c r="B11345" s="18">
        <v>34.835388799999997</v>
      </c>
      <c r="C11345" s="18">
        <v>685505.95</v>
      </c>
      <c r="D11345" s="18">
        <v>2745684.91</v>
      </c>
      <c r="E11345" s="18">
        <v>269.87</v>
      </c>
      <c r="F11345" s="18">
        <v>41946.43</v>
      </c>
      <c r="G11345" s="18">
        <v>142526</v>
      </c>
      <c r="H11345" s="18">
        <f t="shared" si="258"/>
        <v>41911.43</v>
      </c>
    </row>
    <row r="11346" spans="1:8" s="10" customFormat="1" ht="19.5" customHeight="1" x14ac:dyDescent="0.55000000000000004">
      <c r="A11346" s="18">
        <v>24.814748999999999</v>
      </c>
      <c r="B11346" s="18">
        <v>34.835402000000002</v>
      </c>
      <c r="C11346" s="18">
        <v>685507.31</v>
      </c>
      <c r="D11346" s="18">
        <v>2745682.7</v>
      </c>
      <c r="E11346" s="18">
        <v>269.79000000000002</v>
      </c>
      <c r="F11346" s="18">
        <v>41946.45</v>
      </c>
      <c r="G11346" s="18">
        <v>142528</v>
      </c>
      <c r="H11346" s="18">
        <f t="shared" si="258"/>
        <v>41911.449999999997</v>
      </c>
    </row>
    <row r="11347" spans="1:8" s="10" customFormat="1" ht="19.5" customHeight="1" x14ac:dyDescent="0.55000000000000004">
      <c r="A11347" s="18">
        <v>24.814728500000001</v>
      </c>
      <c r="B11347" s="18">
        <v>34.835416100000003</v>
      </c>
      <c r="C11347" s="18">
        <v>685508.76</v>
      </c>
      <c r="D11347" s="18">
        <v>2745680.46</v>
      </c>
      <c r="E11347" s="18">
        <v>269.74</v>
      </c>
      <c r="F11347" s="18">
        <v>41946.89</v>
      </c>
      <c r="G11347" s="18">
        <v>142530</v>
      </c>
      <c r="H11347" s="18">
        <f t="shared" si="258"/>
        <v>41911.89</v>
      </c>
    </row>
    <row r="11348" spans="1:8" s="10" customFormat="1" ht="19.5" customHeight="1" x14ac:dyDescent="0.55000000000000004">
      <c r="A11348" s="18">
        <v>24.814708100000001</v>
      </c>
      <c r="B11348" s="18">
        <v>34.835428999999998</v>
      </c>
      <c r="C11348" s="18">
        <v>685510.11</v>
      </c>
      <c r="D11348" s="18">
        <v>2745678.21</v>
      </c>
      <c r="E11348" s="18">
        <v>269.74</v>
      </c>
      <c r="F11348" s="18">
        <v>41946.8</v>
      </c>
      <c r="G11348" s="18">
        <v>142532</v>
      </c>
      <c r="H11348" s="18">
        <f t="shared" ref="H11348:H11411" si="259">SUM(F11348-35)</f>
        <v>41911.800000000003</v>
      </c>
    </row>
    <row r="11349" spans="1:8" s="10" customFormat="1" ht="19.5" customHeight="1" x14ac:dyDescent="0.55000000000000004">
      <c r="A11349" s="18">
        <v>24.814686399999999</v>
      </c>
      <c r="B11349" s="18">
        <v>34.835442999999998</v>
      </c>
      <c r="C11349" s="18">
        <v>685511.55</v>
      </c>
      <c r="D11349" s="18">
        <v>2745675.83</v>
      </c>
      <c r="E11349" s="18">
        <v>269.76</v>
      </c>
      <c r="F11349" s="18">
        <v>41947.35</v>
      </c>
      <c r="G11349" s="18">
        <v>142534</v>
      </c>
      <c r="H11349" s="18">
        <f t="shared" si="259"/>
        <v>41912.35</v>
      </c>
    </row>
    <row r="11350" spans="1:8" s="10" customFormat="1" ht="19.5" customHeight="1" x14ac:dyDescent="0.55000000000000004">
      <c r="A11350" s="18">
        <v>24.814667199999999</v>
      </c>
      <c r="B11350" s="18">
        <v>34.835458500000001</v>
      </c>
      <c r="C11350" s="18">
        <v>685513.15</v>
      </c>
      <c r="D11350" s="18">
        <v>2745673.72</v>
      </c>
      <c r="E11350" s="18">
        <v>269.7</v>
      </c>
      <c r="F11350" s="18">
        <v>41947.57</v>
      </c>
      <c r="G11350" s="18">
        <v>142536</v>
      </c>
      <c r="H11350" s="18">
        <f t="shared" si="259"/>
        <v>41912.57</v>
      </c>
    </row>
    <row r="11351" spans="1:8" s="10" customFormat="1" ht="19.5" customHeight="1" x14ac:dyDescent="0.55000000000000004">
      <c r="A11351" s="18">
        <v>24.8146509</v>
      </c>
      <c r="B11351" s="18">
        <v>34.835476800000002</v>
      </c>
      <c r="C11351" s="18">
        <v>685515.02</v>
      </c>
      <c r="D11351" s="18">
        <v>2745671.94</v>
      </c>
      <c r="E11351" s="18">
        <v>269.77</v>
      </c>
      <c r="F11351" s="18">
        <v>41948.51</v>
      </c>
      <c r="G11351" s="18">
        <v>142538</v>
      </c>
      <c r="H11351" s="18">
        <f t="shared" si="259"/>
        <v>41913.51</v>
      </c>
    </row>
    <row r="11352" spans="1:8" s="10" customFormat="1" ht="19.5" customHeight="1" x14ac:dyDescent="0.55000000000000004">
      <c r="A11352" s="18">
        <v>24.814631500000001</v>
      </c>
      <c r="B11352" s="18">
        <v>34.8354912</v>
      </c>
      <c r="C11352" s="18">
        <v>685516.51</v>
      </c>
      <c r="D11352" s="18">
        <v>2745669.81</v>
      </c>
      <c r="E11352" s="18">
        <v>269.68</v>
      </c>
      <c r="F11352" s="18">
        <v>41948.25</v>
      </c>
      <c r="G11352" s="18">
        <v>142540</v>
      </c>
      <c r="H11352" s="18">
        <f t="shared" si="259"/>
        <v>41913.25</v>
      </c>
    </row>
    <row r="11353" spans="1:8" s="10" customFormat="1" ht="19.5" customHeight="1" x14ac:dyDescent="0.55000000000000004">
      <c r="A11353" s="18">
        <v>24.814611200000002</v>
      </c>
      <c r="B11353" s="18">
        <v>34.8355046</v>
      </c>
      <c r="C11353" s="18">
        <v>685517.89</v>
      </c>
      <c r="D11353" s="18">
        <v>2745667.57</v>
      </c>
      <c r="E11353" s="18">
        <v>269.62</v>
      </c>
      <c r="F11353" s="18">
        <v>41948.13</v>
      </c>
      <c r="G11353" s="18">
        <v>142542</v>
      </c>
      <c r="H11353" s="18">
        <f t="shared" si="259"/>
        <v>41913.129999999997</v>
      </c>
    </row>
    <row r="11354" spans="1:8" s="10" customFormat="1" ht="19.5" customHeight="1" x14ac:dyDescent="0.55000000000000004">
      <c r="A11354" s="18">
        <v>24.8145892</v>
      </c>
      <c r="B11354" s="18">
        <v>34.835515600000001</v>
      </c>
      <c r="C11354" s="18">
        <v>685519.04</v>
      </c>
      <c r="D11354" s="18">
        <v>2745665.15</v>
      </c>
      <c r="E11354" s="18">
        <v>269.63</v>
      </c>
      <c r="F11354" s="18">
        <v>41947.69</v>
      </c>
      <c r="G11354" s="18">
        <v>142544</v>
      </c>
      <c r="H11354" s="18">
        <f t="shared" si="259"/>
        <v>41912.69</v>
      </c>
    </row>
    <row r="11355" spans="1:8" s="10" customFormat="1" ht="19.5" customHeight="1" x14ac:dyDescent="0.55000000000000004">
      <c r="A11355" s="18">
        <v>24.814565999999999</v>
      </c>
      <c r="B11355" s="18">
        <v>34.835525199999999</v>
      </c>
      <c r="C11355" s="18">
        <v>685520.04</v>
      </c>
      <c r="D11355" s="18">
        <v>2745662.6</v>
      </c>
      <c r="E11355" s="18">
        <v>269.55</v>
      </c>
      <c r="F11355" s="18">
        <v>41948.06</v>
      </c>
      <c r="G11355" s="18">
        <v>142546</v>
      </c>
      <c r="H11355" s="18">
        <f t="shared" si="259"/>
        <v>41913.06</v>
      </c>
    </row>
    <row r="11356" spans="1:8" s="10" customFormat="1" ht="19.5" customHeight="1" x14ac:dyDescent="0.55000000000000004">
      <c r="A11356" s="18">
        <v>24.8145433</v>
      </c>
      <c r="B11356" s="18">
        <v>34.835535999999998</v>
      </c>
      <c r="C11356" s="18">
        <v>685521.17</v>
      </c>
      <c r="D11356" s="18">
        <v>2745660.1</v>
      </c>
      <c r="E11356" s="18">
        <v>269.47000000000003</v>
      </c>
      <c r="F11356" s="18">
        <v>41949.07</v>
      </c>
      <c r="G11356" s="18">
        <v>142548</v>
      </c>
      <c r="H11356" s="18">
        <f t="shared" si="259"/>
        <v>41914.07</v>
      </c>
    </row>
    <row r="11357" spans="1:8" s="10" customFormat="1" ht="19.5" customHeight="1" x14ac:dyDescent="0.55000000000000004">
      <c r="A11357" s="18">
        <v>24.814522499999999</v>
      </c>
      <c r="B11357" s="18">
        <v>34.835548899999999</v>
      </c>
      <c r="C11357" s="18">
        <v>685522.5</v>
      </c>
      <c r="D11357" s="18">
        <v>2745657.81</v>
      </c>
      <c r="E11357" s="18">
        <v>269.39</v>
      </c>
      <c r="F11357" s="18">
        <v>41948.86</v>
      </c>
      <c r="G11357" s="18">
        <v>142550</v>
      </c>
      <c r="H11357" s="18">
        <f t="shared" si="259"/>
        <v>41913.86</v>
      </c>
    </row>
    <row r="11358" spans="1:8" s="10" customFormat="1" ht="19.5" customHeight="1" x14ac:dyDescent="0.55000000000000004">
      <c r="A11358" s="18">
        <v>24.8145098</v>
      </c>
      <c r="B11358" s="18">
        <v>34.835570199999999</v>
      </c>
      <c r="C11358" s="18">
        <v>685524.68</v>
      </c>
      <c r="D11358" s="18">
        <v>2745656.43</v>
      </c>
      <c r="E11358" s="18">
        <v>269.37</v>
      </c>
      <c r="F11358" s="18">
        <v>41949.73</v>
      </c>
      <c r="G11358" s="18">
        <v>142552</v>
      </c>
      <c r="H11358" s="18">
        <f t="shared" si="259"/>
        <v>41914.730000000003</v>
      </c>
    </row>
    <row r="11359" spans="1:8" s="10" customFormat="1" ht="19.5" customHeight="1" x14ac:dyDescent="0.55000000000000004">
      <c r="A11359" s="18">
        <v>24.8144937</v>
      </c>
      <c r="B11359" s="18">
        <v>34.835589400000003</v>
      </c>
      <c r="C11359" s="18">
        <v>685526.64</v>
      </c>
      <c r="D11359" s="18">
        <v>2745654.68</v>
      </c>
      <c r="E11359" s="18">
        <v>269.37</v>
      </c>
      <c r="F11359" s="18">
        <v>41949.48</v>
      </c>
      <c r="G11359" s="18">
        <v>142554</v>
      </c>
      <c r="H11359" s="18">
        <f t="shared" si="259"/>
        <v>41914.480000000003</v>
      </c>
    </row>
    <row r="11360" spans="1:8" s="10" customFormat="1" ht="19.5" customHeight="1" x14ac:dyDescent="0.55000000000000004">
      <c r="A11360" s="18">
        <v>24.8144809</v>
      </c>
      <c r="B11360" s="18">
        <v>34.8356104</v>
      </c>
      <c r="C11360" s="18">
        <v>685528.78</v>
      </c>
      <c r="D11360" s="18">
        <v>2745653.29</v>
      </c>
      <c r="E11360" s="18">
        <v>269.3</v>
      </c>
      <c r="F11360" s="18">
        <v>41948.89</v>
      </c>
      <c r="G11360" s="18">
        <v>142556</v>
      </c>
      <c r="H11360" s="18">
        <f t="shared" si="259"/>
        <v>41913.89</v>
      </c>
    </row>
    <row r="11361" spans="1:8" s="10" customFormat="1" ht="19.5" customHeight="1" x14ac:dyDescent="0.55000000000000004">
      <c r="A11361" s="18">
        <v>24.814469899999999</v>
      </c>
      <c r="B11361" s="18">
        <v>34.835633299999998</v>
      </c>
      <c r="C11361" s="18">
        <v>685531.11</v>
      </c>
      <c r="D11361" s="18">
        <v>2745652.1</v>
      </c>
      <c r="E11361" s="18">
        <v>269.24</v>
      </c>
      <c r="F11361" s="18">
        <v>41949.85</v>
      </c>
      <c r="G11361" s="18">
        <v>142558</v>
      </c>
      <c r="H11361" s="18">
        <f t="shared" si="259"/>
        <v>41914.85</v>
      </c>
    </row>
    <row r="11362" spans="1:8" s="10" customFormat="1" ht="19.5" customHeight="1" x14ac:dyDescent="0.55000000000000004">
      <c r="A11362" s="18">
        <v>24.814453400000001</v>
      </c>
      <c r="B11362" s="18">
        <v>34.835653299999997</v>
      </c>
      <c r="C11362" s="18">
        <v>685533.16</v>
      </c>
      <c r="D11362" s="18">
        <v>2745650.3</v>
      </c>
      <c r="E11362" s="18">
        <v>269.16000000000003</v>
      </c>
      <c r="F11362" s="18">
        <v>41948.51</v>
      </c>
      <c r="G11362" s="18">
        <v>142600</v>
      </c>
      <c r="H11362" s="18">
        <f t="shared" si="259"/>
        <v>41913.51</v>
      </c>
    </row>
    <row r="11363" spans="1:8" s="10" customFormat="1" ht="19.5" customHeight="1" x14ac:dyDescent="0.55000000000000004">
      <c r="A11363" s="18">
        <v>24.8144338</v>
      </c>
      <c r="B11363" s="18">
        <v>34.835669699999997</v>
      </c>
      <c r="C11363" s="18">
        <v>685534.85</v>
      </c>
      <c r="D11363" s="18">
        <v>2745648.15</v>
      </c>
      <c r="E11363" s="18">
        <v>269.04000000000002</v>
      </c>
      <c r="F11363" s="18">
        <v>41947.07</v>
      </c>
      <c r="G11363" s="18">
        <v>142602</v>
      </c>
      <c r="H11363" s="18">
        <f t="shared" si="259"/>
        <v>41912.07</v>
      </c>
    </row>
    <row r="11364" spans="1:8" s="10" customFormat="1" ht="19.5" customHeight="1" x14ac:dyDescent="0.55000000000000004">
      <c r="A11364" s="18">
        <v>24.814415799999999</v>
      </c>
      <c r="B11364" s="18">
        <v>34.835688599999997</v>
      </c>
      <c r="C11364" s="18">
        <v>685536.78</v>
      </c>
      <c r="D11364" s="18">
        <v>2745646.19</v>
      </c>
      <c r="E11364" s="18">
        <v>268.95999999999998</v>
      </c>
      <c r="F11364" s="18">
        <v>41949.82</v>
      </c>
      <c r="G11364" s="18">
        <v>142604</v>
      </c>
      <c r="H11364" s="18">
        <f t="shared" si="259"/>
        <v>41914.82</v>
      </c>
    </row>
    <row r="11365" spans="1:8" s="10" customFormat="1" ht="19.5" customHeight="1" x14ac:dyDescent="0.55000000000000004">
      <c r="A11365" s="18">
        <v>24.814397499999998</v>
      </c>
      <c r="B11365" s="18">
        <v>34.835705900000001</v>
      </c>
      <c r="C11365" s="18">
        <v>685538.56</v>
      </c>
      <c r="D11365" s="18">
        <v>2745644.18</v>
      </c>
      <c r="E11365" s="18">
        <v>268.79000000000002</v>
      </c>
      <c r="F11365" s="18">
        <v>41949.94</v>
      </c>
      <c r="G11365" s="18">
        <v>142606</v>
      </c>
      <c r="H11365" s="18">
        <f t="shared" si="259"/>
        <v>41914.94</v>
      </c>
    </row>
    <row r="11366" spans="1:8" s="10" customFormat="1" ht="19.5" customHeight="1" x14ac:dyDescent="0.55000000000000004">
      <c r="A11366" s="18">
        <v>24.814377199999999</v>
      </c>
      <c r="B11366" s="18">
        <v>34.835720500000001</v>
      </c>
      <c r="C11366" s="18">
        <v>685540.06</v>
      </c>
      <c r="D11366" s="18">
        <v>2745641.95</v>
      </c>
      <c r="E11366" s="18">
        <v>268.76</v>
      </c>
      <c r="F11366" s="18">
        <v>41947.59</v>
      </c>
      <c r="G11366" s="18">
        <v>142608</v>
      </c>
      <c r="H11366" s="18">
        <f t="shared" si="259"/>
        <v>41912.589999999997</v>
      </c>
    </row>
    <row r="11367" spans="1:8" s="10" customFormat="1" ht="19.5" customHeight="1" x14ac:dyDescent="0.55000000000000004">
      <c r="A11367" s="18">
        <v>24.814359100000001</v>
      </c>
      <c r="B11367" s="18">
        <v>34.835737600000002</v>
      </c>
      <c r="C11367" s="18">
        <v>685541.82</v>
      </c>
      <c r="D11367" s="18">
        <v>2745639.97</v>
      </c>
      <c r="E11367" s="18">
        <v>268.7</v>
      </c>
      <c r="F11367" s="18">
        <v>41947.14</v>
      </c>
      <c r="G11367" s="18">
        <v>142610</v>
      </c>
      <c r="H11367" s="18">
        <f t="shared" si="259"/>
        <v>41912.14</v>
      </c>
    </row>
    <row r="11368" spans="1:8" s="10" customFormat="1" ht="19.5" customHeight="1" x14ac:dyDescent="0.55000000000000004">
      <c r="A11368" s="18">
        <v>24.814341800000001</v>
      </c>
      <c r="B11368" s="18">
        <v>34.835756400000001</v>
      </c>
      <c r="C11368" s="18">
        <v>685543.75</v>
      </c>
      <c r="D11368" s="18">
        <v>2745638.08</v>
      </c>
      <c r="E11368" s="18">
        <v>268.58999999999997</v>
      </c>
      <c r="F11368" s="18">
        <v>41948.79</v>
      </c>
      <c r="G11368" s="18">
        <v>142612</v>
      </c>
      <c r="H11368" s="18">
        <f t="shared" si="259"/>
        <v>41913.79</v>
      </c>
    </row>
    <row r="11369" spans="1:8" s="10" customFormat="1" ht="19.5" customHeight="1" x14ac:dyDescent="0.55000000000000004">
      <c r="A11369" s="18">
        <v>24.814326099999999</v>
      </c>
      <c r="B11369" s="18">
        <v>34.835777800000002</v>
      </c>
      <c r="C11369" s="18">
        <v>685545.94</v>
      </c>
      <c r="D11369" s="18">
        <v>2745636.37</v>
      </c>
      <c r="E11369" s="18">
        <v>268.57</v>
      </c>
      <c r="F11369" s="18">
        <v>41948.23</v>
      </c>
      <c r="G11369" s="18">
        <v>142614</v>
      </c>
      <c r="H11369" s="18">
        <f t="shared" si="259"/>
        <v>41913.230000000003</v>
      </c>
    </row>
    <row r="11370" spans="1:8" s="10" customFormat="1" ht="19.5" customHeight="1" x14ac:dyDescent="0.55000000000000004">
      <c r="A11370" s="18">
        <v>24.814310200000001</v>
      </c>
      <c r="B11370" s="18">
        <v>34.835799799999997</v>
      </c>
      <c r="C11370" s="18">
        <v>685548.18</v>
      </c>
      <c r="D11370" s="18">
        <v>2745634.64</v>
      </c>
      <c r="E11370" s="18">
        <v>268.52999999999997</v>
      </c>
      <c r="F11370" s="18">
        <v>41949.25</v>
      </c>
      <c r="G11370" s="18">
        <v>142616</v>
      </c>
      <c r="H11370" s="18">
        <f t="shared" si="259"/>
        <v>41914.25</v>
      </c>
    </row>
    <row r="11371" spans="1:8" s="10" customFormat="1" ht="19.5" customHeight="1" x14ac:dyDescent="0.55000000000000004">
      <c r="A11371" s="18">
        <v>24.814294700000001</v>
      </c>
      <c r="B11371" s="18">
        <v>34.835819899999997</v>
      </c>
      <c r="C11371" s="18">
        <v>685550.24</v>
      </c>
      <c r="D11371" s="18">
        <v>2745632.95</v>
      </c>
      <c r="E11371" s="18">
        <v>268.45999999999998</v>
      </c>
      <c r="F11371" s="18">
        <v>41950.3</v>
      </c>
      <c r="G11371" s="18">
        <v>142618</v>
      </c>
      <c r="H11371" s="18">
        <f t="shared" si="259"/>
        <v>41915.300000000003</v>
      </c>
    </row>
    <row r="11372" spans="1:8" s="10" customFormat="1" ht="19.5" customHeight="1" x14ac:dyDescent="0.55000000000000004">
      <c r="A11372" s="18">
        <v>24.814276599999999</v>
      </c>
      <c r="B11372" s="18">
        <v>34.8358384</v>
      </c>
      <c r="C11372" s="18">
        <v>685552.13</v>
      </c>
      <c r="D11372" s="18">
        <v>2745630.97</v>
      </c>
      <c r="E11372" s="18">
        <v>268.32</v>
      </c>
      <c r="F11372" s="18">
        <v>41949.97</v>
      </c>
      <c r="G11372" s="18">
        <v>142620</v>
      </c>
      <c r="H11372" s="18">
        <f t="shared" si="259"/>
        <v>41914.97</v>
      </c>
    </row>
    <row r="11373" spans="1:8" s="10" customFormat="1" ht="19.5" customHeight="1" x14ac:dyDescent="0.55000000000000004">
      <c r="A11373" s="18">
        <v>24.814263100000002</v>
      </c>
      <c r="B11373" s="18">
        <v>34.835858399999999</v>
      </c>
      <c r="C11373" s="18">
        <v>685554.17</v>
      </c>
      <c r="D11373" s="18">
        <v>2745629.5</v>
      </c>
      <c r="E11373" s="18">
        <v>268.3</v>
      </c>
      <c r="F11373" s="18">
        <v>41950.71</v>
      </c>
      <c r="G11373" s="18">
        <v>142622</v>
      </c>
      <c r="H11373" s="18">
        <f t="shared" si="259"/>
        <v>41915.71</v>
      </c>
    </row>
    <row r="11374" spans="1:8" s="10" customFormat="1" ht="19.5" customHeight="1" x14ac:dyDescent="0.55000000000000004">
      <c r="A11374" s="18">
        <v>24.814252400000001</v>
      </c>
      <c r="B11374" s="18">
        <v>34.835879900000002</v>
      </c>
      <c r="C11374" s="18">
        <v>685556.37</v>
      </c>
      <c r="D11374" s="18">
        <v>2745628.35</v>
      </c>
      <c r="E11374" s="18">
        <v>268.3</v>
      </c>
      <c r="F11374" s="18">
        <v>41952.04</v>
      </c>
      <c r="G11374" s="18">
        <v>142624</v>
      </c>
      <c r="H11374" s="18">
        <f t="shared" si="259"/>
        <v>41917.040000000001</v>
      </c>
    </row>
    <row r="11375" spans="1:8" s="10" customFormat="1" ht="19.5" customHeight="1" x14ac:dyDescent="0.55000000000000004">
      <c r="A11375" s="18">
        <v>24.814240699999999</v>
      </c>
      <c r="B11375" s="18">
        <v>34.8359016</v>
      </c>
      <c r="C11375" s="18">
        <v>685558.58</v>
      </c>
      <c r="D11375" s="18">
        <v>2745627.08</v>
      </c>
      <c r="E11375" s="18">
        <v>268.18</v>
      </c>
      <c r="F11375" s="18">
        <v>41950.16</v>
      </c>
      <c r="G11375" s="18">
        <v>142626</v>
      </c>
      <c r="H11375" s="18">
        <f t="shared" si="259"/>
        <v>41915.160000000003</v>
      </c>
    </row>
    <row r="11376" spans="1:8" s="10" customFormat="1" ht="19.5" customHeight="1" x14ac:dyDescent="0.55000000000000004">
      <c r="A11376" s="18">
        <v>24.814232000000001</v>
      </c>
      <c r="B11376" s="18">
        <v>34.835925400000001</v>
      </c>
      <c r="C11376" s="18">
        <v>685561</v>
      </c>
      <c r="D11376" s="18">
        <v>2745626.15</v>
      </c>
      <c r="E11376" s="18">
        <v>268.13</v>
      </c>
      <c r="F11376" s="18">
        <v>41951.68</v>
      </c>
      <c r="G11376" s="18">
        <v>142628</v>
      </c>
      <c r="H11376" s="18">
        <f t="shared" si="259"/>
        <v>41916.68</v>
      </c>
    </row>
    <row r="11377" spans="1:8" s="10" customFormat="1" ht="19.5" customHeight="1" x14ac:dyDescent="0.55000000000000004">
      <c r="A11377" s="18">
        <v>24.8142192</v>
      </c>
      <c r="B11377" s="18">
        <v>34.835949800000002</v>
      </c>
      <c r="C11377" s="18">
        <v>685563.48</v>
      </c>
      <c r="D11377" s="18">
        <v>2745624.77</v>
      </c>
      <c r="E11377" s="18">
        <v>268.04000000000002</v>
      </c>
      <c r="F11377" s="18">
        <v>41951.77</v>
      </c>
      <c r="G11377" s="18">
        <v>142630</v>
      </c>
      <c r="H11377" s="18">
        <f t="shared" si="259"/>
        <v>41916.769999999997</v>
      </c>
    </row>
    <row r="11378" spans="1:8" s="10" customFormat="1" ht="19.5" customHeight="1" x14ac:dyDescent="0.55000000000000004">
      <c r="A11378" s="18">
        <v>24.814205999999999</v>
      </c>
      <c r="B11378" s="18">
        <v>34.8359728</v>
      </c>
      <c r="C11378" s="18">
        <v>685565.83</v>
      </c>
      <c r="D11378" s="18">
        <v>2745623.34</v>
      </c>
      <c r="E11378" s="18">
        <v>267.94</v>
      </c>
      <c r="F11378" s="18">
        <v>41950.89</v>
      </c>
      <c r="G11378" s="18">
        <v>142632</v>
      </c>
      <c r="H11378" s="18">
        <f t="shared" si="259"/>
        <v>41915.89</v>
      </c>
    </row>
    <row r="11379" spans="1:8" s="10" customFormat="1" ht="19.5" customHeight="1" x14ac:dyDescent="0.55000000000000004">
      <c r="A11379" s="18">
        <v>24.814195399999999</v>
      </c>
      <c r="B11379" s="18">
        <v>34.835997800000001</v>
      </c>
      <c r="C11379" s="18">
        <v>685568.37</v>
      </c>
      <c r="D11379" s="18">
        <v>2745622.19</v>
      </c>
      <c r="E11379" s="18">
        <v>267.77999999999997</v>
      </c>
      <c r="F11379" s="18">
        <v>41952.29</v>
      </c>
      <c r="G11379" s="18">
        <v>142634</v>
      </c>
      <c r="H11379" s="18">
        <f t="shared" si="259"/>
        <v>41917.29</v>
      </c>
    </row>
    <row r="11380" spans="1:8" s="10" customFormat="1" ht="19.5" customHeight="1" x14ac:dyDescent="0.55000000000000004">
      <c r="A11380" s="18">
        <v>24.814186899999999</v>
      </c>
      <c r="B11380" s="18">
        <v>34.836022399999997</v>
      </c>
      <c r="C11380" s="18">
        <v>685570.87</v>
      </c>
      <c r="D11380" s="18">
        <v>2745621.29</v>
      </c>
      <c r="E11380" s="18">
        <v>267.72000000000003</v>
      </c>
      <c r="F11380" s="18">
        <v>41952.07</v>
      </c>
      <c r="G11380" s="18">
        <v>142636</v>
      </c>
      <c r="H11380" s="18">
        <f t="shared" si="259"/>
        <v>41917.07</v>
      </c>
    </row>
    <row r="11381" spans="1:8" s="10" customFormat="1" ht="19.5" customHeight="1" x14ac:dyDescent="0.55000000000000004">
      <c r="A11381" s="18">
        <v>24.814182500000001</v>
      </c>
      <c r="B11381" s="18">
        <v>34.836047100000002</v>
      </c>
      <c r="C11381" s="18">
        <v>685573.37</v>
      </c>
      <c r="D11381" s="18">
        <v>2745620.84</v>
      </c>
      <c r="E11381" s="18">
        <v>267.74</v>
      </c>
      <c r="F11381" s="18">
        <v>41953.48</v>
      </c>
      <c r="G11381" s="18">
        <v>142638</v>
      </c>
      <c r="H11381" s="18">
        <f t="shared" si="259"/>
        <v>41918.480000000003</v>
      </c>
    </row>
    <row r="11382" spans="1:8" s="10" customFormat="1" ht="19.5" customHeight="1" x14ac:dyDescent="0.55000000000000004">
      <c r="A11382" s="18">
        <v>24.814176199999999</v>
      </c>
      <c r="B11382" s="18">
        <v>34.836072000000001</v>
      </c>
      <c r="C11382" s="18">
        <v>685575.9</v>
      </c>
      <c r="D11382" s="18">
        <v>2745620.17</v>
      </c>
      <c r="E11382" s="18">
        <v>267.54000000000002</v>
      </c>
      <c r="F11382" s="18">
        <v>41951.12</v>
      </c>
      <c r="G11382" s="18">
        <v>142640</v>
      </c>
      <c r="H11382" s="18">
        <f t="shared" si="259"/>
        <v>41916.120000000003</v>
      </c>
    </row>
    <row r="11383" spans="1:8" s="10" customFormat="1" ht="19.5" customHeight="1" x14ac:dyDescent="0.55000000000000004">
      <c r="A11383" s="18">
        <v>24.8141702</v>
      </c>
      <c r="B11383" s="18">
        <v>34.836098100000001</v>
      </c>
      <c r="C11383" s="18">
        <v>685578.55</v>
      </c>
      <c r="D11383" s="18">
        <v>2745619.53</v>
      </c>
      <c r="E11383" s="18">
        <v>267.52</v>
      </c>
      <c r="F11383" s="18">
        <v>41950.45</v>
      </c>
      <c r="G11383" s="18">
        <v>142642</v>
      </c>
      <c r="H11383" s="18">
        <f t="shared" si="259"/>
        <v>41915.449999999997</v>
      </c>
    </row>
    <row r="11384" spans="1:8" s="10" customFormat="1" ht="19.5" customHeight="1" x14ac:dyDescent="0.55000000000000004">
      <c r="A11384" s="18">
        <v>24.814171699999999</v>
      </c>
      <c r="B11384" s="18">
        <v>34.836124599999998</v>
      </c>
      <c r="C11384" s="18">
        <v>685581.22</v>
      </c>
      <c r="D11384" s="18">
        <v>2745619.74</v>
      </c>
      <c r="E11384" s="18">
        <v>267.43</v>
      </c>
      <c r="F11384" s="18">
        <v>41951.92</v>
      </c>
      <c r="G11384" s="18">
        <v>142644</v>
      </c>
      <c r="H11384" s="18">
        <f t="shared" si="259"/>
        <v>41916.92</v>
      </c>
    </row>
    <row r="11385" spans="1:8" s="10" customFormat="1" ht="19.5" customHeight="1" x14ac:dyDescent="0.55000000000000004">
      <c r="A11385" s="18">
        <v>24.814171099999999</v>
      </c>
      <c r="B11385" s="18">
        <v>34.836153000000003</v>
      </c>
      <c r="C11385" s="18">
        <v>685584.1</v>
      </c>
      <c r="D11385" s="18">
        <v>2745619.72</v>
      </c>
      <c r="E11385" s="18">
        <v>267.32</v>
      </c>
      <c r="F11385" s="18">
        <v>41952.9</v>
      </c>
      <c r="G11385" s="18">
        <v>142646</v>
      </c>
      <c r="H11385" s="18">
        <f t="shared" si="259"/>
        <v>41917.9</v>
      </c>
    </row>
    <row r="11386" spans="1:8" s="10" customFormat="1" ht="19.5" customHeight="1" x14ac:dyDescent="0.55000000000000004">
      <c r="A11386" s="18">
        <v>24.8141699</v>
      </c>
      <c r="B11386" s="18">
        <v>34.836179899999998</v>
      </c>
      <c r="C11386" s="18">
        <v>685586.82</v>
      </c>
      <c r="D11386" s="18">
        <v>2745619.62</v>
      </c>
      <c r="E11386" s="18">
        <v>267.2</v>
      </c>
      <c r="F11386" s="18">
        <v>41953.18</v>
      </c>
      <c r="G11386" s="18">
        <v>142648</v>
      </c>
      <c r="H11386" s="18">
        <f t="shared" si="259"/>
        <v>41918.18</v>
      </c>
    </row>
    <row r="11387" spans="1:8" s="10" customFormat="1" ht="19.5" customHeight="1" x14ac:dyDescent="0.55000000000000004">
      <c r="A11387" s="18">
        <v>24.814167099999999</v>
      </c>
      <c r="B11387" s="18">
        <v>34.836207600000002</v>
      </c>
      <c r="C11387" s="18">
        <v>685589.62</v>
      </c>
      <c r="D11387" s="18">
        <v>2745619.34</v>
      </c>
      <c r="E11387" s="18">
        <v>267.14999999999998</v>
      </c>
      <c r="F11387" s="18">
        <v>41953.48</v>
      </c>
      <c r="G11387" s="18">
        <v>142650</v>
      </c>
      <c r="H11387" s="18">
        <f t="shared" si="259"/>
        <v>41918.480000000003</v>
      </c>
    </row>
    <row r="11388" spans="1:8" s="10" customFormat="1" ht="19.5" customHeight="1" x14ac:dyDescent="0.55000000000000004">
      <c r="A11388" s="18">
        <v>24.814165299999999</v>
      </c>
      <c r="B11388" s="18">
        <v>34.836235100000003</v>
      </c>
      <c r="C11388" s="18">
        <v>685592.4</v>
      </c>
      <c r="D11388" s="18">
        <v>2745619.18</v>
      </c>
      <c r="E11388" s="18">
        <v>267.14999999999998</v>
      </c>
      <c r="F11388" s="18">
        <v>41952.66</v>
      </c>
      <c r="G11388" s="18">
        <v>142652</v>
      </c>
      <c r="H11388" s="18">
        <f t="shared" si="259"/>
        <v>41917.660000000003</v>
      </c>
    </row>
    <row r="11389" spans="1:8" s="10" customFormat="1" ht="19.5" customHeight="1" x14ac:dyDescent="0.55000000000000004">
      <c r="A11389" s="18">
        <v>24.814168500000001</v>
      </c>
      <c r="B11389" s="18">
        <v>34.8362616</v>
      </c>
      <c r="C11389" s="18">
        <v>685595.08</v>
      </c>
      <c r="D11389" s="18">
        <v>2745619.57</v>
      </c>
      <c r="E11389" s="18">
        <v>267.08999999999997</v>
      </c>
      <c r="F11389" s="18">
        <v>41953.34</v>
      </c>
      <c r="G11389" s="18">
        <v>142654</v>
      </c>
      <c r="H11389" s="18">
        <f t="shared" si="259"/>
        <v>41918.339999999997</v>
      </c>
    </row>
    <row r="11390" spans="1:8" s="10" customFormat="1" ht="19.5" customHeight="1" x14ac:dyDescent="0.55000000000000004">
      <c r="A11390" s="18">
        <v>24.814169700000001</v>
      </c>
      <c r="B11390" s="18">
        <v>34.836288199999998</v>
      </c>
      <c r="C11390" s="18">
        <v>685597.77</v>
      </c>
      <c r="D11390" s="18">
        <v>2745619.74</v>
      </c>
      <c r="E11390" s="18">
        <v>266.99</v>
      </c>
      <c r="F11390" s="18">
        <v>41952.800000000003</v>
      </c>
      <c r="G11390" s="18">
        <v>142656</v>
      </c>
      <c r="H11390" s="18">
        <f t="shared" si="259"/>
        <v>41917.800000000003</v>
      </c>
    </row>
    <row r="11391" spans="1:8" s="10" customFormat="1" ht="19.5" customHeight="1" x14ac:dyDescent="0.55000000000000004">
      <c r="A11391" s="18">
        <v>24.814170300000001</v>
      </c>
      <c r="B11391" s="18">
        <v>34.836316600000004</v>
      </c>
      <c r="C11391" s="18">
        <v>685600.63</v>
      </c>
      <c r="D11391" s="18">
        <v>2745619.85</v>
      </c>
      <c r="E11391" s="18">
        <v>266.91000000000003</v>
      </c>
      <c r="F11391" s="18">
        <v>41952.92</v>
      </c>
      <c r="G11391" s="18">
        <v>142658</v>
      </c>
      <c r="H11391" s="18">
        <f t="shared" si="259"/>
        <v>41917.919999999998</v>
      </c>
    </row>
    <row r="11392" spans="1:8" s="10" customFormat="1" ht="19.5" customHeight="1" x14ac:dyDescent="0.55000000000000004">
      <c r="A11392" s="18">
        <v>24.8141687</v>
      </c>
      <c r="B11392" s="18">
        <v>34.836343800000002</v>
      </c>
      <c r="C11392" s="18">
        <v>685603.39</v>
      </c>
      <c r="D11392" s="18">
        <v>2745619.71</v>
      </c>
      <c r="E11392" s="18">
        <v>266.85000000000002</v>
      </c>
      <c r="F11392" s="18">
        <v>41951.97</v>
      </c>
      <c r="G11392" s="18">
        <v>142700</v>
      </c>
      <c r="H11392" s="18">
        <f t="shared" si="259"/>
        <v>41916.97</v>
      </c>
    </row>
    <row r="11393" spans="1:8" s="10" customFormat="1" ht="19.5" customHeight="1" x14ac:dyDescent="0.55000000000000004">
      <c r="A11393" s="18">
        <v>24.814171000000002</v>
      </c>
      <c r="B11393" s="18">
        <v>34.836369900000001</v>
      </c>
      <c r="C11393" s="18">
        <v>685606.03</v>
      </c>
      <c r="D11393" s="18">
        <v>2745619.99</v>
      </c>
      <c r="E11393" s="18">
        <v>266.85000000000002</v>
      </c>
      <c r="F11393" s="18">
        <v>41951.48</v>
      </c>
      <c r="G11393" s="18">
        <v>142702</v>
      </c>
      <c r="H11393" s="18">
        <f t="shared" si="259"/>
        <v>41916.480000000003</v>
      </c>
    </row>
    <row r="11394" spans="1:8" s="10" customFormat="1" ht="19.5" customHeight="1" x14ac:dyDescent="0.55000000000000004">
      <c r="A11394" s="18">
        <v>24.814176199999999</v>
      </c>
      <c r="B11394" s="18">
        <v>34.836395400000001</v>
      </c>
      <c r="C11394" s="18">
        <v>685608.59</v>
      </c>
      <c r="D11394" s="18">
        <v>2745620.61</v>
      </c>
      <c r="E11394" s="18">
        <v>266.83999999999997</v>
      </c>
      <c r="F11394" s="18">
        <v>41953.08</v>
      </c>
      <c r="G11394" s="18">
        <v>142704</v>
      </c>
      <c r="H11394" s="18">
        <f t="shared" si="259"/>
        <v>41918.080000000002</v>
      </c>
    </row>
    <row r="11395" spans="1:8" s="10" customFormat="1" ht="19.5" customHeight="1" x14ac:dyDescent="0.55000000000000004">
      <c r="A11395" s="18">
        <v>24.814178900000002</v>
      </c>
      <c r="B11395" s="18">
        <v>34.836422499999998</v>
      </c>
      <c r="C11395" s="18">
        <v>685611.33</v>
      </c>
      <c r="D11395" s="18">
        <v>2745620.94</v>
      </c>
      <c r="E11395" s="18">
        <v>266.69</v>
      </c>
      <c r="F11395" s="18">
        <v>41952.95</v>
      </c>
      <c r="G11395" s="18">
        <v>142706</v>
      </c>
      <c r="H11395" s="18">
        <f t="shared" si="259"/>
        <v>41917.949999999997</v>
      </c>
    </row>
    <row r="11396" spans="1:8" s="10" customFormat="1" ht="19.5" customHeight="1" x14ac:dyDescent="0.55000000000000004">
      <c r="A11396" s="18">
        <v>24.814179800000002</v>
      </c>
      <c r="B11396" s="18">
        <v>34.836449500000001</v>
      </c>
      <c r="C11396" s="18">
        <v>685614.06</v>
      </c>
      <c r="D11396" s="18">
        <v>2745621.07</v>
      </c>
      <c r="E11396" s="18">
        <v>266.60000000000002</v>
      </c>
      <c r="F11396" s="18">
        <v>41952.49</v>
      </c>
      <c r="G11396" s="18">
        <v>142708</v>
      </c>
      <c r="H11396" s="18">
        <f t="shared" si="259"/>
        <v>41917.49</v>
      </c>
    </row>
    <row r="11397" spans="1:8" s="10" customFormat="1" ht="19.5" customHeight="1" x14ac:dyDescent="0.55000000000000004">
      <c r="A11397" s="18">
        <v>24.8141812</v>
      </c>
      <c r="B11397" s="18">
        <v>34.836475299999996</v>
      </c>
      <c r="C11397" s="18">
        <v>685616.67</v>
      </c>
      <c r="D11397" s="18">
        <v>2745621.27</v>
      </c>
      <c r="E11397" s="18">
        <v>266.57</v>
      </c>
      <c r="F11397" s="18">
        <v>41951.53</v>
      </c>
      <c r="G11397" s="18">
        <v>142710</v>
      </c>
      <c r="H11397" s="18">
        <f t="shared" si="259"/>
        <v>41916.53</v>
      </c>
    </row>
    <row r="11398" spans="1:8" s="10" customFormat="1" ht="19.5" customHeight="1" x14ac:dyDescent="0.55000000000000004">
      <c r="A11398" s="18">
        <v>24.814181099999999</v>
      </c>
      <c r="B11398" s="18">
        <v>34.836501300000002</v>
      </c>
      <c r="C11398" s="18">
        <v>685619.29</v>
      </c>
      <c r="D11398" s="18">
        <v>2745621.3</v>
      </c>
      <c r="E11398" s="18">
        <v>266.43</v>
      </c>
      <c r="F11398" s="18">
        <v>41951.32</v>
      </c>
      <c r="G11398" s="18">
        <v>142712</v>
      </c>
      <c r="H11398" s="18">
        <f t="shared" si="259"/>
        <v>41916.32</v>
      </c>
    </row>
    <row r="11399" spans="1:8" s="10" customFormat="1" ht="19.5" customHeight="1" x14ac:dyDescent="0.55000000000000004">
      <c r="A11399" s="18">
        <v>24.814182899999999</v>
      </c>
      <c r="B11399" s="18">
        <v>34.836526599999999</v>
      </c>
      <c r="C11399" s="18">
        <v>685621.84</v>
      </c>
      <c r="D11399" s="18">
        <v>2745621.53</v>
      </c>
      <c r="E11399" s="18">
        <v>266.45999999999998</v>
      </c>
      <c r="F11399" s="18">
        <v>41951.41</v>
      </c>
      <c r="G11399" s="18">
        <v>142714</v>
      </c>
      <c r="H11399" s="18">
        <f t="shared" si="259"/>
        <v>41916.410000000003</v>
      </c>
    </row>
    <row r="11400" spans="1:8" s="10" customFormat="1" ht="19.5" customHeight="1" x14ac:dyDescent="0.55000000000000004">
      <c r="A11400" s="18">
        <v>24.814185800000001</v>
      </c>
      <c r="B11400" s="18">
        <v>34.836552400000002</v>
      </c>
      <c r="C11400" s="18">
        <v>685624.45</v>
      </c>
      <c r="D11400" s="18">
        <v>2745621.88</v>
      </c>
      <c r="E11400" s="18">
        <v>266.49</v>
      </c>
      <c r="F11400" s="18">
        <v>41952.92</v>
      </c>
      <c r="G11400" s="18">
        <v>142716</v>
      </c>
      <c r="H11400" s="18">
        <f t="shared" si="259"/>
        <v>41917.919999999998</v>
      </c>
    </row>
    <row r="11401" spans="1:8" s="10" customFormat="1" ht="19.5" customHeight="1" x14ac:dyDescent="0.55000000000000004">
      <c r="A11401" s="18">
        <v>24.814184399999998</v>
      </c>
      <c r="B11401" s="18">
        <v>34.8365796</v>
      </c>
      <c r="C11401" s="18">
        <v>685627.2</v>
      </c>
      <c r="D11401" s="18">
        <v>2745621.77</v>
      </c>
      <c r="E11401" s="18">
        <v>266.45</v>
      </c>
      <c r="F11401" s="18">
        <v>41954.27</v>
      </c>
      <c r="G11401" s="18">
        <v>142718</v>
      </c>
      <c r="H11401" s="18">
        <f t="shared" si="259"/>
        <v>41919.269999999997</v>
      </c>
    </row>
    <row r="11402" spans="1:8" s="10" customFormat="1" ht="19.5" customHeight="1" x14ac:dyDescent="0.55000000000000004">
      <c r="A11402" s="18">
        <v>24.8141794</v>
      </c>
      <c r="B11402" s="18">
        <v>34.836607100000002</v>
      </c>
      <c r="C11402" s="18">
        <v>685629.99</v>
      </c>
      <c r="D11402" s="18">
        <v>2745621.24</v>
      </c>
      <c r="E11402" s="18">
        <v>266.39</v>
      </c>
      <c r="F11402" s="18">
        <v>41953.77</v>
      </c>
      <c r="G11402" s="18">
        <v>142720</v>
      </c>
      <c r="H11402" s="18">
        <f t="shared" si="259"/>
        <v>41918.769999999997</v>
      </c>
    </row>
    <row r="11403" spans="1:8" s="10" customFormat="1" ht="19.5" customHeight="1" x14ac:dyDescent="0.55000000000000004">
      <c r="A11403" s="18">
        <v>24.8141727</v>
      </c>
      <c r="B11403" s="18">
        <v>34.836632799999997</v>
      </c>
      <c r="C11403" s="18">
        <v>685632.6</v>
      </c>
      <c r="D11403" s="18">
        <v>2745620.54</v>
      </c>
      <c r="E11403" s="18">
        <v>266.44</v>
      </c>
      <c r="F11403" s="18">
        <v>41952.71</v>
      </c>
      <c r="G11403" s="18">
        <v>142722</v>
      </c>
      <c r="H11403" s="18">
        <f t="shared" si="259"/>
        <v>41917.71</v>
      </c>
    </row>
    <row r="11404" spans="1:8" s="10" customFormat="1" ht="19.5" customHeight="1" x14ac:dyDescent="0.55000000000000004">
      <c r="A11404" s="18">
        <v>24.814163199999999</v>
      </c>
      <c r="B11404" s="18">
        <v>34.8366586</v>
      </c>
      <c r="C11404" s="18">
        <v>685635.22</v>
      </c>
      <c r="D11404" s="18">
        <v>2745619.52</v>
      </c>
      <c r="E11404" s="18">
        <v>266.36</v>
      </c>
      <c r="F11404" s="18">
        <v>41952.36</v>
      </c>
      <c r="G11404" s="18">
        <v>142724</v>
      </c>
      <c r="H11404" s="18">
        <f t="shared" si="259"/>
        <v>41917.360000000001</v>
      </c>
    </row>
    <row r="11405" spans="1:8" s="10" customFormat="1" ht="19.5" customHeight="1" x14ac:dyDescent="0.55000000000000004">
      <c r="A11405" s="18">
        <v>24.814148400000001</v>
      </c>
      <c r="B11405" s="18">
        <v>34.836680000000001</v>
      </c>
      <c r="C11405" s="18">
        <v>685637.41</v>
      </c>
      <c r="D11405" s="18">
        <v>2745617.91</v>
      </c>
      <c r="E11405" s="18">
        <v>266.26</v>
      </c>
      <c r="F11405" s="18">
        <v>41950.77</v>
      </c>
      <c r="G11405" s="18">
        <v>142726</v>
      </c>
      <c r="H11405" s="18">
        <f t="shared" si="259"/>
        <v>41915.769999999997</v>
      </c>
    </row>
    <row r="11406" spans="1:8" s="10" customFormat="1" ht="19.5" customHeight="1" x14ac:dyDescent="0.55000000000000004">
      <c r="A11406" s="18">
        <v>24.814134800000001</v>
      </c>
      <c r="B11406" s="18">
        <v>34.836700399999998</v>
      </c>
      <c r="C11406" s="18">
        <v>685639.49</v>
      </c>
      <c r="D11406" s="18">
        <v>2745616.44</v>
      </c>
      <c r="E11406" s="18">
        <v>266.17</v>
      </c>
      <c r="F11406" s="18">
        <v>41951.040000000001</v>
      </c>
      <c r="G11406" s="18">
        <v>142728</v>
      </c>
      <c r="H11406" s="18">
        <f t="shared" si="259"/>
        <v>41916.04</v>
      </c>
    </row>
    <row r="11407" spans="1:8" s="10" customFormat="1" ht="19.5" customHeight="1" x14ac:dyDescent="0.55000000000000004">
      <c r="A11407" s="18">
        <v>24.814120899999999</v>
      </c>
      <c r="B11407" s="18">
        <v>34.8367225</v>
      </c>
      <c r="C11407" s="18">
        <v>685641.74</v>
      </c>
      <c r="D11407" s="18">
        <v>2745614.93</v>
      </c>
      <c r="E11407" s="18">
        <v>266.11</v>
      </c>
      <c r="F11407" s="18">
        <v>41950.67</v>
      </c>
      <c r="G11407" s="18">
        <v>142730</v>
      </c>
      <c r="H11407" s="18">
        <f t="shared" si="259"/>
        <v>41915.67</v>
      </c>
    </row>
    <row r="11408" spans="1:8" s="10" customFormat="1" ht="19.5" customHeight="1" x14ac:dyDescent="0.55000000000000004">
      <c r="A11408" s="18">
        <v>24.814105099999999</v>
      </c>
      <c r="B11408" s="18">
        <v>34.8367425</v>
      </c>
      <c r="C11408" s="18">
        <v>685643.79</v>
      </c>
      <c r="D11408" s="18">
        <v>2745613.21</v>
      </c>
      <c r="E11408" s="18">
        <v>266.06</v>
      </c>
      <c r="F11408" s="18">
        <v>41952.79</v>
      </c>
      <c r="G11408" s="18">
        <v>142732</v>
      </c>
      <c r="H11408" s="18">
        <f t="shared" si="259"/>
        <v>41917.79</v>
      </c>
    </row>
    <row r="11409" spans="1:8" s="10" customFormat="1" ht="19.5" customHeight="1" x14ac:dyDescent="0.55000000000000004">
      <c r="A11409" s="18">
        <v>24.8140918</v>
      </c>
      <c r="B11409" s="18">
        <v>34.836763500000004</v>
      </c>
      <c r="C11409" s="18">
        <v>685645.93</v>
      </c>
      <c r="D11409" s="18">
        <v>2745611.76</v>
      </c>
      <c r="E11409" s="18">
        <v>265.87</v>
      </c>
      <c r="F11409" s="18">
        <v>41953.2</v>
      </c>
      <c r="G11409" s="18">
        <v>142734</v>
      </c>
      <c r="H11409" s="18">
        <f t="shared" si="259"/>
        <v>41918.199999999997</v>
      </c>
    </row>
    <row r="11410" spans="1:8" s="10" customFormat="1" ht="19.5" customHeight="1" x14ac:dyDescent="0.55000000000000004">
      <c r="A11410" s="18">
        <v>24.8140806</v>
      </c>
      <c r="B11410" s="18">
        <v>34.836785999999996</v>
      </c>
      <c r="C11410" s="18">
        <v>685648.22</v>
      </c>
      <c r="D11410" s="18">
        <v>2745610.55</v>
      </c>
      <c r="E11410" s="18">
        <v>265.74</v>
      </c>
      <c r="F11410" s="18">
        <v>41953.99</v>
      </c>
      <c r="G11410" s="18">
        <v>142736</v>
      </c>
      <c r="H11410" s="18">
        <f t="shared" si="259"/>
        <v>41918.99</v>
      </c>
    </row>
    <row r="11411" spans="1:8" s="10" customFormat="1" ht="19.5" customHeight="1" x14ac:dyDescent="0.55000000000000004">
      <c r="A11411" s="18">
        <v>24.814068800000001</v>
      </c>
      <c r="B11411" s="18">
        <v>34.836807800000003</v>
      </c>
      <c r="C11411" s="18">
        <v>685650.44</v>
      </c>
      <c r="D11411" s="18">
        <v>2745609.27</v>
      </c>
      <c r="E11411" s="18">
        <v>265.56</v>
      </c>
      <c r="F11411" s="18">
        <v>41953</v>
      </c>
      <c r="G11411" s="18">
        <v>142738</v>
      </c>
      <c r="H11411" s="18">
        <f t="shared" si="259"/>
        <v>41918</v>
      </c>
    </row>
    <row r="11412" spans="1:8" s="10" customFormat="1" ht="19.5" customHeight="1" x14ac:dyDescent="0.55000000000000004">
      <c r="A11412" s="18">
        <v>24.814055</v>
      </c>
      <c r="B11412" s="18">
        <v>34.836828699999998</v>
      </c>
      <c r="C11412" s="18">
        <v>685652.58</v>
      </c>
      <c r="D11412" s="18">
        <v>2745607.77</v>
      </c>
      <c r="E11412" s="18">
        <v>265.27</v>
      </c>
      <c r="F11412" s="18">
        <v>41953.59</v>
      </c>
      <c r="G11412" s="18">
        <v>142740</v>
      </c>
      <c r="H11412" s="18">
        <f t="shared" ref="H11412:H11475" si="260">SUM(F11412-35)</f>
        <v>41918.589999999997</v>
      </c>
    </row>
    <row r="11413" spans="1:8" s="10" customFormat="1" ht="19.5" customHeight="1" x14ac:dyDescent="0.55000000000000004">
      <c r="A11413" s="18">
        <v>24.814035799999999</v>
      </c>
      <c r="B11413" s="18">
        <v>34.836843600000002</v>
      </c>
      <c r="C11413" s="18">
        <v>685654.11</v>
      </c>
      <c r="D11413" s="18">
        <v>2745605.66</v>
      </c>
      <c r="E11413" s="18">
        <v>265.16000000000003</v>
      </c>
      <c r="F11413" s="18">
        <v>41954.400000000001</v>
      </c>
      <c r="G11413" s="18">
        <v>142742</v>
      </c>
      <c r="H11413" s="18">
        <f t="shared" si="260"/>
        <v>41919.4</v>
      </c>
    </row>
    <row r="11414" spans="1:8" s="10" customFormat="1" ht="19.5" customHeight="1" x14ac:dyDescent="0.55000000000000004">
      <c r="A11414" s="18">
        <v>24.814016899999999</v>
      </c>
      <c r="B11414" s="18">
        <v>34.836857899999998</v>
      </c>
      <c r="C11414" s="18">
        <v>685655.59</v>
      </c>
      <c r="D11414" s="18">
        <v>2745603.59</v>
      </c>
      <c r="E11414" s="18">
        <v>265.08</v>
      </c>
      <c r="F11414" s="18">
        <v>41953.11</v>
      </c>
      <c r="G11414" s="18">
        <v>142744</v>
      </c>
      <c r="H11414" s="18">
        <f t="shared" si="260"/>
        <v>41918.11</v>
      </c>
    </row>
    <row r="11415" spans="1:8" s="10" customFormat="1" ht="19.5" customHeight="1" x14ac:dyDescent="0.55000000000000004">
      <c r="A11415" s="18">
        <v>24.8139942</v>
      </c>
      <c r="B11415" s="18">
        <v>34.836870599999997</v>
      </c>
      <c r="C11415" s="18">
        <v>685656.9</v>
      </c>
      <c r="D11415" s="18">
        <v>2745601.09</v>
      </c>
      <c r="E11415" s="18">
        <v>265.06</v>
      </c>
      <c r="F11415" s="18">
        <v>41953.33</v>
      </c>
      <c r="G11415" s="18">
        <v>142746</v>
      </c>
      <c r="H11415" s="18">
        <f t="shared" si="260"/>
        <v>41918.33</v>
      </c>
    </row>
    <row r="11416" spans="1:8" s="10" customFormat="1" ht="19.5" customHeight="1" x14ac:dyDescent="0.55000000000000004">
      <c r="A11416" s="18">
        <v>24.813972499999998</v>
      </c>
      <c r="B11416" s="18">
        <v>34.836881599999998</v>
      </c>
      <c r="C11416" s="18">
        <v>685658.05</v>
      </c>
      <c r="D11416" s="18">
        <v>2745598.71</v>
      </c>
      <c r="E11416" s="18">
        <v>264.94</v>
      </c>
      <c r="F11416" s="18">
        <v>41951.94</v>
      </c>
      <c r="G11416" s="18">
        <v>142748</v>
      </c>
      <c r="H11416" s="18">
        <f t="shared" si="260"/>
        <v>41916.94</v>
      </c>
    </row>
    <row r="11417" spans="1:8" s="10" customFormat="1" ht="19.5" customHeight="1" x14ac:dyDescent="0.55000000000000004">
      <c r="A11417" s="18">
        <v>24.813950500000001</v>
      </c>
      <c r="B11417" s="18">
        <v>34.836893199999999</v>
      </c>
      <c r="C11417" s="18">
        <v>685659.25</v>
      </c>
      <c r="D11417" s="18">
        <v>2745596.28</v>
      </c>
      <c r="E11417" s="18">
        <v>264.86</v>
      </c>
      <c r="F11417" s="18">
        <v>41952.94</v>
      </c>
      <c r="G11417" s="18">
        <v>142750</v>
      </c>
      <c r="H11417" s="18">
        <f t="shared" si="260"/>
        <v>41917.94</v>
      </c>
    </row>
    <row r="11418" spans="1:8" s="10" customFormat="1" ht="19.5" customHeight="1" x14ac:dyDescent="0.55000000000000004">
      <c r="A11418" s="18">
        <v>24.813929000000002</v>
      </c>
      <c r="B11418" s="18">
        <v>34.836905100000003</v>
      </c>
      <c r="C11418" s="18">
        <v>685660.49</v>
      </c>
      <c r="D11418" s="18">
        <v>2745593.92</v>
      </c>
      <c r="E11418" s="18">
        <v>264.88</v>
      </c>
      <c r="F11418" s="18">
        <v>41953.34</v>
      </c>
      <c r="G11418" s="18">
        <v>142752</v>
      </c>
      <c r="H11418" s="18">
        <f t="shared" si="260"/>
        <v>41918.339999999997</v>
      </c>
    </row>
    <row r="11419" spans="1:8" s="10" customFormat="1" ht="19.5" customHeight="1" x14ac:dyDescent="0.55000000000000004">
      <c r="A11419" s="18">
        <v>24.813907799999999</v>
      </c>
      <c r="B11419" s="18">
        <v>34.836913799999998</v>
      </c>
      <c r="C11419" s="18">
        <v>685661.4</v>
      </c>
      <c r="D11419" s="18">
        <v>2745591.58</v>
      </c>
      <c r="E11419" s="18">
        <v>264.89</v>
      </c>
      <c r="F11419" s="18">
        <v>41953.18</v>
      </c>
      <c r="G11419" s="18">
        <v>142754</v>
      </c>
      <c r="H11419" s="18">
        <f t="shared" si="260"/>
        <v>41918.18</v>
      </c>
    </row>
    <row r="11420" spans="1:8" s="10" customFormat="1" ht="19.5" customHeight="1" x14ac:dyDescent="0.55000000000000004">
      <c r="A11420" s="18">
        <v>24.813885500000001</v>
      </c>
      <c r="B11420" s="18">
        <v>34.836921599999997</v>
      </c>
      <c r="C11420" s="18">
        <v>685662.22</v>
      </c>
      <c r="D11420" s="18">
        <v>2745589.12</v>
      </c>
      <c r="E11420" s="18">
        <v>264.82</v>
      </c>
      <c r="F11420" s="18">
        <v>41952.42</v>
      </c>
      <c r="G11420" s="18">
        <v>142756</v>
      </c>
      <c r="H11420" s="18">
        <f t="shared" si="260"/>
        <v>41917.42</v>
      </c>
    </row>
    <row r="11421" spans="1:8" s="10" customFormat="1" ht="19.5" customHeight="1" x14ac:dyDescent="0.55000000000000004">
      <c r="A11421" s="18">
        <v>24.8138641</v>
      </c>
      <c r="B11421" s="18">
        <v>34.836931399999997</v>
      </c>
      <c r="C11421" s="18">
        <v>685663.25</v>
      </c>
      <c r="D11421" s="18">
        <v>2745586.77</v>
      </c>
      <c r="E11421" s="18">
        <v>264.86</v>
      </c>
      <c r="F11421" s="18">
        <v>41954.86</v>
      </c>
      <c r="G11421" s="18">
        <v>142758</v>
      </c>
      <c r="H11421" s="18">
        <f t="shared" si="260"/>
        <v>41919.86</v>
      </c>
    </row>
    <row r="11422" spans="1:8" s="10" customFormat="1" ht="19.5" customHeight="1" x14ac:dyDescent="0.55000000000000004">
      <c r="A11422" s="18">
        <v>24.8138401</v>
      </c>
      <c r="B11422" s="18">
        <v>34.836933799999997</v>
      </c>
      <c r="C11422" s="18">
        <v>685663.52</v>
      </c>
      <c r="D11422" s="18">
        <v>2745584.11</v>
      </c>
      <c r="E11422" s="18">
        <v>264.83</v>
      </c>
      <c r="F11422" s="18">
        <v>41954.8</v>
      </c>
      <c r="G11422" s="18">
        <v>142800</v>
      </c>
      <c r="H11422" s="18">
        <f t="shared" si="260"/>
        <v>41919.800000000003</v>
      </c>
    </row>
    <row r="11423" spans="1:8" s="10" customFormat="1" ht="19.5" customHeight="1" x14ac:dyDescent="0.55000000000000004">
      <c r="A11423" s="18">
        <v>24.813818000000001</v>
      </c>
      <c r="B11423" s="18">
        <v>34.836941500000002</v>
      </c>
      <c r="C11423" s="18">
        <v>685664.33</v>
      </c>
      <c r="D11423" s="18">
        <v>2745581.68</v>
      </c>
      <c r="E11423" s="18">
        <v>264.72000000000003</v>
      </c>
      <c r="F11423" s="18">
        <v>41952.94</v>
      </c>
      <c r="G11423" s="18">
        <v>142802</v>
      </c>
      <c r="H11423" s="18">
        <f t="shared" si="260"/>
        <v>41917.94</v>
      </c>
    </row>
    <row r="11424" spans="1:8" s="10" customFormat="1" ht="19.5" customHeight="1" x14ac:dyDescent="0.55000000000000004">
      <c r="A11424" s="18">
        <v>24.813798599999998</v>
      </c>
      <c r="B11424" s="18">
        <v>34.836955099999997</v>
      </c>
      <c r="C11424" s="18">
        <v>685665.74</v>
      </c>
      <c r="D11424" s="18">
        <v>2745579.55</v>
      </c>
      <c r="E11424" s="18">
        <v>264.77</v>
      </c>
      <c r="F11424" s="18">
        <v>41953.51</v>
      </c>
      <c r="G11424" s="18">
        <v>142804</v>
      </c>
      <c r="H11424" s="18">
        <f t="shared" si="260"/>
        <v>41918.51</v>
      </c>
    </row>
    <row r="11425" spans="1:8" s="10" customFormat="1" ht="19.5" customHeight="1" x14ac:dyDescent="0.55000000000000004">
      <c r="A11425" s="18">
        <v>24.813780399999999</v>
      </c>
      <c r="B11425" s="18">
        <v>34.836969699999997</v>
      </c>
      <c r="C11425" s="18">
        <v>685667.24</v>
      </c>
      <c r="D11425" s="18">
        <v>2745577.55</v>
      </c>
      <c r="E11425" s="18">
        <v>264.75</v>
      </c>
      <c r="F11425" s="18">
        <v>41952.31</v>
      </c>
      <c r="G11425" s="18">
        <v>142806</v>
      </c>
      <c r="H11425" s="18">
        <f t="shared" si="260"/>
        <v>41917.31</v>
      </c>
    </row>
    <row r="11426" spans="1:8" s="10" customFormat="1" ht="19.5" customHeight="1" x14ac:dyDescent="0.55000000000000004">
      <c r="A11426" s="18">
        <v>24.8137638</v>
      </c>
      <c r="B11426" s="18">
        <v>34.836988099999999</v>
      </c>
      <c r="C11426" s="18">
        <v>685669.13</v>
      </c>
      <c r="D11426" s="18">
        <v>2745575.74</v>
      </c>
      <c r="E11426" s="18">
        <v>264.64</v>
      </c>
      <c r="F11426" s="18">
        <v>41952.86</v>
      </c>
      <c r="G11426" s="18">
        <v>142808</v>
      </c>
      <c r="H11426" s="18">
        <f t="shared" si="260"/>
        <v>41917.86</v>
      </c>
    </row>
    <row r="11427" spans="1:8" s="10" customFormat="1" ht="19.5" customHeight="1" x14ac:dyDescent="0.55000000000000004">
      <c r="A11427" s="18">
        <v>24.813745900000001</v>
      </c>
      <c r="B11427" s="18">
        <v>34.837004800000003</v>
      </c>
      <c r="C11427" s="18">
        <v>685670.84</v>
      </c>
      <c r="D11427" s="18">
        <v>2745573.78</v>
      </c>
      <c r="E11427" s="18">
        <v>264.67</v>
      </c>
      <c r="F11427" s="18">
        <v>41952.51</v>
      </c>
      <c r="G11427" s="18">
        <v>142810</v>
      </c>
      <c r="H11427" s="18">
        <f t="shared" si="260"/>
        <v>41917.51</v>
      </c>
    </row>
    <row r="11428" spans="1:8" s="10" customFormat="1" ht="19.5" customHeight="1" x14ac:dyDescent="0.55000000000000004">
      <c r="A11428" s="18">
        <v>24.813726899999999</v>
      </c>
      <c r="B11428" s="18">
        <v>34.837018800000003</v>
      </c>
      <c r="C11428" s="18">
        <v>685672.28</v>
      </c>
      <c r="D11428" s="18">
        <v>2745571.68</v>
      </c>
      <c r="E11428" s="18">
        <v>264.58</v>
      </c>
      <c r="F11428" s="18">
        <v>41952.9</v>
      </c>
      <c r="G11428" s="18">
        <v>142812</v>
      </c>
      <c r="H11428" s="18">
        <f t="shared" si="260"/>
        <v>41917.9</v>
      </c>
    </row>
    <row r="11429" spans="1:8" s="10" customFormat="1" ht="19.5" customHeight="1" x14ac:dyDescent="0.55000000000000004">
      <c r="A11429" s="18">
        <v>24.8137045</v>
      </c>
      <c r="B11429" s="18">
        <v>34.837031400000001</v>
      </c>
      <c r="C11429" s="18">
        <v>685673.59</v>
      </c>
      <c r="D11429" s="18">
        <v>2745569.23</v>
      </c>
      <c r="E11429" s="18">
        <v>264.42</v>
      </c>
      <c r="F11429" s="18">
        <v>41951.95</v>
      </c>
      <c r="G11429" s="18">
        <v>142814</v>
      </c>
      <c r="H11429" s="18">
        <f t="shared" si="260"/>
        <v>41916.949999999997</v>
      </c>
    </row>
    <row r="11430" spans="1:8" s="10" customFormat="1" ht="19.5" customHeight="1" x14ac:dyDescent="0.55000000000000004">
      <c r="A11430" s="18">
        <v>24.813688500000001</v>
      </c>
      <c r="B11430" s="18">
        <v>34.837049100000002</v>
      </c>
      <c r="C11430" s="18">
        <v>685675.41</v>
      </c>
      <c r="D11430" s="18">
        <v>2745567.48</v>
      </c>
      <c r="E11430" s="18">
        <v>264.32</v>
      </c>
      <c r="F11430" s="18">
        <v>41951.46</v>
      </c>
      <c r="G11430" s="18">
        <v>142816</v>
      </c>
      <c r="H11430" s="18">
        <f t="shared" si="260"/>
        <v>41916.46</v>
      </c>
    </row>
    <row r="11431" spans="1:8" s="10" customFormat="1" ht="19.5" customHeight="1" x14ac:dyDescent="0.55000000000000004">
      <c r="A11431" s="18">
        <v>24.813675799999999</v>
      </c>
      <c r="B11431" s="18">
        <v>34.837070699999998</v>
      </c>
      <c r="C11431" s="18">
        <v>685677.61</v>
      </c>
      <c r="D11431" s="18">
        <v>2745566.1</v>
      </c>
      <c r="E11431" s="18">
        <v>264.17</v>
      </c>
      <c r="F11431" s="18">
        <v>41953.38</v>
      </c>
      <c r="G11431" s="18">
        <v>142818</v>
      </c>
      <c r="H11431" s="18">
        <f t="shared" si="260"/>
        <v>41918.379999999997</v>
      </c>
    </row>
    <row r="11432" spans="1:8" s="10" customFormat="1" ht="19.5" customHeight="1" x14ac:dyDescent="0.55000000000000004">
      <c r="A11432" s="18">
        <v>24.8136607</v>
      </c>
      <c r="B11432" s="18">
        <v>34.837093000000003</v>
      </c>
      <c r="C11432" s="18">
        <v>685679.88</v>
      </c>
      <c r="D11432" s="18">
        <v>2745564.46</v>
      </c>
      <c r="E11432" s="18">
        <v>264.02999999999997</v>
      </c>
      <c r="F11432" s="18">
        <v>41952.01</v>
      </c>
      <c r="G11432" s="18">
        <v>142820</v>
      </c>
      <c r="H11432" s="18">
        <f t="shared" si="260"/>
        <v>41917.01</v>
      </c>
    </row>
    <row r="11433" spans="1:8" s="10" customFormat="1" ht="19.5" customHeight="1" x14ac:dyDescent="0.55000000000000004">
      <c r="A11433" s="18">
        <v>24.813647199999998</v>
      </c>
      <c r="B11433" s="18">
        <v>34.837114999999997</v>
      </c>
      <c r="C11433" s="18">
        <v>685682.13</v>
      </c>
      <c r="D11433" s="18">
        <v>2745563</v>
      </c>
      <c r="E11433" s="18">
        <v>264.01</v>
      </c>
      <c r="F11433" s="18">
        <v>41952.85</v>
      </c>
      <c r="G11433" s="18">
        <v>142822</v>
      </c>
      <c r="H11433" s="18">
        <f t="shared" si="260"/>
        <v>41917.85</v>
      </c>
    </row>
    <row r="11434" spans="1:8" s="10" customFormat="1" ht="19.5" customHeight="1" x14ac:dyDescent="0.55000000000000004">
      <c r="A11434" s="18">
        <v>24.813635300000001</v>
      </c>
      <c r="B11434" s="18">
        <v>34.837137599999998</v>
      </c>
      <c r="C11434" s="18">
        <v>685684.43</v>
      </c>
      <c r="D11434" s="18">
        <v>2745561.71</v>
      </c>
      <c r="E11434" s="18">
        <v>263.94</v>
      </c>
      <c r="F11434" s="18">
        <v>41952.14</v>
      </c>
      <c r="G11434" s="18">
        <v>142824</v>
      </c>
      <c r="H11434" s="18">
        <f t="shared" si="260"/>
        <v>41917.14</v>
      </c>
    </row>
    <row r="11435" spans="1:8" s="10" customFormat="1" ht="19.5" customHeight="1" x14ac:dyDescent="0.55000000000000004">
      <c r="A11435" s="18">
        <v>24.813625399999999</v>
      </c>
      <c r="B11435" s="18">
        <v>34.837164600000001</v>
      </c>
      <c r="C11435" s="18">
        <v>685687.17</v>
      </c>
      <c r="D11435" s="18">
        <v>2745560.65</v>
      </c>
      <c r="E11435" s="18">
        <v>263.81</v>
      </c>
      <c r="F11435" s="18">
        <v>41953.31</v>
      </c>
      <c r="G11435" s="18">
        <v>142826</v>
      </c>
      <c r="H11435" s="18">
        <f t="shared" si="260"/>
        <v>41918.31</v>
      </c>
    </row>
    <row r="11436" spans="1:8" s="10" customFormat="1" ht="19.5" customHeight="1" x14ac:dyDescent="0.55000000000000004">
      <c r="A11436" s="18">
        <v>24.8136148</v>
      </c>
      <c r="B11436" s="18">
        <v>34.837188400000002</v>
      </c>
      <c r="C11436" s="18">
        <v>685689.6</v>
      </c>
      <c r="D11436" s="18">
        <v>2745559.51</v>
      </c>
      <c r="E11436" s="18">
        <v>263.73</v>
      </c>
      <c r="F11436" s="18">
        <v>41952.18</v>
      </c>
      <c r="G11436" s="18">
        <v>142828</v>
      </c>
      <c r="H11436" s="18">
        <f t="shared" si="260"/>
        <v>41917.18</v>
      </c>
    </row>
    <row r="11437" spans="1:8" s="10" customFormat="1" ht="19.5" customHeight="1" x14ac:dyDescent="0.55000000000000004">
      <c r="A11437" s="18">
        <v>24.8136084</v>
      </c>
      <c r="B11437" s="18">
        <v>34.837214199999998</v>
      </c>
      <c r="C11437" s="18">
        <v>685692.21</v>
      </c>
      <c r="D11437" s="18">
        <v>2745558.83</v>
      </c>
      <c r="E11437" s="18">
        <v>263.61</v>
      </c>
      <c r="F11437" s="18">
        <v>41952.26</v>
      </c>
      <c r="G11437" s="18">
        <v>142830</v>
      </c>
      <c r="H11437" s="18">
        <f t="shared" si="260"/>
        <v>41917.26</v>
      </c>
    </row>
    <row r="11438" spans="1:8" s="10" customFormat="1" ht="19.5" customHeight="1" x14ac:dyDescent="0.55000000000000004">
      <c r="A11438" s="18">
        <v>24.8136066</v>
      </c>
      <c r="B11438" s="18">
        <v>34.837239199999999</v>
      </c>
      <c r="C11438" s="18">
        <v>685694.75</v>
      </c>
      <c r="D11438" s="18">
        <v>2745558.67</v>
      </c>
      <c r="E11438" s="18">
        <v>263.60000000000002</v>
      </c>
      <c r="F11438" s="18">
        <v>41951.62</v>
      </c>
      <c r="G11438" s="18">
        <v>142832</v>
      </c>
      <c r="H11438" s="18">
        <f t="shared" si="260"/>
        <v>41916.620000000003</v>
      </c>
    </row>
    <row r="11439" spans="1:8" s="10" customFormat="1" ht="19.5" customHeight="1" x14ac:dyDescent="0.55000000000000004">
      <c r="A11439" s="18">
        <v>24.8136057</v>
      </c>
      <c r="B11439" s="18">
        <v>34.8372642</v>
      </c>
      <c r="C11439" s="18">
        <v>685697.28</v>
      </c>
      <c r="D11439" s="18">
        <v>2745558.59</v>
      </c>
      <c r="E11439" s="18">
        <v>263.56</v>
      </c>
      <c r="F11439" s="18">
        <v>41953.52</v>
      </c>
      <c r="G11439" s="18">
        <v>142834</v>
      </c>
      <c r="H11439" s="18">
        <f t="shared" si="260"/>
        <v>41918.519999999997</v>
      </c>
    </row>
    <row r="11440" spans="1:8" s="10" customFormat="1" ht="19.5" customHeight="1" x14ac:dyDescent="0.55000000000000004">
      <c r="A11440" s="18">
        <v>24.8136017</v>
      </c>
      <c r="B11440" s="18">
        <v>34.837289800000001</v>
      </c>
      <c r="C11440" s="18">
        <v>685699.87</v>
      </c>
      <c r="D11440" s="18">
        <v>2745558.19</v>
      </c>
      <c r="E11440" s="18">
        <v>263.45</v>
      </c>
      <c r="F11440" s="18">
        <v>41953.29</v>
      </c>
      <c r="G11440" s="18">
        <v>142836</v>
      </c>
      <c r="H11440" s="18">
        <f t="shared" si="260"/>
        <v>41918.29</v>
      </c>
    </row>
    <row r="11441" spans="1:8" s="10" customFormat="1" ht="19.5" customHeight="1" x14ac:dyDescent="0.55000000000000004">
      <c r="A11441" s="18">
        <v>24.813594800000001</v>
      </c>
      <c r="B11441" s="18">
        <v>34.837314800000001</v>
      </c>
      <c r="C11441" s="18">
        <v>685702.41</v>
      </c>
      <c r="D11441" s="18">
        <v>2745557.46</v>
      </c>
      <c r="E11441" s="18">
        <v>263.32</v>
      </c>
      <c r="F11441" s="18">
        <v>41952.35</v>
      </c>
      <c r="G11441" s="18">
        <v>142838</v>
      </c>
      <c r="H11441" s="18">
        <f t="shared" si="260"/>
        <v>41917.35</v>
      </c>
    </row>
    <row r="11442" spans="1:8" s="10" customFormat="1" ht="19.5" customHeight="1" x14ac:dyDescent="0.55000000000000004">
      <c r="A11442" s="18">
        <v>24.8135881</v>
      </c>
      <c r="B11442" s="18">
        <v>34.837339</v>
      </c>
      <c r="C11442" s="18">
        <v>685704.86</v>
      </c>
      <c r="D11442" s="18">
        <v>2745556.76</v>
      </c>
      <c r="E11442" s="18">
        <v>263.32</v>
      </c>
      <c r="F11442" s="18">
        <v>41951.7</v>
      </c>
      <c r="G11442" s="18">
        <v>142840</v>
      </c>
      <c r="H11442" s="18">
        <f t="shared" si="260"/>
        <v>41916.699999999997</v>
      </c>
    </row>
    <row r="11443" spans="1:8" s="10" customFormat="1" ht="19.5" customHeight="1" x14ac:dyDescent="0.55000000000000004">
      <c r="A11443" s="18">
        <v>24.813579000000001</v>
      </c>
      <c r="B11443" s="18">
        <v>34.837363400000001</v>
      </c>
      <c r="C11443" s="18">
        <v>685707.34</v>
      </c>
      <c r="D11443" s="18">
        <v>2745555.78</v>
      </c>
      <c r="E11443" s="18">
        <v>263.37</v>
      </c>
      <c r="F11443" s="18">
        <v>41953.25</v>
      </c>
      <c r="G11443" s="18">
        <v>142842</v>
      </c>
      <c r="H11443" s="18">
        <f t="shared" si="260"/>
        <v>41918.25</v>
      </c>
    </row>
    <row r="11444" spans="1:8" s="10" customFormat="1" ht="19.5" customHeight="1" x14ac:dyDescent="0.55000000000000004">
      <c r="A11444" s="18">
        <v>24.8135716</v>
      </c>
      <c r="B11444" s="18">
        <v>34.837386100000003</v>
      </c>
      <c r="C11444" s="18">
        <v>685709.65</v>
      </c>
      <c r="D11444" s="18">
        <v>2745554.99</v>
      </c>
      <c r="E11444" s="18">
        <v>263.27</v>
      </c>
      <c r="F11444" s="18">
        <v>41952.66</v>
      </c>
      <c r="G11444" s="18">
        <v>142844</v>
      </c>
      <c r="H11444" s="18">
        <f t="shared" si="260"/>
        <v>41917.660000000003</v>
      </c>
    </row>
    <row r="11445" spans="1:8" s="10" customFormat="1" ht="19.5" customHeight="1" x14ac:dyDescent="0.55000000000000004">
      <c r="A11445" s="18">
        <v>24.8135631</v>
      </c>
      <c r="B11445" s="18">
        <v>34.837409100000002</v>
      </c>
      <c r="C11445" s="18">
        <v>685711.99</v>
      </c>
      <c r="D11445" s="18">
        <v>2745554.08</v>
      </c>
      <c r="E11445" s="18">
        <v>263.3</v>
      </c>
      <c r="F11445" s="18">
        <v>41951.21</v>
      </c>
      <c r="G11445" s="18">
        <v>142846</v>
      </c>
      <c r="H11445" s="18">
        <f t="shared" si="260"/>
        <v>41916.21</v>
      </c>
    </row>
    <row r="11446" spans="1:8" s="10" customFormat="1" ht="19.5" customHeight="1" x14ac:dyDescent="0.55000000000000004">
      <c r="A11446" s="18">
        <v>24.813556200000001</v>
      </c>
      <c r="B11446" s="18">
        <v>34.837432900000003</v>
      </c>
      <c r="C11446" s="18">
        <v>685714.4</v>
      </c>
      <c r="D11446" s="18">
        <v>2745553.34</v>
      </c>
      <c r="E11446" s="18">
        <v>263.3</v>
      </c>
      <c r="F11446" s="18">
        <v>41951.71</v>
      </c>
      <c r="G11446" s="18">
        <v>142848</v>
      </c>
      <c r="H11446" s="18">
        <f t="shared" si="260"/>
        <v>41916.71</v>
      </c>
    </row>
    <row r="11447" spans="1:8" s="10" customFormat="1" ht="19.5" customHeight="1" x14ac:dyDescent="0.55000000000000004">
      <c r="A11447" s="18">
        <v>24.813548699999998</v>
      </c>
      <c r="B11447" s="18">
        <v>34.8374576</v>
      </c>
      <c r="C11447" s="18">
        <v>685716.91</v>
      </c>
      <c r="D11447" s="18">
        <v>2745552.55</v>
      </c>
      <c r="E11447" s="18">
        <v>263.17</v>
      </c>
      <c r="F11447" s="18">
        <v>41951.48</v>
      </c>
      <c r="G11447" s="18">
        <v>142850</v>
      </c>
      <c r="H11447" s="18">
        <f t="shared" si="260"/>
        <v>41916.480000000003</v>
      </c>
    </row>
    <row r="11448" spans="1:8" s="10" customFormat="1" ht="19.5" customHeight="1" x14ac:dyDescent="0.55000000000000004">
      <c r="A11448" s="18">
        <v>24.8135428</v>
      </c>
      <c r="B11448" s="18">
        <v>34.8374819</v>
      </c>
      <c r="C11448" s="18">
        <v>685719.37</v>
      </c>
      <c r="D11448" s="18">
        <v>2745551.93</v>
      </c>
      <c r="E11448" s="18">
        <v>263.14</v>
      </c>
      <c r="F11448" s="18">
        <v>41951.33</v>
      </c>
      <c r="G11448" s="18">
        <v>142852</v>
      </c>
      <c r="H11448" s="18">
        <f t="shared" si="260"/>
        <v>41916.33</v>
      </c>
    </row>
    <row r="11449" spans="1:8" s="10" customFormat="1" ht="19.5" customHeight="1" x14ac:dyDescent="0.55000000000000004">
      <c r="A11449" s="18">
        <v>24.8135412</v>
      </c>
      <c r="B11449" s="18">
        <v>34.837507000000002</v>
      </c>
      <c r="C11449" s="18">
        <v>685721.92</v>
      </c>
      <c r="D11449" s="18">
        <v>2745551.79</v>
      </c>
      <c r="E11449" s="18">
        <v>263.10000000000002</v>
      </c>
      <c r="F11449" s="18">
        <v>41954.2</v>
      </c>
      <c r="G11449" s="18">
        <v>142854</v>
      </c>
      <c r="H11449" s="18">
        <f t="shared" si="260"/>
        <v>41919.199999999997</v>
      </c>
    </row>
    <row r="11450" spans="1:8" s="10" customFormat="1" ht="19.5" customHeight="1" x14ac:dyDescent="0.55000000000000004">
      <c r="A11450" s="18">
        <v>24.813541600000001</v>
      </c>
      <c r="B11450" s="18">
        <v>34.837532099999997</v>
      </c>
      <c r="C11450" s="18">
        <v>685724.46</v>
      </c>
      <c r="D11450" s="18">
        <v>2745551.87</v>
      </c>
      <c r="E11450" s="18">
        <v>263.02</v>
      </c>
      <c r="F11450" s="18">
        <v>41956.37</v>
      </c>
      <c r="G11450" s="18">
        <v>142856</v>
      </c>
      <c r="H11450" s="18">
        <f t="shared" si="260"/>
        <v>41921.370000000003</v>
      </c>
    </row>
    <row r="11451" spans="1:8" s="10" customFormat="1" ht="19.5" customHeight="1" x14ac:dyDescent="0.55000000000000004">
      <c r="A11451" s="18">
        <v>24.8135434</v>
      </c>
      <c r="B11451" s="18">
        <v>34.837558000000001</v>
      </c>
      <c r="C11451" s="18">
        <v>685727.07</v>
      </c>
      <c r="D11451" s="18">
        <v>2745552.1</v>
      </c>
      <c r="E11451" s="18">
        <v>262.89</v>
      </c>
      <c r="F11451" s="18">
        <v>41954.44</v>
      </c>
      <c r="G11451" s="18">
        <v>142858</v>
      </c>
      <c r="H11451" s="18">
        <f t="shared" si="260"/>
        <v>41919.440000000002</v>
      </c>
    </row>
    <row r="11452" spans="1:8" s="10" customFormat="1" ht="19.5" customHeight="1" x14ac:dyDescent="0.55000000000000004">
      <c r="A11452" s="18">
        <v>24.813549900000002</v>
      </c>
      <c r="B11452" s="18">
        <v>34.837584</v>
      </c>
      <c r="C11452" s="18">
        <v>685729.69</v>
      </c>
      <c r="D11452" s="18">
        <v>2745552.86</v>
      </c>
      <c r="E11452" s="18">
        <v>262.89</v>
      </c>
      <c r="F11452" s="18">
        <v>41953.67</v>
      </c>
      <c r="G11452" s="18">
        <v>142900</v>
      </c>
      <c r="H11452" s="18">
        <f t="shared" si="260"/>
        <v>41918.67</v>
      </c>
    </row>
    <row r="11453" spans="1:8" s="10" customFormat="1" ht="19.5" customHeight="1" x14ac:dyDescent="0.55000000000000004">
      <c r="A11453" s="18">
        <v>24.813554799999999</v>
      </c>
      <c r="B11453" s="18">
        <v>34.837609800000003</v>
      </c>
      <c r="C11453" s="18">
        <v>685732.29</v>
      </c>
      <c r="D11453" s="18">
        <v>2745553.43</v>
      </c>
      <c r="E11453" s="18">
        <v>262.72000000000003</v>
      </c>
      <c r="F11453" s="18">
        <v>41956.29</v>
      </c>
      <c r="G11453" s="18">
        <v>142902</v>
      </c>
      <c r="H11453" s="18">
        <f t="shared" si="260"/>
        <v>41921.29</v>
      </c>
    </row>
    <row r="11454" spans="1:8" s="10" customFormat="1" ht="19.5" customHeight="1" x14ac:dyDescent="0.55000000000000004">
      <c r="A11454" s="18">
        <v>24.813557800000002</v>
      </c>
      <c r="B11454" s="18">
        <v>34.837635400000003</v>
      </c>
      <c r="C11454" s="18">
        <v>685734.88</v>
      </c>
      <c r="D11454" s="18">
        <v>2745553.8</v>
      </c>
      <c r="E11454" s="18">
        <v>262.63</v>
      </c>
      <c r="F11454" s="18">
        <v>41955.65</v>
      </c>
      <c r="G11454" s="18">
        <v>142904</v>
      </c>
      <c r="H11454" s="18">
        <f t="shared" si="260"/>
        <v>41920.65</v>
      </c>
    </row>
    <row r="11455" spans="1:8" s="10" customFormat="1" ht="19.5" customHeight="1" x14ac:dyDescent="0.55000000000000004">
      <c r="A11455" s="18">
        <v>24.813561799999999</v>
      </c>
      <c r="B11455" s="18">
        <v>34.8376631</v>
      </c>
      <c r="C11455" s="18">
        <v>685737.66</v>
      </c>
      <c r="D11455" s="18">
        <v>2745554.28</v>
      </c>
      <c r="E11455" s="18">
        <v>262.47000000000003</v>
      </c>
      <c r="F11455" s="18">
        <v>41952.35</v>
      </c>
      <c r="G11455" s="18">
        <v>142906</v>
      </c>
      <c r="H11455" s="18">
        <f t="shared" si="260"/>
        <v>41917.35</v>
      </c>
    </row>
    <row r="11456" spans="1:8" s="10" customFormat="1" ht="19.5" customHeight="1" x14ac:dyDescent="0.55000000000000004">
      <c r="A11456" s="18">
        <v>24.813572099999998</v>
      </c>
      <c r="B11456" s="18">
        <v>34.8376868</v>
      </c>
      <c r="C11456" s="18">
        <v>685740.05</v>
      </c>
      <c r="D11456" s="18">
        <v>2745555.46</v>
      </c>
      <c r="E11456" s="18">
        <v>262.3</v>
      </c>
      <c r="F11456" s="18">
        <v>41952.66</v>
      </c>
      <c r="G11456" s="18">
        <v>142908</v>
      </c>
      <c r="H11456" s="18">
        <f t="shared" si="260"/>
        <v>41917.660000000003</v>
      </c>
    </row>
    <row r="11457" spans="1:8" s="10" customFormat="1" ht="19.5" customHeight="1" x14ac:dyDescent="0.55000000000000004">
      <c r="A11457" s="18">
        <v>24.8135884</v>
      </c>
      <c r="B11457" s="18">
        <v>34.837706300000001</v>
      </c>
      <c r="C11457" s="18">
        <v>685741.99</v>
      </c>
      <c r="D11457" s="18">
        <v>2745557.28</v>
      </c>
      <c r="E11457" s="18">
        <v>262.12</v>
      </c>
      <c r="F11457" s="18">
        <v>41956.92</v>
      </c>
      <c r="G11457" s="18">
        <v>142910</v>
      </c>
      <c r="H11457" s="18">
        <f t="shared" si="260"/>
        <v>41921.919999999998</v>
      </c>
    </row>
    <row r="11458" spans="1:8" s="10" customFormat="1" ht="19.5" customHeight="1" x14ac:dyDescent="0.55000000000000004">
      <c r="A11458" s="18">
        <v>24.8136078</v>
      </c>
      <c r="B11458" s="18">
        <v>34.837719900000003</v>
      </c>
      <c r="C11458" s="18">
        <v>685743.34</v>
      </c>
      <c r="D11458" s="18">
        <v>2745559.45</v>
      </c>
      <c r="E11458" s="18">
        <v>262.04000000000002</v>
      </c>
      <c r="F11458" s="18">
        <v>41956.01</v>
      </c>
      <c r="G11458" s="18">
        <v>142912</v>
      </c>
      <c r="H11458" s="18">
        <f t="shared" si="260"/>
        <v>41921.01</v>
      </c>
    </row>
    <row r="11459" spans="1:8" s="10" customFormat="1" ht="19.5" customHeight="1" x14ac:dyDescent="0.55000000000000004">
      <c r="A11459" s="18">
        <v>24.813628300000001</v>
      </c>
      <c r="B11459" s="18">
        <v>34.837731099999999</v>
      </c>
      <c r="C11459" s="18">
        <v>685744.44</v>
      </c>
      <c r="D11459" s="18">
        <v>2745561.73</v>
      </c>
      <c r="E11459" s="18">
        <v>261.89999999999998</v>
      </c>
      <c r="F11459" s="18">
        <v>41955.22</v>
      </c>
      <c r="G11459" s="18">
        <v>142914</v>
      </c>
      <c r="H11459" s="18">
        <f t="shared" si="260"/>
        <v>41920.22</v>
      </c>
    </row>
    <row r="11460" spans="1:8" s="10" customFormat="1" ht="19.5" customHeight="1" x14ac:dyDescent="0.55000000000000004">
      <c r="A11460" s="18">
        <v>24.813650599999999</v>
      </c>
      <c r="B11460" s="18">
        <v>34.837741299999998</v>
      </c>
      <c r="C11460" s="18">
        <v>685745.44</v>
      </c>
      <c r="D11460" s="18">
        <v>2745564.22</v>
      </c>
      <c r="E11460" s="18">
        <v>261.79000000000002</v>
      </c>
      <c r="F11460" s="18">
        <v>41955.76</v>
      </c>
      <c r="G11460" s="18">
        <v>142916</v>
      </c>
      <c r="H11460" s="18">
        <f t="shared" si="260"/>
        <v>41920.76</v>
      </c>
    </row>
    <row r="11461" spans="1:8" s="10" customFormat="1" ht="19.5" customHeight="1" x14ac:dyDescent="0.55000000000000004">
      <c r="A11461" s="18">
        <v>24.813673099999999</v>
      </c>
      <c r="B11461" s="18">
        <v>34.837753300000003</v>
      </c>
      <c r="C11461" s="18">
        <v>685746.62</v>
      </c>
      <c r="D11461" s="18">
        <v>2745566.73</v>
      </c>
      <c r="E11461" s="18">
        <v>261.68</v>
      </c>
      <c r="F11461" s="18">
        <v>41957.61</v>
      </c>
      <c r="G11461" s="18">
        <v>142918</v>
      </c>
      <c r="H11461" s="18">
        <f t="shared" si="260"/>
        <v>41922.61</v>
      </c>
    </row>
    <row r="11462" spans="1:8" s="10" customFormat="1" ht="19.5" customHeight="1" x14ac:dyDescent="0.55000000000000004">
      <c r="A11462" s="18">
        <v>24.813692499999998</v>
      </c>
      <c r="B11462" s="18">
        <v>34.8377701</v>
      </c>
      <c r="C11462" s="18">
        <v>685748.29</v>
      </c>
      <c r="D11462" s="18">
        <v>2745568.9</v>
      </c>
      <c r="E11462" s="18">
        <v>261.64</v>
      </c>
      <c r="F11462" s="18">
        <v>41957.29</v>
      </c>
      <c r="G11462" s="18">
        <v>142920</v>
      </c>
      <c r="H11462" s="18">
        <f t="shared" si="260"/>
        <v>41922.29</v>
      </c>
    </row>
    <row r="11463" spans="1:8" s="10" customFormat="1" ht="19.5" customHeight="1" x14ac:dyDescent="0.55000000000000004">
      <c r="A11463" s="18">
        <v>24.813711099999999</v>
      </c>
      <c r="B11463" s="18">
        <v>34.837786899999998</v>
      </c>
      <c r="C11463" s="18">
        <v>685749.96</v>
      </c>
      <c r="D11463" s="18">
        <v>2745570.98</v>
      </c>
      <c r="E11463" s="18">
        <v>261.54000000000002</v>
      </c>
      <c r="F11463" s="18">
        <v>41959.74</v>
      </c>
      <c r="G11463" s="18">
        <v>142922</v>
      </c>
      <c r="H11463" s="18">
        <f t="shared" si="260"/>
        <v>41924.74</v>
      </c>
    </row>
    <row r="11464" spans="1:8" s="10" customFormat="1" ht="19.5" customHeight="1" x14ac:dyDescent="0.55000000000000004">
      <c r="A11464" s="18">
        <v>24.8137288</v>
      </c>
      <c r="B11464" s="18">
        <v>34.837807099999999</v>
      </c>
      <c r="C11464" s="18">
        <v>685751.97</v>
      </c>
      <c r="D11464" s="18">
        <v>2745572.98</v>
      </c>
      <c r="E11464" s="18">
        <v>261.39</v>
      </c>
      <c r="F11464" s="18">
        <v>41958.09</v>
      </c>
      <c r="G11464" s="18">
        <v>142924</v>
      </c>
      <c r="H11464" s="18">
        <f t="shared" si="260"/>
        <v>41923.089999999997</v>
      </c>
    </row>
    <row r="11465" spans="1:8" s="10" customFormat="1" ht="19.5" customHeight="1" x14ac:dyDescent="0.55000000000000004">
      <c r="A11465" s="18">
        <v>24.8137434</v>
      </c>
      <c r="B11465" s="18">
        <v>34.837828600000002</v>
      </c>
      <c r="C11465" s="18">
        <v>685754.13</v>
      </c>
      <c r="D11465" s="18">
        <v>2745574.62</v>
      </c>
      <c r="E11465" s="18">
        <v>261.18</v>
      </c>
      <c r="F11465" s="18">
        <v>41959.8</v>
      </c>
      <c r="G11465" s="18">
        <v>142926</v>
      </c>
      <c r="H11465" s="18">
        <f t="shared" si="260"/>
        <v>41924.800000000003</v>
      </c>
    </row>
    <row r="11466" spans="1:8" s="10" customFormat="1" ht="19.5" customHeight="1" x14ac:dyDescent="0.55000000000000004">
      <c r="A11466" s="18">
        <v>24.813752900000001</v>
      </c>
      <c r="B11466" s="18">
        <v>34.837853699999997</v>
      </c>
      <c r="C11466" s="18">
        <v>685756.65</v>
      </c>
      <c r="D11466" s="18">
        <v>2745575.71</v>
      </c>
      <c r="E11466" s="18">
        <v>261.02</v>
      </c>
      <c r="F11466" s="18">
        <v>41958.44</v>
      </c>
      <c r="G11466" s="18">
        <v>142928</v>
      </c>
      <c r="H11466" s="18">
        <f t="shared" si="260"/>
        <v>41923.440000000002</v>
      </c>
    </row>
    <row r="11467" spans="1:8" s="10" customFormat="1" ht="19.5" customHeight="1" x14ac:dyDescent="0.55000000000000004">
      <c r="A11467" s="18">
        <v>24.813760899999998</v>
      </c>
      <c r="B11467" s="18">
        <v>34.837880200000001</v>
      </c>
      <c r="C11467" s="18">
        <v>685759.32</v>
      </c>
      <c r="D11467" s="18">
        <v>2745576.63</v>
      </c>
      <c r="E11467" s="18">
        <v>260.76</v>
      </c>
      <c r="F11467" s="18">
        <v>41961.01</v>
      </c>
      <c r="G11467" s="18">
        <v>142930</v>
      </c>
      <c r="H11467" s="18">
        <f t="shared" si="260"/>
        <v>41926.01</v>
      </c>
    </row>
    <row r="11468" spans="1:8" s="10" customFormat="1" ht="19.5" customHeight="1" x14ac:dyDescent="0.55000000000000004">
      <c r="A11468" s="18">
        <v>24.813763000000002</v>
      </c>
      <c r="B11468" s="18">
        <v>34.837907399999999</v>
      </c>
      <c r="C11468" s="18">
        <v>685762.07</v>
      </c>
      <c r="D11468" s="18">
        <v>2745576.89</v>
      </c>
      <c r="E11468" s="18">
        <v>260.62</v>
      </c>
      <c r="F11468" s="18">
        <v>41961.26</v>
      </c>
      <c r="G11468" s="18">
        <v>142932</v>
      </c>
      <c r="H11468" s="18">
        <f t="shared" si="260"/>
        <v>41926.26</v>
      </c>
    </row>
    <row r="11469" spans="1:8" s="10" customFormat="1" ht="19.5" customHeight="1" x14ac:dyDescent="0.55000000000000004">
      <c r="A11469" s="18">
        <v>24.8137513</v>
      </c>
      <c r="B11469" s="18">
        <v>34.837933</v>
      </c>
      <c r="C11469" s="18">
        <v>685764.67</v>
      </c>
      <c r="D11469" s="18">
        <v>2745575.64</v>
      </c>
      <c r="E11469" s="18">
        <v>260.52</v>
      </c>
      <c r="F11469" s="18">
        <v>41961.99</v>
      </c>
      <c r="G11469" s="18">
        <v>142934</v>
      </c>
      <c r="H11469" s="18">
        <f t="shared" si="260"/>
        <v>41926.99</v>
      </c>
    </row>
    <row r="11470" spans="1:8" s="10" customFormat="1" ht="19.5" customHeight="1" x14ac:dyDescent="0.55000000000000004">
      <c r="A11470" s="18">
        <v>24.813742600000001</v>
      </c>
      <c r="B11470" s="18">
        <v>34.8379586</v>
      </c>
      <c r="C11470" s="18">
        <v>685767.27</v>
      </c>
      <c r="D11470" s="18">
        <v>2745574.71</v>
      </c>
      <c r="E11470" s="18">
        <v>260.55</v>
      </c>
      <c r="F11470" s="18">
        <v>41960.31</v>
      </c>
      <c r="G11470" s="18">
        <v>142936</v>
      </c>
      <c r="H11470" s="18">
        <f t="shared" si="260"/>
        <v>41925.31</v>
      </c>
    </row>
    <row r="11471" spans="1:8" s="10" customFormat="1" ht="19.5" customHeight="1" x14ac:dyDescent="0.55000000000000004">
      <c r="A11471" s="18">
        <v>24.813736500000001</v>
      </c>
      <c r="B11471" s="18">
        <v>34.8379859</v>
      </c>
      <c r="C11471" s="18">
        <v>685770.04</v>
      </c>
      <c r="D11471" s="18">
        <v>2745574.06</v>
      </c>
      <c r="E11471" s="18">
        <v>260.51</v>
      </c>
      <c r="F11471" s="18">
        <v>41960.79</v>
      </c>
      <c r="G11471" s="18">
        <v>142938</v>
      </c>
      <c r="H11471" s="18">
        <f t="shared" si="260"/>
        <v>41925.79</v>
      </c>
    </row>
    <row r="11472" spans="1:8" s="10" customFormat="1" ht="19.5" customHeight="1" x14ac:dyDescent="0.55000000000000004">
      <c r="A11472" s="18">
        <v>24.813730400000001</v>
      </c>
      <c r="B11472" s="18">
        <v>34.838012300000003</v>
      </c>
      <c r="C11472" s="18">
        <v>685772.72</v>
      </c>
      <c r="D11472" s="18">
        <v>2745573.43</v>
      </c>
      <c r="E11472" s="18">
        <v>260.45999999999998</v>
      </c>
      <c r="F11472" s="18">
        <v>41960.89</v>
      </c>
      <c r="G11472" s="18">
        <v>142940</v>
      </c>
      <c r="H11472" s="18">
        <f t="shared" si="260"/>
        <v>41925.89</v>
      </c>
    </row>
    <row r="11473" spans="1:8" s="10" customFormat="1" ht="19.5" customHeight="1" x14ac:dyDescent="0.55000000000000004">
      <c r="A11473" s="18">
        <v>24.813728900000001</v>
      </c>
      <c r="B11473" s="18">
        <v>34.8380376</v>
      </c>
      <c r="C11473" s="18">
        <v>685775.28</v>
      </c>
      <c r="D11473" s="18">
        <v>2745573.29</v>
      </c>
      <c r="E11473" s="18">
        <v>260.42</v>
      </c>
      <c r="F11473" s="18">
        <v>41962.55</v>
      </c>
      <c r="G11473" s="18">
        <v>142942</v>
      </c>
      <c r="H11473" s="18">
        <f t="shared" si="260"/>
        <v>41927.550000000003</v>
      </c>
    </row>
    <row r="11474" spans="1:8" s="10" customFormat="1" ht="19.5" customHeight="1" x14ac:dyDescent="0.55000000000000004">
      <c r="A11474" s="18">
        <v>24.813728300000001</v>
      </c>
      <c r="B11474" s="18">
        <v>34.838063900000002</v>
      </c>
      <c r="C11474" s="18">
        <v>685777.94</v>
      </c>
      <c r="D11474" s="18">
        <v>2745573.27</v>
      </c>
      <c r="E11474" s="18">
        <v>260.39999999999998</v>
      </c>
      <c r="F11474" s="18">
        <v>41963.05</v>
      </c>
      <c r="G11474" s="18">
        <v>142944</v>
      </c>
      <c r="H11474" s="18">
        <f t="shared" si="260"/>
        <v>41928.050000000003</v>
      </c>
    </row>
    <row r="11475" spans="1:8" s="10" customFormat="1" ht="19.5" customHeight="1" x14ac:dyDescent="0.55000000000000004">
      <c r="A11475" s="18">
        <v>24.813729899999998</v>
      </c>
      <c r="B11475" s="18">
        <v>34.838087399999999</v>
      </c>
      <c r="C11475" s="18">
        <v>685780.32</v>
      </c>
      <c r="D11475" s="18">
        <v>2745573.48</v>
      </c>
      <c r="E11475" s="18">
        <v>260.25</v>
      </c>
      <c r="F11475" s="18">
        <v>41964.18</v>
      </c>
      <c r="G11475" s="18">
        <v>142946</v>
      </c>
      <c r="H11475" s="18">
        <f t="shared" si="260"/>
        <v>41929.18</v>
      </c>
    </row>
    <row r="11476" spans="1:8" s="10" customFormat="1" ht="19.5" customHeight="1" x14ac:dyDescent="0.55000000000000004">
      <c r="A11476" s="18">
        <v>24.813732000000002</v>
      </c>
      <c r="B11476" s="18">
        <v>34.838107100000002</v>
      </c>
      <c r="C11476" s="18">
        <v>685782.3</v>
      </c>
      <c r="D11476" s="18">
        <v>2745573.74</v>
      </c>
      <c r="E11476" s="18">
        <v>260.14</v>
      </c>
      <c r="F11476" s="18">
        <v>41959.31</v>
      </c>
      <c r="G11476" s="18">
        <v>142948</v>
      </c>
      <c r="H11476" s="18">
        <f t="shared" ref="H11476:H11511" si="261">SUM(F11476-35)</f>
        <v>41924.31</v>
      </c>
    </row>
    <row r="11477" spans="1:8" s="10" customFormat="1" ht="19.5" customHeight="1" x14ac:dyDescent="0.55000000000000004">
      <c r="A11477" s="18">
        <v>24.8137349</v>
      </c>
      <c r="B11477" s="18">
        <v>34.838106099999997</v>
      </c>
      <c r="C11477" s="18">
        <v>685782.19</v>
      </c>
      <c r="D11477" s="18">
        <v>2745574.06</v>
      </c>
      <c r="E11477" s="18">
        <v>260.14</v>
      </c>
      <c r="F11477" s="18">
        <v>41958.59</v>
      </c>
      <c r="G11477" s="18">
        <v>142950</v>
      </c>
      <c r="H11477" s="18">
        <f t="shared" si="261"/>
        <v>41923.589999999997</v>
      </c>
    </row>
    <row r="11478" spans="1:8" s="10" customFormat="1" ht="19.5" customHeight="1" x14ac:dyDescent="0.55000000000000004">
      <c r="A11478" s="18">
        <v>24.813742000000001</v>
      </c>
      <c r="B11478" s="18">
        <v>34.838085</v>
      </c>
      <c r="C11478" s="18">
        <v>685780.05</v>
      </c>
      <c r="D11478" s="18">
        <v>2745574.81</v>
      </c>
      <c r="E11478" s="18">
        <v>260.19</v>
      </c>
      <c r="F11478" s="18">
        <v>41962.95</v>
      </c>
      <c r="G11478" s="18">
        <v>142952</v>
      </c>
      <c r="H11478" s="18">
        <f t="shared" si="261"/>
        <v>41927.949999999997</v>
      </c>
    </row>
    <row r="11479" spans="1:8" s="10" customFormat="1" ht="19.5" customHeight="1" x14ac:dyDescent="0.55000000000000004">
      <c r="A11479" s="18">
        <v>24.813740800000001</v>
      </c>
      <c r="B11479" s="18">
        <v>34.838059399999999</v>
      </c>
      <c r="C11479" s="18">
        <v>685777.47</v>
      </c>
      <c r="D11479" s="18">
        <v>2745574.65</v>
      </c>
      <c r="E11479" s="18">
        <v>260.27</v>
      </c>
      <c r="F11479" s="18">
        <v>41961.64</v>
      </c>
      <c r="G11479" s="18">
        <v>142954</v>
      </c>
      <c r="H11479" s="18">
        <f t="shared" si="261"/>
        <v>41926.639999999999</v>
      </c>
    </row>
    <row r="11480" spans="1:8" s="10" customFormat="1" ht="19.5" customHeight="1" x14ac:dyDescent="0.55000000000000004">
      <c r="A11480" s="18">
        <v>24.8137373</v>
      </c>
      <c r="B11480" s="18">
        <v>34.838031899999997</v>
      </c>
      <c r="C11480" s="18">
        <v>685774.69</v>
      </c>
      <c r="D11480" s="18">
        <v>2745574.22</v>
      </c>
      <c r="E11480" s="18">
        <v>260.35000000000002</v>
      </c>
      <c r="F11480" s="18">
        <v>41962.57</v>
      </c>
      <c r="G11480" s="18">
        <v>142956</v>
      </c>
      <c r="H11480" s="18">
        <f t="shared" si="261"/>
        <v>41927.57</v>
      </c>
    </row>
    <row r="11481" spans="1:8" s="10" customFormat="1" ht="19.5" customHeight="1" x14ac:dyDescent="0.55000000000000004">
      <c r="A11481" s="18">
        <v>24.813739200000001</v>
      </c>
      <c r="B11481" s="18">
        <v>34.8380042</v>
      </c>
      <c r="C11481" s="18">
        <v>685771.88</v>
      </c>
      <c r="D11481" s="18">
        <v>2745574.4</v>
      </c>
      <c r="E11481" s="18">
        <v>260.41000000000003</v>
      </c>
      <c r="F11481" s="18">
        <v>41963.37</v>
      </c>
      <c r="G11481" s="18">
        <v>142958</v>
      </c>
      <c r="H11481" s="18">
        <f t="shared" si="261"/>
        <v>41928.370000000003</v>
      </c>
    </row>
    <row r="11482" spans="1:8" s="10" customFormat="1" ht="19.5" customHeight="1" x14ac:dyDescent="0.55000000000000004">
      <c r="A11482" s="18">
        <v>24.813740299999999</v>
      </c>
      <c r="B11482" s="18">
        <v>34.837977899999998</v>
      </c>
      <c r="C11482" s="18">
        <v>685769.22</v>
      </c>
      <c r="D11482" s="18">
        <v>2745574.48</v>
      </c>
      <c r="E11482" s="18">
        <v>260.38</v>
      </c>
      <c r="F11482" s="18">
        <v>41964.94</v>
      </c>
      <c r="G11482" s="18">
        <v>143000</v>
      </c>
      <c r="H11482" s="18">
        <f t="shared" si="261"/>
        <v>41929.94</v>
      </c>
    </row>
    <row r="11483" spans="1:8" s="10" customFormat="1" ht="19.5" customHeight="1" x14ac:dyDescent="0.55000000000000004">
      <c r="A11483" s="18">
        <v>24.8137404</v>
      </c>
      <c r="B11483" s="18">
        <v>34.8379501</v>
      </c>
      <c r="C11483" s="18">
        <v>685766.42</v>
      </c>
      <c r="D11483" s="18">
        <v>2745574.46</v>
      </c>
      <c r="E11483" s="18">
        <v>260.32</v>
      </c>
      <c r="F11483" s="18">
        <v>41964.75</v>
      </c>
      <c r="G11483" s="18">
        <v>143002</v>
      </c>
      <c r="H11483" s="18">
        <f t="shared" si="261"/>
        <v>41929.75</v>
      </c>
    </row>
    <row r="11484" spans="1:8" s="10" customFormat="1" ht="19.5" customHeight="1" x14ac:dyDescent="0.55000000000000004">
      <c r="A11484" s="18">
        <v>24.813741100000001</v>
      </c>
      <c r="B11484" s="18">
        <v>34.837923500000002</v>
      </c>
      <c r="C11484" s="18">
        <v>685763.72</v>
      </c>
      <c r="D11484" s="18">
        <v>2745574.49</v>
      </c>
      <c r="E11484" s="18">
        <v>260.42</v>
      </c>
      <c r="F11484" s="18">
        <v>41962.02</v>
      </c>
      <c r="G11484" s="18">
        <v>143004</v>
      </c>
      <c r="H11484" s="18">
        <f t="shared" si="261"/>
        <v>41927.019999999997</v>
      </c>
    </row>
    <row r="11485" spans="1:8" s="10" customFormat="1" ht="19.5" customHeight="1" x14ac:dyDescent="0.55000000000000004">
      <c r="A11485" s="18">
        <v>24.813737199999998</v>
      </c>
      <c r="B11485" s="18">
        <v>34.837898500000001</v>
      </c>
      <c r="C11485" s="18">
        <v>685761.2</v>
      </c>
      <c r="D11485" s="18">
        <v>2745574.03</v>
      </c>
      <c r="E11485" s="18">
        <v>260.58</v>
      </c>
      <c r="F11485" s="18">
        <v>41958.3</v>
      </c>
      <c r="G11485" s="18">
        <v>143006</v>
      </c>
      <c r="H11485" s="18">
        <f t="shared" si="261"/>
        <v>41923.300000000003</v>
      </c>
    </row>
    <row r="11486" spans="1:8" s="10" customFormat="1" ht="19.5" customHeight="1" x14ac:dyDescent="0.55000000000000004">
      <c r="A11486" s="18">
        <v>24.8137303</v>
      </c>
      <c r="B11486" s="18">
        <v>34.837876100000003</v>
      </c>
      <c r="C11486" s="18">
        <v>685758.95</v>
      </c>
      <c r="D11486" s="18">
        <v>2745573.23</v>
      </c>
      <c r="E11486" s="18">
        <v>260.7</v>
      </c>
      <c r="F11486" s="18">
        <v>41960.86</v>
      </c>
      <c r="G11486" s="18">
        <v>143008</v>
      </c>
      <c r="H11486" s="18">
        <f t="shared" si="261"/>
        <v>41925.86</v>
      </c>
    </row>
    <row r="11487" spans="1:8" s="10" customFormat="1" ht="19.5" customHeight="1" x14ac:dyDescent="0.55000000000000004">
      <c r="A11487" s="18">
        <v>24.813730100000001</v>
      </c>
      <c r="B11487" s="18">
        <v>34.837851700000002</v>
      </c>
      <c r="C11487" s="18">
        <v>685756.48</v>
      </c>
      <c r="D11487" s="18">
        <v>2745573.17</v>
      </c>
      <c r="E11487" s="18">
        <v>260.73</v>
      </c>
      <c r="F11487" s="18">
        <v>41956.05</v>
      </c>
      <c r="G11487" s="18">
        <v>143010</v>
      </c>
      <c r="H11487" s="18">
        <f t="shared" si="261"/>
        <v>41921.050000000003</v>
      </c>
    </row>
    <row r="11488" spans="1:8" s="10" customFormat="1" ht="19.5" customHeight="1" x14ac:dyDescent="0.55000000000000004">
      <c r="A11488" s="18">
        <v>24.813722800000001</v>
      </c>
      <c r="B11488" s="18">
        <v>34.837830199999999</v>
      </c>
      <c r="C11488" s="18">
        <v>685754.32</v>
      </c>
      <c r="D11488" s="18">
        <v>2745572.34</v>
      </c>
      <c r="E11488" s="18">
        <v>260.89999999999998</v>
      </c>
      <c r="F11488" s="18">
        <v>41960.02</v>
      </c>
      <c r="G11488" s="18">
        <v>143012</v>
      </c>
      <c r="H11488" s="18">
        <f t="shared" si="261"/>
        <v>41925.019999999997</v>
      </c>
    </row>
    <row r="11489" spans="1:8" s="10" customFormat="1" ht="19.5" customHeight="1" x14ac:dyDescent="0.55000000000000004">
      <c r="A11489" s="18">
        <v>24.813717</v>
      </c>
      <c r="B11489" s="18">
        <v>34.837808699999997</v>
      </c>
      <c r="C11489" s="18">
        <v>685752.15</v>
      </c>
      <c r="D11489" s="18">
        <v>2745571.67</v>
      </c>
      <c r="E11489" s="18">
        <v>261.08</v>
      </c>
      <c r="F11489" s="18">
        <v>41957.81</v>
      </c>
      <c r="G11489" s="18">
        <v>143014</v>
      </c>
      <c r="H11489" s="18">
        <f t="shared" si="261"/>
        <v>41922.81</v>
      </c>
    </row>
    <row r="11490" spans="1:8" s="10" customFormat="1" ht="19.5" customHeight="1" x14ac:dyDescent="0.55000000000000004">
      <c r="A11490" s="18">
        <v>24.813700900000001</v>
      </c>
      <c r="B11490" s="18">
        <v>34.837790499999997</v>
      </c>
      <c r="C11490" s="18">
        <v>685750.34</v>
      </c>
      <c r="D11490" s="18">
        <v>2745569.86</v>
      </c>
      <c r="E11490" s="18">
        <v>261.3</v>
      </c>
      <c r="F11490" s="18">
        <v>41958.17</v>
      </c>
      <c r="G11490" s="18">
        <v>143016</v>
      </c>
      <c r="H11490" s="18">
        <f t="shared" si="261"/>
        <v>41923.17</v>
      </c>
    </row>
    <row r="11491" spans="1:8" s="10" customFormat="1" ht="19.5" customHeight="1" x14ac:dyDescent="0.55000000000000004">
      <c r="A11491" s="18">
        <v>24.8136829</v>
      </c>
      <c r="B11491" s="18">
        <v>34.8377743</v>
      </c>
      <c r="C11491" s="18">
        <v>685748.73</v>
      </c>
      <c r="D11491" s="18">
        <v>2745567.84</v>
      </c>
      <c r="E11491" s="18">
        <v>261.37</v>
      </c>
      <c r="F11491" s="18">
        <v>41957.75</v>
      </c>
      <c r="G11491" s="18">
        <v>143018</v>
      </c>
      <c r="H11491" s="18">
        <f t="shared" si="261"/>
        <v>41922.75</v>
      </c>
    </row>
    <row r="11492" spans="1:8" s="10" customFormat="1" ht="19.5" customHeight="1" x14ac:dyDescent="0.55000000000000004">
      <c r="A11492" s="18">
        <v>24.813662699999998</v>
      </c>
      <c r="B11492" s="18">
        <v>34.837759300000002</v>
      </c>
      <c r="C11492" s="18">
        <v>685747.24</v>
      </c>
      <c r="D11492" s="18">
        <v>2745565.59</v>
      </c>
      <c r="E11492" s="18">
        <v>261.38</v>
      </c>
      <c r="F11492" s="18">
        <v>41957.11</v>
      </c>
      <c r="G11492" s="18">
        <v>143020</v>
      </c>
      <c r="H11492" s="18">
        <f t="shared" si="261"/>
        <v>41922.11</v>
      </c>
    </row>
    <row r="11493" spans="1:8" s="10" customFormat="1" ht="19.5" customHeight="1" x14ac:dyDescent="0.55000000000000004">
      <c r="A11493" s="18">
        <v>24.813640599999999</v>
      </c>
      <c r="B11493" s="18">
        <v>34.837745499999997</v>
      </c>
      <c r="C11493" s="18">
        <v>685745.88</v>
      </c>
      <c r="D11493" s="18">
        <v>2745563.12</v>
      </c>
      <c r="E11493" s="18">
        <v>261.44</v>
      </c>
      <c r="F11493" s="18">
        <v>41956.53</v>
      </c>
      <c r="G11493" s="18">
        <v>143022</v>
      </c>
      <c r="H11493" s="18">
        <f t="shared" si="261"/>
        <v>41921.53</v>
      </c>
    </row>
    <row r="11494" spans="1:8" s="10" customFormat="1" ht="19.5" customHeight="1" x14ac:dyDescent="0.55000000000000004">
      <c r="A11494" s="18">
        <v>24.813618999999999</v>
      </c>
      <c r="B11494" s="18">
        <v>34.837733</v>
      </c>
      <c r="C11494" s="18">
        <v>685744.65</v>
      </c>
      <c r="D11494" s="18">
        <v>2745560.72</v>
      </c>
      <c r="E11494" s="18">
        <v>261.54000000000002</v>
      </c>
      <c r="F11494" s="18">
        <v>41956.639999999999</v>
      </c>
      <c r="G11494" s="18">
        <v>143024</v>
      </c>
      <c r="H11494" s="18">
        <f t="shared" si="261"/>
        <v>41921.64</v>
      </c>
    </row>
    <row r="11495" spans="1:8" s="10" customFormat="1" ht="19.5" customHeight="1" x14ac:dyDescent="0.55000000000000004">
      <c r="A11495" s="18">
        <v>24.813596700000002</v>
      </c>
      <c r="B11495" s="18">
        <v>34.8377214</v>
      </c>
      <c r="C11495" s="18">
        <v>685743.51</v>
      </c>
      <c r="D11495" s="18">
        <v>2745558.22</v>
      </c>
      <c r="E11495" s="18">
        <v>261.52</v>
      </c>
      <c r="F11495" s="18">
        <v>41957.75</v>
      </c>
      <c r="G11495" s="18">
        <v>143026</v>
      </c>
      <c r="H11495" s="18">
        <f t="shared" si="261"/>
        <v>41922.75</v>
      </c>
    </row>
    <row r="11496" spans="1:8" s="10" customFormat="1" ht="19.5" customHeight="1" x14ac:dyDescent="0.55000000000000004">
      <c r="A11496" s="18">
        <v>24.813578199999998</v>
      </c>
      <c r="B11496" s="18">
        <v>34.837705399999997</v>
      </c>
      <c r="C11496" s="18">
        <v>685741.92</v>
      </c>
      <c r="D11496" s="18">
        <v>2745556.15</v>
      </c>
      <c r="E11496" s="18">
        <v>261.60000000000002</v>
      </c>
      <c r="F11496" s="18">
        <v>41957.62</v>
      </c>
      <c r="G11496" s="18">
        <v>143028</v>
      </c>
      <c r="H11496" s="18">
        <f t="shared" si="261"/>
        <v>41922.620000000003</v>
      </c>
    </row>
    <row r="11497" spans="1:8" s="10" customFormat="1" ht="19.5" customHeight="1" x14ac:dyDescent="0.55000000000000004">
      <c r="A11497" s="18">
        <v>24.813564400000001</v>
      </c>
      <c r="B11497" s="18">
        <v>34.837685700000002</v>
      </c>
      <c r="C11497" s="18">
        <v>685739.95</v>
      </c>
      <c r="D11497" s="18">
        <v>2745554.6</v>
      </c>
      <c r="E11497" s="18">
        <v>261.75</v>
      </c>
      <c r="F11497" s="18">
        <v>41957.89</v>
      </c>
      <c r="G11497" s="18">
        <v>143030</v>
      </c>
      <c r="H11497" s="18">
        <f t="shared" si="261"/>
        <v>41922.89</v>
      </c>
    </row>
    <row r="11498" spans="1:8" s="10" customFormat="1" ht="19.5" customHeight="1" x14ac:dyDescent="0.55000000000000004">
      <c r="A11498" s="18">
        <v>24.813555999999998</v>
      </c>
      <c r="B11498" s="18">
        <v>34.837662199999997</v>
      </c>
      <c r="C11498" s="18">
        <v>685737.58</v>
      </c>
      <c r="D11498" s="18">
        <v>2745553.64</v>
      </c>
      <c r="E11498" s="18">
        <v>261.83999999999997</v>
      </c>
      <c r="F11498" s="18">
        <v>41953.45</v>
      </c>
      <c r="G11498" s="18">
        <v>143032</v>
      </c>
      <c r="H11498" s="18">
        <f t="shared" si="261"/>
        <v>41918.449999999997</v>
      </c>
    </row>
    <row r="11499" spans="1:8" s="10" customFormat="1" ht="19.5" customHeight="1" x14ac:dyDescent="0.55000000000000004">
      <c r="A11499" s="18">
        <v>24.813544799999999</v>
      </c>
      <c r="B11499" s="18">
        <v>34.837641099999999</v>
      </c>
      <c r="C11499" s="18">
        <v>685735.47</v>
      </c>
      <c r="D11499" s="18">
        <v>2745552.36</v>
      </c>
      <c r="E11499" s="18">
        <v>261.88</v>
      </c>
      <c r="F11499" s="18">
        <v>41953.79</v>
      </c>
      <c r="G11499" s="18">
        <v>143034</v>
      </c>
      <c r="H11499" s="18">
        <f t="shared" si="261"/>
        <v>41918.79</v>
      </c>
    </row>
    <row r="11500" spans="1:8" s="10" customFormat="1" ht="19.5" customHeight="1" x14ac:dyDescent="0.55000000000000004">
      <c r="A11500" s="18">
        <v>24.813528099999999</v>
      </c>
      <c r="B11500" s="18">
        <v>34.837622400000001</v>
      </c>
      <c r="C11500" s="18">
        <v>685733.6</v>
      </c>
      <c r="D11500" s="18">
        <v>2745550.49</v>
      </c>
      <c r="E11500" s="18">
        <v>262</v>
      </c>
      <c r="F11500" s="18">
        <v>41957</v>
      </c>
      <c r="G11500" s="18">
        <v>143036</v>
      </c>
      <c r="H11500" s="18">
        <f t="shared" si="261"/>
        <v>41922</v>
      </c>
    </row>
    <row r="11501" spans="1:8" s="10" customFormat="1" ht="19.5" customHeight="1" x14ac:dyDescent="0.55000000000000004">
      <c r="A11501" s="18">
        <v>24.813513199999999</v>
      </c>
      <c r="B11501" s="18">
        <v>34.837604599999999</v>
      </c>
      <c r="C11501" s="18">
        <v>685731.82</v>
      </c>
      <c r="D11501" s="18">
        <v>2745548.82</v>
      </c>
      <c r="E11501" s="18">
        <v>262.06</v>
      </c>
      <c r="F11501" s="18">
        <v>41956.93</v>
      </c>
      <c r="G11501" s="18">
        <v>143038</v>
      </c>
      <c r="H11501" s="18">
        <f t="shared" si="261"/>
        <v>41921.93</v>
      </c>
    </row>
    <row r="11502" spans="1:8" s="10" customFormat="1" ht="19.5" customHeight="1" x14ac:dyDescent="0.55000000000000004">
      <c r="A11502" s="18">
        <v>24.813495499999998</v>
      </c>
      <c r="B11502" s="18">
        <v>34.837591500000002</v>
      </c>
      <c r="C11502" s="18">
        <v>685730.53</v>
      </c>
      <c r="D11502" s="18">
        <v>2745546.84</v>
      </c>
      <c r="E11502" s="18">
        <v>262.18</v>
      </c>
      <c r="F11502" s="18">
        <v>41956.93</v>
      </c>
      <c r="G11502" s="18">
        <v>143040</v>
      </c>
      <c r="H11502" s="18">
        <f t="shared" si="261"/>
        <v>41921.93</v>
      </c>
    </row>
    <row r="11503" spans="1:8" s="10" customFormat="1" ht="19.5" customHeight="1" x14ac:dyDescent="0.55000000000000004">
      <c r="A11503" s="18">
        <v>24.813481800000002</v>
      </c>
      <c r="B11503" s="18">
        <v>34.837574600000003</v>
      </c>
      <c r="C11503" s="18">
        <v>685728.84</v>
      </c>
      <c r="D11503" s="18">
        <v>2745545.29</v>
      </c>
      <c r="E11503" s="18">
        <v>262.39999999999998</v>
      </c>
      <c r="F11503" s="18">
        <v>41955.91</v>
      </c>
      <c r="G11503" s="18">
        <v>143042</v>
      </c>
      <c r="H11503" s="18">
        <f t="shared" si="261"/>
        <v>41920.910000000003</v>
      </c>
    </row>
    <row r="11504" spans="1:8" s="10" customFormat="1" ht="19.5" customHeight="1" x14ac:dyDescent="0.55000000000000004">
      <c r="A11504" s="18">
        <v>24.813466999999999</v>
      </c>
      <c r="B11504" s="18">
        <v>34.837553300000003</v>
      </c>
      <c r="C11504" s="18">
        <v>685726.71</v>
      </c>
      <c r="D11504" s="18">
        <v>2745543.63</v>
      </c>
      <c r="E11504" s="18">
        <v>262.52999999999997</v>
      </c>
      <c r="F11504" s="18">
        <v>41953.46</v>
      </c>
      <c r="G11504" s="18">
        <v>143044</v>
      </c>
      <c r="H11504" s="18">
        <f t="shared" si="261"/>
        <v>41918.46</v>
      </c>
    </row>
    <row r="11505" spans="1:8" s="10" customFormat="1" ht="19.5" customHeight="1" x14ac:dyDescent="0.55000000000000004">
      <c r="A11505" s="18">
        <v>24.813454400000001</v>
      </c>
      <c r="B11505" s="18">
        <v>34.837533700000002</v>
      </c>
      <c r="C11505" s="18">
        <v>685724.74</v>
      </c>
      <c r="D11505" s="18">
        <v>2745542.21</v>
      </c>
      <c r="E11505" s="18">
        <v>262.72000000000003</v>
      </c>
      <c r="F11505" s="18">
        <v>41953.71</v>
      </c>
      <c r="G11505" s="18">
        <v>143046</v>
      </c>
      <c r="H11505" s="18">
        <f t="shared" si="261"/>
        <v>41918.71</v>
      </c>
    </row>
    <row r="11506" spans="1:8" s="10" customFormat="1" ht="19.5" customHeight="1" x14ac:dyDescent="0.55000000000000004">
      <c r="A11506" s="18">
        <v>24.813441399999999</v>
      </c>
      <c r="B11506" s="18">
        <v>34.837512599999997</v>
      </c>
      <c r="C11506" s="18">
        <v>685722.64</v>
      </c>
      <c r="D11506" s="18">
        <v>2745540.73</v>
      </c>
      <c r="E11506" s="18">
        <v>262.83</v>
      </c>
      <c r="F11506" s="18">
        <v>41953.66</v>
      </c>
      <c r="G11506" s="18">
        <v>143048</v>
      </c>
      <c r="H11506" s="18">
        <f t="shared" si="261"/>
        <v>41918.660000000003</v>
      </c>
    </row>
    <row r="11507" spans="1:8" s="10" customFormat="1" ht="19.5" customHeight="1" x14ac:dyDescent="0.55000000000000004">
      <c r="A11507" s="18">
        <v>24.813425500000001</v>
      </c>
      <c r="B11507" s="18">
        <v>34.837492900000001</v>
      </c>
      <c r="C11507" s="18">
        <v>685720.66</v>
      </c>
      <c r="D11507" s="18">
        <v>2745538.95</v>
      </c>
      <c r="E11507" s="18">
        <v>262.88</v>
      </c>
      <c r="F11507" s="18">
        <v>41953.19</v>
      </c>
      <c r="G11507" s="18">
        <v>143050</v>
      </c>
      <c r="H11507" s="18">
        <f t="shared" si="261"/>
        <v>41918.19</v>
      </c>
    </row>
    <row r="11508" spans="1:8" s="10" customFormat="1" ht="19.5" customHeight="1" x14ac:dyDescent="0.55000000000000004">
      <c r="A11508" s="18">
        <v>24.813410099999999</v>
      </c>
      <c r="B11508" s="18">
        <v>34.837475599999998</v>
      </c>
      <c r="C11508" s="18">
        <v>685718.94</v>
      </c>
      <c r="D11508" s="18">
        <v>2745537.22</v>
      </c>
      <c r="E11508" s="18">
        <v>263.11</v>
      </c>
      <c r="F11508" s="18">
        <v>41951.79</v>
      </c>
      <c r="G11508" s="18">
        <v>143052</v>
      </c>
      <c r="H11508" s="18">
        <f t="shared" si="261"/>
        <v>41916.79</v>
      </c>
    </row>
    <row r="11509" spans="1:8" s="10" customFormat="1" ht="19.5" customHeight="1" x14ac:dyDescent="0.55000000000000004">
      <c r="A11509" s="18">
        <v>24.813395100000001</v>
      </c>
      <c r="B11509" s="18">
        <v>34.837455200000001</v>
      </c>
      <c r="C11509" s="18">
        <v>685716.9</v>
      </c>
      <c r="D11509" s="18">
        <v>2745535.53</v>
      </c>
      <c r="E11509" s="18">
        <v>263.14</v>
      </c>
      <c r="F11509" s="18">
        <v>41949.32</v>
      </c>
      <c r="G11509" s="18">
        <v>143054</v>
      </c>
      <c r="H11509" s="18">
        <f t="shared" si="261"/>
        <v>41914.32</v>
      </c>
    </row>
    <row r="11510" spans="1:8" s="10" customFormat="1" ht="19.5" customHeight="1" x14ac:dyDescent="0.55000000000000004">
      <c r="A11510" s="18">
        <v>24.8133819</v>
      </c>
      <c r="B11510" s="18">
        <v>34.8374369</v>
      </c>
      <c r="C11510" s="18">
        <v>685715.07</v>
      </c>
      <c r="D11510" s="18">
        <v>2745534.04</v>
      </c>
      <c r="E11510" s="18">
        <v>263.25</v>
      </c>
      <c r="F11510" s="18">
        <v>41950.31</v>
      </c>
      <c r="G11510" s="18">
        <v>143056</v>
      </c>
      <c r="H11510" s="18">
        <f t="shared" si="261"/>
        <v>41915.31</v>
      </c>
    </row>
    <row r="11511" spans="1:8" s="10" customFormat="1" ht="19.5" customHeight="1" x14ac:dyDescent="0.55000000000000004">
      <c r="A11511" s="18">
        <v>24.813363599999999</v>
      </c>
      <c r="B11511" s="18">
        <v>34.837421200000001</v>
      </c>
      <c r="C11511" s="18">
        <v>685713.51</v>
      </c>
      <c r="D11511" s="18">
        <v>2745531.99</v>
      </c>
      <c r="E11511" s="18">
        <v>263.44</v>
      </c>
      <c r="F11511" s="18">
        <v>41950.15</v>
      </c>
      <c r="G11511" s="18">
        <v>143058</v>
      </c>
      <c r="H11511" s="18">
        <f t="shared" si="261"/>
        <v>41915.15</v>
      </c>
    </row>
    <row r="11512" spans="1:8" s="10" customFormat="1" ht="19.5" customHeight="1" x14ac:dyDescent="0.55000000000000004">
      <c r="A11512" s="18">
        <v>24.8133421</v>
      </c>
      <c r="B11512" s="18">
        <v>34.837410499999997</v>
      </c>
      <c r="C11512" s="18">
        <v>685712.46</v>
      </c>
      <c r="D11512" s="18">
        <v>2745529.61</v>
      </c>
      <c r="E11512" s="18">
        <v>263.60000000000002</v>
      </c>
      <c r="F11512" s="18">
        <v>41950.38</v>
      </c>
      <c r="G11512" s="18">
        <v>143100</v>
      </c>
      <c r="H11512" s="18">
        <f>SUM(F11512-44)</f>
        <v>41906.379999999997</v>
      </c>
    </row>
    <row r="11513" spans="1:8" s="10" customFormat="1" ht="19.5" customHeight="1" x14ac:dyDescent="0.55000000000000004">
      <c r="A11513" s="18">
        <v>24.8133208</v>
      </c>
      <c r="B11513" s="18">
        <v>34.837401399999997</v>
      </c>
      <c r="C11513" s="18">
        <v>685711.57</v>
      </c>
      <c r="D11513" s="18">
        <v>2745527.23</v>
      </c>
      <c r="E11513" s="18">
        <v>263.76</v>
      </c>
      <c r="F11513" s="18">
        <v>41950.84</v>
      </c>
      <c r="G11513" s="18">
        <v>143102</v>
      </c>
      <c r="H11513" s="18">
        <f t="shared" ref="H11513:H11576" si="262">SUM(F11513-44)</f>
        <v>41906.839999999997</v>
      </c>
    </row>
    <row r="11514" spans="1:8" s="10" customFormat="1" ht="19.5" customHeight="1" x14ac:dyDescent="0.55000000000000004">
      <c r="A11514" s="18">
        <v>24.8133011</v>
      </c>
      <c r="B11514" s="18">
        <v>34.837393200000001</v>
      </c>
      <c r="C11514" s="18">
        <v>685710.77</v>
      </c>
      <c r="D11514" s="18">
        <v>2745525.04</v>
      </c>
      <c r="E11514" s="18">
        <v>263.93</v>
      </c>
      <c r="F11514" s="18">
        <v>41951.24</v>
      </c>
      <c r="G11514" s="18">
        <v>143104</v>
      </c>
      <c r="H11514" s="18">
        <f t="shared" si="262"/>
        <v>41907.24</v>
      </c>
    </row>
    <row r="11515" spans="1:8" s="10" customFormat="1" ht="19.5" customHeight="1" x14ac:dyDescent="0.55000000000000004">
      <c r="A11515" s="18">
        <v>24.813279300000001</v>
      </c>
      <c r="B11515" s="18">
        <v>34.837386000000002</v>
      </c>
      <c r="C11515" s="18">
        <v>685710.08</v>
      </c>
      <c r="D11515" s="18">
        <v>2745522.61</v>
      </c>
      <c r="E11515" s="18">
        <v>263.58999999999997</v>
      </c>
      <c r="F11515" s="18">
        <v>41950.1</v>
      </c>
      <c r="G11515" s="18">
        <v>143106</v>
      </c>
      <c r="H11515" s="18">
        <f t="shared" si="262"/>
        <v>41906.1</v>
      </c>
    </row>
    <row r="11516" spans="1:8" s="10" customFormat="1" ht="19.5" customHeight="1" x14ac:dyDescent="0.55000000000000004">
      <c r="A11516" s="18">
        <v>24.813258399999999</v>
      </c>
      <c r="B11516" s="18">
        <v>34.837394799999998</v>
      </c>
      <c r="C11516" s="18">
        <v>685710.99</v>
      </c>
      <c r="D11516" s="18">
        <v>2745520.31</v>
      </c>
      <c r="E11516" s="18">
        <v>263.67</v>
      </c>
      <c r="F11516" s="18">
        <v>41947.81</v>
      </c>
      <c r="G11516" s="18">
        <v>143108</v>
      </c>
      <c r="H11516" s="18">
        <f t="shared" si="262"/>
        <v>41903.81</v>
      </c>
    </row>
    <row r="11517" spans="1:8" s="10" customFormat="1" ht="19.5" customHeight="1" x14ac:dyDescent="0.55000000000000004">
      <c r="A11517" s="18">
        <v>24.8132439</v>
      </c>
      <c r="B11517" s="18">
        <v>34.837404999999997</v>
      </c>
      <c r="C11517" s="18">
        <v>685712.05</v>
      </c>
      <c r="D11517" s="18">
        <v>2745518.72</v>
      </c>
      <c r="E11517" s="18">
        <v>263.93</v>
      </c>
      <c r="F11517" s="18">
        <v>41949.31</v>
      </c>
      <c r="G11517" s="18">
        <v>143110</v>
      </c>
      <c r="H11517" s="18">
        <f t="shared" si="262"/>
        <v>41905.31</v>
      </c>
    </row>
    <row r="11518" spans="1:8" s="10" customFormat="1" ht="19.5" customHeight="1" x14ac:dyDescent="0.55000000000000004">
      <c r="A11518" s="18">
        <v>24.813225299999999</v>
      </c>
      <c r="B11518" s="18">
        <v>34.837415200000002</v>
      </c>
      <c r="C11518" s="18">
        <v>685713.11</v>
      </c>
      <c r="D11518" s="18">
        <v>2745516.68</v>
      </c>
      <c r="E11518" s="18">
        <v>263.89999999999998</v>
      </c>
      <c r="F11518" s="18">
        <v>41948.91</v>
      </c>
      <c r="G11518" s="18">
        <v>143112</v>
      </c>
      <c r="H11518" s="18">
        <f t="shared" si="262"/>
        <v>41904.910000000003</v>
      </c>
    </row>
    <row r="11519" spans="1:8" s="10" customFormat="1" ht="19.5" customHeight="1" x14ac:dyDescent="0.55000000000000004">
      <c r="A11519" s="18">
        <v>24.813208400000001</v>
      </c>
      <c r="B11519" s="18">
        <v>34.837421599999999</v>
      </c>
      <c r="C11519" s="18">
        <v>685713.78</v>
      </c>
      <c r="D11519" s="18">
        <v>2745514.81</v>
      </c>
      <c r="E11519" s="18">
        <v>264.17</v>
      </c>
      <c r="F11519" s="18">
        <v>41948.76</v>
      </c>
      <c r="G11519" s="18">
        <v>143114</v>
      </c>
      <c r="H11519" s="18">
        <f t="shared" si="262"/>
        <v>41904.76</v>
      </c>
    </row>
    <row r="11520" spans="1:8" s="10" customFormat="1" ht="19.5" customHeight="1" x14ac:dyDescent="0.55000000000000004">
      <c r="A11520" s="18">
        <v>24.8131907</v>
      </c>
      <c r="B11520" s="18">
        <v>34.837431299999999</v>
      </c>
      <c r="C11520" s="18">
        <v>685714.79</v>
      </c>
      <c r="D11520" s="18">
        <v>2745512.86</v>
      </c>
      <c r="E11520" s="18">
        <v>264.3</v>
      </c>
      <c r="F11520" s="18">
        <v>41948.28</v>
      </c>
      <c r="G11520" s="18">
        <v>143116</v>
      </c>
      <c r="H11520" s="18">
        <f t="shared" si="262"/>
        <v>41904.28</v>
      </c>
    </row>
    <row r="11521" spans="1:8" s="10" customFormat="1" ht="19.5" customHeight="1" x14ac:dyDescent="0.55000000000000004">
      <c r="A11521" s="18">
        <v>24.8131758</v>
      </c>
      <c r="B11521" s="18">
        <v>34.837445299999999</v>
      </c>
      <c r="C11521" s="18">
        <v>685716.22</v>
      </c>
      <c r="D11521" s="18">
        <v>2745511.23</v>
      </c>
      <c r="E11521" s="18">
        <v>264.42</v>
      </c>
      <c r="F11521" s="18">
        <v>41949.32</v>
      </c>
      <c r="G11521" s="18">
        <v>143118</v>
      </c>
      <c r="H11521" s="18">
        <f t="shared" si="262"/>
        <v>41905.32</v>
      </c>
    </row>
    <row r="11522" spans="1:8" s="10" customFormat="1" ht="19.5" customHeight="1" x14ac:dyDescent="0.55000000000000004">
      <c r="A11522" s="18">
        <v>24.813159200000001</v>
      </c>
      <c r="B11522" s="18">
        <v>34.837458300000002</v>
      </c>
      <c r="C11522" s="18">
        <v>685717.56</v>
      </c>
      <c r="D11522" s="18">
        <v>2745509.41</v>
      </c>
      <c r="E11522" s="18">
        <v>264.49</v>
      </c>
      <c r="F11522" s="18">
        <v>41950.14</v>
      </c>
      <c r="G11522" s="18">
        <v>143120</v>
      </c>
      <c r="H11522" s="18">
        <f t="shared" si="262"/>
        <v>41906.14</v>
      </c>
    </row>
    <row r="11523" spans="1:8" s="10" customFormat="1" ht="19.5" customHeight="1" x14ac:dyDescent="0.55000000000000004">
      <c r="A11523" s="18">
        <v>24.813146400000001</v>
      </c>
      <c r="B11523" s="18">
        <v>34.837472200000001</v>
      </c>
      <c r="C11523" s="18">
        <v>685718.99</v>
      </c>
      <c r="D11523" s="18">
        <v>2745508.01</v>
      </c>
      <c r="E11523" s="18">
        <v>264.8</v>
      </c>
      <c r="F11523" s="18">
        <v>41949.38</v>
      </c>
      <c r="G11523" s="18">
        <v>143122</v>
      </c>
      <c r="H11523" s="18">
        <f t="shared" si="262"/>
        <v>41905.379999999997</v>
      </c>
    </row>
    <row r="11524" spans="1:8" s="10" customFormat="1" ht="19.5" customHeight="1" x14ac:dyDescent="0.55000000000000004">
      <c r="A11524" s="18">
        <v>24.813133799999999</v>
      </c>
      <c r="B11524" s="18">
        <v>34.8374855</v>
      </c>
      <c r="C11524" s="18">
        <v>685720.35</v>
      </c>
      <c r="D11524" s="18">
        <v>2745506.63</v>
      </c>
      <c r="E11524" s="18">
        <v>264.87</v>
      </c>
      <c r="F11524" s="18">
        <v>41952.75</v>
      </c>
      <c r="G11524" s="18">
        <v>143124</v>
      </c>
      <c r="H11524" s="18">
        <f t="shared" si="262"/>
        <v>41908.75</v>
      </c>
    </row>
    <row r="11525" spans="1:8" s="10" customFormat="1" ht="19.5" customHeight="1" x14ac:dyDescent="0.55000000000000004">
      <c r="A11525" s="18">
        <v>24.8131202</v>
      </c>
      <c r="B11525" s="18">
        <v>34.837493199999997</v>
      </c>
      <c r="C11525" s="18">
        <v>685721.15</v>
      </c>
      <c r="D11525" s="18">
        <v>2745505.14</v>
      </c>
      <c r="E11525" s="18">
        <v>265.26</v>
      </c>
      <c r="F11525" s="18">
        <v>41951.85</v>
      </c>
      <c r="G11525" s="18">
        <v>143126</v>
      </c>
      <c r="H11525" s="18">
        <f t="shared" si="262"/>
        <v>41907.85</v>
      </c>
    </row>
    <row r="11526" spans="1:8" s="10" customFormat="1" ht="19.5" customHeight="1" x14ac:dyDescent="0.55000000000000004">
      <c r="A11526" s="18">
        <v>24.8131074</v>
      </c>
      <c r="B11526" s="18">
        <v>34.837505899999996</v>
      </c>
      <c r="C11526" s="18">
        <v>685722.45</v>
      </c>
      <c r="D11526" s="18">
        <v>2745503.74</v>
      </c>
      <c r="E11526" s="18">
        <v>265.73</v>
      </c>
      <c r="F11526" s="18">
        <v>41948.89</v>
      </c>
      <c r="G11526" s="18">
        <v>143128</v>
      </c>
      <c r="H11526" s="18">
        <f t="shared" si="262"/>
        <v>41904.89</v>
      </c>
    </row>
    <row r="11527" spans="1:8" s="10" customFormat="1" ht="19.5" customHeight="1" x14ac:dyDescent="0.55000000000000004">
      <c r="A11527" s="18">
        <v>24.813096399999999</v>
      </c>
      <c r="B11527" s="18">
        <v>34.837520300000001</v>
      </c>
      <c r="C11527" s="18">
        <v>685723.93</v>
      </c>
      <c r="D11527" s="18">
        <v>2745502.53</v>
      </c>
      <c r="E11527" s="18">
        <v>266.04000000000002</v>
      </c>
      <c r="F11527" s="18">
        <v>41948.92</v>
      </c>
      <c r="G11527" s="18">
        <v>143130</v>
      </c>
      <c r="H11527" s="18">
        <f t="shared" si="262"/>
        <v>41904.92</v>
      </c>
    </row>
    <row r="11528" spans="1:8" s="10" customFormat="1" ht="19.5" customHeight="1" x14ac:dyDescent="0.55000000000000004">
      <c r="A11528" s="18">
        <v>24.813082999999999</v>
      </c>
      <c r="B11528" s="18">
        <v>34.8375366</v>
      </c>
      <c r="C11528" s="18">
        <v>685725.6</v>
      </c>
      <c r="D11528" s="18">
        <v>2745501.07</v>
      </c>
      <c r="E11528" s="18">
        <v>266.31</v>
      </c>
      <c r="F11528" s="18">
        <v>41949.78</v>
      </c>
      <c r="G11528" s="18">
        <v>143132</v>
      </c>
      <c r="H11528" s="18">
        <f t="shared" si="262"/>
        <v>41905.78</v>
      </c>
    </row>
    <row r="11529" spans="1:8" s="10" customFormat="1" ht="19.5" customHeight="1" x14ac:dyDescent="0.55000000000000004">
      <c r="A11529" s="18">
        <v>24.813071699999998</v>
      </c>
      <c r="B11529" s="18">
        <v>34.8375524</v>
      </c>
      <c r="C11529" s="18">
        <v>685727.21</v>
      </c>
      <c r="D11529" s="18">
        <v>2745499.84</v>
      </c>
      <c r="E11529" s="18">
        <v>266.45</v>
      </c>
      <c r="F11529" s="18">
        <v>41950.92</v>
      </c>
      <c r="G11529" s="18">
        <v>143134</v>
      </c>
      <c r="H11529" s="18">
        <f t="shared" si="262"/>
        <v>41906.92</v>
      </c>
    </row>
    <row r="11530" spans="1:8" s="10" customFormat="1" ht="19.5" customHeight="1" x14ac:dyDescent="0.55000000000000004">
      <c r="A11530" s="18">
        <v>24.813056799999998</v>
      </c>
      <c r="B11530" s="18">
        <v>34.837559900000002</v>
      </c>
      <c r="C11530" s="18">
        <v>685727.99</v>
      </c>
      <c r="D11530" s="18">
        <v>2745498.2</v>
      </c>
      <c r="E11530" s="18">
        <v>266.81</v>
      </c>
      <c r="F11530" s="18">
        <v>41950.8</v>
      </c>
      <c r="G11530" s="18">
        <v>143136</v>
      </c>
      <c r="H11530" s="18">
        <f t="shared" si="262"/>
        <v>41906.800000000003</v>
      </c>
    </row>
    <row r="11531" spans="1:8" s="10" customFormat="1" ht="19.5" customHeight="1" x14ac:dyDescent="0.55000000000000004">
      <c r="A11531" s="18">
        <v>24.8130402</v>
      </c>
      <c r="B11531" s="18">
        <v>34.8375615</v>
      </c>
      <c r="C11531" s="18">
        <v>685728.18</v>
      </c>
      <c r="D11531" s="18">
        <v>2745496.37</v>
      </c>
      <c r="E11531" s="18">
        <v>267.2</v>
      </c>
      <c r="F11531" s="18">
        <v>41951.57</v>
      </c>
      <c r="G11531" s="18">
        <v>143138</v>
      </c>
      <c r="H11531" s="18">
        <f t="shared" si="262"/>
        <v>41907.57</v>
      </c>
    </row>
    <row r="11532" spans="1:8" s="10" customFormat="1" ht="19.5" customHeight="1" x14ac:dyDescent="0.55000000000000004">
      <c r="A11532" s="18">
        <v>24.813028500000001</v>
      </c>
      <c r="B11532" s="18">
        <v>34.837571400000002</v>
      </c>
      <c r="C11532" s="18">
        <v>685729.19</v>
      </c>
      <c r="D11532" s="18">
        <v>2745495.08</v>
      </c>
      <c r="E11532" s="18">
        <v>267.22000000000003</v>
      </c>
      <c r="F11532" s="18">
        <v>41949.7</v>
      </c>
      <c r="G11532" s="18">
        <v>143140</v>
      </c>
      <c r="H11532" s="18">
        <f t="shared" si="262"/>
        <v>41905.699999999997</v>
      </c>
    </row>
    <row r="11533" spans="1:8" s="10" customFormat="1" ht="19.5" customHeight="1" x14ac:dyDescent="0.55000000000000004">
      <c r="A11533" s="18">
        <v>24.8130135</v>
      </c>
      <c r="B11533" s="18">
        <v>34.837576400000003</v>
      </c>
      <c r="C11533" s="18">
        <v>685729.72</v>
      </c>
      <c r="D11533" s="18">
        <v>2745493.43</v>
      </c>
      <c r="E11533" s="18">
        <v>267.55</v>
      </c>
      <c r="F11533" s="18">
        <v>41951.17</v>
      </c>
      <c r="G11533" s="18">
        <v>143142</v>
      </c>
      <c r="H11533" s="18">
        <f t="shared" si="262"/>
        <v>41907.17</v>
      </c>
    </row>
    <row r="11534" spans="1:8" s="10" customFormat="1" ht="19.5" customHeight="1" x14ac:dyDescent="0.55000000000000004">
      <c r="A11534" s="18">
        <v>24.813001799999999</v>
      </c>
      <c r="B11534" s="18">
        <v>34.837584399999997</v>
      </c>
      <c r="C11534" s="18">
        <v>685730.55</v>
      </c>
      <c r="D11534" s="18">
        <v>2745492.14</v>
      </c>
      <c r="E11534" s="18">
        <v>267.64999999999998</v>
      </c>
      <c r="F11534" s="18">
        <v>41949.39</v>
      </c>
      <c r="G11534" s="18">
        <v>143144</v>
      </c>
      <c r="H11534" s="18">
        <f t="shared" si="262"/>
        <v>41905.39</v>
      </c>
    </row>
    <row r="11535" spans="1:8" s="10" customFormat="1" ht="19.5" customHeight="1" x14ac:dyDescent="0.55000000000000004">
      <c r="A11535" s="18">
        <v>24.812994199999999</v>
      </c>
      <c r="B11535" s="18">
        <v>34.837596699999999</v>
      </c>
      <c r="C11535" s="18">
        <v>685731.8</v>
      </c>
      <c r="D11535" s="18">
        <v>2745491.32</v>
      </c>
      <c r="E11535" s="18">
        <v>267.61</v>
      </c>
      <c r="F11535" s="18">
        <v>41950.36</v>
      </c>
      <c r="G11535" s="18">
        <v>143146</v>
      </c>
      <c r="H11535" s="18">
        <f t="shared" si="262"/>
        <v>41906.36</v>
      </c>
    </row>
    <row r="11536" spans="1:8" s="10" customFormat="1" ht="19.5" customHeight="1" x14ac:dyDescent="0.55000000000000004">
      <c r="A11536" s="18">
        <v>24.812976299999999</v>
      </c>
      <c r="B11536" s="18">
        <v>34.837612</v>
      </c>
      <c r="C11536" s="18">
        <v>685733.37</v>
      </c>
      <c r="D11536" s="18">
        <v>2745489.36</v>
      </c>
      <c r="E11536" s="18">
        <v>267.39</v>
      </c>
      <c r="F11536" s="18">
        <v>41951.01</v>
      </c>
      <c r="G11536" s="18">
        <v>143148</v>
      </c>
      <c r="H11536" s="18">
        <f t="shared" si="262"/>
        <v>41907.01</v>
      </c>
    </row>
    <row r="11537" spans="1:8" s="10" customFormat="1" ht="19.5" customHeight="1" x14ac:dyDescent="0.55000000000000004">
      <c r="A11537" s="18">
        <v>24.812964699999998</v>
      </c>
      <c r="B11537" s="18">
        <v>34.837626800000002</v>
      </c>
      <c r="C11537" s="18">
        <v>685734.89</v>
      </c>
      <c r="D11537" s="18">
        <v>2745488.1</v>
      </c>
      <c r="E11537" s="18">
        <v>267.8</v>
      </c>
      <c r="F11537" s="18">
        <v>41949.94</v>
      </c>
      <c r="G11537" s="18">
        <v>143150</v>
      </c>
      <c r="H11537" s="18">
        <f t="shared" si="262"/>
        <v>41905.94</v>
      </c>
    </row>
    <row r="11538" spans="1:8" s="10" customFormat="1" ht="19.5" customHeight="1" x14ac:dyDescent="0.55000000000000004">
      <c r="A11538" s="18">
        <v>24.812947000000001</v>
      </c>
      <c r="B11538" s="18">
        <v>34.837639199999998</v>
      </c>
      <c r="C11538" s="18">
        <v>685736.17</v>
      </c>
      <c r="D11538" s="18">
        <v>2745486.15</v>
      </c>
      <c r="E11538" s="18">
        <v>267.99</v>
      </c>
      <c r="F11538" s="18">
        <v>41950.99</v>
      </c>
      <c r="G11538" s="18">
        <v>143152</v>
      </c>
      <c r="H11538" s="18">
        <f t="shared" si="262"/>
        <v>41906.99</v>
      </c>
    </row>
    <row r="11539" spans="1:8" s="10" customFormat="1" ht="19.5" customHeight="1" x14ac:dyDescent="0.55000000000000004">
      <c r="A11539" s="18">
        <v>24.812927500000001</v>
      </c>
      <c r="B11539" s="18">
        <v>34.837649200000001</v>
      </c>
      <c r="C11539" s="18">
        <v>685737.21</v>
      </c>
      <c r="D11539" s="18">
        <v>2745484</v>
      </c>
      <c r="E11539" s="18">
        <v>268.14999999999998</v>
      </c>
      <c r="F11539" s="18">
        <v>41950.22</v>
      </c>
      <c r="G11539" s="18">
        <v>143154</v>
      </c>
      <c r="H11539" s="18">
        <f t="shared" si="262"/>
        <v>41906.22</v>
      </c>
    </row>
    <row r="11540" spans="1:8" s="10" customFormat="1" ht="19.5" customHeight="1" x14ac:dyDescent="0.55000000000000004">
      <c r="A11540" s="18">
        <v>24.812911499999998</v>
      </c>
      <c r="B11540" s="18">
        <v>34.8376631</v>
      </c>
      <c r="C11540" s="18">
        <v>685738.64</v>
      </c>
      <c r="D11540" s="18">
        <v>2745482.25</v>
      </c>
      <c r="E11540" s="18">
        <v>268.37</v>
      </c>
      <c r="F11540" s="18">
        <v>41950.15</v>
      </c>
      <c r="G11540" s="18">
        <v>143156</v>
      </c>
      <c r="H11540" s="18">
        <f t="shared" si="262"/>
        <v>41906.15</v>
      </c>
    </row>
    <row r="11541" spans="1:8" s="10" customFormat="1" ht="19.5" customHeight="1" x14ac:dyDescent="0.55000000000000004">
      <c r="A11541" s="18">
        <v>24.8128946</v>
      </c>
      <c r="B11541" s="18">
        <v>34.837679100000003</v>
      </c>
      <c r="C11541" s="18">
        <v>685740.28</v>
      </c>
      <c r="D11541" s="18">
        <v>2745480.4</v>
      </c>
      <c r="E11541" s="18">
        <v>268.7</v>
      </c>
      <c r="F11541" s="18">
        <v>41950.43</v>
      </c>
      <c r="G11541" s="18">
        <v>143158</v>
      </c>
      <c r="H11541" s="18">
        <f t="shared" si="262"/>
        <v>41906.43</v>
      </c>
    </row>
    <row r="11542" spans="1:8" s="10" customFormat="1" ht="19.5" customHeight="1" x14ac:dyDescent="0.55000000000000004">
      <c r="A11542" s="18">
        <v>24.812879599999999</v>
      </c>
      <c r="B11542" s="18">
        <v>34.837693100000003</v>
      </c>
      <c r="C11542" s="18">
        <v>685741.72</v>
      </c>
      <c r="D11542" s="18">
        <v>2745478.76</v>
      </c>
      <c r="E11542" s="18">
        <v>269.2</v>
      </c>
      <c r="F11542" s="18">
        <v>41949.55</v>
      </c>
      <c r="G11542" s="18">
        <v>143200</v>
      </c>
      <c r="H11542" s="18">
        <f t="shared" si="262"/>
        <v>41905.550000000003</v>
      </c>
    </row>
    <row r="11543" spans="1:8" s="10" customFormat="1" ht="19.5" customHeight="1" x14ac:dyDescent="0.55000000000000004">
      <c r="A11543" s="18">
        <v>24.812866799999998</v>
      </c>
      <c r="B11543" s="18">
        <v>34.837712400000001</v>
      </c>
      <c r="C11543" s="18">
        <v>685743.68</v>
      </c>
      <c r="D11543" s="18">
        <v>2745477.37</v>
      </c>
      <c r="E11543" s="18">
        <v>269.43</v>
      </c>
      <c r="F11543" s="18">
        <v>41950.84</v>
      </c>
      <c r="G11543" s="18">
        <v>143202</v>
      </c>
      <c r="H11543" s="18">
        <f t="shared" si="262"/>
        <v>41906.839999999997</v>
      </c>
    </row>
    <row r="11544" spans="1:8" s="10" customFormat="1" ht="19.5" customHeight="1" x14ac:dyDescent="0.55000000000000004">
      <c r="A11544" s="18">
        <v>24.812856499999999</v>
      </c>
      <c r="B11544" s="18">
        <v>34.837732600000002</v>
      </c>
      <c r="C11544" s="18">
        <v>685745.74</v>
      </c>
      <c r="D11544" s="18">
        <v>2745476.26</v>
      </c>
      <c r="E11544" s="18">
        <v>269.94</v>
      </c>
      <c r="F11544" s="18">
        <v>41949.79</v>
      </c>
      <c r="G11544" s="18">
        <v>143204</v>
      </c>
      <c r="H11544" s="18">
        <f t="shared" si="262"/>
        <v>41905.79</v>
      </c>
    </row>
    <row r="11545" spans="1:8" s="10" customFormat="1" ht="19.5" customHeight="1" x14ac:dyDescent="0.55000000000000004">
      <c r="A11545" s="18">
        <v>24.8128472</v>
      </c>
      <c r="B11545" s="18">
        <v>34.837752799999997</v>
      </c>
      <c r="C11545" s="18">
        <v>685747.8</v>
      </c>
      <c r="D11545" s="18">
        <v>2745475.25</v>
      </c>
      <c r="E11545" s="18">
        <v>270.19</v>
      </c>
      <c r="F11545" s="18">
        <v>41950.09</v>
      </c>
      <c r="G11545" s="18">
        <v>143206</v>
      </c>
      <c r="H11545" s="18">
        <f t="shared" si="262"/>
        <v>41906.089999999997</v>
      </c>
    </row>
    <row r="11546" spans="1:8" s="10" customFormat="1" ht="19.5" customHeight="1" x14ac:dyDescent="0.55000000000000004">
      <c r="A11546" s="18">
        <v>24.8128387</v>
      </c>
      <c r="B11546" s="18">
        <v>34.837772100000002</v>
      </c>
      <c r="C11546" s="18">
        <v>685749.76000000001</v>
      </c>
      <c r="D11546" s="18">
        <v>2745474.33</v>
      </c>
      <c r="E11546" s="18">
        <v>270.41000000000003</v>
      </c>
      <c r="F11546" s="18">
        <v>41951.040000000001</v>
      </c>
      <c r="G11546" s="18">
        <v>143208</v>
      </c>
      <c r="H11546" s="18">
        <f t="shared" si="262"/>
        <v>41907.040000000001</v>
      </c>
    </row>
    <row r="11547" spans="1:8" s="10" customFormat="1" ht="19.5" customHeight="1" x14ac:dyDescent="0.55000000000000004">
      <c r="A11547" s="18">
        <v>24.812828700000001</v>
      </c>
      <c r="B11547" s="18">
        <v>34.837793900000001</v>
      </c>
      <c r="C11547" s="18">
        <v>685751.99</v>
      </c>
      <c r="D11547" s="18">
        <v>2745473.26</v>
      </c>
      <c r="E11547" s="18">
        <v>270.60000000000002</v>
      </c>
      <c r="F11547" s="18">
        <v>41951.66</v>
      </c>
      <c r="G11547" s="18">
        <v>143210</v>
      </c>
      <c r="H11547" s="18">
        <f t="shared" si="262"/>
        <v>41907.660000000003</v>
      </c>
    </row>
    <row r="11548" spans="1:8" s="10" customFormat="1" ht="19.5" customHeight="1" x14ac:dyDescent="0.55000000000000004">
      <c r="A11548" s="18">
        <v>24.812824299999999</v>
      </c>
      <c r="B11548" s="18">
        <v>34.837815399999997</v>
      </c>
      <c r="C11548" s="18">
        <v>685754.16</v>
      </c>
      <c r="D11548" s="18">
        <v>2745472.79</v>
      </c>
      <c r="E11548" s="18">
        <v>270.83</v>
      </c>
      <c r="F11548" s="18">
        <v>41951.41</v>
      </c>
      <c r="G11548" s="18">
        <v>143212</v>
      </c>
      <c r="H11548" s="18">
        <f t="shared" si="262"/>
        <v>41907.410000000003</v>
      </c>
    </row>
    <row r="11549" spans="1:8" s="10" customFormat="1" ht="19.5" customHeight="1" x14ac:dyDescent="0.55000000000000004">
      <c r="A11549" s="18">
        <v>24.812820899999998</v>
      </c>
      <c r="B11549" s="18">
        <v>34.837836500000002</v>
      </c>
      <c r="C11549" s="18">
        <v>685756.3</v>
      </c>
      <c r="D11549" s="18">
        <v>2745472.45</v>
      </c>
      <c r="E11549" s="18">
        <v>271.19</v>
      </c>
      <c r="F11549" s="18">
        <v>41951.31</v>
      </c>
      <c r="G11549" s="18">
        <v>143214</v>
      </c>
      <c r="H11549" s="18">
        <f t="shared" si="262"/>
        <v>41907.31</v>
      </c>
    </row>
    <row r="11550" spans="1:8" s="10" customFormat="1" ht="19.5" customHeight="1" x14ac:dyDescent="0.55000000000000004">
      <c r="A11550" s="18">
        <v>24.8128113</v>
      </c>
      <c r="B11550" s="18">
        <v>34.837853899999999</v>
      </c>
      <c r="C11550" s="18">
        <v>685758.07</v>
      </c>
      <c r="D11550" s="18">
        <v>2745471.41</v>
      </c>
      <c r="E11550" s="18">
        <v>271.39999999999998</v>
      </c>
      <c r="F11550" s="18">
        <v>41953.03</v>
      </c>
      <c r="G11550" s="18">
        <v>143216</v>
      </c>
      <c r="H11550" s="18">
        <f t="shared" si="262"/>
        <v>41909.03</v>
      </c>
    </row>
    <row r="11551" spans="1:8" s="10" customFormat="1" ht="19.5" customHeight="1" x14ac:dyDescent="0.55000000000000004">
      <c r="A11551" s="18">
        <v>24.8127979</v>
      </c>
      <c r="B11551" s="18">
        <v>34.8378698</v>
      </c>
      <c r="C11551" s="18">
        <v>685759.71</v>
      </c>
      <c r="D11551" s="18">
        <v>2745469.95</v>
      </c>
      <c r="E11551" s="18">
        <v>271.79000000000002</v>
      </c>
      <c r="F11551" s="18">
        <v>41953</v>
      </c>
      <c r="G11551" s="18">
        <v>143218</v>
      </c>
      <c r="H11551" s="18">
        <f t="shared" si="262"/>
        <v>41909</v>
      </c>
    </row>
    <row r="11552" spans="1:8" s="10" customFormat="1" ht="19.5" customHeight="1" x14ac:dyDescent="0.55000000000000004">
      <c r="A11552" s="18">
        <v>24.812781699999999</v>
      </c>
      <c r="B11552" s="18">
        <v>34.837885800000002</v>
      </c>
      <c r="C11552" s="18">
        <v>685761.35</v>
      </c>
      <c r="D11552" s="18">
        <v>2745468.18</v>
      </c>
      <c r="E11552" s="18">
        <v>272.13</v>
      </c>
      <c r="F11552" s="18">
        <v>41953.73</v>
      </c>
      <c r="G11552" s="18">
        <v>143220</v>
      </c>
      <c r="H11552" s="18">
        <f t="shared" si="262"/>
        <v>41909.730000000003</v>
      </c>
    </row>
    <row r="11553" spans="1:8" s="10" customFormat="1" ht="19.5" customHeight="1" x14ac:dyDescent="0.55000000000000004">
      <c r="A11553" s="18">
        <v>24.812768800000001</v>
      </c>
      <c r="B11553" s="18">
        <v>34.837902999999997</v>
      </c>
      <c r="C11553" s="18">
        <v>685763.1</v>
      </c>
      <c r="D11553" s="18">
        <v>2745466.77</v>
      </c>
      <c r="E11553" s="18">
        <v>272.36</v>
      </c>
      <c r="F11553" s="18">
        <v>41953.84</v>
      </c>
      <c r="G11553" s="18">
        <v>143222</v>
      </c>
      <c r="H11553" s="18">
        <f t="shared" si="262"/>
        <v>41909.839999999997</v>
      </c>
    </row>
    <row r="11554" spans="1:8" s="10" customFormat="1" ht="19.5" customHeight="1" x14ac:dyDescent="0.55000000000000004">
      <c r="A11554" s="18">
        <v>24.812755899999999</v>
      </c>
      <c r="B11554" s="18">
        <v>34.837913100000002</v>
      </c>
      <c r="C11554" s="18">
        <v>685764.15</v>
      </c>
      <c r="D11554" s="18">
        <v>2745465.36</v>
      </c>
      <c r="E11554" s="18">
        <v>272.68</v>
      </c>
      <c r="F11554" s="18">
        <v>41953.56</v>
      </c>
      <c r="G11554" s="18">
        <v>143224</v>
      </c>
      <c r="H11554" s="18">
        <f t="shared" si="262"/>
        <v>41909.56</v>
      </c>
    </row>
    <row r="11555" spans="1:8" s="10" customFormat="1" ht="19.5" customHeight="1" x14ac:dyDescent="0.55000000000000004">
      <c r="A11555" s="18">
        <v>24.8127396</v>
      </c>
      <c r="B11555" s="18">
        <v>34.837923000000004</v>
      </c>
      <c r="C11555" s="18">
        <v>685765.17</v>
      </c>
      <c r="D11555" s="18">
        <v>2745463.57</v>
      </c>
      <c r="E11555" s="18">
        <v>272.86</v>
      </c>
      <c r="F11555" s="18">
        <v>41953.69</v>
      </c>
      <c r="G11555" s="18">
        <v>143226</v>
      </c>
      <c r="H11555" s="18">
        <f t="shared" si="262"/>
        <v>41909.69</v>
      </c>
    </row>
    <row r="11556" spans="1:8" s="10" customFormat="1" ht="19.5" customHeight="1" x14ac:dyDescent="0.55000000000000004">
      <c r="A11556" s="18">
        <v>24.812720299999999</v>
      </c>
      <c r="B11556" s="18">
        <v>34.837930399999998</v>
      </c>
      <c r="C11556" s="18">
        <v>685765.95</v>
      </c>
      <c r="D11556" s="18">
        <v>2745461.44</v>
      </c>
      <c r="E11556" s="18">
        <v>272.88</v>
      </c>
      <c r="F11556" s="18">
        <v>41954.78</v>
      </c>
      <c r="G11556" s="18">
        <v>143228</v>
      </c>
      <c r="H11556" s="18">
        <f t="shared" si="262"/>
        <v>41910.78</v>
      </c>
    </row>
    <row r="11557" spans="1:8" s="10" customFormat="1" ht="19.5" customHeight="1" x14ac:dyDescent="0.55000000000000004">
      <c r="A11557" s="18">
        <v>24.812702099999999</v>
      </c>
      <c r="B11557" s="18">
        <v>34.837938700000002</v>
      </c>
      <c r="C11557" s="18">
        <v>685766.82</v>
      </c>
      <c r="D11557" s="18">
        <v>2745459.43</v>
      </c>
      <c r="E11557" s="18">
        <v>272.82</v>
      </c>
      <c r="F11557" s="18">
        <v>41952.29</v>
      </c>
      <c r="G11557" s="18">
        <v>143230</v>
      </c>
      <c r="H11557" s="18">
        <f t="shared" si="262"/>
        <v>41908.29</v>
      </c>
    </row>
    <row r="11558" spans="1:8" s="10" customFormat="1" ht="19.5" customHeight="1" x14ac:dyDescent="0.55000000000000004">
      <c r="A11558" s="18">
        <v>24.812691099999999</v>
      </c>
      <c r="B11558" s="18">
        <v>34.837958200000003</v>
      </c>
      <c r="C11558" s="18">
        <v>685768.79</v>
      </c>
      <c r="D11558" s="18">
        <v>2745458.24</v>
      </c>
      <c r="E11558" s="18">
        <v>272.85000000000002</v>
      </c>
      <c r="F11558" s="18">
        <v>41951.55</v>
      </c>
      <c r="G11558" s="18">
        <v>143232</v>
      </c>
      <c r="H11558" s="18">
        <f t="shared" si="262"/>
        <v>41907.550000000003</v>
      </c>
    </row>
    <row r="11559" spans="1:8" s="10" customFormat="1" ht="19.5" customHeight="1" x14ac:dyDescent="0.55000000000000004">
      <c r="A11559" s="18">
        <v>24.8126812</v>
      </c>
      <c r="B11559" s="18">
        <v>34.837979300000001</v>
      </c>
      <c r="C11559" s="18">
        <v>685770.94</v>
      </c>
      <c r="D11559" s="18">
        <v>2745457.17</v>
      </c>
      <c r="E11559" s="18">
        <v>273.23</v>
      </c>
      <c r="F11559" s="18">
        <v>41952.72</v>
      </c>
      <c r="G11559" s="18">
        <v>143234</v>
      </c>
      <c r="H11559" s="18">
        <f t="shared" si="262"/>
        <v>41908.720000000001</v>
      </c>
    </row>
    <row r="11560" spans="1:8" s="10" customFormat="1" ht="19.5" customHeight="1" x14ac:dyDescent="0.55000000000000004">
      <c r="A11560" s="18">
        <v>24.812678399999999</v>
      </c>
      <c r="B11560" s="18">
        <v>34.837997700000003</v>
      </c>
      <c r="C11560" s="18">
        <v>685772.81</v>
      </c>
      <c r="D11560" s="18">
        <v>2745456.88</v>
      </c>
      <c r="E11560" s="18">
        <v>273.73</v>
      </c>
      <c r="F11560" s="18">
        <v>41955.95</v>
      </c>
      <c r="G11560" s="18">
        <v>143236</v>
      </c>
      <c r="H11560" s="18">
        <f t="shared" si="262"/>
        <v>41911.949999999997</v>
      </c>
    </row>
    <row r="11561" spans="1:8" s="10" customFormat="1" ht="19.5" customHeight="1" x14ac:dyDescent="0.55000000000000004">
      <c r="A11561" s="18">
        <v>24.812671600000002</v>
      </c>
      <c r="B11561" s="18">
        <v>34.8380169</v>
      </c>
      <c r="C11561" s="18">
        <v>685774.76</v>
      </c>
      <c r="D11561" s="18">
        <v>2745456.16</v>
      </c>
      <c r="E11561" s="18">
        <v>273.94</v>
      </c>
      <c r="F11561" s="18">
        <v>41954.58</v>
      </c>
      <c r="G11561" s="18">
        <v>143238</v>
      </c>
      <c r="H11561" s="18">
        <f t="shared" si="262"/>
        <v>41910.58</v>
      </c>
    </row>
    <row r="11562" spans="1:8" s="10" customFormat="1" ht="19.5" customHeight="1" x14ac:dyDescent="0.55000000000000004">
      <c r="A11562" s="18">
        <v>24.812657999999999</v>
      </c>
      <c r="B11562" s="18">
        <v>34.838035300000001</v>
      </c>
      <c r="C11562" s="18">
        <v>685776.64</v>
      </c>
      <c r="D11562" s="18">
        <v>2745454.68</v>
      </c>
      <c r="E11562" s="18">
        <v>274.02</v>
      </c>
      <c r="F11562" s="18">
        <v>41952.800000000003</v>
      </c>
      <c r="G11562" s="18">
        <v>143240</v>
      </c>
      <c r="H11562" s="18">
        <f t="shared" si="262"/>
        <v>41908.800000000003</v>
      </c>
    </row>
    <row r="11563" spans="1:8" s="10" customFormat="1" ht="19.5" customHeight="1" x14ac:dyDescent="0.55000000000000004">
      <c r="A11563" s="18">
        <v>24.812642700000001</v>
      </c>
      <c r="B11563" s="18">
        <v>34.838053600000002</v>
      </c>
      <c r="C11563" s="18">
        <v>685778.52</v>
      </c>
      <c r="D11563" s="18">
        <v>2745453</v>
      </c>
      <c r="E11563" s="18">
        <v>273.99</v>
      </c>
      <c r="F11563" s="18">
        <v>41953.94</v>
      </c>
      <c r="G11563" s="18">
        <v>143242</v>
      </c>
      <c r="H11563" s="18">
        <f t="shared" si="262"/>
        <v>41909.94</v>
      </c>
    </row>
    <row r="11564" spans="1:8" s="10" customFormat="1" ht="19.5" customHeight="1" x14ac:dyDescent="0.55000000000000004">
      <c r="A11564" s="18">
        <v>24.812622999999999</v>
      </c>
      <c r="B11564" s="18">
        <v>34.838070899999998</v>
      </c>
      <c r="C11564" s="18">
        <v>685780.29</v>
      </c>
      <c r="D11564" s="18">
        <v>2745450.85</v>
      </c>
      <c r="E11564" s="18">
        <v>274.08999999999997</v>
      </c>
      <c r="F11564" s="18">
        <v>41952.68</v>
      </c>
      <c r="G11564" s="18">
        <v>143244</v>
      </c>
      <c r="H11564" s="18">
        <f t="shared" si="262"/>
        <v>41908.68</v>
      </c>
    </row>
    <row r="11565" spans="1:8" s="10" customFormat="1" ht="19.5" customHeight="1" x14ac:dyDescent="0.55000000000000004">
      <c r="A11565" s="18">
        <v>24.812608900000001</v>
      </c>
      <c r="B11565" s="18">
        <v>34.838088599999999</v>
      </c>
      <c r="C11565" s="18">
        <v>685782.1</v>
      </c>
      <c r="D11565" s="18">
        <v>2745449.31</v>
      </c>
      <c r="E11565" s="18">
        <v>274.43</v>
      </c>
      <c r="F11565" s="18">
        <v>41953.31</v>
      </c>
      <c r="G11565" s="18">
        <v>143246</v>
      </c>
      <c r="H11565" s="18">
        <f t="shared" si="262"/>
        <v>41909.31</v>
      </c>
    </row>
    <row r="11566" spans="1:8" s="10" customFormat="1" ht="19.5" customHeight="1" x14ac:dyDescent="0.55000000000000004">
      <c r="A11566" s="18">
        <v>24.812596500000001</v>
      </c>
      <c r="B11566" s="18">
        <v>34.838108900000002</v>
      </c>
      <c r="C11566" s="18">
        <v>685784.18</v>
      </c>
      <c r="D11566" s="18">
        <v>2745447.97</v>
      </c>
      <c r="E11566" s="18">
        <v>274.63</v>
      </c>
      <c r="F11566" s="18">
        <v>41952.15</v>
      </c>
      <c r="G11566" s="18">
        <v>143248</v>
      </c>
      <c r="H11566" s="18">
        <f t="shared" si="262"/>
        <v>41908.15</v>
      </c>
    </row>
    <row r="11567" spans="1:8" s="10" customFormat="1" ht="19.5" customHeight="1" x14ac:dyDescent="0.55000000000000004">
      <c r="A11567" s="18">
        <v>24.8125842</v>
      </c>
      <c r="B11567" s="18">
        <v>34.8381215</v>
      </c>
      <c r="C11567" s="18">
        <v>685785.47</v>
      </c>
      <c r="D11567" s="18">
        <v>2745446.62</v>
      </c>
      <c r="E11567" s="18">
        <v>275</v>
      </c>
      <c r="F11567" s="18">
        <v>41952.36</v>
      </c>
      <c r="G11567" s="18">
        <v>143250</v>
      </c>
      <c r="H11567" s="18">
        <f t="shared" si="262"/>
        <v>41908.36</v>
      </c>
    </row>
    <row r="11568" spans="1:8" s="10" customFormat="1" ht="19.5" customHeight="1" x14ac:dyDescent="0.55000000000000004">
      <c r="A11568" s="18">
        <v>24.812567999999999</v>
      </c>
      <c r="B11568" s="18">
        <v>34.838137000000003</v>
      </c>
      <c r="C11568" s="18">
        <v>685787.06</v>
      </c>
      <c r="D11568" s="18">
        <v>2745444.85</v>
      </c>
      <c r="E11568" s="18">
        <v>275.06</v>
      </c>
      <c r="F11568" s="18">
        <v>41951.77</v>
      </c>
      <c r="G11568" s="18">
        <v>143252</v>
      </c>
      <c r="H11568" s="18">
        <f t="shared" si="262"/>
        <v>41907.769999999997</v>
      </c>
    </row>
    <row r="11569" spans="1:8" s="10" customFormat="1" ht="19.5" customHeight="1" x14ac:dyDescent="0.55000000000000004">
      <c r="A11569" s="18">
        <v>24.812550099999999</v>
      </c>
      <c r="B11569" s="18">
        <v>34.838153300000002</v>
      </c>
      <c r="C11569" s="18">
        <v>685788.74</v>
      </c>
      <c r="D11569" s="18">
        <v>2745442.89</v>
      </c>
      <c r="E11569" s="18">
        <v>274.98</v>
      </c>
      <c r="F11569" s="18">
        <v>41952.05</v>
      </c>
      <c r="G11569" s="18">
        <v>143254</v>
      </c>
      <c r="H11569" s="18">
        <f t="shared" si="262"/>
        <v>41908.050000000003</v>
      </c>
    </row>
    <row r="11570" spans="1:8" s="10" customFormat="1" ht="19.5" customHeight="1" x14ac:dyDescent="0.55000000000000004">
      <c r="A11570" s="18">
        <v>24.812534299999999</v>
      </c>
      <c r="B11570" s="18">
        <v>34.838172200000002</v>
      </c>
      <c r="C11570" s="18">
        <v>685790.67</v>
      </c>
      <c r="D11570" s="18">
        <v>2745441.16</v>
      </c>
      <c r="E11570" s="18">
        <v>275.01</v>
      </c>
      <c r="F11570" s="18">
        <v>41951.38</v>
      </c>
      <c r="G11570" s="18">
        <v>143256</v>
      </c>
      <c r="H11570" s="18">
        <f t="shared" si="262"/>
        <v>41907.379999999997</v>
      </c>
    </row>
    <row r="11571" spans="1:8" s="10" customFormat="1" ht="19.5" customHeight="1" x14ac:dyDescent="0.55000000000000004">
      <c r="A11571" s="18">
        <v>24.812526500000001</v>
      </c>
      <c r="B11571" s="18">
        <v>34.838196799999999</v>
      </c>
      <c r="C11571" s="18">
        <v>685793.16</v>
      </c>
      <c r="D11571" s="18">
        <v>2745440.33</v>
      </c>
      <c r="E11571" s="18">
        <v>275.33999999999997</v>
      </c>
      <c r="F11571" s="18">
        <v>41950.58</v>
      </c>
      <c r="G11571" s="18">
        <v>143258</v>
      </c>
      <c r="H11571" s="18">
        <f t="shared" si="262"/>
        <v>41906.58</v>
      </c>
    </row>
    <row r="11572" spans="1:8" s="10" customFormat="1" ht="19.5" customHeight="1" x14ac:dyDescent="0.55000000000000004">
      <c r="A11572" s="18">
        <v>24.8125231</v>
      </c>
      <c r="B11572" s="18">
        <v>34.838212800000001</v>
      </c>
      <c r="C11572" s="18">
        <v>685794.79</v>
      </c>
      <c r="D11572" s="18">
        <v>2745439.98</v>
      </c>
      <c r="E11572" s="18">
        <v>275.87</v>
      </c>
      <c r="F11572" s="18">
        <v>41952.28</v>
      </c>
      <c r="G11572" s="18">
        <v>143300</v>
      </c>
      <c r="H11572" s="18">
        <f t="shared" si="262"/>
        <v>41908.28</v>
      </c>
    </row>
    <row r="11573" spans="1:8" s="10" customFormat="1" ht="19.5" customHeight="1" x14ac:dyDescent="0.55000000000000004">
      <c r="A11573" s="18">
        <v>24.812516800000001</v>
      </c>
      <c r="B11573" s="18">
        <v>34.838226400000003</v>
      </c>
      <c r="C11573" s="18">
        <v>685796.17</v>
      </c>
      <c r="D11573" s="18">
        <v>2745439.3</v>
      </c>
      <c r="E11573" s="18">
        <v>276.39999999999998</v>
      </c>
      <c r="F11573" s="18">
        <v>41952.160000000003</v>
      </c>
      <c r="G11573" s="18">
        <v>143302</v>
      </c>
      <c r="H11573" s="18">
        <f t="shared" si="262"/>
        <v>41908.160000000003</v>
      </c>
    </row>
    <row r="11574" spans="1:8" s="10" customFormat="1" ht="19.5" customHeight="1" x14ac:dyDescent="0.55000000000000004">
      <c r="A11574" s="18">
        <v>24.8125021</v>
      </c>
      <c r="B11574" s="18">
        <v>34.838237900000003</v>
      </c>
      <c r="C11574" s="18">
        <v>685797.36</v>
      </c>
      <c r="D11574" s="18">
        <v>2745437.69</v>
      </c>
      <c r="E11574" s="18">
        <v>276.54000000000002</v>
      </c>
      <c r="F11574" s="18">
        <v>41952.14</v>
      </c>
      <c r="G11574" s="18">
        <v>143304</v>
      </c>
      <c r="H11574" s="18">
        <f t="shared" si="262"/>
        <v>41908.14</v>
      </c>
    </row>
    <row r="11575" spans="1:8" s="10" customFormat="1" ht="19.5" customHeight="1" x14ac:dyDescent="0.55000000000000004">
      <c r="A11575" s="18">
        <v>24.812485200000001</v>
      </c>
      <c r="B11575" s="18">
        <v>34.838247600000003</v>
      </c>
      <c r="C11575" s="18">
        <v>685798.36</v>
      </c>
      <c r="D11575" s="18">
        <v>2745435.83</v>
      </c>
      <c r="E11575" s="18">
        <v>276.79000000000002</v>
      </c>
      <c r="F11575" s="18">
        <v>41951.79</v>
      </c>
      <c r="G11575" s="18">
        <v>143306</v>
      </c>
      <c r="H11575" s="18">
        <f t="shared" si="262"/>
        <v>41907.79</v>
      </c>
    </row>
    <row r="11576" spans="1:8" s="10" customFormat="1" ht="19.5" customHeight="1" x14ac:dyDescent="0.55000000000000004">
      <c r="A11576" s="18">
        <v>24.812470000000001</v>
      </c>
      <c r="B11576" s="18">
        <v>34.838262100000001</v>
      </c>
      <c r="C11576" s="18">
        <v>685799.85</v>
      </c>
      <c r="D11576" s="18">
        <v>2745434.16</v>
      </c>
      <c r="E11576" s="18">
        <v>276.94</v>
      </c>
      <c r="F11576" s="18">
        <v>41951.82</v>
      </c>
      <c r="G11576" s="18">
        <v>143308</v>
      </c>
      <c r="H11576" s="18">
        <f t="shared" si="262"/>
        <v>41907.82</v>
      </c>
    </row>
    <row r="11577" spans="1:8" s="10" customFormat="1" ht="19.5" customHeight="1" x14ac:dyDescent="0.55000000000000004">
      <c r="A11577" s="18">
        <v>24.8124559</v>
      </c>
      <c r="B11577" s="18">
        <v>34.838273800000003</v>
      </c>
      <c r="C11577" s="18">
        <v>685801.06</v>
      </c>
      <c r="D11577" s="18">
        <v>2745432.62</v>
      </c>
      <c r="E11577" s="18">
        <v>277.05</v>
      </c>
      <c r="F11577" s="18">
        <v>41951.8</v>
      </c>
      <c r="G11577" s="18">
        <v>143310</v>
      </c>
      <c r="H11577" s="18">
        <f t="shared" ref="H11577:H11640" si="263">SUM(F11577-44)</f>
        <v>41907.800000000003</v>
      </c>
    </row>
    <row r="11578" spans="1:8" s="10" customFormat="1" ht="19.5" customHeight="1" x14ac:dyDescent="0.55000000000000004">
      <c r="A11578" s="18">
        <v>24.812438199999999</v>
      </c>
      <c r="B11578" s="18">
        <v>34.838288300000002</v>
      </c>
      <c r="C11578" s="18">
        <v>685802.55</v>
      </c>
      <c r="D11578" s="18">
        <v>2745430.67</v>
      </c>
      <c r="E11578" s="18">
        <v>277.13</v>
      </c>
      <c r="F11578" s="18">
        <v>41948.74</v>
      </c>
      <c r="G11578" s="18">
        <v>143312</v>
      </c>
      <c r="H11578" s="18">
        <f t="shared" si="263"/>
        <v>41904.74</v>
      </c>
    </row>
    <row r="11579" spans="1:8" s="10" customFormat="1" ht="19.5" customHeight="1" x14ac:dyDescent="0.55000000000000004">
      <c r="A11579" s="18">
        <v>24.812429699999999</v>
      </c>
      <c r="B11579" s="18">
        <v>34.838305200000001</v>
      </c>
      <c r="C11579" s="18">
        <v>685804.27</v>
      </c>
      <c r="D11579" s="18">
        <v>2745429.76</v>
      </c>
      <c r="E11579" s="18">
        <v>277.49</v>
      </c>
      <c r="F11579" s="18">
        <v>41950.59</v>
      </c>
      <c r="G11579" s="18">
        <v>143314</v>
      </c>
      <c r="H11579" s="18">
        <f t="shared" si="263"/>
        <v>41906.589999999997</v>
      </c>
    </row>
    <row r="11580" spans="1:8" s="10" customFormat="1" ht="19.5" customHeight="1" x14ac:dyDescent="0.55000000000000004">
      <c r="A11580" s="18">
        <v>24.812419299999998</v>
      </c>
      <c r="B11580" s="18">
        <v>34.838321399999998</v>
      </c>
      <c r="C11580" s="18">
        <v>685805.92</v>
      </c>
      <c r="D11580" s="18">
        <v>2745428.63</v>
      </c>
      <c r="E11580" s="18">
        <v>277.69</v>
      </c>
      <c r="F11580" s="18">
        <v>41951.97</v>
      </c>
      <c r="G11580" s="18">
        <v>143316</v>
      </c>
      <c r="H11580" s="18">
        <f t="shared" si="263"/>
        <v>41907.97</v>
      </c>
    </row>
    <row r="11581" spans="1:8" s="10" customFormat="1" ht="19.5" customHeight="1" x14ac:dyDescent="0.55000000000000004">
      <c r="A11581" s="18">
        <v>24.812405200000001</v>
      </c>
      <c r="B11581" s="18">
        <v>34.8383313</v>
      </c>
      <c r="C11581" s="18">
        <v>685806.95</v>
      </c>
      <c r="D11581" s="18">
        <v>2745427.08</v>
      </c>
      <c r="E11581" s="18">
        <v>277.75</v>
      </c>
      <c r="F11581" s="18">
        <v>41952.11</v>
      </c>
      <c r="G11581" s="18">
        <v>143318</v>
      </c>
      <c r="H11581" s="18">
        <f t="shared" si="263"/>
        <v>41908.11</v>
      </c>
    </row>
    <row r="11582" spans="1:8" s="10" customFormat="1" ht="19.5" customHeight="1" x14ac:dyDescent="0.55000000000000004">
      <c r="A11582" s="18">
        <v>24.812386499999999</v>
      </c>
      <c r="B11582" s="18">
        <v>34.8383404</v>
      </c>
      <c r="C11582" s="18">
        <v>685807.9</v>
      </c>
      <c r="D11582" s="18">
        <v>2745425.03</v>
      </c>
      <c r="E11582" s="18">
        <v>277.54000000000002</v>
      </c>
      <c r="F11582" s="18">
        <v>41953</v>
      </c>
      <c r="G11582" s="18">
        <v>143320</v>
      </c>
      <c r="H11582" s="18">
        <f t="shared" si="263"/>
        <v>41909</v>
      </c>
    </row>
    <row r="11583" spans="1:8" s="10" customFormat="1" ht="19.5" customHeight="1" x14ac:dyDescent="0.55000000000000004">
      <c r="A11583" s="18">
        <v>24.8123635</v>
      </c>
      <c r="B11583" s="18">
        <v>34.838346199999997</v>
      </c>
      <c r="C11583" s="18">
        <v>685808.52</v>
      </c>
      <c r="D11583" s="18">
        <v>2745422.49</v>
      </c>
      <c r="E11583" s="18">
        <v>277.06</v>
      </c>
      <c r="F11583" s="18">
        <v>41951.59</v>
      </c>
      <c r="G11583" s="18">
        <v>143322</v>
      </c>
      <c r="H11583" s="18">
        <f t="shared" si="263"/>
        <v>41907.589999999997</v>
      </c>
    </row>
    <row r="11584" spans="1:8" s="10" customFormat="1" ht="19.5" customHeight="1" x14ac:dyDescent="0.55000000000000004">
      <c r="A11584" s="18">
        <v>24.812348400000001</v>
      </c>
      <c r="B11584" s="18">
        <v>34.838364300000002</v>
      </c>
      <c r="C11584" s="18">
        <v>685810.36</v>
      </c>
      <c r="D11584" s="18">
        <v>2745420.83</v>
      </c>
      <c r="E11584" s="18">
        <v>277.51</v>
      </c>
      <c r="F11584" s="18">
        <v>41950.23</v>
      </c>
      <c r="G11584" s="18">
        <v>143324</v>
      </c>
      <c r="H11584" s="18">
        <f t="shared" si="263"/>
        <v>41906.230000000003</v>
      </c>
    </row>
    <row r="11585" spans="1:8" s="10" customFormat="1" ht="19.5" customHeight="1" x14ac:dyDescent="0.55000000000000004">
      <c r="A11585" s="18">
        <v>24.812339399999999</v>
      </c>
      <c r="B11585" s="18">
        <v>34.838378599999999</v>
      </c>
      <c r="C11585" s="18">
        <v>685811.82</v>
      </c>
      <c r="D11585" s="18">
        <v>2745419.86</v>
      </c>
      <c r="E11585" s="18">
        <v>277.92</v>
      </c>
      <c r="F11585" s="18">
        <v>41951.8</v>
      </c>
      <c r="G11585" s="18">
        <v>143326</v>
      </c>
      <c r="H11585" s="18">
        <f t="shared" si="263"/>
        <v>41907.800000000003</v>
      </c>
    </row>
    <row r="11586" spans="1:8" s="10" customFormat="1" ht="19.5" customHeight="1" x14ac:dyDescent="0.55000000000000004">
      <c r="A11586" s="18">
        <v>24.812332099999999</v>
      </c>
      <c r="B11586" s="18">
        <v>34.838398599999998</v>
      </c>
      <c r="C11586" s="18">
        <v>685813.86</v>
      </c>
      <c r="D11586" s="18">
        <v>2745419.08</v>
      </c>
      <c r="E11586" s="18">
        <v>277.99</v>
      </c>
      <c r="F11586" s="18">
        <v>41950.51</v>
      </c>
      <c r="G11586" s="18">
        <v>143328</v>
      </c>
      <c r="H11586" s="18">
        <f t="shared" si="263"/>
        <v>41906.51</v>
      </c>
    </row>
    <row r="11587" spans="1:8" s="10" customFormat="1" ht="19.5" customHeight="1" x14ac:dyDescent="0.55000000000000004">
      <c r="A11587" s="18">
        <v>24.812327199999999</v>
      </c>
      <c r="B11587" s="18">
        <v>34.838415699999999</v>
      </c>
      <c r="C11587" s="18">
        <v>685815.59</v>
      </c>
      <c r="D11587" s="18">
        <v>2745418.56</v>
      </c>
      <c r="E11587" s="18">
        <v>278.16000000000003</v>
      </c>
      <c r="F11587" s="18">
        <v>41951.75</v>
      </c>
      <c r="G11587" s="18">
        <v>143330</v>
      </c>
      <c r="H11587" s="18">
        <f t="shared" si="263"/>
        <v>41907.75</v>
      </c>
    </row>
    <row r="11588" spans="1:8" s="10" customFormat="1" ht="19.5" customHeight="1" x14ac:dyDescent="0.55000000000000004">
      <c r="A11588" s="18">
        <v>24.812313199999998</v>
      </c>
      <c r="B11588" s="18">
        <v>34.838431100000001</v>
      </c>
      <c r="C11588" s="18">
        <v>685817.17</v>
      </c>
      <c r="D11588" s="18">
        <v>2745417.03</v>
      </c>
      <c r="E11588" s="18">
        <v>278.08</v>
      </c>
      <c r="F11588" s="18">
        <v>41951.71</v>
      </c>
      <c r="G11588" s="18">
        <v>143332</v>
      </c>
      <c r="H11588" s="18">
        <f t="shared" si="263"/>
        <v>41907.71</v>
      </c>
    </row>
    <row r="11589" spans="1:8" s="10" customFormat="1" ht="19.5" customHeight="1" x14ac:dyDescent="0.55000000000000004">
      <c r="A11589" s="18">
        <v>24.812294600000001</v>
      </c>
      <c r="B11589" s="18">
        <v>34.838451599999999</v>
      </c>
      <c r="C11589" s="18">
        <v>685819.27</v>
      </c>
      <c r="D11589" s="18">
        <v>2745414.99</v>
      </c>
      <c r="E11589" s="18">
        <v>278.43</v>
      </c>
      <c r="F11589" s="18">
        <v>41951.16</v>
      </c>
      <c r="G11589" s="18">
        <v>143334</v>
      </c>
      <c r="H11589" s="18">
        <f t="shared" si="263"/>
        <v>41907.160000000003</v>
      </c>
    </row>
    <row r="11590" spans="1:8" s="10" customFormat="1" ht="19.5" customHeight="1" x14ac:dyDescent="0.55000000000000004">
      <c r="A11590" s="18">
        <v>24.8122902</v>
      </c>
      <c r="B11590" s="18">
        <v>34.838463900000001</v>
      </c>
      <c r="C11590" s="18">
        <v>685820.52</v>
      </c>
      <c r="D11590" s="18">
        <v>2745414.53</v>
      </c>
      <c r="E11590" s="18">
        <v>278.94</v>
      </c>
      <c r="F11590" s="18">
        <v>41947.46</v>
      </c>
      <c r="G11590" s="18">
        <v>143336</v>
      </c>
      <c r="H11590" s="18">
        <f t="shared" si="263"/>
        <v>41903.46</v>
      </c>
    </row>
    <row r="11591" spans="1:8" s="10" customFormat="1" ht="19.5" customHeight="1" x14ac:dyDescent="0.55000000000000004">
      <c r="A11591" s="18">
        <v>24.812289</v>
      </c>
      <c r="B11591" s="18">
        <v>34.8384736</v>
      </c>
      <c r="C11591" s="18">
        <v>685821.5</v>
      </c>
      <c r="D11591" s="18">
        <v>2745414.41</v>
      </c>
      <c r="E11591" s="18">
        <v>279.3</v>
      </c>
      <c r="F11591" s="18">
        <v>41953.33</v>
      </c>
      <c r="G11591" s="18">
        <v>143338</v>
      </c>
      <c r="H11591" s="18">
        <f t="shared" si="263"/>
        <v>41909.33</v>
      </c>
    </row>
    <row r="11592" spans="1:8" s="10" customFormat="1" ht="19.5" customHeight="1" x14ac:dyDescent="0.55000000000000004">
      <c r="A11592" s="18">
        <v>24.812284900000002</v>
      </c>
      <c r="B11592" s="18">
        <v>34.8384851</v>
      </c>
      <c r="C11592" s="18">
        <v>685822.67</v>
      </c>
      <c r="D11592" s="18">
        <v>2745413.97</v>
      </c>
      <c r="E11592" s="18">
        <v>279.83</v>
      </c>
      <c r="F11592" s="18">
        <v>41951.93</v>
      </c>
      <c r="G11592" s="18">
        <v>143340</v>
      </c>
      <c r="H11592" s="18">
        <f t="shared" si="263"/>
        <v>41907.93</v>
      </c>
    </row>
    <row r="11593" spans="1:8" s="10" customFormat="1" ht="19.5" customHeight="1" x14ac:dyDescent="0.55000000000000004">
      <c r="A11593" s="18">
        <v>24.8122811</v>
      </c>
      <c r="B11593" s="18">
        <v>34.8384924</v>
      </c>
      <c r="C11593" s="18">
        <v>685823.41</v>
      </c>
      <c r="D11593" s="18">
        <v>2745413.56</v>
      </c>
      <c r="E11593" s="18">
        <v>280.36</v>
      </c>
      <c r="F11593" s="18">
        <v>41952.04</v>
      </c>
      <c r="G11593" s="18">
        <v>143342</v>
      </c>
      <c r="H11593" s="18">
        <f t="shared" si="263"/>
        <v>41908.04</v>
      </c>
    </row>
    <row r="11594" spans="1:8" s="10" customFormat="1" ht="19.5" customHeight="1" x14ac:dyDescent="0.55000000000000004">
      <c r="A11594" s="18">
        <v>24.812268499999998</v>
      </c>
      <c r="B11594" s="18">
        <v>34.838506799999998</v>
      </c>
      <c r="C11594" s="18">
        <v>685824.89</v>
      </c>
      <c r="D11594" s="18">
        <v>2745412.18</v>
      </c>
      <c r="E11594" s="18">
        <v>280.61</v>
      </c>
      <c r="F11594" s="18">
        <v>41951.96</v>
      </c>
      <c r="G11594" s="18">
        <v>143344</v>
      </c>
      <c r="H11594" s="18">
        <f t="shared" si="263"/>
        <v>41907.96</v>
      </c>
    </row>
    <row r="11595" spans="1:8" s="10" customFormat="1" ht="19.5" customHeight="1" x14ac:dyDescent="0.55000000000000004">
      <c r="A11595" s="18">
        <v>24.812259300000001</v>
      </c>
      <c r="B11595" s="18">
        <v>34.838518100000002</v>
      </c>
      <c r="C11595" s="18">
        <v>685826.05</v>
      </c>
      <c r="D11595" s="18">
        <v>2745411.18</v>
      </c>
      <c r="E11595" s="18">
        <v>280.97000000000003</v>
      </c>
      <c r="F11595" s="18">
        <v>41950.73</v>
      </c>
      <c r="G11595" s="18">
        <v>143346</v>
      </c>
      <c r="H11595" s="18">
        <f t="shared" si="263"/>
        <v>41906.730000000003</v>
      </c>
    </row>
    <row r="11596" spans="1:8" s="10" customFormat="1" ht="19.5" customHeight="1" x14ac:dyDescent="0.55000000000000004">
      <c r="A11596" s="18">
        <v>24.8122495</v>
      </c>
      <c r="B11596" s="18">
        <v>34.838531500000002</v>
      </c>
      <c r="C11596" s="18">
        <v>685827.41</v>
      </c>
      <c r="D11596" s="18">
        <v>2745410.11</v>
      </c>
      <c r="E11596" s="18">
        <v>281.33</v>
      </c>
      <c r="F11596" s="18">
        <v>41952.83</v>
      </c>
      <c r="G11596" s="18">
        <v>143348</v>
      </c>
      <c r="H11596" s="18">
        <f t="shared" si="263"/>
        <v>41908.83</v>
      </c>
    </row>
    <row r="11597" spans="1:8" s="10" customFormat="1" ht="19.5" customHeight="1" x14ac:dyDescent="0.55000000000000004">
      <c r="A11597" s="18">
        <v>24.8122446</v>
      </c>
      <c r="B11597" s="18">
        <v>34.838544599999999</v>
      </c>
      <c r="C11597" s="18">
        <v>685828.75</v>
      </c>
      <c r="D11597" s="18">
        <v>2745409.58</v>
      </c>
      <c r="E11597" s="18">
        <v>281.75</v>
      </c>
      <c r="F11597" s="18">
        <v>41952.28</v>
      </c>
      <c r="G11597" s="18">
        <v>143350</v>
      </c>
      <c r="H11597" s="18">
        <f t="shared" si="263"/>
        <v>41908.28</v>
      </c>
    </row>
    <row r="11598" spans="1:8" s="10" customFormat="1" ht="19.5" customHeight="1" x14ac:dyDescent="0.55000000000000004">
      <c r="A11598" s="18">
        <v>24.812234100000001</v>
      </c>
      <c r="B11598" s="18">
        <v>34.838557600000001</v>
      </c>
      <c r="C11598" s="18">
        <v>685830.08</v>
      </c>
      <c r="D11598" s="18">
        <v>2745408.44</v>
      </c>
      <c r="E11598" s="18">
        <v>282.02</v>
      </c>
      <c r="F11598" s="18">
        <v>41953.39</v>
      </c>
      <c r="G11598" s="18">
        <v>143352</v>
      </c>
      <c r="H11598" s="18">
        <f t="shared" si="263"/>
        <v>41909.39</v>
      </c>
    </row>
    <row r="11599" spans="1:8" s="10" customFormat="1" ht="19.5" customHeight="1" x14ac:dyDescent="0.55000000000000004">
      <c r="A11599" s="18">
        <v>24.812223500000002</v>
      </c>
      <c r="B11599" s="18">
        <v>34.838573199999999</v>
      </c>
      <c r="C11599" s="18">
        <v>685831.67</v>
      </c>
      <c r="D11599" s="18">
        <v>2745407.29</v>
      </c>
      <c r="E11599" s="18">
        <v>281.97000000000003</v>
      </c>
      <c r="F11599" s="18">
        <v>41953.84</v>
      </c>
      <c r="G11599" s="18">
        <v>143354</v>
      </c>
      <c r="H11599" s="18">
        <f t="shared" si="263"/>
        <v>41909.839999999997</v>
      </c>
    </row>
    <row r="11600" spans="1:8" s="10" customFormat="1" ht="19.5" customHeight="1" x14ac:dyDescent="0.55000000000000004">
      <c r="A11600" s="18">
        <v>24.812207799999999</v>
      </c>
      <c r="B11600" s="18">
        <v>34.838586599999999</v>
      </c>
      <c r="C11600" s="18">
        <v>685833.05</v>
      </c>
      <c r="D11600" s="18">
        <v>2745405.57</v>
      </c>
      <c r="E11600" s="18">
        <v>281.57</v>
      </c>
      <c r="F11600" s="18">
        <v>41954.54</v>
      </c>
      <c r="G11600" s="18">
        <v>143356</v>
      </c>
      <c r="H11600" s="18">
        <f t="shared" si="263"/>
        <v>41910.54</v>
      </c>
    </row>
    <row r="11601" spans="1:8" s="10" customFormat="1" ht="19.5" customHeight="1" x14ac:dyDescent="0.55000000000000004">
      <c r="A11601" s="18">
        <v>24.812190399999999</v>
      </c>
      <c r="B11601" s="18">
        <v>34.838597200000002</v>
      </c>
      <c r="C11601" s="18">
        <v>685834.15</v>
      </c>
      <c r="D11601" s="18">
        <v>2745403.65</v>
      </c>
      <c r="E11601" s="18">
        <v>281.06</v>
      </c>
      <c r="F11601" s="18">
        <v>41954.87</v>
      </c>
      <c r="G11601" s="18">
        <v>143358</v>
      </c>
      <c r="H11601" s="18">
        <f t="shared" si="263"/>
        <v>41910.870000000003</v>
      </c>
    </row>
    <row r="11602" spans="1:8" s="10" customFormat="1" ht="19.5" customHeight="1" x14ac:dyDescent="0.55000000000000004">
      <c r="A11602" s="18">
        <v>24.812172100000002</v>
      </c>
      <c r="B11602" s="18">
        <v>34.838606800000001</v>
      </c>
      <c r="C11602" s="18">
        <v>685835.15</v>
      </c>
      <c r="D11602" s="18">
        <v>2745401.63</v>
      </c>
      <c r="E11602" s="18">
        <v>280.60000000000002</v>
      </c>
      <c r="F11602" s="18">
        <v>41955</v>
      </c>
      <c r="G11602" s="18">
        <v>143400</v>
      </c>
      <c r="H11602" s="18">
        <f t="shared" si="263"/>
        <v>41911</v>
      </c>
    </row>
    <row r="11603" spans="1:8" s="10" customFormat="1" ht="19.5" customHeight="1" x14ac:dyDescent="0.55000000000000004">
      <c r="A11603" s="18">
        <v>24.8121543</v>
      </c>
      <c r="B11603" s="18">
        <v>34.838616399999999</v>
      </c>
      <c r="C11603" s="18">
        <v>685836.14</v>
      </c>
      <c r="D11603" s="18">
        <v>2745399.68</v>
      </c>
      <c r="E11603" s="18">
        <v>280.08</v>
      </c>
      <c r="F11603" s="18">
        <v>41955.71</v>
      </c>
      <c r="G11603" s="18">
        <v>143402</v>
      </c>
      <c r="H11603" s="18">
        <f t="shared" si="263"/>
        <v>41911.71</v>
      </c>
    </row>
    <row r="11604" spans="1:8" s="10" customFormat="1" ht="19.5" customHeight="1" x14ac:dyDescent="0.55000000000000004">
      <c r="A11604" s="18">
        <v>24.8121443</v>
      </c>
      <c r="B11604" s="18">
        <v>34.838626300000001</v>
      </c>
      <c r="C11604" s="18">
        <v>685837.15</v>
      </c>
      <c r="D11604" s="18">
        <v>2745398.59</v>
      </c>
      <c r="E11604" s="18">
        <v>279.67</v>
      </c>
      <c r="F11604" s="18">
        <v>41957.38</v>
      </c>
      <c r="G11604" s="18">
        <v>143404</v>
      </c>
      <c r="H11604" s="18">
        <f t="shared" si="263"/>
        <v>41913.379999999997</v>
      </c>
    </row>
    <row r="11605" spans="1:8" s="10" customFormat="1" ht="19.5" customHeight="1" x14ac:dyDescent="0.55000000000000004">
      <c r="A11605" s="18">
        <v>24.8121264</v>
      </c>
      <c r="B11605" s="18">
        <v>34.838640300000002</v>
      </c>
      <c r="C11605" s="18">
        <v>685838.6</v>
      </c>
      <c r="D11605" s="18">
        <v>2745396.62</v>
      </c>
      <c r="E11605" s="18">
        <v>279.12</v>
      </c>
      <c r="F11605" s="18">
        <v>41956.95</v>
      </c>
      <c r="G11605" s="18">
        <v>143406</v>
      </c>
      <c r="H11605" s="18">
        <f t="shared" si="263"/>
        <v>41912.949999999997</v>
      </c>
    </row>
    <row r="11606" spans="1:8" s="10" customFormat="1" ht="19.5" customHeight="1" x14ac:dyDescent="0.55000000000000004">
      <c r="A11606" s="18">
        <v>24.8121106</v>
      </c>
      <c r="B11606" s="18">
        <v>34.8386505</v>
      </c>
      <c r="C11606" s="18">
        <v>685839.65</v>
      </c>
      <c r="D11606" s="18">
        <v>2745394.88</v>
      </c>
      <c r="E11606" s="18">
        <v>278.55</v>
      </c>
      <c r="F11606" s="18">
        <v>41957.21</v>
      </c>
      <c r="G11606" s="18">
        <v>143408</v>
      </c>
      <c r="H11606" s="18">
        <f t="shared" si="263"/>
        <v>41913.21</v>
      </c>
    </row>
    <row r="11607" spans="1:8" s="10" customFormat="1" ht="19.5" customHeight="1" x14ac:dyDescent="0.55000000000000004">
      <c r="A11607" s="18">
        <v>24.812088299999999</v>
      </c>
      <c r="B11607" s="18">
        <v>34.838650199999996</v>
      </c>
      <c r="C11607" s="18">
        <v>685839.66</v>
      </c>
      <c r="D11607" s="18">
        <v>2745392.41</v>
      </c>
      <c r="E11607" s="18">
        <v>278.48</v>
      </c>
      <c r="F11607" s="18">
        <v>41956.35</v>
      </c>
      <c r="G11607" s="18">
        <v>143410</v>
      </c>
      <c r="H11607" s="18">
        <f t="shared" si="263"/>
        <v>41912.35</v>
      </c>
    </row>
    <row r="11608" spans="1:8" s="10" customFormat="1" ht="19.5" customHeight="1" x14ac:dyDescent="0.55000000000000004">
      <c r="A11608" s="18">
        <v>24.812069099999999</v>
      </c>
      <c r="B11608" s="18">
        <v>34.838650100000002</v>
      </c>
      <c r="C11608" s="18">
        <v>685839.68</v>
      </c>
      <c r="D11608" s="18">
        <v>2745390.28</v>
      </c>
      <c r="E11608" s="18">
        <v>278.16000000000003</v>
      </c>
      <c r="F11608" s="18">
        <v>41957.81</v>
      </c>
      <c r="G11608" s="18">
        <v>143412</v>
      </c>
      <c r="H11608" s="18">
        <f t="shared" si="263"/>
        <v>41913.81</v>
      </c>
    </row>
    <row r="11609" spans="1:8" s="10" customFormat="1" ht="19.5" customHeight="1" x14ac:dyDescent="0.55000000000000004">
      <c r="A11609" s="18">
        <v>24.812045600000001</v>
      </c>
      <c r="B11609" s="18">
        <v>34.8386487</v>
      </c>
      <c r="C11609" s="18">
        <v>685839.57</v>
      </c>
      <c r="D11609" s="18">
        <v>2745387.68</v>
      </c>
      <c r="E11609" s="18">
        <v>277.7</v>
      </c>
      <c r="F11609" s="18">
        <v>41958.38</v>
      </c>
      <c r="G11609" s="18">
        <v>143414</v>
      </c>
      <c r="H11609" s="18">
        <f t="shared" si="263"/>
        <v>41914.379999999997</v>
      </c>
    </row>
    <row r="11610" spans="1:8" s="10" customFormat="1" ht="19.5" customHeight="1" x14ac:dyDescent="0.55000000000000004">
      <c r="A11610" s="18">
        <v>24.812025500000001</v>
      </c>
      <c r="B11610" s="18">
        <v>34.838645399999997</v>
      </c>
      <c r="C11610" s="18">
        <v>685839.26</v>
      </c>
      <c r="D11610" s="18">
        <v>2745385.46</v>
      </c>
      <c r="E11610" s="18">
        <v>277.95999999999998</v>
      </c>
      <c r="F11610" s="18">
        <v>41955.64</v>
      </c>
      <c r="G11610" s="18">
        <v>143416</v>
      </c>
      <c r="H11610" s="18">
        <f t="shared" si="263"/>
        <v>41911.64</v>
      </c>
    </row>
    <row r="11611" spans="1:8" s="10" customFormat="1" ht="19.5" customHeight="1" x14ac:dyDescent="0.55000000000000004">
      <c r="A11611" s="18">
        <v>24.8120093</v>
      </c>
      <c r="B11611" s="18">
        <v>34.838638199999998</v>
      </c>
      <c r="C11611" s="18">
        <v>685838.56</v>
      </c>
      <c r="D11611" s="18">
        <v>2745383.65</v>
      </c>
      <c r="E11611" s="18">
        <v>277.88</v>
      </c>
      <c r="F11611" s="18">
        <v>41957.89</v>
      </c>
      <c r="G11611" s="18">
        <v>143418</v>
      </c>
      <c r="H11611" s="18">
        <f t="shared" si="263"/>
        <v>41913.89</v>
      </c>
    </row>
    <row r="11612" spans="1:8" s="10" customFormat="1" ht="19.5" customHeight="1" x14ac:dyDescent="0.55000000000000004">
      <c r="A11612" s="18">
        <v>24.811996300000001</v>
      </c>
      <c r="B11612" s="18">
        <v>34.838630199999997</v>
      </c>
      <c r="C11612" s="18">
        <v>685837.77</v>
      </c>
      <c r="D11612" s="18">
        <v>2745382.19</v>
      </c>
      <c r="E11612" s="18">
        <v>278.16000000000003</v>
      </c>
      <c r="F11612" s="18">
        <v>41956.24</v>
      </c>
      <c r="G11612" s="18">
        <v>143420</v>
      </c>
      <c r="H11612" s="18">
        <f t="shared" si="263"/>
        <v>41912.239999999998</v>
      </c>
    </row>
    <row r="11613" spans="1:8" s="10" customFormat="1" ht="19.5" customHeight="1" x14ac:dyDescent="0.55000000000000004">
      <c r="A11613" s="18">
        <v>24.811987599999998</v>
      </c>
      <c r="B11613" s="18">
        <v>34.838624099999997</v>
      </c>
      <c r="C11613" s="18">
        <v>685837.17</v>
      </c>
      <c r="D11613" s="18">
        <v>2745381.23</v>
      </c>
      <c r="E11613" s="18">
        <v>277.92</v>
      </c>
      <c r="F11613" s="18">
        <v>41958.54</v>
      </c>
      <c r="G11613" s="18">
        <v>143422</v>
      </c>
      <c r="H11613" s="18">
        <f t="shared" si="263"/>
        <v>41914.54</v>
      </c>
    </row>
    <row r="11614" spans="1:8" s="10" customFormat="1" ht="19.5" customHeight="1" x14ac:dyDescent="0.55000000000000004">
      <c r="A11614" s="18">
        <v>24.811976999999999</v>
      </c>
      <c r="B11614" s="18">
        <v>34.8386177</v>
      </c>
      <c r="C11614" s="18">
        <v>685836.53</v>
      </c>
      <c r="D11614" s="18">
        <v>2745380.05</v>
      </c>
      <c r="E11614" s="18">
        <v>277.33</v>
      </c>
      <c r="F11614" s="18">
        <v>41958.54</v>
      </c>
      <c r="G11614" s="18">
        <v>143424</v>
      </c>
      <c r="H11614" s="18">
        <f t="shared" si="263"/>
        <v>41914.54</v>
      </c>
    </row>
    <row r="11615" spans="1:8" s="10" customFormat="1" ht="19.5" customHeight="1" x14ac:dyDescent="0.55000000000000004">
      <c r="A11615" s="18">
        <v>24.811975799999999</v>
      </c>
      <c r="B11615" s="18">
        <v>34.838616299999998</v>
      </c>
      <c r="C11615" s="18">
        <v>685836.4</v>
      </c>
      <c r="D11615" s="18">
        <v>2745379.91</v>
      </c>
      <c r="E11615" s="18">
        <v>277.32</v>
      </c>
      <c r="F11615" s="18">
        <v>41956.04</v>
      </c>
      <c r="G11615" s="18">
        <v>143426</v>
      </c>
      <c r="H11615" s="18">
        <f t="shared" si="263"/>
        <v>41912.04</v>
      </c>
    </row>
    <row r="11616" spans="1:8" s="10" customFormat="1" ht="19.5" customHeight="1" x14ac:dyDescent="0.55000000000000004">
      <c r="A11616" s="18">
        <v>24.811974899999999</v>
      </c>
      <c r="B11616" s="18">
        <v>34.838618199999999</v>
      </c>
      <c r="C11616" s="18">
        <v>685836.59</v>
      </c>
      <c r="D11616" s="18">
        <v>2745379.81</v>
      </c>
      <c r="E11616" s="18">
        <v>277.27999999999997</v>
      </c>
      <c r="F11616" s="18">
        <v>41954.95</v>
      </c>
      <c r="G11616" s="18">
        <v>143428</v>
      </c>
      <c r="H11616" s="18">
        <f t="shared" si="263"/>
        <v>41910.949999999997</v>
      </c>
    </row>
    <row r="11617" spans="1:8" s="10" customFormat="1" ht="19.5" customHeight="1" x14ac:dyDescent="0.55000000000000004">
      <c r="A11617" s="18">
        <v>24.811972900000001</v>
      </c>
      <c r="B11617" s="18">
        <v>34.838636000000001</v>
      </c>
      <c r="C11617" s="18">
        <v>685838.39</v>
      </c>
      <c r="D11617" s="18">
        <v>2745379.62</v>
      </c>
      <c r="E11617" s="18">
        <v>277.24</v>
      </c>
      <c r="F11617" s="18">
        <v>41965.24</v>
      </c>
      <c r="G11617" s="18">
        <v>143430</v>
      </c>
      <c r="H11617" s="18">
        <f t="shared" si="263"/>
        <v>41921.24</v>
      </c>
    </row>
    <row r="11618" spans="1:8" s="10" customFormat="1" ht="19.5" customHeight="1" x14ac:dyDescent="0.55000000000000004">
      <c r="A11618" s="18">
        <v>24.811977500000001</v>
      </c>
      <c r="B11618" s="18">
        <v>34.8386529</v>
      </c>
      <c r="C11618" s="18">
        <v>685840.09</v>
      </c>
      <c r="D11618" s="18">
        <v>2745380.15</v>
      </c>
      <c r="E11618" s="18">
        <v>277.37</v>
      </c>
      <c r="F11618" s="18">
        <v>41952.71</v>
      </c>
      <c r="G11618" s="18">
        <v>143432</v>
      </c>
      <c r="H11618" s="18">
        <f t="shared" si="263"/>
        <v>41908.71</v>
      </c>
    </row>
    <row r="11619" spans="1:8" s="10" customFormat="1" ht="19.5" customHeight="1" x14ac:dyDescent="0.55000000000000004">
      <c r="A11619" s="18">
        <v>24.811983900000001</v>
      </c>
      <c r="B11619" s="18">
        <v>34.838669699999997</v>
      </c>
      <c r="C11619" s="18">
        <v>685841.79</v>
      </c>
      <c r="D11619" s="18">
        <v>2745380.88</v>
      </c>
      <c r="E11619" s="18">
        <v>276.95</v>
      </c>
      <c r="F11619" s="18">
        <v>41957.65</v>
      </c>
      <c r="G11619" s="18">
        <v>143434</v>
      </c>
      <c r="H11619" s="18">
        <f t="shared" si="263"/>
        <v>41913.65</v>
      </c>
    </row>
    <row r="11620" spans="1:8" s="10" customFormat="1" ht="19.5" customHeight="1" x14ac:dyDescent="0.55000000000000004">
      <c r="A11620" s="18">
        <v>24.8119829</v>
      </c>
      <c r="B11620" s="18">
        <v>34.838687700000001</v>
      </c>
      <c r="C11620" s="18">
        <v>685843.6</v>
      </c>
      <c r="D11620" s="18">
        <v>2745380.8</v>
      </c>
      <c r="E11620" s="18">
        <v>276.69</v>
      </c>
      <c r="F11620" s="18">
        <v>41956.77</v>
      </c>
      <c r="G11620" s="18">
        <v>143436</v>
      </c>
      <c r="H11620" s="18">
        <f t="shared" si="263"/>
        <v>41912.769999999997</v>
      </c>
    </row>
    <row r="11621" spans="1:8" s="10" customFormat="1" ht="19.5" customHeight="1" x14ac:dyDescent="0.55000000000000004">
      <c r="A11621" s="18">
        <v>24.811973500000001</v>
      </c>
      <c r="B11621" s="18">
        <v>34.838702499999997</v>
      </c>
      <c r="C11621" s="18">
        <v>685845.12</v>
      </c>
      <c r="D11621" s="18">
        <v>2745379.77</v>
      </c>
      <c r="E11621" s="18">
        <v>276.17</v>
      </c>
      <c r="F11621" s="18">
        <v>41956.33</v>
      </c>
      <c r="G11621" s="18">
        <v>143438</v>
      </c>
      <c r="H11621" s="18">
        <f t="shared" si="263"/>
        <v>41912.33</v>
      </c>
    </row>
    <row r="11622" spans="1:8" s="10" customFormat="1" ht="19.5" customHeight="1" x14ac:dyDescent="0.55000000000000004">
      <c r="A11622" s="18">
        <v>24.8119625</v>
      </c>
      <c r="B11622" s="18">
        <v>34.838727599999999</v>
      </c>
      <c r="C11622" s="18">
        <v>685847.67</v>
      </c>
      <c r="D11622" s="18">
        <v>2745378.59</v>
      </c>
      <c r="E11622" s="18">
        <v>275.83999999999997</v>
      </c>
      <c r="F11622" s="18">
        <v>41955.81</v>
      </c>
      <c r="G11622" s="18">
        <v>143440</v>
      </c>
      <c r="H11622" s="18">
        <f t="shared" si="263"/>
        <v>41911.81</v>
      </c>
    </row>
    <row r="11623" spans="1:8" s="10" customFormat="1" ht="19.5" customHeight="1" x14ac:dyDescent="0.55000000000000004">
      <c r="A11623" s="18">
        <v>24.811965799999999</v>
      </c>
      <c r="B11623" s="18">
        <v>34.8387496</v>
      </c>
      <c r="C11623" s="18">
        <v>685849.88</v>
      </c>
      <c r="D11623" s="18">
        <v>2745378.98</v>
      </c>
      <c r="E11623" s="18">
        <v>275.99</v>
      </c>
      <c r="F11623" s="18">
        <v>41956.56</v>
      </c>
      <c r="G11623" s="18">
        <v>143442</v>
      </c>
      <c r="H11623" s="18">
        <f t="shared" si="263"/>
        <v>41912.559999999998</v>
      </c>
    </row>
    <row r="11624" spans="1:8" s="10" customFormat="1" ht="19.5" customHeight="1" x14ac:dyDescent="0.55000000000000004">
      <c r="A11624" s="18">
        <v>24.811966399999999</v>
      </c>
      <c r="B11624" s="18">
        <v>34.838774100000002</v>
      </c>
      <c r="C11624" s="18">
        <v>685852.36</v>
      </c>
      <c r="D11624" s="18">
        <v>2745379.09</v>
      </c>
      <c r="E11624" s="18">
        <v>275.95</v>
      </c>
      <c r="F11624" s="18">
        <v>41956.27</v>
      </c>
      <c r="G11624" s="18">
        <v>143444</v>
      </c>
      <c r="H11624" s="18">
        <f t="shared" si="263"/>
        <v>41912.269999999997</v>
      </c>
    </row>
    <row r="11625" spans="1:8" s="10" customFormat="1" ht="19.5" customHeight="1" x14ac:dyDescent="0.55000000000000004">
      <c r="A11625" s="18">
        <v>24.8119698</v>
      </c>
      <c r="B11625" s="18">
        <v>34.838798400000002</v>
      </c>
      <c r="C11625" s="18">
        <v>685854.82</v>
      </c>
      <c r="D11625" s="18">
        <v>2745379.49</v>
      </c>
      <c r="E11625" s="18">
        <v>276.14</v>
      </c>
      <c r="F11625" s="18">
        <v>41957.99</v>
      </c>
      <c r="G11625" s="18">
        <v>143446</v>
      </c>
      <c r="H11625" s="18">
        <f t="shared" si="263"/>
        <v>41913.99</v>
      </c>
    </row>
    <row r="11626" spans="1:8" s="10" customFormat="1" ht="19.5" customHeight="1" x14ac:dyDescent="0.55000000000000004">
      <c r="A11626" s="18">
        <v>24.811972900000001</v>
      </c>
      <c r="B11626" s="18">
        <v>34.838822700000001</v>
      </c>
      <c r="C11626" s="18">
        <v>685857.27</v>
      </c>
      <c r="D11626" s="18">
        <v>2745379.87</v>
      </c>
      <c r="E11626" s="18">
        <v>276.2</v>
      </c>
      <c r="F11626" s="18">
        <v>41955.3</v>
      </c>
      <c r="G11626" s="18">
        <v>143448</v>
      </c>
      <c r="H11626" s="18">
        <f t="shared" si="263"/>
        <v>41911.300000000003</v>
      </c>
    </row>
    <row r="11627" spans="1:8" s="10" customFormat="1" ht="19.5" customHeight="1" x14ac:dyDescent="0.55000000000000004">
      <c r="A11627" s="18">
        <v>24.8119777</v>
      </c>
      <c r="B11627" s="18">
        <v>34.838847100000002</v>
      </c>
      <c r="C11627" s="18">
        <v>685859.73</v>
      </c>
      <c r="D11627" s="18">
        <v>2745380.43</v>
      </c>
      <c r="E11627" s="18">
        <v>276.33999999999997</v>
      </c>
      <c r="F11627" s="18">
        <v>41955.32</v>
      </c>
      <c r="G11627" s="18">
        <v>143450</v>
      </c>
      <c r="H11627" s="18">
        <f t="shared" si="263"/>
        <v>41911.32</v>
      </c>
    </row>
    <row r="11628" spans="1:8" s="10" customFormat="1" ht="19.5" customHeight="1" x14ac:dyDescent="0.55000000000000004">
      <c r="A11628" s="18">
        <v>24.811981200000002</v>
      </c>
      <c r="B11628" s="18">
        <v>34.838873900000003</v>
      </c>
      <c r="C11628" s="18">
        <v>685862.43</v>
      </c>
      <c r="D11628" s="18">
        <v>2745380.85</v>
      </c>
      <c r="E11628" s="18">
        <v>276.26</v>
      </c>
      <c r="F11628" s="18">
        <v>41953.1</v>
      </c>
      <c r="G11628" s="18">
        <v>143452</v>
      </c>
      <c r="H11628" s="18">
        <f t="shared" si="263"/>
        <v>41909.1</v>
      </c>
    </row>
    <row r="11629" spans="1:8" s="10" customFormat="1" ht="19.5" customHeight="1" x14ac:dyDescent="0.55000000000000004">
      <c r="A11629" s="18">
        <v>24.811986600000001</v>
      </c>
      <c r="B11629" s="18">
        <v>34.838900000000002</v>
      </c>
      <c r="C11629" s="18">
        <v>685865.07</v>
      </c>
      <c r="D11629" s="18">
        <v>2745381.49</v>
      </c>
      <c r="E11629" s="18">
        <v>276.42</v>
      </c>
      <c r="F11629" s="18">
        <v>41955.48</v>
      </c>
      <c r="G11629" s="18">
        <v>143454</v>
      </c>
      <c r="H11629" s="18">
        <f t="shared" si="263"/>
        <v>41911.480000000003</v>
      </c>
    </row>
    <row r="11630" spans="1:8" s="10" customFormat="1" ht="19.5" customHeight="1" x14ac:dyDescent="0.55000000000000004">
      <c r="A11630" s="18">
        <v>24.811984899999999</v>
      </c>
      <c r="B11630" s="18">
        <v>34.838919300000001</v>
      </c>
      <c r="C11630" s="18">
        <v>685867.02</v>
      </c>
      <c r="D11630" s="18">
        <v>2745381.33</v>
      </c>
      <c r="E11630" s="18">
        <v>276.74</v>
      </c>
      <c r="F11630" s="18">
        <v>41957.02</v>
      </c>
      <c r="G11630" s="18">
        <v>143456</v>
      </c>
      <c r="H11630" s="18">
        <f t="shared" si="263"/>
        <v>41913.019999999997</v>
      </c>
    </row>
    <row r="11631" spans="1:8" s="10" customFormat="1" ht="19.5" customHeight="1" x14ac:dyDescent="0.55000000000000004">
      <c r="A11631" s="18">
        <v>24.811978400000001</v>
      </c>
      <c r="B11631" s="18">
        <v>34.838942099999997</v>
      </c>
      <c r="C11631" s="18">
        <v>685869.33</v>
      </c>
      <c r="D11631" s="18">
        <v>2745380.64</v>
      </c>
      <c r="E11631" s="18">
        <v>276.88</v>
      </c>
      <c r="F11631" s="18">
        <v>41955.91</v>
      </c>
      <c r="G11631" s="18">
        <v>143458</v>
      </c>
      <c r="H11631" s="18">
        <f t="shared" si="263"/>
        <v>41911.910000000003</v>
      </c>
    </row>
    <row r="11632" spans="1:8" s="10" customFormat="1" ht="19.5" customHeight="1" x14ac:dyDescent="0.55000000000000004">
      <c r="A11632" s="18">
        <v>24.811968700000001</v>
      </c>
      <c r="B11632" s="18">
        <v>34.838964199999999</v>
      </c>
      <c r="C11632" s="18">
        <v>685871.58</v>
      </c>
      <c r="D11632" s="18">
        <v>2745379.6</v>
      </c>
      <c r="E11632" s="18">
        <v>277.04000000000002</v>
      </c>
      <c r="F11632" s="18">
        <v>41956.7</v>
      </c>
      <c r="G11632" s="18">
        <v>143500</v>
      </c>
      <c r="H11632" s="18">
        <f t="shared" si="263"/>
        <v>41912.699999999997</v>
      </c>
    </row>
    <row r="11633" spans="1:8" s="10" customFormat="1" ht="19.5" customHeight="1" x14ac:dyDescent="0.55000000000000004">
      <c r="A11633" s="18">
        <v>24.811961199999999</v>
      </c>
      <c r="B11633" s="18">
        <v>34.838984500000002</v>
      </c>
      <c r="C11633" s="18">
        <v>685873.64</v>
      </c>
      <c r="D11633" s="18">
        <v>2745378.8</v>
      </c>
      <c r="E11633" s="18">
        <v>277.33</v>
      </c>
      <c r="F11633" s="18">
        <v>41959.98</v>
      </c>
      <c r="G11633" s="18">
        <v>143502</v>
      </c>
      <c r="H11633" s="18">
        <f t="shared" si="263"/>
        <v>41915.980000000003</v>
      </c>
    </row>
    <row r="11634" spans="1:8" s="10" customFormat="1" ht="19.5" customHeight="1" x14ac:dyDescent="0.55000000000000004">
      <c r="A11634" s="18">
        <v>24.811954799999999</v>
      </c>
      <c r="B11634" s="18">
        <v>34.839004500000001</v>
      </c>
      <c r="C11634" s="18">
        <v>685875.67</v>
      </c>
      <c r="D11634" s="18">
        <v>2745378.11</v>
      </c>
      <c r="E11634" s="18">
        <v>277.44</v>
      </c>
      <c r="F11634" s="18">
        <v>41959.91</v>
      </c>
      <c r="G11634" s="18">
        <v>143504</v>
      </c>
      <c r="H11634" s="18">
        <f t="shared" si="263"/>
        <v>41915.910000000003</v>
      </c>
    </row>
    <row r="11635" spans="1:8" s="10" customFormat="1" ht="19.5" customHeight="1" x14ac:dyDescent="0.55000000000000004">
      <c r="A11635" s="18">
        <v>24.8119443</v>
      </c>
      <c r="B11635" s="18">
        <v>34.8390263</v>
      </c>
      <c r="C11635" s="18">
        <v>685877.89</v>
      </c>
      <c r="D11635" s="18">
        <v>2745376.97</v>
      </c>
      <c r="E11635" s="18">
        <v>277.37</v>
      </c>
      <c r="F11635" s="18">
        <v>41959.15</v>
      </c>
      <c r="G11635" s="18">
        <v>143506</v>
      </c>
      <c r="H11635" s="18">
        <f t="shared" si="263"/>
        <v>41915.15</v>
      </c>
    </row>
    <row r="11636" spans="1:8" s="10" customFormat="1" ht="19.5" customHeight="1" x14ac:dyDescent="0.55000000000000004">
      <c r="A11636" s="18">
        <v>24.8119394</v>
      </c>
      <c r="B11636" s="18">
        <v>34.839048200000001</v>
      </c>
      <c r="C11636" s="18">
        <v>685880.12</v>
      </c>
      <c r="D11636" s="18">
        <v>2745376.46</v>
      </c>
      <c r="E11636" s="18">
        <v>277.33</v>
      </c>
      <c r="F11636" s="18">
        <v>41957.91</v>
      </c>
      <c r="G11636" s="18">
        <v>143508</v>
      </c>
      <c r="H11636" s="18">
        <f t="shared" si="263"/>
        <v>41913.910000000003</v>
      </c>
    </row>
    <row r="11637" spans="1:8" s="10" customFormat="1" ht="19.5" customHeight="1" x14ac:dyDescent="0.55000000000000004">
      <c r="A11637" s="18">
        <v>24.8119315</v>
      </c>
      <c r="B11637" s="18">
        <v>34.839068599999997</v>
      </c>
      <c r="C11637" s="18">
        <v>685882.19</v>
      </c>
      <c r="D11637" s="18">
        <v>2745375.62</v>
      </c>
      <c r="E11637" s="18">
        <v>277.63</v>
      </c>
      <c r="F11637" s="18">
        <v>41959.71</v>
      </c>
      <c r="G11637" s="18">
        <v>143510</v>
      </c>
      <c r="H11637" s="18">
        <f t="shared" si="263"/>
        <v>41915.71</v>
      </c>
    </row>
    <row r="11638" spans="1:8" s="10" customFormat="1" ht="19.5" customHeight="1" x14ac:dyDescent="0.55000000000000004">
      <c r="A11638" s="18">
        <v>24.811919700000001</v>
      </c>
      <c r="B11638" s="18">
        <v>34.839085900000001</v>
      </c>
      <c r="C11638" s="18">
        <v>685883.96</v>
      </c>
      <c r="D11638" s="18">
        <v>2745374.33</v>
      </c>
      <c r="E11638" s="18">
        <v>277.7</v>
      </c>
      <c r="F11638" s="18">
        <v>41959.32</v>
      </c>
      <c r="G11638" s="18">
        <v>143512</v>
      </c>
      <c r="H11638" s="18">
        <f t="shared" si="263"/>
        <v>41915.32</v>
      </c>
    </row>
    <row r="11639" spans="1:8" s="10" customFormat="1" ht="19.5" customHeight="1" x14ac:dyDescent="0.55000000000000004">
      <c r="A11639" s="18">
        <v>24.811914300000002</v>
      </c>
      <c r="B11639" s="18">
        <v>34.839106800000003</v>
      </c>
      <c r="C11639" s="18">
        <v>685886.08</v>
      </c>
      <c r="D11639" s="18">
        <v>2745373.77</v>
      </c>
      <c r="E11639" s="18">
        <v>277.92</v>
      </c>
      <c r="F11639" s="18">
        <v>41959.41</v>
      </c>
      <c r="G11639" s="18">
        <v>143514</v>
      </c>
      <c r="H11639" s="18">
        <f t="shared" si="263"/>
        <v>41915.410000000003</v>
      </c>
    </row>
    <row r="11640" spans="1:8" s="10" customFormat="1" ht="19.5" customHeight="1" x14ac:dyDescent="0.55000000000000004">
      <c r="A11640" s="18">
        <v>24.811905200000002</v>
      </c>
      <c r="B11640" s="18">
        <v>34.839128700000003</v>
      </c>
      <c r="C11640" s="18">
        <v>685888.31</v>
      </c>
      <c r="D11640" s="18">
        <v>2745372.79</v>
      </c>
      <c r="E11640" s="18">
        <v>277.86</v>
      </c>
      <c r="F11640" s="18">
        <v>41958.46</v>
      </c>
      <c r="G11640" s="18">
        <v>143516</v>
      </c>
      <c r="H11640" s="18">
        <f t="shared" si="263"/>
        <v>41914.46</v>
      </c>
    </row>
    <row r="11641" spans="1:8" s="10" customFormat="1" ht="19.5" customHeight="1" x14ac:dyDescent="0.55000000000000004">
      <c r="A11641" s="18">
        <v>24.811897099999999</v>
      </c>
      <c r="B11641" s="18">
        <v>34.839150500000002</v>
      </c>
      <c r="C11641" s="18">
        <v>685890.52</v>
      </c>
      <c r="D11641" s="18">
        <v>2745371.92</v>
      </c>
      <c r="E11641" s="18">
        <v>277.95</v>
      </c>
      <c r="F11641" s="18">
        <v>41958.54</v>
      </c>
      <c r="G11641" s="18">
        <v>143518</v>
      </c>
      <c r="H11641" s="18">
        <f t="shared" ref="H11641:H11704" si="264">SUM(F11641-44)</f>
        <v>41914.54</v>
      </c>
    </row>
    <row r="11642" spans="1:8" s="10" customFormat="1" ht="19.5" customHeight="1" x14ac:dyDescent="0.55000000000000004">
      <c r="A11642" s="18">
        <v>24.8118862</v>
      </c>
      <c r="B11642" s="18">
        <v>34.839170199999998</v>
      </c>
      <c r="C11642" s="18">
        <v>685892.53</v>
      </c>
      <c r="D11642" s="18">
        <v>2745370.74</v>
      </c>
      <c r="E11642" s="18">
        <v>277.95999999999998</v>
      </c>
      <c r="F11642" s="18">
        <v>41957.599999999999</v>
      </c>
      <c r="G11642" s="18">
        <v>143520</v>
      </c>
      <c r="H11642" s="18">
        <f t="shared" si="264"/>
        <v>41913.599999999999</v>
      </c>
    </row>
    <row r="11643" spans="1:8" s="10" customFormat="1" ht="19.5" customHeight="1" x14ac:dyDescent="0.55000000000000004">
      <c r="A11643" s="18">
        <v>24.8118856</v>
      </c>
      <c r="B11643" s="18">
        <v>34.839192599999997</v>
      </c>
      <c r="C11643" s="18">
        <v>685894.79</v>
      </c>
      <c r="D11643" s="18">
        <v>2745370.71</v>
      </c>
      <c r="E11643" s="18">
        <v>278.24</v>
      </c>
      <c r="F11643" s="18">
        <v>41960.49</v>
      </c>
      <c r="G11643" s="18">
        <v>143522</v>
      </c>
      <c r="H11643" s="18">
        <f t="shared" si="264"/>
        <v>41916.49</v>
      </c>
    </row>
    <row r="11644" spans="1:8" s="10" customFormat="1" ht="19.5" customHeight="1" x14ac:dyDescent="0.55000000000000004">
      <c r="A11644" s="18">
        <v>24.811876600000002</v>
      </c>
      <c r="B11644" s="18">
        <v>34.839211499999998</v>
      </c>
      <c r="C11644" s="18">
        <v>685896.72</v>
      </c>
      <c r="D11644" s="18">
        <v>2745369.73</v>
      </c>
      <c r="E11644" s="18">
        <v>278.33</v>
      </c>
      <c r="F11644" s="18">
        <v>41960.56</v>
      </c>
      <c r="G11644" s="18">
        <v>143524</v>
      </c>
      <c r="H11644" s="18">
        <f t="shared" si="264"/>
        <v>41916.559999999998</v>
      </c>
    </row>
    <row r="11645" spans="1:8" s="10" customFormat="1" ht="19.5" customHeight="1" x14ac:dyDescent="0.55000000000000004">
      <c r="A11645" s="18">
        <v>24.811861499999999</v>
      </c>
      <c r="B11645" s="18">
        <v>34.839228499999997</v>
      </c>
      <c r="C11645" s="18">
        <v>685898.46</v>
      </c>
      <c r="D11645" s="18">
        <v>2745368.08</v>
      </c>
      <c r="E11645" s="18">
        <v>278.44</v>
      </c>
      <c r="F11645" s="18">
        <v>41960.01</v>
      </c>
      <c r="G11645" s="18">
        <v>143526</v>
      </c>
      <c r="H11645" s="18">
        <f t="shared" si="264"/>
        <v>41916.01</v>
      </c>
    </row>
    <row r="11646" spans="1:8" s="10" customFormat="1" ht="19.5" customHeight="1" x14ac:dyDescent="0.55000000000000004">
      <c r="A11646" s="18">
        <v>24.811850199999999</v>
      </c>
      <c r="B11646" s="18">
        <v>34.839247</v>
      </c>
      <c r="C11646" s="18">
        <v>685900.35</v>
      </c>
      <c r="D11646" s="18">
        <v>2745366.86</v>
      </c>
      <c r="E11646" s="18">
        <v>278.64999999999998</v>
      </c>
      <c r="F11646" s="18">
        <v>41959.37</v>
      </c>
      <c r="G11646" s="18">
        <v>143528</v>
      </c>
      <c r="H11646" s="18">
        <f t="shared" si="264"/>
        <v>41915.370000000003</v>
      </c>
    </row>
    <row r="11647" spans="1:8" s="10" customFormat="1" ht="19.5" customHeight="1" x14ac:dyDescent="0.55000000000000004">
      <c r="A11647" s="18">
        <v>24.811834000000001</v>
      </c>
      <c r="B11647" s="18">
        <v>34.839265500000003</v>
      </c>
      <c r="C11647" s="18">
        <v>685902.25</v>
      </c>
      <c r="D11647" s="18">
        <v>2745365.08</v>
      </c>
      <c r="E11647" s="18">
        <v>278.95999999999998</v>
      </c>
      <c r="F11647" s="18">
        <v>41957.54</v>
      </c>
      <c r="G11647" s="18">
        <v>143530</v>
      </c>
      <c r="H11647" s="18">
        <f t="shared" si="264"/>
        <v>41913.54</v>
      </c>
    </row>
    <row r="11648" spans="1:8" s="10" customFormat="1" ht="19.5" customHeight="1" x14ac:dyDescent="0.55000000000000004">
      <c r="A11648" s="18">
        <v>24.8118227</v>
      </c>
      <c r="B11648" s="18">
        <v>34.839279900000001</v>
      </c>
      <c r="C11648" s="18">
        <v>685903.72</v>
      </c>
      <c r="D11648" s="18">
        <v>2745363.86</v>
      </c>
      <c r="E11648" s="18">
        <v>279.25</v>
      </c>
      <c r="F11648" s="18">
        <v>41956.959999999999</v>
      </c>
      <c r="G11648" s="18">
        <v>143532</v>
      </c>
      <c r="H11648" s="18">
        <f t="shared" si="264"/>
        <v>41912.959999999999</v>
      </c>
    </row>
    <row r="11649" spans="1:8" s="10" customFormat="1" ht="19.5" customHeight="1" x14ac:dyDescent="0.55000000000000004">
      <c r="A11649" s="18">
        <v>24.811809799999999</v>
      </c>
      <c r="B11649" s="18">
        <v>34.839300199999997</v>
      </c>
      <c r="C11649" s="18">
        <v>685905.79</v>
      </c>
      <c r="D11649" s="18">
        <v>2745362.45</v>
      </c>
      <c r="E11649" s="18">
        <v>279.56</v>
      </c>
      <c r="F11649" s="18">
        <v>41957.15</v>
      </c>
      <c r="G11649" s="18">
        <v>143534</v>
      </c>
      <c r="H11649" s="18">
        <f t="shared" si="264"/>
        <v>41913.15</v>
      </c>
    </row>
    <row r="11650" spans="1:8" s="10" customFormat="1" ht="19.5" customHeight="1" x14ac:dyDescent="0.55000000000000004">
      <c r="A11650" s="18">
        <v>24.8117983</v>
      </c>
      <c r="B11650" s="18">
        <v>34.8393193</v>
      </c>
      <c r="C11650" s="18">
        <v>685907.74</v>
      </c>
      <c r="D11650" s="18">
        <v>2745361.21</v>
      </c>
      <c r="E11650" s="18">
        <v>279.83</v>
      </c>
      <c r="F11650" s="18">
        <v>41958.35</v>
      </c>
      <c r="G11650" s="18">
        <v>143536</v>
      </c>
      <c r="H11650" s="18">
        <f t="shared" si="264"/>
        <v>41914.35</v>
      </c>
    </row>
    <row r="11651" spans="1:8" s="10" customFormat="1" ht="19.5" customHeight="1" x14ac:dyDescent="0.55000000000000004">
      <c r="A11651" s="18">
        <v>24.811786399999999</v>
      </c>
      <c r="B11651" s="18">
        <v>34.839334800000003</v>
      </c>
      <c r="C11651" s="18">
        <v>685909.32</v>
      </c>
      <c r="D11651" s="18">
        <v>2745359.91</v>
      </c>
      <c r="E11651" s="18">
        <v>280.33999999999997</v>
      </c>
      <c r="F11651" s="18">
        <v>41957.21</v>
      </c>
      <c r="G11651" s="18">
        <v>143538</v>
      </c>
      <c r="H11651" s="18">
        <f t="shared" si="264"/>
        <v>41913.21</v>
      </c>
    </row>
    <row r="11652" spans="1:8" s="10" customFormat="1" ht="19.5" customHeight="1" x14ac:dyDescent="0.55000000000000004">
      <c r="A11652" s="18">
        <v>24.811772099999999</v>
      </c>
      <c r="B11652" s="18">
        <v>34.8393503</v>
      </c>
      <c r="C11652" s="18">
        <v>685910.91</v>
      </c>
      <c r="D11652" s="18">
        <v>2745358.35</v>
      </c>
      <c r="E11652" s="18">
        <v>280.51</v>
      </c>
      <c r="F11652" s="18">
        <v>41958.01</v>
      </c>
      <c r="G11652" s="18">
        <v>143540</v>
      </c>
      <c r="H11652" s="18">
        <f t="shared" si="264"/>
        <v>41914.01</v>
      </c>
    </row>
    <row r="11653" spans="1:8" s="10" customFormat="1" ht="19.5" customHeight="1" x14ac:dyDescent="0.55000000000000004">
      <c r="A11653" s="18">
        <v>24.811754199999999</v>
      </c>
      <c r="B11653" s="18">
        <v>34.839364199999999</v>
      </c>
      <c r="C11653" s="18">
        <v>685912.34</v>
      </c>
      <c r="D11653" s="18">
        <v>2745356.38</v>
      </c>
      <c r="E11653" s="18">
        <v>280.86</v>
      </c>
      <c r="F11653" s="18">
        <v>41957.93</v>
      </c>
      <c r="G11653" s="18">
        <v>143542</v>
      </c>
      <c r="H11653" s="18">
        <f t="shared" si="264"/>
        <v>41913.93</v>
      </c>
    </row>
    <row r="11654" spans="1:8" s="10" customFormat="1" ht="19.5" customHeight="1" x14ac:dyDescent="0.55000000000000004">
      <c r="A11654" s="18">
        <v>24.811742599999999</v>
      </c>
      <c r="B11654" s="18">
        <v>34.839378699999997</v>
      </c>
      <c r="C11654" s="18">
        <v>685913.82</v>
      </c>
      <c r="D11654" s="18">
        <v>2745355.12</v>
      </c>
      <c r="E11654" s="18">
        <v>281.33999999999997</v>
      </c>
      <c r="F11654" s="18">
        <v>41956.78</v>
      </c>
      <c r="G11654" s="18">
        <v>143544</v>
      </c>
      <c r="H11654" s="18">
        <f t="shared" si="264"/>
        <v>41912.78</v>
      </c>
    </row>
    <row r="11655" spans="1:8" s="10" customFormat="1" ht="19.5" customHeight="1" x14ac:dyDescent="0.55000000000000004">
      <c r="A11655" s="18">
        <v>24.811731099999999</v>
      </c>
      <c r="B11655" s="18">
        <v>34.839390700000003</v>
      </c>
      <c r="C11655" s="18">
        <v>685915.05</v>
      </c>
      <c r="D11655" s="18">
        <v>2745353.85</v>
      </c>
      <c r="E11655" s="18">
        <v>281.88</v>
      </c>
      <c r="F11655" s="18">
        <v>41956.23</v>
      </c>
      <c r="G11655" s="18">
        <v>143546</v>
      </c>
      <c r="H11655" s="18">
        <f t="shared" si="264"/>
        <v>41912.230000000003</v>
      </c>
    </row>
    <row r="11656" spans="1:8" s="10" customFormat="1" ht="19.5" customHeight="1" x14ac:dyDescent="0.55000000000000004">
      <c r="A11656" s="18">
        <v>24.811717300000002</v>
      </c>
      <c r="B11656" s="18">
        <v>34.839403400000002</v>
      </c>
      <c r="C11656" s="18">
        <v>685916.36</v>
      </c>
      <c r="D11656" s="18">
        <v>2745352.35</v>
      </c>
      <c r="E11656" s="18">
        <v>282.27999999999997</v>
      </c>
      <c r="F11656" s="18">
        <v>41955.41</v>
      </c>
      <c r="G11656" s="18">
        <v>143548</v>
      </c>
      <c r="H11656" s="18">
        <f t="shared" si="264"/>
        <v>41911.410000000003</v>
      </c>
    </row>
    <row r="11657" spans="1:8" s="10" customFormat="1" ht="19.5" customHeight="1" x14ac:dyDescent="0.55000000000000004">
      <c r="A11657" s="18">
        <v>24.811703600000001</v>
      </c>
      <c r="B11657" s="18">
        <v>34.839415199999998</v>
      </c>
      <c r="C11657" s="18">
        <v>685917.57</v>
      </c>
      <c r="D11657" s="18">
        <v>2745350.84</v>
      </c>
      <c r="E11657" s="18">
        <v>282.60000000000002</v>
      </c>
      <c r="F11657" s="18">
        <v>41956.4</v>
      </c>
      <c r="G11657" s="18">
        <v>143550</v>
      </c>
      <c r="H11657" s="18">
        <f t="shared" si="264"/>
        <v>41912.400000000001</v>
      </c>
    </row>
    <row r="11658" spans="1:8" s="10" customFormat="1" ht="19.5" customHeight="1" x14ac:dyDescent="0.55000000000000004">
      <c r="A11658" s="18">
        <v>24.8116874</v>
      </c>
      <c r="B11658" s="18">
        <v>34.8394203</v>
      </c>
      <c r="C11658" s="18">
        <v>685918.11</v>
      </c>
      <c r="D11658" s="18">
        <v>2745349.06</v>
      </c>
      <c r="E11658" s="18">
        <v>282.95999999999998</v>
      </c>
      <c r="F11658" s="18">
        <v>41956.07</v>
      </c>
      <c r="G11658" s="18">
        <v>143552</v>
      </c>
      <c r="H11658" s="18">
        <f t="shared" si="264"/>
        <v>41912.07</v>
      </c>
    </row>
    <row r="11659" spans="1:8" s="10" customFormat="1" ht="19.5" customHeight="1" x14ac:dyDescent="0.55000000000000004">
      <c r="A11659" s="18">
        <v>24.811669800000001</v>
      </c>
      <c r="B11659" s="18">
        <v>34.839418600000002</v>
      </c>
      <c r="C11659" s="18">
        <v>685917.97</v>
      </c>
      <c r="D11659" s="18">
        <v>2745347.11</v>
      </c>
      <c r="E11659" s="18">
        <v>283.17</v>
      </c>
      <c r="F11659" s="18">
        <v>41955.77</v>
      </c>
      <c r="G11659" s="18">
        <v>143554</v>
      </c>
      <c r="H11659" s="18">
        <f t="shared" si="264"/>
        <v>41911.769999999997</v>
      </c>
    </row>
    <row r="11660" spans="1:8" s="10" customFormat="1" ht="19.5" customHeight="1" x14ac:dyDescent="0.55000000000000004">
      <c r="A11660" s="18">
        <v>24.811651900000001</v>
      </c>
      <c r="B11660" s="18">
        <v>34.839414599999998</v>
      </c>
      <c r="C11660" s="18">
        <v>685917.59</v>
      </c>
      <c r="D11660" s="18">
        <v>2745345.12</v>
      </c>
      <c r="E11660" s="18">
        <v>283.38</v>
      </c>
      <c r="F11660" s="18">
        <v>41956.03</v>
      </c>
      <c r="G11660" s="18">
        <v>143556</v>
      </c>
      <c r="H11660" s="18">
        <f t="shared" si="264"/>
        <v>41912.03</v>
      </c>
    </row>
    <row r="11661" spans="1:8" s="10" customFormat="1" ht="19.5" customHeight="1" x14ac:dyDescent="0.55000000000000004">
      <c r="A11661" s="18">
        <v>24.8116384</v>
      </c>
      <c r="B11661" s="18">
        <v>34.839409699999997</v>
      </c>
      <c r="C11661" s="18">
        <v>685917.12</v>
      </c>
      <c r="D11661" s="18">
        <v>2745343.62</v>
      </c>
      <c r="E11661" s="18">
        <v>283.54000000000002</v>
      </c>
      <c r="F11661" s="18">
        <v>41955.37</v>
      </c>
      <c r="G11661" s="18">
        <v>143558</v>
      </c>
      <c r="H11661" s="18">
        <f t="shared" si="264"/>
        <v>41911.370000000003</v>
      </c>
    </row>
    <row r="11662" spans="1:8" s="10" customFormat="1" ht="19.5" customHeight="1" x14ac:dyDescent="0.55000000000000004">
      <c r="A11662" s="18">
        <v>24.811628599999999</v>
      </c>
      <c r="B11662" s="18">
        <v>34.839406699999998</v>
      </c>
      <c r="C11662" s="18">
        <v>685916.83</v>
      </c>
      <c r="D11662" s="18">
        <v>2745342.52</v>
      </c>
      <c r="E11662" s="18">
        <v>283.64999999999998</v>
      </c>
      <c r="F11662" s="18">
        <v>41952.98</v>
      </c>
      <c r="G11662" s="18">
        <v>143600</v>
      </c>
      <c r="H11662" s="18">
        <f t="shared" si="264"/>
        <v>41908.980000000003</v>
      </c>
    </row>
    <row r="11663" spans="1:8" s="10" customFormat="1" ht="19.5" customHeight="1" x14ac:dyDescent="0.55000000000000004">
      <c r="A11663" s="18">
        <v>24.811622400000001</v>
      </c>
      <c r="B11663" s="18">
        <v>34.839405200000002</v>
      </c>
      <c r="C11663" s="18">
        <v>685916.68</v>
      </c>
      <c r="D11663" s="18">
        <v>2745341.83</v>
      </c>
      <c r="E11663" s="18">
        <v>283.64</v>
      </c>
      <c r="F11663" s="18">
        <v>41953.27</v>
      </c>
      <c r="G11663" s="18">
        <v>143602</v>
      </c>
      <c r="H11663" s="18">
        <f t="shared" si="264"/>
        <v>41909.269999999997</v>
      </c>
    </row>
    <row r="11664" spans="1:8" s="10" customFormat="1" ht="19.5" customHeight="1" x14ac:dyDescent="0.55000000000000004">
      <c r="A11664" s="18">
        <v>24.811619700000001</v>
      </c>
      <c r="B11664" s="18">
        <v>34.839403699999998</v>
      </c>
      <c r="C11664" s="18">
        <v>685916.54</v>
      </c>
      <c r="D11664" s="18">
        <v>2745341.54</v>
      </c>
      <c r="E11664" s="18">
        <v>283.61</v>
      </c>
      <c r="F11664" s="18">
        <v>41958.720000000001</v>
      </c>
      <c r="G11664" s="18">
        <v>143604</v>
      </c>
      <c r="H11664" s="18">
        <f t="shared" si="264"/>
        <v>41914.720000000001</v>
      </c>
    </row>
    <row r="11665" spans="1:8" s="10" customFormat="1" ht="19.5" customHeight="1" x14ac:dyDescent="0.55000000000000004">
      <c r="A11665" s="18">
        <v>24.8116196</v>
      </c>
      <c r="B11665" s="18">
        <v>34.839404199999997</v>
      </c>
      <c r="C11665" s="18">
        <v>685916.58</v>
      </c>
      <c r="D11665" s="18">
        <v>2745341.53</v>
      </c>
      <c r="E11665" s="18">
        <v>283.60000000000002</v>
      </c>
      <c r="F11665" s="18">
        <v>41954.62</v>
      </c>
      <c r="G11665" s="18">
        <v>143606</v>
      </c>
      <c r="H11665" s="18">
        <f t="shared" si="264"/>
        <v>41910.620000000003</v>
      </c>
    </row>
    <row r="11666" spans="1:8" s="10" customFormat="1" ht="19.5" customHeight="1" x14ac:dyDescent="0.55000000000000004">
      <c r="A11666" s="18">
        <v>24.8116208</v>
      </c>
      <c r="B11666" s="18">
        <v>34.839405300000003</v>
      </c>
      <c r="C11666" s="18">
        <v>685916.69</v>
      </c>
      <c r="D11666" s="18">
        <v>2745341.67</v>
      </c>
      <c r="E11666" s="18">
        <v>283.58</v>
      </c>
      <c r="F11666" s="18">
        <v>41953.04</v>
      </c>
      <c r="G11666" s="18">
        <v>143608</v>
      </c>
      <c r="H11666" s="18">
        <f t="shared" si="264"/>
        <v>41909.040000000001</v>
      </c>
    </row>
    <row r="11667" spans="1:8" s="10" customFormat="1" ht="19.5" customHeight="1" x14ac:dyDescent="0.55000000000000004">
      <c r="A11667" s="18">
        <v>24.811631599999998</v>
      </c>
      <c r="B11667" s="18">
        <v>34.839414499999997</v>
      </c>
      <c r="C11667" s="18">
        <v>685917.6</v>
      </c>
      <c r="D11667" s="18">
        <v>2745342.87</v>
      </c>
      <c r="E11667" s="18">
        <v>283.62</v>
      </c>
      <c r="F11667" s="18">
        <v>41954.31</v>
      </c>
      <c r="G11667" s="18">
        <v>143610</v>
      </c>
      <c r="H11667" s="18">
        <f t="shared" si="264"/>
        <v>41910.31</v>
      </c>
    </row>
    <row r="11668" spans="1:8" s="10" customFormat="1" ht="19.5" customHeight="1" x14ac:dyDescent="0.55000000000000004">
      <c r="A11668" s="18">
        <v>24.811640400000002</v>
      </c>
      <c r="B11668" s="18">
        <v>34.839420699999998</v>
      </c>
      <c r="C11668" s="18">
        <v>685918.23</v>
      </c>
      <c r="D11668" s="18">
        <v>2745343.86</v>
      </c>
      <c r="E11668" s="18">
        <v>283.55</v>
      </c>
      <c r="F11668" s="18">
        <v>41954.51</v>
      </c>
      <c r="G11668" s="18">
        <v>143612</v>
      </c>
      <c r="H11668" s="18">
        <f t="shared" si="264"/>
        <v>41910.51</v>
      </c>
    </row>
    <row r="11669" spans="1:8" s="10" customFormat="1" ht="19.5" customHeight="1" x14ac:dyDescent="0.55000000000000004">
      <c r="A11669" s="18">
        <v>24.811639599999999</v>
      </c>
      <c r="B11669" s="18">
        <v>34.8394215</v>
      </c>
      <c r="C11669" s="18">
        <v>685918.3</v>
      </c>
      <c r="D11669" s="18">
        <v>2745343.77</v>
      </c>
      <c r="E11669" s="18">
        <v>283.51</v>
      </c>
      <c r="F11669" s="18">
        <v>41951.92</v>
      </c>
      <c r="G11669" s="18">
        <v>143614</v>
      </c>
      <c r="H11669" s="18">
        <f t="shared" si="264"/>
        <v>41907.919999999998</v>
      </c>
    </row>
    <row r="11670" spans="1:8" s="10" customFormat="1" ht="19.5" customHeight="1" x14ac:dyDescent="0.55000000000000004">
      <c r="A11670" s="18">
        <v>24.811634699999999</v>
      </c>
      <c r="B11670" s="18">
        <v>34.8394221</v>
      </c>
      <c r="C11670" s="18">
        <v>685918.38</v>
      </c>
      <c r="D11670" s="18">
        <v>2745343.23</v>
      </c>
      <c r="E11670" s="18">
        <v>283.61</v>
      </c>
      <c r="F11670" s="18">
        <v>41956.13</v>
      </c>
      <c r="G11670" s="18">
        <v>143616</v>
      </c>
      <c r="H11670" s="18">
        <f t="shared" si="264"/>
        <v>41912.129999999997</v>
      </c>
    </row>
    <row r="11671" spans="1:8" s="10" customFormat="1" ht="19.5" customHeight="1" x14ac:dyDescent="0.55000000000000004">
      <c r="A11671" s="18">
        <v>24.811634399999999</v>
      </c>
      <c r="B11671" s="18">
        <v>34.839422200000001</v>
      </c>
      <c r="C11671" s="18">
        <v>685918.38</v>
      </c>
      <c r="D11671" s="18">
        <v>2745343.19</v>
      </c>
      <c r="E11671" s="18">
        <v>283.61</v>
      </c>
      <c r="F11671" s="18">
        <v>41954.98</v>
      </c>
      <c r="G11671" s="18">
        <v>143618</v>
      </c>
      <c r="H11671" s="18">
        <f t="shared" si="264"/>
        <v>41910.980000000003</v>
      </c>
    </row>
    <row r="11672" spans="1:8" s="10" customFormat="1" ht="19.5" customHeight="1" x14ac:dyDescent="0.55000000000000004">
      <c r="A11672" s="18">
        <v>24.811634300000001</v>
      </c>
      <c r="B11672" s="18">
        <v>34.839422300000003</v>
      </c>
      <c r="C11672" s="18">
        <v>685918.39</v>
      </c>
      <c r="D11672" s="18">
        <v>2745343.18</v>
      </c>
      <c r="E11672" s="18">
        <v>283.62</v>
      </c>
      <c r="F11672" s="18">
        <v>41955.49</v>
      </c>
      <c r="G11672" s="18">
        <v>143620</v>
      </c>
      <c r="H11672" s="18">
        <f t="shared" si="264"/>
        <v>41911.49</v>
      </c>
    </row>
    <row r="11673" spans="1:8" s="10" customFormat="1" ht="19.5" customHeight="1" x14ac:dyDescent="0.55000000000000004">
      <c r="A11673" s="18">
        <v>24.811634099999999</v>
      </c>
      <c r="B11673" s="18">
        <v>34.839422300000003</v>
      </c>
      <c r="C11673" s="18">
        <v>685918.39</v>
      </c>
      <c r="D11673" s="18">
        <v>2745343.16</v>
      </c>
      <c r="E11673" s="18">
        <v>283.63</v>
      </c>
      <c r="F11673" s="18">
        <v>41954.63</v>
      </c>
      <c r="G11673" s="18">
        <v>143622</v>
      </c>
      <c r="H11673" s="18">
        <f t="shared" si="264"/>
        <v>41910.629999999997</v>
      </c>
    </row>
    <row r="11674" spans="1:8" s="10" customFormat="1" ht="19.5" customHeight="1" x14ac:dyDescent="0.55000000000000004">
      <c r="A11674" s="18">
        <v>24.811634300000001</v>
      </c>
      <c r="B11674" s="18">
        <v>34.839422300000003</v>
      </c>
      <c r="C11674" s="18">
        <v>685918.39</v>
      </c>
      <c r="D11674" s="18">
        <v>2745343.18</v>
      </c>
      <c r="E11674" s="18">
        <v>283.64999999999998</v>
      </c>
      <c r="F11674" s="18">
        <v>41954.879999999997</v>
      </c>
      <c r="G11674" s="18">
        <v>143624</v>
      </c>
      <c r="H11674" s="18">
        <f t="shared" si="264"/>
        <v>41910.879999999997</v>
      </c>
    </row>
    <row r="11675" spans="1:8" s="10" customFormat="1" ht="19.5" customHeight="1" x14ac:dyDescent="0.55000000000000004">
      <c r="A11675" s="18">
        <v>24.811634300000001</v>
      </c>
      <c r="B11675" s="18">
        <v>34.839422300000003</v>
      </c>
      <c r="C11675" s="18">
        <v>685918.4</v>
      </c>
      <c r="D11675" s="18">
        <v>2745343.18</v>
      </c>
      <c r="E11675" s="18">
        <v>283.68</v>
      </c>
      <c r="F11675" s="18">
        <v>41955.49</v>
      </c>
      <c r="G11675" s="18">
        <v>143626</v>
      </c>
      <c r="H11675" s="18">
        <f t="shared" si="264"/>
        <v>41911.49</v>
      </c>
    </row>
    <row r="11676" spans="1:8" s="10" customFormat="1" ht="19.5" customHeight="1" x14ac:dyDescent="0.55000000000000004">
      <c r="A11676" s="18">
        <v>24.811634399999999</v>
      </c>
      <c r="B11676" s="18">
        <v>34.839422599999999</v>
      </c>
      <c r="C11676" s="18">
        <v>685918.43</v>
      </c>
      <c r="D11676" s="18">
        <v>2745343.2</v>
      </c>
      <c r="E11676" s="18">
        <v>283.69</v>
      </c>
      <c r="F11676" s="18">
        <v>41955.76</v>
      </c>
      <c r="G11676" s="18">
        <v>143628</v>
      </c>
      <c r="H11676" s="18">
        <f t="shared" si="264"/>
        <v>41911.760000000002</v>
      </c>
    </row>
    <row r="11677" spans="1:8" s="10" customFormat="1" ht="19.5" customHeight="1" x14ac:dyDescent="0.55000000000000004">
      <c r="A11677" s="18">
        <v>24.8116345</v>
      </c>
      <c r="B11677" s="18">
        <v>34.839423099999998</v>
      </c>
      <c r="C11677" s="18">
        <v>685918.47</v>
      </c>
      <c r="D11677" s="18">
        <v>2745343.2</v>
      </c>
      <c r="E11677" s="18">
        <v>283.72000000000003</v>
      </c>
      <c r="F11677" s="18">
        <v>41956.81</v>
      </c>
      <c r="G11677" s="18">
        <v>143630</v>
      </c>
      <c r="H11677" s="18">
        <f t="shared" si="264"/>
        <v>41912.81</v>
      </c>
    </row>
    <row r="11678" spans="1:8" s="10" customFormat="1" ht="19.5" customHeight="1" x14ac:dyDescent="0.55000000000000004">
      <c r="A11678" s="18">
        <v>24.8116345</v>
      </c>
      <c r="B11678" s="18">
        <v>34.839422399999997</v>
      </c>
      <c r="C11678" s="18">
        <v>685918.4</v>
      </c>
      <c r="D11678" s="18">
        <v>2745343.2</v>
      </c>
      <c r="E11678" s="18">
        <v>283.73</v>
      </c>
      <c r="F11678" s="18">
        <v>41955.38</v>
      </c>
      <c r="G11678" s="18">
        <v>143632</v>
      </c>
      <c r="H11678" s="18">
        <f t="shared" si="264"/>
        <v>41911.379999999997</v>
      </c>
    </row>
    <row r="11679" spans="1:8" s="10" customFormat="1" ht="19.5" customHeight="1" x14ac:dyDescent="0.55000000000000004">
      <c r="A11679" s="18">
        <v>24.811634699999999</v>
      </c>
      <c r="B11679" s="18">
        <v>34.839422499999998</v>
      </c>
      <c r="C11679" s="18">
        <v>685918.41</v>
      </c>
      <c r="D11679" s="18">
        <v>2745343.22</v>
      </c>
      <c r="E11679" s="18">
        <v>283.76</v>
      </c>
      <c r="F11679" s="18">
        <v>41955.78</v>
      </c>
      <c r="G11679" s="18">
        <v>143634</v>
      </c>
      <c r="H11679" s="18">
        <f t="shared" si="264"/>
        <v>41911.78</v>
      </c>
    </row>
    <row r="11680" spans="1:8" s="10" customFormat="1" ht="19.5" customHeight="1" x14ac:dyDescent="0.55000000000000004">
      <c r="A11680" s="18">
        <v>24.811634999999999</v>
      </c>
      <c r="B11680" s="18">
        <v>34.8394221</v>
      </c>
      <c r="C11680" s="18">
        <v>685918.37</v>
      </c>
      <c r="D11680" s="18">
        <v>2745343.26</v>
      </c>
      <c r="E11680" s="18">
        <v>283.77999999999997</v>
      </c>
      <c r="F11680" s="18">
        <v>41955.92</v>
      </c>
      <c r="G11680" s="18">
        <v>143636</v>
      </c>
      <c r="H11680" s="18">
        <f t="shared" si="264"/>
        <v>41911.919999999998</v>
      </c>
    </row>
    <row r="11681" spans="1:8" s="10" customFormat="1" ht="19.5" customHeight="1" x14ac:dyDescent="0.55000000000000004">
      <c r="A11681" s="18">
        <v>24.811635500000001</v>
      </c>
      <c r="B11681" s="18">
        <v>34.839421600000001</v>
      </c>
      <c r="C11681" s="18">
        <v>685918.31</v>
      </c>
      <c r="D11681" s="18">
        <v>2745343.31</v>
      </c>
      <c r="E11681" s="18">
        <v>283.8</v>
      </c>
      <c r="F11681" s="18">
        <v>41958.47</v>
      </c>
      <c r="G11681" s="18">
        <v>143638</v>
      </c>
      <c r="H11681" s="18">
        <f t="shared" si="264"/>
        <v>41914.47</v>
      </c>
    </row>
    <row r="11682" spans="1:8" s="10" customFormat="1" ht="19.5" customHeight="1" x14ac:dyDescent="0.55000000000000004">
      <c r="A11682" s="18">
        <v>24.811638299999998</v>
      </c>
      <c r="B11682" s="18">
        <v>34.839423400000001</v>
      </c>
      <c r="C11682" s="18">
        <v>685918.5</v>
      </c>
      <c r="D11682" s="18">
        <v>2745343.62</v>
      </c>
      <c r="E11682" s="18">
        <v>283.81</v>
      </c>
      <c r="F11682" s="18">
        <v>41949.2</v>
      </c>
      <c r="G11682" s="18">
        <v>143640</v>
      </c>
      <c r="H11682" s="18">
        <f t="shared" si="264"/>
        <v>41905.199999999997</v>
      </c>
    </row>
    <row r="11683" spans="1:8" s="10" customFormat="1" ht="19.5" customHeight="1" x14ac:dyDescent="0.55000000000000004">
      <c r="A11683" s="18">
        <v>24.811654699999998</v>
      </c>
      <c r="B11683" s="18">
        <v>34.839437199999999</v>
      </c>
      <c r="C11683" s="18">
        <v>685919.87</v>
      </c>
      <c r="D11683" s="18">
        <v>2745345.46</v>
      </c>
      <c r="E11683" s="18">
        <v>283.48</v>
      </c>
      <c r="F11683" s="18">
        <v>41953.18</v>
      </c>
      <c r="G11683" s="18">
        <v>143642</v>
      </c>
      <c r="H11683" s="18">
        <f t="shared" si="264"/>
        <v>41909.18</v>
      </c>
    </row>
    <row r="11684" spans="1:8" s="10" customFormat="1" ht="19.5" customHeight="1" x14ac:dyDescent="0.55000000000000004">
      <c r="A11684" s="18">
        <v>24.811672399999999</v>
      </c>
      <c r="B11684" s="18">
        <v>34.839448400000002</v>
      </c>
      <c r="C11684" s="18">
        <v>685920.98</v>
      </c>
      <c r="D11684" s="18">
        <v>2745347.43</v>
      </c>
      <c r="E11684" s="18">
        <v>283.26</v>
      </c>
      <c r="F11684" s="18">
        <v>41963.42</v>
      </c>
      <c r="G11684" s="18">
        <v>143644</v>
      </c>
      <c r="H11684" s="18">
        <f t="shared" si="264"/>
        <v>41919.42</v>
      </c>
    </row>
    <row r="11685" spans="1:8" s="10" customFormat="1" ht="19.5" customHeight="1" x14ac:dyDescent="0.55000000000000004">
      <c r="A11685" s="18">
        <v>24.811669699999999</v>
      </c>
      <c r="B11685" s="18">
        <v>34.8394592</v>
      </c>
      <c r="C11685" s="18">
        <v>685922.07</v>
      </c>
      <c r="D11685" s="18">
        <v>2745347.15</v>
      </c>
      <c r="E11685" s="18">
        <v>282.74</v>
      </c>
      <c r="F11685" s="18">
        <v>41958.14</v>
      </c>
      <c r="G11685" s="18">
        <v>143646</v>
      </c>
      <c r="H11685" s="18">
        <f t="shared" si="264"/>
        <v>41914.14</v>
      </c>
    </row>
    <row r="11686" spans="1:8" s="10" customFormat="1" ht="19.5" customHeight="1" x14ac:dyDescent="0.55000000000000004">
      <c r="A11686" s="18">
        <v>24.811657499999999</v>
      </c>
      <c r="B11686" s="18">
        <v>34.839473099999999</v>
      </c>
      <c r="C11686" s="18">
        <v>685923.49</v>
      </c>
      <c r="D11686" s="18">
        <v>2745345.82</v>
      </c>
      <c r="E11686" s="18">
        <v>282.18</v>
      </c>
      <c r="F11686" s="18">
        <v>41957.78</v>
      </c>
      <c r="G11686" s="18">
        <v>143648</v>
      </c>
      <c r="H11686" s="18">
        <f t="shared" si="264"/>
        <v>41913.78</v>
      </c>
    </row>
    <row r="11687" spans="1:8" s="10" customFormat="1" ht="19.5" customHeight="1" x14ac:dyDescent="0.55000000000000004">
      <c r="A11687" s="18">
        <v>24.811646799999998</v>
      </c>
      <c r="B11687" s="18">
        <v>34.839483100000002</v>
      </c>
      <c r="C11687" s="18">
        <v>685924.52</v>
      </c>
      <c r="D11687" s="18">
        <v>2745344.64</v>
      </c>
      <c r="E11687" s="18">
        <v>281.69</v>
      </c>
      <c r="F11687" s="18">
        <v>41957.64</v>
      </c>
      <c r="G11687" s="18">
        <v>143650</v>
      </c>
      <c r="H11687" s="18">
        <f t="shared" si="264"/>
        <v>41913.64</v>
      </c>
    </row>
    <row r="11688" spans="1:8" s="10" customFormat="1" ht="19.5" customHeight="1" x14ac:dyDescent="0.55000000000000004">
      <c r="A11688" s="18">
        <v>24.811638899999998</v>
      </c>
      <c r="B11688" s="18">
        <v>34.839496099999998</v>
      </c>
      <c r="C11688" s="18">
        <v>685925.84</v>
      </c>
      <c r="D11688" s="18">
        <v>2745343.79</v>
      </c>
      <c r="E11688" s="18">
        <v>280.98</v>
      </c>
      <c r="F11688" s="18">
        <v>41957.19</v>
      </c>
      <c r="G11688" s="18">
        <v>143652</v>
      </c>
      <c r="H11688" s="18">
        <f t="shared" si="264"/>
        <v>41913.19</v>
      </c>
    </row>
    <row r="11689" spans="1:8" s="10" customFormat="1" ht="19.5" customHeight="1" x14ac:dyDescent="0.55000000000000004">
      <c r="A11689" s="18">
        <v>24.811620999999999</v>
      </c>
      <c r="B11689" s="18">
        <v>34.839503700000002</v>
      </c>
      <c r="C11689" s="18">
        <v>685926.64</v>
      </c>
      <c r="D11689" s="18">
        <v>2745341.82</v>
      </c>
      <c r="E11689" s="18">
        <v>280.54000000000002</v>
      </c>
      <c r="F11689" s="18">
        <v>41956.08</v>
      </c>
      <c r="G11689" s="18">
        <v>143654</v>
      </c>
      <c r="H11689" s="18">
        <f t="shared" si="264"/>
        <v>41912.080000000002</v>
      </c>
    </row>
    <row r="11690" spans="1:8" s="10" customFormat="1" ht="19.5" customHeight="1" x14ac:dyDescent="0.55000000000000004">
      <c r="A11690" s="18">
        <v>24.811606099999999</v>
      </c>
      <c r="B11690" s="18">
        <v>34.8394999</v>
      </c>
      <c r="C11690" s="18">
        <v>685926.27</v>
      </c>
      <c r="D11690" s="18">
        <v>2745340.16</v>
      </c>
      <c r="E11690" s="18">
        <v>279.99</v>
      </c>
      <c r="F11690" s="18">
        <v>41956</v>
      </c>
      <c r="G11690" s="18">
        <v>143656</v>
      </c>
      <c r="H11690" s="18">
        <f t="shared" si="264"/>
        <v>41912</v>
      </c>
    </row>
    <row r="11691" spans="1:8" s="10" customFormat="1" ht="19.5" customHeight="1" x14ac:dyDescent="0.55000000000000004">
      <c r="A11691" s="18">
        <v>24.811592099999999</v>
      </c>
      <c r="B11691" s="18">
        <v>34.839492800000002</v>
      </c>
      <c r="C11691" s="18">
        <v>685925.58</v>
      </c>
      <c r="D11691" s="18">
        <v>2745338.6</v>
      </c>
      <c r="E11691" s="18">
        <v>279.45</v>
      </c>
      <c r="F11691" s="18">
        <v>41956.639999999999</v>
      </c>
      <c r="G11691" s="18">
        <v>143658</v>
      </c>
      <c r="H11691" s="18">
        <f t="shared" si="264"/>
        <v>41912.639999999999</v>
      </c>
    </row>
    <row r="11692" spans="1:8" s="10" customFormat="1" ht="19.5" customHeight="1" x14ac:dyDescent="0.55000000000000004">
      <c r="A11692" s="18">
        <v>24.811575600000001</v>
      </c>
      <c r="B11692" s="18">
        <v>34.839481900000003</v>
      </c>
      <c r="C11692" s="18">
        <v>685924.5</v>
      </c>
      <c r="D11692" s="18">
        <v>2745336.76</v>
      </c>
      <c r="E11692" s="18">
        <v>278.83999999999997</v>
      </c>
      <c r="F11692" s="18">
        <v>41952.34</v>
      </c>
      <c r="G11692" s="18">
        <v>143700</v>
      </c>
      <c r="H11692" s="18">
        <f t="shared" si="264"/>
        <v>41908.339999999997</v>
      </c>
    </row>
    <row r="11693" spans="1:8" s="10" customFormat="1" ht="19.5" customHeight="1" x14ac:dyDescent="0.55000000000000004">
      <c r="A11693" s="18">
        <v>24.811558000000002</v>
      </c>
      <c r="B11693" s="18">
        <v>34.839480999999999</v>
      </c>
      <c r="C11693" s="18">
        <v>685924.44</v>
      </c>
      <c r="D11693" s="18">
        <v>2745334.81</v>
      </c>
      <c r="E11693" s="18">
        <v>278.38</v>
      </c>
      <c r="F11693" s="18">
        <v>41953</v>
      </c>
      <c r="G11693" s="18">
        <v>143702</v>
      </c>
      <c r="H11693" s="18">
        <f t="shared" si="264"/>
        <v>41909</v>
      </c>
    </row>
    <row r="11694" spans="1:8" s="10" customFormat="1" ht="19.5" customHeight="1" x14ac:dyDescent="0.55000000000000004">
      <c r="A11694" s="18">
        <v>24.811538899999999</v>
      </c>
      <c r="B11694" s="18">
        <v>34.839484200000001</v>
      </c>
      <c r="C11694" s="18">
        <v>685924.79</v>
      </c>
      <c r="D11694" s="18">
        <v>2745332.7</v>
      </c>
      <c r="E11694" s="18">
        <v>278.02999999999997</v>
      </c>
      <c r="F11694" s="18">
        <v>41955.05</v>
      </c>
      <c r="G11694" s="18">
        <v>143704</v>
      </c>
      <c r="H11694" s="18">
        <f t="shared" si="264"/>
        <v>41911.050000000003</v>
      </c>
    </row>
    <row r="11695" spans="1:8" s="10" customFormat="1" ht="19.5" customHeight="1" x14ac:dyDescent="0.55000000000000004">
      <c r="A11695" s="18">
        <v>24.811521899999999</v>
      </c>
      <c r="B11695" s="18">
        <v>34.839478499999998</v>
      </c>
      <c r="C11695" s="18">
        <v>685924.24</v>
      </c>
      <c r="D11695" s="18">
        <v>2745330.8</v>
      </c>
      <c r="E11695" s="18">
        <v>277.64</v>
      </c>
      <c r="F11695" s="18">
        <v>41953.48</v>
      </c>
      <c r="G11695" s="18">
        <v>143706</v>
      </c>
      <c r="H11695" s="18">
        <f t="shared" si="264"/>
        <v>41909.480000000003</v>
      </c>
    </row>
    <row r="11696" spans="1:8" s="10" customFormat="1" ht="19.5" customHeight="1" x14ac:dyDescent="0.55000000000000004">
      <c r="A11696" s="18">
        <v>24.811505199999999</v>
      </c>
      <c r="B11696" s="18">
        <v>34.8394744</v>
      </c>
      <c r="C11696" s="18">
        <v>685923.85</v>
      </c>
      <c r="D11696" s="18">
        <v>2745328.95</v>
      </c>
      <c r="E11696" s="18">
        <v>277.23</v>
      </c>
      <c r="F11696" s="18">
        <v>41953.25</v>
      </c>
      <c r="G11696" s="18">
        <v>143708</v>
      </c>
      <c r="H11696" s="18">
        <f t="shared" si="264"/>
        <v>41909.25</v>
      </c>
    </row>
    <row r="11697" spans="1:8" s="10" customFormat="1" ht="19.5" customHeight="1" x14ac:dyDescent="0.55000000000000004">
      <c r="A11697" s="18">
        <v>24.811490599999999</v>
      </c>
      <c r="B11697" s="18">
        <v>34.839472399999998</v>
      </c>
      <c r="C11697" s="18">
        <v>685923.67</v>
      </c>
      <c r="D11697" s="18">
        <v>2745327.33</v>
      </c>
      <c r="E11697" s="18">
        <v>276.85000000000002</v>
      </c>
      <c r="F11697" s="18">
        <v>41952.49</v>
      </c>
      <c r="G11697" s="18">
        <v>143710</v>
      </c>
      <c r="H11697" s="18">
        <f t="shared" si="264"/>
        <v>41908.49</v>
      </c>
    </row>
    <row r="11698" spans="1:8" s="10" customFormat="1" ht="19.5" customHeight="1" x14ac:dyDescent="0.55000000000000004">
      <c r="A11698" s="18">
        <v>24.811476899999999</v>
      </c>
      <c r="B11698" s="18">
        <v>34.8394689</v>
      </c>
      <c r="C11698" s="18">
        <v>685923.34</v>
      </c>
      <c r="D11698" s="18">
        <v>2745325.81</v>
      </c>
      <c r="E11698" s="18">
        <v>276.42</v>
      </c>
      <c r="F11698" s="18">
        <v>41952.37</v>
      </c>
      <c r="G11698" s="18">
        <v>143712</v>
      </c>
      <c r="H11698" s="18">
        <f t="shared" si="264"/>
        <v>41908.370000000003</v>
      </c>
    </row>
    <row r="11699" spans="1:8" s="10" customFormat="1" ht="19.5" customHeight="1" x14ac:dyDescent="0.55000000000000004">
      <c r="A11699" s="18">
        <v>24.811466800000002</v>
      </c>
      <c r="B11699" s="18">
        <v>34.8394616</v>
      </c>
      <c r="C11699" s="18">
        <v>685922.62</v>
      </c>
      <c r="D11699" s="18">
        <v>2745324.69</v>
      </c>
      <c r="E11699" s="18">
        <v>276.14</v>
      </c>
      <c r="F11699" s="18">
        <v>41952.74</v>
      </c>
      <c r="G11699" s="18">
        <v>143714</v>
      </c>
      <c r="H11699" s="18">
        <f t="shared" si="264"/>
        <v>41908.74</v>
      </c>
    </row>
    <row r="11700" spans="1:8" s="10" customFormat="1" ht="19.5" customHeight="1" x14ac:dyDescent="0.55000000000000004">
      <c r="A11700" s="18">
        <v>24.8114624</v>
      </c>
      <c r="B11700" s="18">
        <v>34.839460500000001</v>
      </c>
      <c r="C11700" s="18">
        <v>685922.51</v>
      </c>
      <c r="D11700" s="18">
        <v>2745324.19</v>
      </c>
      <c r="E11700" s="18">
        <v>275.86</v>
      </c>
      <c r="F11700" s="18">
        <v>41958.35</v>
      </c>
      <c r="G11700" s="18">
        <v>143716</v>
      </c>
      <c r="H11700" s="18">
        <f t="shared" si="264"/>
        <v>41914.35</v>
      </c>
    </row>
    <row r="11701" spans="1:8" s="10" customFormat="1" ht="19.5" customHeight="1" x14ac:dyDescent="0.55000000000000004">
      <c r="A11701" s="18">
        <v>24.811453499999999</v>
      </c>
      <c r="B11701" s="18">
        <v>34.839464399999997</v>
      </c>
      <c r="C11701" s="18">
        <v>685922.92</v>
      </c>
      <c r="D11701" s="18">
        <v>2745323.21</v>
      </c>
      <c r="E11701" s="18">
        <v>275.63</v>
      </c>
      <c r="F11701" s="18">
        <v>41963.72</v>
      </c>
      <c r="G11701" s="18">
        <v>143718</v>
      </c>
      <c r="H11701" s="18">
        <f t="shared" si="264"/>
        <v>41919.72</v>
      </c>
    </row>
    <row r="11702" spans="1:8" s="10" customFormat="1" ht="19.5" customHeight="1" x14ac:dyDescent="0.55000000000000004">
      <c r="A11702" s="18">
        <v>24.811449799999998</v>
      </c>
      <c r="B11702" s="18">
        <v>34.839451199999999</v>
      </c>
      <c r="C11702" s="18">
        <v>685921.59</v>
      </c>
      <c r="D11702" s="18">
        <v>2745322.78</v>
      </c>
      <c r="E11702" s="18">
        <v>275.13</v>
      </c>
      <c r="F11702" s="18">
        <v>41954.18</v>
      </c>
      <c r="G11702" s="18">
        <v>143720</v>
      </c>
      <c r="H11702" s="18">
        <f t="shared" si="264"/>
        <v>41910.18</v>
      </c>
    </row>
    <row r="11703" spans="1:8" s="10" customFormat="1" ht="19.5" customHeight="1" x14ac:dyDescent="0.55000000000000004">
      <c r="A11703" s="18">
        <v>24.8114439</v>
      </c>
      <c r="B11703" s="18">
        <v>34.839435999999999</v>
      </c>
      <c r="C11703" s="18">
        <v>685920.06</v>
      </c>
      <c r="D11703" s="18">
        <v>2745322.11</v>
      </c>
      <c r="E11703" s="18">
        <v>274.68</v>
      </c>
      <c r="F11703" s="18">
        <v>41946.71</v>
      </c>
      <c r="G11703" s="18">
        <v>143722</v>
      </c>
      <c r="H11703" s="18">
        <f t="shared" si="264"/>
        <v>41902.71</v>
      </c>
    </row>
    <row r="11704" spans="1:8" s="10" customFormat="1" ht="19.5" customHeight="1" x14ac:dyDescent="0.55000000000000004">
      <c r="A11704" s="18">
        <v>24.811433600000001</v>
      </c>
      <c r="B11704" s="18">
        <v>34.839428400000003</v>
      </c>
      <c r="C11704" s="18">
        <v>685919.31</v>
      </c>
      <c r="D11704" s="18">
        <v>2745320.96</v>
      </c>
      <c r="E11704" s="18">
        <v>274.35000000000002</v>
      </c>
      <c r="F11704" s="18">
        <v>41943.22</v>
      </c>
      <c r="G11704" s="18">
        <v>143724</v>
      </c>
      <c r="H11704" s="18">
        <f t="shared" si="264"/>
        <v>41899.22</v>
      </c>
    </row>
    <row r="11705" spans="1:8" s="10" customFormat="1" ht="19.5" customHeight="1" x14ac:dyDescent="0.55000000000000004">
      <c r="A11705" s="18">
        <v>24.811415499999999</v>
      </c>
      <c r="B11705" s="18">
        <v>34.839429600000003</v>
      </c>
      <c r="C11705" s="18">
        <v>685919.46</v>
      </c>
      <c r="D11705" s="18">
        <v>2745318.95</v>
      </c>
      <c r="E11705" s="18">
        <v>274.07</v>
      </c>
      <c r="F11705" s="18">
        <v>41938.550000000003</v>
      </c>
      <c r="G11705" s="18">
        <v>143726</v>
      </c>
      <c r="H11705" s="18">
        <f t="shared" ref="H11705:H11768" si="265">SUM(F11705-44)</f>
        <v>41894.550000000003</v>
      </c>
    </row>
    <row r="11706" spans="1:8" s="10" customFormat="1" ht="19.5" customHeight="1" x14ac:dyDescent="0.55000000000000004">
      <c r="A11706" s="18">
        <v>24.811397899999999</v>
      </c>
      <c r="B11706" s="18">
        <v>34.839421999999999</v>
      </c>
      <c r="C11706" s="18">
        <v>685918.71999999997</v>
      </c>
      <c r="D11706" s="18">
        <v>2745317</v>
      </c>
      <c r="E11706" s="18">
        <v>273.5</v>
      </c>
      <c r="F11706" s="18">
        <v>41929.19</v>
      </c>
      <c r="G11706" s="18">
        <v>143728</v>
      </c>
      <c r="H11706" s="18">
        <f t="shared" si="265"/>
        <v>41885.19</v>
      </c>
    </row>
    <row r="11707" spans="1:8" s="10" customFormat="1" ht="19.5" customHeight="1" x14ac:dyDescent="0.55000000000000004">
      <c r="A11707" s="18">
        <v>24.811384499999999</v>
      </c>
      <c r="B11707" s="18">
        <v>34.839426500000002</v>
      </c>
      <c r="C11707" s="18">
        <v>685919.19</v>
      </c>
      <c r="D11707" s="18">
        <v>2745315.51</v>
      </c>
      <c r="E11707" s="18">
        <v>273.27999999999997</v>
      </c>
      <c r="F11707" s="18">
        <v>41935.839999999997</v>
      </c>
      <c r="G11707" s="18">
        <v>143730</v>
      </c>
      <c r="H11707" s="18">
        <f t="shared" si="265"/>
        <v>41891.839999999997</v>
      </c>
    </row>
    <row r="11708" spans="1:8" s="10" customFormat="1" ht="19.5" customHeight="1" x14ac:dyDescent="0.55000000000000004">
      <c r="A11708" s="18">
        <v>24.811373400000001</v>
      </c>
      <c r="B11708" s="18">
        <v>34.8394379</v>
      </c>
      <c r="C11708" s="18">
        <v>685920.36</v>
      </c>
      <c r="D11708" s="18">
        <v>2745314.3</v>
      </c>
      <c r="E11708" s="18">
        <v>273.14</v>
      </c>
      <c r="F11708" s="18">
        <v>41944.75</v>
      </c>
      <c r="G11708" s="18">
        <v>143732</v>
      </c>
      <c r="H11708" s="18">
        <f t="shared" si="265"/>
        <v>41900.75</v>
      </c>
    </row>
    <row r="11709" spans="1:8" s="10" customFormat="1" ht="19.5" customHeight="1" x14ac:dyDescent="0.55000000000000004">
      <c r="A11709" s="18">
        <v>24.811362200000001</v>
      </c>
      <c r="B11709" s="18">
        <v>34.839446799999997</v>
      </c>
      <c r="C11709" s="18">
        <v>685921.27</v>
      </c>
      <c r="D11709" s="18">
        <v>2745313.08</v>
      </c>
      <c r="E11709" s="18">
        <v>272.88</v>
      </c>
      <c r="F11709" s="18">
        <v>41944.22</v>
      </c>
      <c r="G11709" s="18">
        <v>143734</v>
      </c>
      <c r="H11709" s="18">
        <f t="shared" si="265"/>
        <v>41900.22</v>
      </c>
    </row>
    <row r="11710" spans="1:8" s="10" customFormat="1" ht="19.5" customHeight="1" x14ac:dyDescent="0.55000000000000004">
      <c r="A11710" s="18">
        <v>24.811355899999999</v>
      </c>
      <c r="B11710" s="18">
        <v>34.839459499999997</v>
      </c>
      <c r="C11710" s="18">
        <v>685922.56</v>
      </c>
      <c r="D11710" s="18">
        <v>2745312.4</v>
      </c>
      <c r="E11710" s="18">
        <v>272.54000000000002</v>
      </c>
      <c r="F11710" s="18">
        <v>41947.82</v>
      </c>
      <c r="G11710" s="18">
        <v>143736</v>
      </c>
      <c r="H11710" s="18">
        <f t="shared" si="265"/>
        <v>41903.82</v>
      </c>
    </row>
    <row r="11711" spans="1:8" s="10" customFormat="1" ht="19.5" customHeight="1" x14ac:dyDescent="0.55000000000000004">
      <c r="A11711" s="18">
        <v>24.811343399999998</v>
      </c>
      <c r="B11711" s="18">
        <v>34.839466799999997</v>
      </c>
      <c r="C11711" s="18">
        <v>685923.33</v>
      </c>
      <c r="D11711" s="18">
        <v>2745311.01</v>
      </c>
      <c r="E11711" s="18">
        <v>272.10000000000002</v>
      </c>
      <c r="F11711" s="18">
        <v>41950.38</v>
      </c>
      <c r="G11711" s="18">
        <v>143738</v>
      </c>
      <c r="H11711" s="18">
        <f t="shared" si="265"/>
        <v>41906.379999999997</v>
      </c>
    </row>
    <row r="11712" spans="1:8" s="10" customFormat="1" ht="19.5" customHeight="1" x14ac:dyDescent="0.55000000000000004">
      <c r="A11712" s="18">
        <v>24.8113332</v>
      </c>
      <c r="B11712" s="18">
        <v>34.839475200000003</v>
      </c>
      <c r="C11712" s="18">
        <v>685924.19</v>
      </c>
      <c r="D11712" s="18">
        <v>2745309.9</v>
      </c>
      <c r="E11712" s="18">
        <v>271.87</v>
      </c>
      <c r="F11712" s="18">
        <v>41959.25</v>
      </c>
      <c r="G11712" s="18">
        <v>143740</v>
      </c>
      <c r="H11712" s="18">
        <f t="shared" si="265"/>
        <v>41915.25</v>
      </c>
    </row>
    <row r="11713" spans="1:8" s="10" customFormat="1" ht="19.5" customHeight="1" x14ac:dyDescent="0.55000000000000004">
      <c r="A11713" s="18">
        <v>24.811322199999999</v>
      </c>
      <c r="B11713" s="18">
        <v>34.839483299999998</v>
      </c>
      <c r="C11713" s="18">
        <v>685925.03</v>
      </c>
      <c r="D11713" s="18">
        <v>2745308.69</v>
      </c>
      <c r="E11713" s="18">
        <v>271.66000000000003</v>
      </c>
      <c r="F11713" s="18">
        <v>41945.75</v>
      </c>
      <c r="G11713" s="18">
        <v>143742</v>
      </c>
      <c r="H11713" s="18">
        <f t="shared" si="265"/>
        <v>41901.75</v>
      </c>
    </row>
    <row r="11714" spans="1:8" s="10" customFormat="1" ht="19.5" customHeight="1" x14ac:dyDescent="0.55000000000000004">
      <c r="A11714" s="18">
        <v>24.811307599999999</v>
      </c>
      <c r="B11714" s="18">
        <v>34.839499600000003</v>
      </c>
      <c r="C11714" s="18">
        <v>685926.69</v>
      </c>
      <c r="D11714" s="18">
        <v>2745307.1</v>
      </c>
      <c r="E11714" s="18">
        <v>271.27</v>
      </c>
      <c r="F11714" s="18">
        <v>41952.39</v>
      </c>
      <c r="G11714" s="18">
        <v>143744</v>
      </c>
      <c r="H11714" s="18">
        <f t="shared" si="265"/>
        <v>41908.39</v>
      </c>
    </row>
    <row r="11715" spans="1:8" s="10" customFormat="1" ht="19.5" customHeight="1" x14ac:dyDescent="0.55000000000000004">
      <c r="A11715" s="18">
        <v>24.811294100000001</v>
      </c>
      <c r="B11715" s="18">
        <v>34.839510599999997</v>
      </c>
      <c r="C11715" s="18">
        <v>685927.83</v>
      </c>
      <c r="D11715" s="18">
        <v>2745305.62</v>
      </c>
      <c r="E11715" s="18">
        <v>271.10000000000002</v>
      </c>
      <c r="F11715" s="18">
        <v>41948.08</v>
      </c>
      <c r="G11715" s="18">
        <v>143746</v>
      </c>
      <c r="H11715" s="18">
        <f t="shared" si="265"/>
        <v>41904.080000000002</v>
      </c>
    </row>
    <row r="11716" spans="1:8" s="10" customFormat="1" ht="19.5" customHeight="1" x14ac:dyDescent="0.55000000000000004">
      <c r="A11716" s="18">
        <v>24.811278600000001</v>
      </c>
      <c r="B11716" s="18">
        <v>34.8395151</v>
      </c>
      <c r="C11716" s="18">
        <v>685928.31</v>
      </c>
      <c r="D11716" s="18">
        <v>2745303.91</v>
      </c>
      <c r="E11716" s="18">
        <v>270.76</v>
      </c>
      <c r="F11716" s="18">
        <v>41948.69</v>
      </c>
      <c r="G11716" s="18">
        <v>143748</v>
      </c>
      <c r="H11716" s="18">
        <f t="shared" si="265"/>
        <v>41904.69</v>
      </c>
    </row>
    <row r="11717" spans="1:8" s="10" customFormat="1" ht="19.5" customHeight="1" x14ac:dyDescent="0.55000000000000004">
      <c r="A11717" s="18">
        <v>24.811259199999999</v>
      </c>
      <c r="B11717" s="18">
        <v>34.839523499999999</v>
      </c>
      <c r="C11717" s="18">
        <v>685929.18</v>
      </c>
      <c r="D11717" s="18">
        <v>2745301.77</v>
      </c>
      <c r="E11717" s="18">
        <v>270.58999999999997</v>
      </c>
      <c r="F11717" s="18">
        <v>41953.73</v>
      </c>
      <c r="G11717" s="18">
        <v>143750</v>
      </c>
      <c r="H11717" s="18">
        <f t="shared" si="265"/>
        <v>41909.730000000003</v>
      </c>
    </row>
    <row r="11718" spans="1:8" s="10" customFormat="1" ht="19.5" customHeight="1" x14ac:dyDescent="0.55000000000000004">
      <c r="A11718" s="18">
        <v>24.811243000000001</v>
      </c>
      <c r="B11718" s="18">
        <v>34.839522000000002</v>
      </c>
      <c r="C11718" s="18">
        <v>685929.06</v>
      </c>
      <c r="D11718" s="18">
        <v>2745299.97</v>
      </c>
      <c r="E11718" s="18">
        <v>270.11</v>
      </c>
      <c r="F11718" s="18">
        <v>41958.22</v>
      </c>
      <c r="G11718" s="18">
        <v>143752</v>
      </c>
      <c r="H11718" s="18">
        <f t="shared" si="265"/>
        <v>41914.22</v>
      </c>
    </row>
    <row r="11719" spans="1:8" s="10" customFormat="1" ht="19.5" customHeight="1" x14ac:dyDescent="0.55000000000000004">
      <c r="A11719" s="18">
        <v>24.811222600000001</v>
      </c>
      <c r="B11719" s="18">
        <v>34.839515200000001</v>
      </c>
      <c r="C11719" s="18">
        <v>685928.39</v>
      </c>
      <c r="D11719" s="18">
        <v>2745297.7</v>
      </c>
      <c r="E11719" s="18">
        <v>270.08999999999997</v>
      </c>
      <c r="F11719" s="18">
        <v>41957.24</v>
      </c>
      <c r="G11719" s="18">
        <v>143754</v>
      </c>
      <c r="H11719" s="18">
        <f t="shared" si="265"/>
        <v>41913.24</v>
      </c>
    </row>
    <row r="11720" spans="1:8" s="10" customFormat="1" ht="19.5" customHeight="1" x14ac:dyDescent="0.55000000000000004">
      <c r="A11720" s="18">
        <v>24.811205000000001</v>
      </c>
      <c r="B11720" s="18">
        <v>34.839515499999997</v>
      </c>
      <c r="C11720" s="18">
        <v>685928.45</v>
      </c>
      <c r="D11720" s="18">
        <v>2745295.75</v>
      </c>
      <c r="E11720" s="18">
        <v>269.88</v>
      </c>
      <c r="F11720" s="18">
        <v>41961.55</v>
      </c>
      <c r="G11720" s="18">
        <v>143756</v>
      </c>
      <c r="H11720" s="18">
        <f t="shared" si="265"/>
        <v>41917.550000000003</v>
      </c>
    </row>
    <row r="11721" spans="1:8" s="10" customFormat="1" ht="19.5" customHeight="1" x14ac:dyDescent="0.55000000000000004">
      <c r="A11721" s="18">
        <v>24.811189899999999</v>
      </c>
      <c r="B11721" s="18">
        <v>34.839525999999999</v>
      </c>
      <c r="C11721" s="18">
        <v>685929.54</v>
      </c>
      <c r="D11721" s="18">
        <v>2745294.1</v>
      </c>
      <c r="E11721" s="18">
        <v>269.64999999999998</v>
      </c>
      <c r="F11721" s="18">
        <v>41962.85</v>
      </c>
      <c r="G11721" s="18">
        <v>143758</v>
      </c>
      <c r="H11721" s="18">
        <f t="shared" si="265"/>
        <v>41918.85</v>
      </c>
    </row>
    <row r="11722" spans="1:8" s="10" customFormat="1" ht="19.5" customHeight="1" x14ac:dyDescent="0.55000000000000004">
      <c r="A11722" s="18">
        <v>24.811170799999999</v>
      </c>
      <c r="B11722" s="18">
        <v>34.839531299999997</v>
      </c>
      <c r="C11722" s="18">
        <v>685930.11</v>
      </c>
      <c r="D11722" s="18">
        <v>2745291.99</v>
      </c>
      <c r="E11722" s="18">
        <v>269.58999999999997</v>
      </c>
      <c r="F11722" s="18">
        <v>41963.69</v>
      </c>
      <c r="G11722" s="18">
        <v>143800</v>
      </c>
      <c r="H11722" s="18">
        <f t="shared" si="265"/>
        <v>41919.69</v>
      </c>
    </row>
    <row r="11723" spans="1:8" s="10" customFormat="1" ht="19.5" customHeight="1" x14ac:dyDescent="0.55000000000000004">
      <c r="A11723" s="18">
        <v>24.811150300000001</v>
      </c>
      <c r="B11723" s="18">
        <v>34.8395352</v>
      </c>
      <c r="C11723" s="18">
        <v>685930.53</v>
      </c>
      <c r="D11723" s="18">
        <v>2745289.72</v>
      </c>
      <c r="E11723" s="18">
        <v>269.32</v>
      </c>
      <c r="F11723" s="18">
        <v>41963.67</v>
      </c>
      <c r="G11723" s="18">
        <v>143802</v>
      </c>
      <c r="H11723" s="18">
        <f t="shared" si="265"/>
        <v>41919.67</v>
      </c>
    </row>
    <row r="11724" spans="1:8" s="10" customFormat="1" ht="19.5" customHeight="1" x14ac:dyDescent="0.55000000000000004">
      <c r="A11724" s="18">
        <v>24.811127599999999</v>
      </c>
      <c r="B11724" s="18">
        <v>34.839539600000002</v>
      </c>
      <c r="C11724" s="18">
        <v>685931.01</v>
      </c>
      <c r="D11724" s="18">
        <v>2745287.21</v>
      </c>
      <c r="E11724" s="18">
        <v>269.12</v>
      </c>
      <c r="F11724" s="18">
        <v>41964.45</v>
      </c>
      <c r="G11724" s="18">
        <v>143804</v>
      </c>
      <c r="H11724" s="18">
        <f t="shared" si="265"/>
        <v>41920.449999999997</v>
      </c>
    </row>
    <row r="11725" spans="1:8" s="10" customFormat="1" ht="19.5" customHeight="1" x14ac:dyDescent="0.55000000000000004">
      <c r="A11725" s="18">
        <v>24.811105900000001</v>
      </c>
      <c r="B11725" s="18">
        <v>34.839540200000002</v>
      </c>
      <c r="C11725" s="18">
        <v>685931.1</v>
      </c>
      <c r="D11725" s="18">
        <v>2745284.81</v>
      </c>
      <c r="E11725" s="18">
        <v>268.8</v>
      </c>
      <c r="F11725" s="18">
        <v>41964.62</v>
      </c>
      <c r="G11725" s="18">
        <v>143806</v>
      </c>
      <c r="H11725" s="18">
        <f t="shared" si="265"/>
        <v>41920.620000000003</v>
      </c>
    </row>
    <row r="11726" spans="1:8" s="10" customFormat="1" ht="19.5" customHeight="1" x14ac:dyDescent="0.55000000000000004">
      <c r="A11726" s="18">
        <v>24.811083700000001</v>
      </c>
      <c r="B11726" s="18">
        <v>34.839539500000001</v>
      </c>
      <c r="C11726" s="18">
        <v>685931.06</v>
      </c>
      <c r="D11726" s="18">
        <v>2745282.35</v>
      </c>
      <c r="E11726" s="18">
        <v>268.51</v>
      </c>
      <c r="F11726" s="18">
        <v>41962.7</v>
      </c>
      <c r="G11726" s="18">
        <v>143808</v>
      </c>
      <c r="H11726" s="18">
        <f t="shared" si="265"/>
        <v>41918.699999999997</v>
      </c>
    </row>
    <row r="11727" spans="1:8" s="10" customFormat="1" ht="19.5" customHeight="1" x14ac:dyDescent="0.55000000000000004">
      <c r="A11727" s="18">
        <v>24.811062199999999</v>
      </c>
      <c r="B11727" s="18">
        <v>34.839537800000002</v>
      </c>
      <c r="C11727" s="18">
        <v>685930.92</v>
      </c>
      <c r="D11727" s="18">
        <v>2745279.97</v>
      </c>
      <c r="E11727" s="18">
        <v>268.12</v>
      </c>
      <c r="F11727" s="18">
        <v>41963.97</v>
      </c>
      <c r="G11727" s="18">
        <v>143810</v>
      </c>
      <c r="H11727" s="18">
        <f t="shared" si="265"/>
        <v>41919.97</v>
      </c>
    </row>
    <row r="11728" spans="1:8" s="10" customFormat="1" ht="19.5" customHeight="1" x14ac:dyDescent="0.55000000000000004">
      <c r="A11728" s="18">
        <v>24.811043900000001</v>
      </c>
      <c r="B11728" s="18">
        <v>34.8395388</v>
      </c>
      <c r="C11728" s="18">
        <v>685931.05</v>
      </c>
      <c r="D11728" s="18">
        <v>2745277.94</v>
      </c>
      <c r="E11728" s="18">
        <v>267.85000000000002</v>
      </c>
      <c r="F11728" s="18">
        <v>41962.85</v>
      </c>
      <c r="G11728" s="18">
        <v>143812</v>
      </c>
      <c r="H11728" s="18">
        <f t="shared" si="265"/>
        <v>41918.85</v>
      </c>
    </row>
    <row r="11729" spans="1:8" s="10" customFormat="1" ht="19.5" customHeight="1" x14ac:dyDescent="0.55000000000000004">
      <c r="A11729" s="18">
        <v>24.8110286</v>
      </c>
      <c r="B11729" s="18">
        <v>34.839548200000003</v>
      </c>
      <c r="C11729" s="18">
        <v>685932.03</v>
      </c>
      <c r="D11729" s="18">
        <v>2745276.26</v>
      </c>
      <c r="E11729" s="18">
        <v>267.72000000000003</v>
      </c>
      <c r="F11729" s="18">
        <v>41961.1</v>
      </c>
      <c r="G11729" s="18">
        <v>143814</v>
      </c>
      <c r="H11729" s="18">
        <f t="shared" si="265"/>
        <v>41917.1</v>
      </c>
    </row>
    <row r="11730" spans="1:8" s="10" customFormat="1" ht="19.5" customHeight="1" x14ac:dyDescent="0.55000000000000004">
      <c r="A11730" s="18">
        <v>24.8110155</v>
      </c>
      <c r="B11730" s="18">
        <v>34.839565299999997</v>
      </c>
      <c r="C11730" s="18">
        <v>685933.77</v>
      </c>
      <c r="D11730" s="18">
        <v>2745274.84</v>
      </c>
      <c r="E11730" s="18">
        <v>267.62</v>
      </c>
      <c r="F11730" s="18">
        <v>41963.11</v>
      </c>
      <c r="G11730" s="18">
        <v>143816</v>
      </c>
      <c r="H11730" s="18">
        <f t="shared" si="265"/>
        <v>41919.11</v>
      </c>
    </row>
    <row r="11731" spans="1:8" s="10" customFormat="1" ht="19.5" customHeight="1" x14ac:dyDescent="0.55000000000000004">
      <c r="A11731" s="18">
        <v>24.811003400000001</v>
      </c>
      <c r="B11731" s="18">
        <v>34.839583400000002</v>
      </c>
      <c r="C11731" s="18">
        <v>685935.62</v>
      </c>
      <c r="D11731" s="18">
        <v>2745273.52</v>
      </c>
      <c r="E11731" s="18">
        <v>267.26</v>
      </c>
      <c r="F11731" s="18">
        <v>41964.35</v>
      </c>
      <c r="G11731" s="18">
        <v>143818</v>
      </c>
      <c r="H11731" s="18">
        <f t="shared" si="265"/>
        <v>41920.35</v>
      </c>
    </row>
    <row r="11732" spans="1:8" s="10" customFormat="1" ht="19.5" customHeight="1" x14ac:dyDescent="0.55000000000000004">
      <c r="A11732" s="18">
        <v>24.8109903</v>
      </c>
      <c r="B11732" s="18">
        <v>34.839601100000003</v>
      </c>
      <c r="C11732" s="18">
        <v>685937.43</v>
      </c>
      <c r="D11732" s="18">
        <v>2745272.09</v>
      </c>
      <c r="E11732" s="18">
        <v>266.83</v>
      </c>
      <c r="F11732" s="18">
        <v>41963.51</v>
      </c>
      <c r="G11732" s="18">
        <v>143820</v>
      </c>
      <c r="H11732" s="18">
        <f t="shared" si="265"/>
        <v>41919.51</v>
      </c>
    </row>
    <row r="11733" spans="1:8" s="10" customFormat="1" ht="19.5" customHeight="1" x14ac:dyDescent="0.55000000000000004">
      <c r="A11733" s="18">
        <v>24.810974600000002</v>
      </c>
      <c r="B11733" s="18">
        <v>34.839618299999998</v>
      </c>
      <c r="C11733" s="18">
        <v>685939.19</v>
      </c>
      <c r="D11733" s="18">
        <v>2745270.38</v>
      </c>
      <c r="E11733" s="18">
        <v>266.72000000000003</v>
      </c>
      <c r="F11733" s="18">
        <v>41964.160000000003</v>
      </c>
      <c r="G11733" s="18">
        <v>143822</v>
      </c>
      <c r="H11733" s="18">
        <f t="shared" si="265"/>
        <v>41920.160000000003</v>
      </c>
    </row>
    <row r="11734" spans="1:8" s="10" customFormat="1" ht="19.5" customHeight="1" x14ac:dyDescent="0.55000000000000004">
      <c r="A11734" s="18">
        <v>24.8109568</v>
      </c>
      <c r="B11734" s="18">
        <v>34.839619900000002</v>
      </c>
      <c r="C11734" s="18">
        <v>685939.38</v>
      </c>
      <c r="D11734" s="18">
        <v>2745268.41</v>
      </c>
      <c r="E11734" s="18">
        <v>266.42</v>
      </c>
      <c r="F11734" s="18">
        <v>41965.41</v>
      </c>
      <c r="G11734" s="18">
        <v>143824</v>
      </c>
      <c r="H11734" s="18">
        <f t="shared" si="265"/>
        <v>41921.410000000003</v>
      </c>
    </row>
    <row r="11735" spans="1:8" s="10" customFormat="1" ht="19.5" customHeight="1" x14ac:dyDescent="0.55000000000000004">
      <c r="A11735" s="18">
        <v>24.810932300000001</v>
      </c>
      <c r="B11735" s="18">
        <v>34.839614400000002</v>
      </c>
      <c r="C11735" s="18">
        <v>685938.87</v>
      </c>
      <c r="D11735" s="18">
        <v>2745265.69</v>
      </c>
      <c r="E11735" s="18">
        <v>266.20999999999998</v>
      </c>
      <c r="F11735" s="18">
        <v>41961.37</v>
      </c>
      <c r="G11735" s="18">
        <v>143826</v>
      </c>
      <c r="H11735" s="18">
        <f t="shared" si="265"/>
        <v>41917.370000000003</v>
      </c>
    </row>
    <row r="11736" spans="1:8" s="10" customFormat="1" ht="19.5" customHeight="1" x14ac:dyDescent="0.55000000000000004">
      <c r="A11736" s="18">
        <v>24.810907700000001</v>
      </c>
      <c r="B11736" s="18">
        <v>34.839610800000003</v>
      </c>
      <c r="C11736" s="18">
        <v>685938.54</v>
      </c>
      <c r="D11736" s="18">
        <v>2745262.96</v>
      </c>
      <c r="E11736" s="18">
        <v>265.97000000000003</v>
      </c>
      <c r="F11736" s="18">
        <v>41960.79</v>
      </c>
      <c r="G11736" s="18">
        <v>143828</v>
      </c>
      <c r="H11736" s="18">
        <f t="shared" si="265"/>
        <v>41916.79</v>
      </c>
    </row>
    <row r="11737" spans="1:8" s="10" customFormat="1" ht="19.5" customHeight="1" x14ac:dyDescent="0.55000000000000004">
      <c r="A11737" s="18">
        <v>24.810884600000001</v>
      </c>
      <c r="B11737" s="18">
        <v>34.839610100000002</v>
      </c>
      <c r="C11737" s="18">
        <v>685938.49</v>
      </c>
      <c r="D11737" s="18">
        <v>2745260.4</v>
      </c>
      <c r="E11737" s="18">
        <v>265.64999999999998</v>
      </c>
      <c r="F11737" s="18">
        <v>41960.83</v>
      </c>
      <c r="G11737" s="18">
        <v>143830</v>
      </c>
      <c r="H11737" s="18">
        <f t="shared" si="265"/>
        <v>41916.83</v>
      </c>
    </row>
    <row r="11738" spans="1:8" s="10" customFormat="1" ht="19.5" customHeight="1" x14ac:dyDescent="0.55000000000000004">
      <c r="A11738" s="18">
        <v>24.8108632</v>
      </c>
      <c r="B11738" s="18">
        <v>34.839609099999997</v>
      </c>
      <c r="C11738" s="18">
        <v>685938.42</v>
      </c>
      <c r="D11738" s="18">
        <v>2745258.03</v>
      </c>
      <c r="E11738" s="18">
        <v>265.42</v>
      </c>
      <c r="F11738" s="18">
        <v>41961.35</v>
      </c>
      <c r="G11738" s="18">
        <v>143832</v>
      </c>
      <c r="H11738" s="18">
        <f t="shared" si="265"/>
        <v>41917.35</v>
      </c>
    </row>
    <row r="11739" spans="1:8" s="10" customFormat="1" ht="19.5" customHeight="1" x14ac:dyDescent="0.55000000000000004">
      <c r="A11739" s="18">
        <v>24.8108416</v>
      </c>
      <c r="B11739" s="18">
        <v>34.839611499999997</v>
      </c>
      <c r="C11739" s="18">
        <v>685938.7</v>
      </c>
      <c r="D11739" s="18">
        <v>2745255.64</v>
      </c>
      <c r="E11739" s="18">
        <v>265.08999999999997</v>
      </c>
      <c r="F11739" s="18">
        <v>41959.24</v>
      </c>
      <c r="G11739" s="18">
        <v>143834</v>
      </c>
      <c r="H11739" s="18">
        <f t="shared" si="265"/>
        <v>41915.24</v>
      </c>
    </row>
    <row r="11740" spans="1:8" s="10" customFormat="1" ht="19.5" customHeight="1" x14ac:dyDescent="0.55000000000000004">
      <c r="A11740" s="18">
        <v>24.81082</v>
      </c>
      <c r="B11740" s="18">
        <v>34.839616200000002</v>
      </c>
      <c r="C11740" s="18">
        <v>685939.21</v>
      </c>
      <c r="D11740" s="18">
        <v>2745253.25</v>
      </c>
      <c r="E11740" s="18">
        <v>264.93</v>
      </c>
      <c r="F11740" s="18">
        <v>41959.18</v>
      </c>
      <c r="G11740" s="18">
        <v>143836</v>
      </c>
      <c r="H11740" s="18">
        <f t="shared" si="265"/>
        <v>41915.18</v>
      </c>
    </row>
    <row r="11741" spans="1:8" s="10" customFormat="1" ht="19.5" customHeight="1" x14ac:dyDescent="0.55000000000000004">
      <c r="A11741" s="18">
        <v>24.810800100000002</v>
      </c>
      <c r="B11741" s="18">
        <v>34.8396209</v>
      </c>
      <c r="C11741" s="18">
        <v>685939.71</v>
      </c>
      <c r="D11741" s="18">
        <v>2745251.05</v>
      </c>
      <c r="E11741" s="18">
        <v>264.68</v>
      </c>
      <c r="F11741" s="18">
        <v>41957.1</v>
      </c>
      <c r="G11741" s="18">
        <v>143838</v>
      </c>
      <c r="H11741" s="18">
        <f t="shared" si="265"/>
        <v>41913.1</v>
      </c>
    </row>
    <row r="11742" spans="1:8" s="10" customFormat="1" ht="19.5" customHeight="1" x14ac:dyDescent="0.55000000000000004">
      <c r="A11742" s="18">
        <v>24.810778500000001</v>
      </c>
      <c r="B11742" s="18">
        <v>34.839619900000002</v>
      </c>
      <c r="C11742" s="18">
        <v>685939.65</v>
      </c>
      <c r="D11742" s="18">
        <v>2745248.66</v>
      </c>
      <c r="E11742" s="18">
        <v>264.5</v>
      </c>
      <c r="F11742" s="18">
        <v>41957.87</v>
      </c>
      <c r="G11742" s="18">
        <v>143840</v>
      </c>
      <c r="H11742" s="18">
        <f t="shared" si="265"/>
        <v>41913.870000000003</v>
      </c>
    </row>
    <row r="11743" spans="1:8" s="10" customFormat="1" ht="19.5" customHeight="1" x14ac:dyDescent="0.55000000000000004">
      <c r="A11743" s="18">
        <v>24.810760599999998</v>
      </c>
      <c r="B11743" s="18">
        <v>34.839613</v>
      </c>
      <c r="C11743" s="18">
        <v>685938.98</v>
      </c>
      <c r="D11743" s="18">
        <v>2745246.67</v>
      </c>
      <c r="E11743" s="18">
        <v>264.39999999999998</v>
      </c>
      <c r="F11743" s="18">
        <v>41957.89</v>
      </c>
      <c r="G11743" s="18">
        <v>143842</v>
      </c>
      <c r="H11743" s="18">
        <f t="shared" si="265"/>
        <v>41913.89</v>
      </c>
    </row>
    <row r="11744" spans="1:8" s="10" customFormat="1" ht="19.5" customHeight="1" x14ac:dyDescent="0.55000000000000004">
      <c r="A11744" s="18">
        <v>24.8107413</v>
      </c>
      <c r="B11744" s="18">
        <v>34.8396027</v>
      </c>
      <c r="C11744" s="18">
        <v>685937.96</v>
      </c>
      <c r="D11744" s="18">
        <v>2745244.51</v>
      </c>
      <c r="E11744" s="18">
        <v>264.22000000000003</v>
      </c>
      <c r="F11744" s="18">
        <v>41957.46</v>
      </c>
      <c r="G11744" s="18">
        <v>143844</v>
      </c>
      <c r="H11744" s="18">
        <f t="shared" si="265"/>
        <v>41913.46</v>
      </c>
    </row>
    <row r="11745" spans="1:8" s="10" customFormat="1" ht="19.5" customHeight="1" x14ac:dyDescent="0.55000000000000004">
      <c r="A11745" s="18">
        <v>24.81072</v>
      </c>
      <c r="B11745" s="18">
        <v>34.839598000000002</v>
      </c>
      <c r="C11745" s="18">
        <v>685937.52</v>
      </c>
      <c r="D11745" s="18">
        <v>2745242.14</v>
      </c>
      <c r="E11745" s="18">
        <v>264.18</v>
      </c>
      <c r="F11745" s="18">
        <v>41957.1</v>
      </c>
      <c r="G11745" s="18">
        <v>143846</v>
      </c>
      <c r="H11745" s="18">
        <f t="shared" si="265"/>
        <v>41913.1</v>
      </c>
    </row>
    <row r="11746" spans="1:8" s="10" customFormat="1" ht="19.5" customHeight="1" x14ac:dyDescent="0.55000000000000004">
      <c r="A11746" s="18">
        <v>24.810699700000001</v>
      </c>
      <c r="B11746" s="18">
        <v>34.839601999999999</v>
      </c>
      <c r="C11746" s="18">
        <v>685937.95</v>
      </c>
      <c r="D11746" s="18">
        <v>2745239.91</v>
      </c>
      <c r="E11746" s="18">
        <v>264.05</v>
      </c>
      <c r="F11746" s="18">
        <v>41956.7</v>
      </c>
      <c r="G11746" s="18">
        <v>143848</v>
      </c>
      <c r="H11746" s="18">
        <f t="shared" si="265"/>
        <v>41912.699999999997</v>
      </c>
    </row>
    <row r="11747" spans="1:8" s="10" customFormat="1" ht="19.5" customHeight="1" x14ac:dyDescent="0.55000000000000004">
      <c r="A11747" s="18">
        <v>24.8106796</v>
      </c>
      <c r="B11747" s="18">
        <v>34.839604100000003</v>
      </c>
      <c r="C11747" s="18">
        <v>685938.19</v>
      </c>
      <c r="D11747" s="18">
        <v>2745237.68</v>
      </c>
      <c r="E11747" s="18">
        <v>263.81</v>
      </c>
      <c r="F11747" s="18">
        <v>41956.88</v>
      </c>
      <c r="G11747" s="18">
        <v>143850</v>
      </c>
      <c r="H11747" s="18">
        <f t="shared" si="265"/>
        <v>41912.879999999997</v>
      </c>
    </row>
    <row r="11748" spans="1:8" s="10" customFormat="1" ht="19.5" customHeight="1" x14ac:dyDescent="0.55000000000000004">
      <c r="A11748" s="18">
        <v>24.8106644</v>
      </c>
      <c r="B11748" s="18">
        <v>34.839602900000003</v>
      </c>
      <c r="C11748" s="18">
        <v>685938.1</v>
      </c>
      <c r="D11748" s="18">
        <v>2745236</v>
      </c>
      <c r="E11748" s="18">
        <v>263.64999999999998</v>
      </c>
      <c r="F11748" s="18">
        <v>41959.040000000001</v>
      </c>
      <c r="G11748" s="18">
        <v>143852</v>
      </c>
      <c r="H11748" s="18">
        <f t="shared" si="265"/>
        <v>41915.040000000001</v>
      </c>
    </row>
    <row r="11749" spans="1:8" s="10" customFormat="1" ht="19.5" customHeight="1" x14ac:dyDescent="0.55000000000000004">
      <c r="A11749" s="18">
        <v>24.810652699999999</v>
      </c>
      <c r="B11749" s="18">
        <v>34.8395905</v>
      </c>
      <c r="C11749" s="18">
        <v>685936.87</v>
      </c>
      <c r="D11749" s="18">
        <v>2745234.68</v>
      </c>
      <c r="E11749" s="18">
        <v>263.61</v>
      </c>
      <c r="F11749" s="18">
        <v>41958.28</v>
      </c>
      <c r="G11749" s="18">
        <v>143854</v>
      </c>
      <c r="H11749" s="18">
        <f t="shared" si="265"/>
        <v>41914.28</v>
      </c>
    </row>
    <row r="11750" spans="1:8" s="10" customFormat="1" ht="19.5" customHeight="1" x14ac:dyDescent="0.55000000000000004">
      <c r="A11750" s="18">
        <v>24.810649600000001</v>
      </c>
      <c r="B11750" s="18">
        <v>34.839584500000001</v>
      </c>
      <c r="C11750" s="18">
        <v>685936.26</v>
      </c>
      <c r="D11750" s="18">
        <v>2745234.33</v>
      </c>
      <c r="E11750" s="18">
        <v>263.16000000000003</v>
      </c>
      <c r="F11750" s="18">
        <v>41962.48</v>
      </c>
      <c r="G11750" s="18">
        <v>143856</v>
      </c>
      <c r="H11750" s="18">
        <f t="shared" si="265"/>
        <v>41918.480000000003</v>
      </c>
    </row>
    <row r="11751" spans="1:8" s="10" customFormat="1" ht="19.5" customHeight="1" x14ac:dyDescent="0.55000000000000004">
      <c r="A11751" s="18">
        <v>24.810643899999999</v>
      </c>
      <c r="B11751" s="18">
        <v>34.839578000000003</v>
      </c>
      <c r="C11751" s="18">
        <v>685935.61</v>
      </c>
      <c r="D11751" s="18">
        <v>2745233.69</v>
      </c>
      <c r="E11751" s="18">
        <v>262.69</v>
      </c>
      <c r="F11751" s="18">
        <v>41959.48</v>
      </c>
      <c r="G11751" s="18">
        <v>143858</v>
      </c>
      <c r="H11751" s="18">
        <f t="shared" si="265"/>
        <v>41915.480000000003</v>
      </c>
    </row>
    <row r="11752" spans="1:8" s="10" customFormat="1" ht="19.5" customHeight="1" x14ac:dyDescent="0.55000000000000004">
      <c r="A11752" s="18">
        <v>24.81063</v>
      </c>
      <c r="B11752" s="18">
        <v>34.8395802</v>
      </c>
      <c r="C11752" s="18">
        <v>685935.85</v>
      </c>
      <c r="D11752" s="18">
        <v>2745232.16</v>
      </c>
      <c r="E11752" s="18">
        <v>262.67</v>
      </c>
      <c r="F11752" s="18">
        <v>41956.01</v>
      </c>
      <c r="G11752" s="18">
        <v>143900</v>
      </c>
      <c r="H11752" s="18">
        <f t="shared" si="265"/>
        <v>41912.01</v>
      </c>
    </row>
    <row r="11753" spans="1:8" s="10" customFormat="1" ht="19.5" customHeight="1" x14ac:dyDescent="0.55000000000000004">
      <c r="A11753" s="18">
        <v>24.8106142</v>
      </c>
      <c r="B11753" s="18">
        <v>34.839581799999998</v>
      </c>
      <c r="C11753" s="18">
        <v>685936.04</v>
      </c>
      <c r="D11753" s="18">
        <v>2745230.41</v>
      </c>
      <c r="E11753" s="18">
        <v>262.23</v>
      </c>
      <c r="F11753" s="18">
        <v>41956.11</v>
      </c>
      <c r="G11753" s="18">
        <v>143902</v>
      </c>
      <c r="H11753" s="18">
        <f t="shared" si="265"/>
        <v>41912.11</v>
      </c>
    </row>
    <row r="11754" spans="1:8" s="10" customFormat="1" ht="19.5" customHeight="1" x14ac:dyDescent="0.55000000000000004">
      <c r="A11754" s="18">
        <v>24.810598800000001</v>
      </c>
      <c r="B11754" s="18">
        <v>34.839582100000001</v>
      </c>
      <c r="C11754" s="18">
        <v>685936.09</v>
      </c>
      <c r="D11754" s="18">
        <v>2745228.7</v>
      </c>
      <c r="E11754" s="18">
        <v>262.10000000000002</v>
      </c>
      <c r="F11754" s="18">
        <v>41957.56</v>
      </c>
      <c r="G11754" s="18">
        <v>143904</v>
      </c>
      <c r="H11754" s="18">
        <f t="shared" si="265"/>
        <v>41913.56</v>
      </c>
    </row>
    <row r="11755" spans="1:8" s="10" customFormat="1" ht="19.5" customHeight="1" x14ac:dyDescent="0.55000000000000004">
      <c r="A11755" s="18">
        <v>24.810579600000001</v>
      </c>
      <c r="B11755" s="18">
        <v>34.839582999999998</v>
      </c>
      <c r="C11755" s="18">
        <v>685936.21</v>
      </c>
      <c r="D11755" s="18">
        <v>2745226.58</v>
      </c>
      <c r="E11755" s="18">
        <v>261.8</v>
      </c>
      <c r="F11755" s="18">
        <v>41956.01</v>
      </c>
      <c r="G11755" s="18">
        <v>143906</v>
      </c>
      <c r="H11755" s="18">
        <f t="shared" si="265"/>
        <v>41912.01</v>
      </c>
    </row>
    <row r="11756" spans="1:8" s="10" customFormat="1" ht="19.5" customHeight="1" x14ac:dyDescent="0.55000000000000004">
      <c r="A11756" s="18">
        <v>24.8105659</v>
      </c>
      <c r="B11756" s="18">
        <v>34.839593899999997</v>
      </c>
      <c r="C11756" s="18">
        <v>685937.33</v>
      </c>
      <c r="D11756" s="18">
        <v>2745225.08</v>
      </c>
      <c r="E11756" s="18">
        <v>261.62</v>
      </c>
      <c r="F11756" s="18">
        <v>41957.24</v>
      </c>
      <c r="G11756" s="18">
        <v>143908</v>
      </c>
      <c r="H11756" s="18">
        <f t="shared" si="265"/>
        <v>41913.24</v>
      </c>
    </row>
    <row r="11757" spans="1:8" s="10" customFormat="1" ht="19.5" customHeight="1" x14ac:dyDescent="0.55000000000000004">
      <c r="A11757" s="18">
        <v>24.810555300000001</v>
      </c>
      <c r="B11757" s="18">
        <v>34.839607000000001</v>
      </c>
      <c r="C11757" s="18">
        <v>685938.67</v>
      </c>
      <c r="D11757" s="18">
        <v>2745223.92</v>
      </c>
      <c r="E11757" s="18">
        <v>261.39</v>
      </c>
      <c r="F11757" s="18">
        <v>41957.61</v>
      </c>
      <c r="G11757" s="18">
        <v>143910</v>
      </c>
      <c r="H11757" s="18">
        <f t="shared" si="265"/>
        <v>41913.61</v>
      </c>
    </row>
    <row r="11758" spans="1:8" s="10" customFormat="1" ht="19.5" customHeight="1" x14ac:dyDescent="0.55000000000000004">
      <c r="A11758" s="18">
        <v>24.810541000000001</v>
      </c>
      <c r="B11758" s="18">
        <v>34.8396173</v>
      </c>
      <c r="C11758" s="18">
        <v>685939.74</v>
      </c>
      <c r="D11758" s="18">
        <v>2745222.35</v>
      </c>
      <c r="E11758" s="18">
        <v>261.33</v>
      </c>
      <c r="F11758" s="18">
        <v>41958.239999999998</v>
      </c>
      <c r="G11758" s="18">
        <v>143912</v>
      </c>
      <c r="H11758" s="18">
        <f t="shared" si="265"/>
        <v>41914.239999999998</v>
      </c>
    </row>
    <row r="11759" spans="1:8" s="10" customFormat="1" ht="19.5" customHeight="1" x14ac:dyDescent="0.55000000000000004">
      <c r="A11759" s="18">
        <v>24.810526299999999</v>
      </c>
      <c r="B11759" s="18">
        <v>34.839621800000003</v>
      </c>
      <c r="C11759" s="18">
        <v>685940.22</v>
      </c>
      <c r="D11759" s="18">
        <v>2745220.73</v>
      </c>
      <c r="E11759" s="18">
        <v>261.2</v>
      </c>
      <c r="F11759" s="18">
        <v>41956.3</v>
      </c>
      <c r="G11759" s="18">
        <v>143914</v>
      </c>
      <c r="H11759" s="18">
        <f t="shared" si="265"/>
        <v>41912.300000000003</v>
      </c>
    </row>
    <row r="11760" spans="1:8" s="10" customFormat="1" ht="19.5" customHeight="1" x14ac:dyDescent="0.55000000000000004">
      <c r="A11760" s="18">
        <v>24.8105078</v>
      </c>
      <c r="B11760" s="18">
        <v>34.839629600000002</v>
      </c>
      <c r="C11760" s="18">
        <v>685941.03</v>
      </c>
      <c r="D11760" s="18">
        <v>2745218.69</v>
      </c>
      <c r="E11760" s="18">
        <v>260.98</v>
      </c>
      <c r="F11760" s="18">
        <v>41959.08</v>
      </c>
      <c r="G11760" s="18">
        <v>143916</v>
      </c>
      <c r="H11760" s="18">
        <f t="shared" si="265"/>
        <v>41915.08</v>
      </c>
    </row>
    <row r="11761" spans="1:8" s="10" customFormat="1" ht="19.5" customHeight="1" x14ac:dyDescent="0.55000000000000004">
      <c r="A11761" s="18">
        <v>24.8104929</v>
      </c>
      <c r="B11761" s="18">
        <v>34.839627999999998</v>
      </c>
      <c r="C11761" s="18">
        <v>685940.89</v>
      </c>
      <c r="D11761" s="18">
        <v>2745217.03</v>
      </c>
      <c r="E11761" s="18">
        <v>260.91000000000003</v>
      </c>
      <c r="F11761" s="18">
        <v>41955.86</v>
      </c>
      <c r="G11761" s="18">
        <v>143918</v>
      </c>
      <c r="H11761" s="18">
        <f t="shared" si="265"/>
        <v>41911.86</v>
      </c>
    </row>
    <row r="11762" spans="1:8" s="10" customFormat="1" ht="19.5" customHeight="1" x14ac:dyDescent="0.55000000000000004">
      <c r="A11762" s="18">
        <v>24.810473600000002</v>
      </c>
      <c r="B11762" s="18">
        <v>34.839624100000002</v>
      </c>
      <c r="C11762" s="18">
        <v>685940.53</v>
      </c>
      <c r="D11762" s="18">
        <v>2745214.89</v>
      </c>
      <c r="E11762" s="18">
        <v>260.64</v>
      </c>
      <c r="F11762" s="18">
        <v>41956.92</v>
      </c>
      <c r="G11762" s="18">
        <v>143920</v>
      </c>
      <c r="H11762" s="18">
        <f t="shared" si="265"/>
        <v>41912.92</v>
      </c>
    </row>
    <row r="11763" spans="1:8" s="10" customFormat="1" ht="19.5" customHeight="1" x14ac:dyDescent="0.55000000000000004">
      <c r="A11763" s="18">
        <v>24.810458799999999</v>
      </c>
      <c r="B11763" s="18">
        <v>34.8396197</v>
      </c>
      <c r="C11763" s="18">
        <v>685940.1</v>
      </c>
      <c r="D11763" s="18">
        <v>2745213.24</v>
      </c>
      <c r="E11763" s="18">
        <v>260.61</v>
      </c>
      <c r="F11763" s="18">
        <v>41957.23</v>
      </c>
      <c r="G11763" s="18">
        <v>143922</v>
      </c>
      <c r="H11763" s="18">
        <f t="shared" si="265"/>
        <v>41913.230000000003</v>
      </c>
    </row>
    <row r="11764" spans="1:8" s="10" customFormat="1" ht="19.5" customHeight="1" x14ac:dyDescent="0.55000000000000004">
      <c r="A11764" s="18">
        <v>24.8104412</v>
      </c>
      <c r="B11764" s="18">
        <v>34.839613300000003</v>
      </c>
      <c r="C11764" s="18">
        <v>685939.48</v>
      </c>
      <c r="D11764" s="18">
        <v>2745211.29</v>
      </c>
      <c r="E11764" s="18">
        <v>260.36</v>
      </c>
      <c r="F11764" s="18">
        <v>41954.44</v>
      </c>
      <c r="G11764" s="18">
        <v>143924</v>
      </c>
      <c r="H11764" s="18">
        <f t="shared" si="265"/>
        <v>41910.44</v>
      </c>
    </row>
    <row r="11765" spans="1:8" s="10" customFormat="1" ht="19.5" customHeight="1" x14ac:dyDescent="0.55000000000000004">
      <c r="A11765" s="18">
        <v>24.810430400000001</v>
      </c>
      <c r="B11765" s="18">
        <v>34.839622499999997</v>
      </c>
      <c r="C11765" s="18">
        <v>685940.42</v>
      </c>
      <c r="D11765" s="18">
        <v>2745210.1</v>
      </c>
      <c r="E11765" s="18">
        <v>260.31</v>
      </c>
      <c r="F11765" s="18">
        <v>41955.13</v>
      </c>
      <c r="G11765" s="18">
        <v>143926</v>
      </c>
      <c r="H11765" s="18">
        <f t="shared" si="265"/>
        <v>41911.129999999997</v>
      </c>
    </row>
    <row r="11766" spans="1:8" s="10" customFormat="1" ht="19.5" customHeight="1" x14ac:dyDescent="0.55000000000000004">
      <c r="A11766" s="18">
        <v>24.810419899999999</v>
      </c>
      <c r="B11766" s="18">
        <v>34.839632399999999</v>
      </c>
      <c r="C11766" s="18">
        <v>685941.45</v>
      </c>
      <c r="D11766" s="18">
        <v>2745208.96</v>
      </c>
      <c r="E11766" s="18">
        <v>260</v>
      </c>
      <c r="F11766" s="18">
        <v>41958.1</v>
      </c>
      <c r="G11766" s="18">
        <v>143928</v>
      </c>
      <c r="H11766" s="18">
        <f t="shared" si="265"/>
        <v>41914.1</v>
      </c>
    </row>
    <row r="11767" spans="1:8" s="10" customFormat="1" ht="19.5" customHeight="1" x14ac:dyDescent="0.55000000000000004">
      <c r="A11767" s="18">
        <v>24.810410000000001</v>
      </c>
      <c r="B11767" s="18">
        <v>34.839644200000002</v>
      </c>
      <c r="C11767" s="18">
        <v>685942.66</v>
      </c>
      <c r="D11767" s="18">
        <v>2745207.87</v>
      </c>
      <c r="E11767" s="18">
        <v>259.72000000000003</v>
      </c>
      <c r="F11767" s="18">
        <v>41956.14</v>
      </c>
      <c r="G11767" s="18">
        <v>143930</v>
      </c>
      <c r="H11767" s="18">
        <f t="shared" si="265"/>
        <v>41912.14</v>
      </c>
    </row>
    <row r="11768" spans="1:8" s="10" customFormat="1" ht="19.5" customHeight="1" x14ac:dyDescent="0.55000000000000004">
      <c r="A11768" s="18">
        <v>24.810399499999999</v>
      </c>
      <c r="B11768" s="18">
        <v>34.839655100000002</v>
      </c>
      <c r="C11768" s="18">
        <v>685943.78</v>
      </c>
      <c r="D11768" s="18">
        <v>2745206.72</v>
      </c>
      <c r="E11768" s="18">
        <v>259.58</v>
      </c>
      <c r="F11768" s="18">
        <v>41956.33</v>
      </c>
      <c r="G11768" s="18">
        <v>143932</v>
      </c>
      <c r="H11768" s="18">
        <f t="shared" si="265"/>
        <v>41912.33</v>
      </c>
    </row>
    <row r="11769" spans="1:8" s="10" customFormat="1" ht="19.5" customHeight="1" x14ac:dyDescent="0.55000000000000004">
      <c r="A11769" s="18">
        <v>24.8103874</v>
      </c>
      <c r="B11769" s="18">
        <v>34.839663899999998</v>
      </c>
      <c r="C11769" s="18">
        <v>685944.67</v>
      </c>
      <c r="D11769" s="18">
        <v>2745205.4</v>
      </c>
      <c r="E11769" s="18">
        <v>259.38</v>
      </c>
      <c r="F11769" s="18">
        <v>41955.68</v>
      </c>
      <c r="G11769" s="18">
        <v>143934</v>
      </c>
      <c r="H11769" s="18">
        <f t="shared" ref="H11769:H11832" si="266">SUM(F11769-44)</f>
        <v>41911.68</v>
      </c>
    </row>
    <row r="11770" spans="1:8" s="10" customFormat="1" ht="19.5" customHeight="1" x14ac:dyDescent="0.55000000000000004">
      <c r="A11770" s="18">
        <v>24.810378199999999</v>
      </c>
      <c r="B11770" s="18">
        <v>34.839675100000001</v>
      </c>
      <c r="C11770" s="18">
        <v>685945.82</v>
      </c>
      <c r="D11770" s="18">
        <v>2745204.39</v>
      </c>
      <c r="E11770" s="18">
        <v>259.05</v>
      </c>
      <c r="F11770" s="18">
        <v>41956.38</v>
      </c>
      <c r="G11770" s="18">
        <v>143936</v>
      </c>
      <c r="H11770" s="18">
        <f t="shared" si="266"/>
        <v>41912.379999999997</v>
      </c>
    </row>
    <row r="11771" spans="1:8" s="10" customFormat="1" ht="19.5" customHeight="1" x14ac:dyDescent="0.55000000000000004">
      <c r="A11771" s="18">
        <v>24.810372999999998</v>
      </c>
      <c r="B11771" s="18">
        <v>34.839686700000001</v>
      </c>
      <c r="C11771" s="18">
        <v>685947</v>
      </c>
      <c r="D11771" s="18">
        <v>2745203.83</v>
      </c>
      <c r="E11771" s="18">
        <v>258.85000000000002</v>
      </c>
      <c r="F11771" s="18">
        <v>41957.46</v>
      </c>
      <c r="G11771" s="18">
        <v>143938</v>
      </c>
      <c r="H11771" s="18">
        <f t="shared" si="266"/>
        <v>41913.46</v>
      </c>
    </row>
    <row r="11772" spans="1:8" s="10" customFormat="1" ht="19.5" customHeight="1" x14ac:dyDescent="0.55000000000000004">
      <c r="A11772" s="18">
        <v>24.810365300000001</v>
      </c>
      <c r="B11772" s="18">
        <v>34.839688799999998</v>
      </c>
      <c r="C11772" s="18">
        <v>685947.23</v>
      </c>
      <c r="D11772" s="18">
        <v>2745202.99</v>
      </c>
      <c r="E11772" s="18">
        <v>258.52999999999997</v>
      </c>
      <c r="F11772" s="18">
        <v>41956.78</v>
      </c>
      <c r="G11772" s="18">
        <v>143940</v>
      </c>
      <c r="H11772" s="18">
        <f t="shared" si="266"/>
        <v>41912.78</v>
      </c>
    </row>
    <row r="11773" spans="1:8" s="10" customFormat="1" ht="19.5" customHeight="1" x14ac:dyDescent="0.55000000000000004">
      <c r="A11773" s="18">
        <v>24.8103543</v>
      </c>
      <c r="B11773" s="18">
        <v>34.8396939</v>
      </c>
      <c r="C11773" s="18">
        <v>685947.76</v>
      </c>
      <c r="D11773" s="18">
        <v>2745201.77</v>
      </c>
      <c r="E11773" s="18">
        <v>258.31</v>
      </c>
      <c r="F11773" s="18">
        <v>41957.62</v>
      </c>
      <c r="G11773" s="18">
        <v>143942</v>
      </c>
      <c r="H11773" s="18">
        <f t="shared" si="266"/>
        <v>41913.620000000003</v>
      </c>
    </row>
    <row r="11774" spans="1:8" s="10" customFormat="1" ht="19.5" customHeight="1" x14ac:dyDescent="0.55000000000000004">
      <c r="A11774" s="18">
        <v>24.8103382</v>
      </c>
      <c r="B11774" s="18">
        <v>34.839697299999997</v>
      </c>
      <c r="C11774" s="18">
        <v>685948.13</v>
      </c>
      <c r="D11774" s="18">
        <v>2745200</v>
      </c>
      <c r="E11774" s="18">
        <v>258.04000000000002</v>
      </c>
      <c r="F11774" s="18">
        <v>41955.34</v>
      </c>
      <c r="G11774" s="18">
        <v>143944</v>
      </c>
      <c r="H11774" s="18">
        <f t="shared" si="266"/>
        <v>41911.339999999997</v>
      </c>
    </row>
    <row r="11775" spans="1:8" s="10" customFormat="1" ht="19.5" customHeight="1" x14ac:dyDescent="0.55000000000000004">
      <c r="A11775" s="18">
        <v>24.810329800000002</v>
      </c>
      <c r="B11775" s="18">
        <v>34.839703200000002</v>
      </c>
      <c r="C11775" s="18">
        <v>685948.73</v>
      </c>
      <c r="D11775" s="18">
        <v>2745199.07</v>
      </c>
      <c r="E11775" s="18">
        <v>257.63</v>
      </c>
      <c r="F11775" s="18">
        <v>41956.29</v>
      </c>
      <c r="G11775" s="18">
        <v>143946</v>
      </c>
      <c r="H11775" s="18">
        <f t="shared" si="266"/>
        <v>41912.29</v>
      </c>
    </row>
    <row r="11776" spans="1:8" s="10" customFormat="1" ht="19.5" customHeight="1" x14ac:dyDescent="0.55000000000000004">
      <c r="A11776" s="18">
        <v>24.810321299999998</v>
      </c>
      <c r="B11776" s="18">
        <v>34.839700999999998</v>
      </c>
      <c r="C11776" s="18">
        <v>685948.53</v>
      </c>
      <c r="D11776" s="18">
        <v>2745198.13</v>
      </c>
      <c r="E11776" s="18">
        <v>257.45999999999998</v>
      </c>
      <c r="F11776" s="18">
        <v>41956.95</v>
      </c>
      <c r="G11776" s="18">
        <v>143948</v>
      </c>
      <c r="H11776" s="18">
        <f t="shared" si="266"/>
        <v>41912.949999999997</v>
      </c>
    </row>
    <row r="11777" spans="1:8" s="10" customFormat="1" ht="19.5" customHeight="1" x14ac:dyDescent="0.55000000000000004">
      <c r="A11777" s="18">
        <v>24.810317900000001</v>
      </c>
      <c r="B11777" s="18">
        <v>34.839698300000002</v>
      </c>
      <c r="C11777" s="18">
        <v>685948.26</v>
      </c>
      <c r="D11777" s="18">
        <v>2745197.74</v>
      </c>
      <c r="E11777" s="18">
        <v>257.31</v>
      </c>
      <c r="F11777" s="18">
        <v>41955.13</v>
      </c>
      <c r="G11777" s="18">
        <v>143950</v>
      </c>
      <c r="H11777" s="18">
        <f t="shared" si="266"/>
        <v>41911.129999999997</v>
      </c>
    </row>
    <row r="11778" spans="1:8" s="10" customFormat="1" ht="19.5" customHeight="1" x14ac:dyDescent="0.55000000000000004">
      <c r="A11778" s="18">
        <v>24.810315899999999</v>
      </c>
      <c r="B11778" s="18">
        <v>34.839691199999997</v>
      </c>
      <c r="C11778" s="18">
        <v>685947.54</v>
      </c>
      <c r="D11778" s="18">
        <v>2745197.52</v>
      </c>
      <c r="E11778" s="18">
        <v>256.85000000000002</v>
      </c>
      <c r="F11778" s="18">
        <v>41954.720000000001</v>
      </c>
      <c r="G11778" s="18">
        <v>143952</v>
      </c>
      <c r="H11778" s="18">
        <f t="shared" si="266"/>
        <v>41910.720000000001</v>
      </c>
    </row>
    <row r="11779" spans="1:8" s="10" customFormat="1" ht="19.5" customHeight="1" x14ac:dyDescent="0.55000000000000004">
      <c r="A11779" s="18">
        <v>24.810314200000001</v>
      </c>
      <c r="B11779" s="18">
        <v>34.8396878</v>
      </c>
      <c r="C11779" s="18">
        <v>685947.2</v>
      </c>
      <c r="D11779" s="18">
        <v>2745197.32</v>
      </c>
      <c r="E11779" s="18">
        <v>256.86</v>
      </c>
      <c r="F11779" s="18">
        <v>41958.85</v>
      </c>
      <c r="G11779" s="18">
        <v>143954</v>
      </c>
      <c r="H11779" s="18">
        <f t="shared" si="266"/>
        <v>41914.85</v>
      </c>
    </row>
    <row r="11780" spans="1:8" s="10" customFormat="1" ht="19.5" customHeight="1" x14ac:dyDescent="0.55000000000000004">
      <c r="A11780" s="18">
        <v>24.8103069</v>
      </c>
      <c r="B11780" s="18">
        <v>34.839688700000004</v>
      </c>
      <c r="C11780" s="18">
        <v>685947.31</v>
      </c>
      <c r="D11780" s="18">
        <v>2745196.52</v>
      </c>
      <c r="E11780" s="18">
        <v>256.89999999999998</v>
      </c>
      <c r="F11780" s="18">
        <v>41956.78</v>
      </c>
      <c r="G11780" s="18">
        <v>143956</v>
      </c>
      <c r="H11780" s="18">
        <f t="shared" si="266"/>
        <v>41912.78</v>
      </c>
    </row>
    <row r="11781" spans="1:8" s="10" customFormat="1" ht="19.5" customHeight="1" x14ac:dyDescent="0.55000000000000004">
      <c r="A11781" s="18">
        <v>24.8102999</v>
      </c>
      <c r="B11781" s="18">
        <v>34.839695599999999</v>
      </c>
      <c r="C11781" s="18">
        <v>685948.01</v>
      </c>
      <c r="D11781" s="18">
        <v>2745195.75</v>
      </c>
      <c r="E11781" s="18">
        <v>256.39</v>
      </c>
      <c r="F11781" s="18">
        <v>41953.3</v>
      </c>
      <c r="G11781" s="18">
        <v>143958</v>
      </c>
      <c r="H11781" s="18">
        <f t="shared" si="266"/>
        <v>41909.300000000003</v>
      </c>
    </row>
    <row r="11782" spans="1:8" s="10" customFormat="1" ht="19.5" customHeight="1" x14ac:dyDescent="0.55000000000000004">
      <c r="A11782" s="18">
        <v>24.8102938</v>
      </c>
      <c r="B11782" s="18">
        <v>34.839690900000001</v>
      </c>
      <c r="C11782" s="18">
        <v>685947.55</v>
      </c>
      <c r="D11782" s="18">
        <v>2745195.07</v>
      </c>
      <c r="E11782" s="18">
        <v>256.39999999999998</v>
      </c>
      <c r="F11782" s="18">
        <v>41953.440000000002</v>
      </c>
      <c r="G11782" s="18">
        <v>144000</v>
      </c>
      <c r="H11782" s="18">
        <f t="shared" si="266"/>
        <v>41909.440000000002</v>
      </c>
    </row>
    <row r="11783" spans="1:8" s="10" customFormat="1" ht="19.5" customHeight="1" x14ac:dyDescent="0.55000000000000004">
      <c r="A11783" s="18">
        <v>24.810283699999999</v>
      </c>
      <c r="B11783" s="18">
        <v>34.839691600000002</v>
      </c>
      <c r="C11783" s="18">
        <v>685947.64</v>
      </c>
      <c r="D11783" s="18">
        <v>2745193.95</v>
      </c>
      <c r="E11783" s="18">
        <v>256.19</v>
      </c>
      <c r="F11783" s="18">
        <v>41956.85</v>
      </c>
      <c r="G11783" s="18">
        <v>144002</v>
      </c>
      <c r="H11783" s="18">
        <f t="shared" si="266"/>
        <v>41912.85</v>
      </c>
    </row>
    <row r="11784" spans="1:8" s="10" customFormat="1" ht="19.5" customHeight="1" x14ac:dyDescent="0.55000000000000004">
      <c r="A11784" s="18">
        <v>24.810282600000001</v>
      </c>
      <c r="B11784" s="18">
        <v>34.839691600000002</v>
      </c>
      <c r="C11784" s="18">
        <v>685947.64</v>
      </c>
      <c r="D11784" s="18">
        <v>2745193.83</v>
      </c>
      <c r="E11784" s="18">
        <v>256.33</v>
      </c>
      <c r="F11784" s="18">
        <v>41949.99</v>
      </c>
      <c r="G11784" s="18">
        <v>144004</v>
      </c>
      <c r="H11784" s="18">
        <f t="shared" si="266"/>
        <v>41905.99</v>
      </c>
    </row>
    <row r="11785" spans="1:8" s="10" customFormat="1" ht="19.5" customHeight="1" x14ac:dyDescent="0.55000000000000004">
      <c r="A11785" s="18">
        <v>24.810277599999999</v>
      </c>
      <c r="B11785" s="18">
        <v>34.839693699999998</v>
      </c>
      <c r="C11785" s="18">
        <v>685947.85</v>
      </c>
      <c r="D11785" s="18">
        <v>2745193.28</v>
      </c>
      <c r="E11785" s="18">
        <v>256.36</v>
      </c>
      <c r="F11785" s="18">
        <v>41953.74</v>
      </c>
      <c r="G11785" s="18">
        <v>144006</v>
      </c>
      <c r="H11785" s="18">
        <f t="shared" si="266"/>
        <v>41909.74</v>
      </c>
    </row>
    <row r="11786" spans="1:8" s="10" customFormat="1" ht="19.5" customHeight="1" x14ac:dyDescent="0.55000000000000004">
      <c r="A11786" s="18">
        <v>24.810264700000001</v>
      </c>
      <c r="B11786" s="18">
        <v>34.839689499999999</v>
      </c>
      <c r="C11786" s="18">
        <v>685947.45</v>
      </c>
      <c r="D11786" s="18">
        <v>2745191.84</v>
      </c>
      <c r="E11786" s="18">
        <v>256.24</v>
      </c>
      <c r="F11786" s="18">
        <v>41954.879999999997</v>
      </c>
      <c r="G11786" s="18">
        <v>144008</v>
      </c>
      <c r="H11786" s="18">
        <f t="shared" si="266"/>
        <v>41910.879999999997</v>
      </c>
    </row>
    <row r="11787" spans="1:8" s="10" customFormat="1" ht="19.5" customHeight="1" x14ac:dyDescent="0.55000000000000004">
      <c r="A11787" s="18">
        <v>24.810249299999999</v>
      </c>
      <c r="B11787" s="18">
        <v>34.839686399999998</v>
      </c>
      <c r="C11787" s="18">
        <v>685947.16</v>
      </c>
      <c r="D11787" s="18">
        <v>2745190.13</v>
      </c>
      <c r="E11787" s="18">
        <v>256.19</v>
      </c>
      <c r="F11787" s="18">
        <v>41955.17</v>
      </c>
      <c r="G11787" s="18">
        <v>144010</v>
      </c>
      <c r="H11787" s="18">
        <f t="shared" si="266"/>
        <v>41911.17</v>
      </c>
    </row>
    <row r="11788" spans="1:8" s="10" customFormat="1" ht="19.5" customHeight="1" x14ac:dyDescent="0.55000000000000004">
      <c r="A11788" s="18">
        <v>24.810241000000001</v>
      </c>
      <c r="B11788" s="18">
        <v>34.839685500000002</v>
      </c>
      <c r="C11788" s="18">
        <v>685947.08</v>
      </c>
      <c r="D11788" s="18">
        <v>2745189.22</v>
      </c>
      <c r="E11788" s="18">
        <v>256.05</v>
      </c>
      <c r="F11788" s="18">
        <v>41955.23</v>
      </c>
      <c r="G11788" s="18">
        <v>144012</v>
      </c>
      <c r="H11788" s="18">
        <f t="shared" si="266"/>
        <v>41911.230000000003</v>
      </c>
    </row>
    <row r="11789" spans="1:8" s="10" customFormat="1" ht="19.5" customHeight="1" x14ac:dyDescent="0.55000000000000004">
      <c r="A11789" s="18">
        <v>24.810225599999999</v>
      </c>
      <c r="B11789" s="18">
        <v>34.839686899999997</v>
      </c>
      <c r="C11789" s="18">
        <v>685947.24</v>
      </c>
      <c r="D11789" s="18">
        <v>2745187.51</v>
      </c>
      <c r="E11789" s="18">
        <v>255.89</v>
      </c>
      <c r="F11789" s="18">
        <v>41956.14</v>
      </c>
      <c r="G11789" s="18">
        <v>144014</v>
      </c>
      <c r="H11789" s="18">
        <f t="shared" si="266"/>
        <v>41912.14</v>
      </c>
    </row>
    <row r="11790" spans="1:8" s="10" customFormat="1" ht="19.5" customHeight="1" x14ac:dyDescent="0.55000000000000004">
      <c r="A11790" s="18">
        <v>24.810215800000002</v>
      </c>
      <c r="B11790" s="18">
        <v>34.8396908</v>
      </c>
      <c r="C11790" s="18">
        <v>685947.66</v>
      </c>
      <c r="D11790" s="18">
        <v>2745186.43</v>
      </c>
      <c r="E11790" s="18">
        <v>255.76</v>
      </c>
      <c r="F11790" s="18">
        <v>41955.77</v>
      </c>
      <c r="G11790" s="18">
        <v>144016</v>
      </c>
      <c r="H11790" s="18">
        <f t="shared" si="266"/>
        <v>41911.769999999997</v>
      </c>
    </row>
    <row r="11791" spans="1:8" s="10" customFormat="1" ht="19.5" customHeight="1" x14ac:dyDescent="0.55000000000000004">
      <c r="A11791" s="18">
        <v>24.810205799999999</v>
      </c>
      <c r="B11791" s="18">
        <v>34.839697700000002</v>
      </c>
      <c r="C11791" s="18">
        <v>685948.36</v>
      </c>
      <c r="D11791" s="18">
        <v>2745185.33</v>
      </c>
      <c r="E11791" s="18">
        <v>255.7</v>
      </c>
      <c r="F11791" s="18">
        <v>41960</v>
      </c>
      <c r="G11791" s="18">
        <v>144018</v>
      </c>
      <c r="H11791" s="18">
        <f t="shared" si="266"/>
        <v>41916</v>
      </c>
    </row>
    <row r="11792" spans="1:8" s="10" customFormat="1" ht="19.5" customHeight="1" x14ac:dyDescent="0.55000000000000004">
      <c r="A11792" s="18">
        <v>24.8101959</v>
      </c>
      <c r="B11792" s="18">
        <v>34.839693099999998</v>
      </c>
      <c r="C11792" s="18">
        <v>685947.92</v>
      </c>
      <c r="D11792" s="18">
        <v>2745184.22</v>
      </c>
      <c r="E11792" s="18">
        <v>255.35</v>
      </c>
      <c r="F11792" s="18">
        <v>41958.7</v>
      </c>
      <c r="G11792" s="18">
        <v>144020</v>
      </c>
      <c r="H11792" s="18">
        <f t="shared" si="266"/>
        <v>41914.699999999997</v>
      </c>
    </row>
    <row r="11793" spans="1:8" s="10" customFormat="1" ht="19.5" customHeight="1" x14ac:dyDescent="0.55000000000000004">
      <c r="A11793" s="18">
        <v>24.8101865</v>
      </c>
      <c r="B11793" s="18">
        <v>34.839685500000002</v>
      </c>
      <c r="C11793" s="18">
        <v>685947.16</v>
      </c>
      <c r="D11793" s="18">
        <v>2745183.17</v>
      </c>
      <c r="E11793" s="18">
        <v>255.15</v>
      </c>
      <c r="F11793" s="18">
        <v>41961.01</v>
      </c>
      <c r="G11793" s="18">
        <v>144022</v>
      </c>
      <c r="H11793" s="18">
        <f t="shared" si="266"/>
        <v>41917.01</v>
      </c>
    </row>
    <row r="11794" spans="1:8" s="10" customFormat="1" ht="19.5" customHeight="1" x14ac:dyDescent="0.55000000000000004">
      <c r="A11794" s="18">
        <v>24.8101877</v>
      </c>
      <c r="B11794" s="18">
        <v>34.839684800000001</v>
      </c>
      <c r="C11794" s="18">
        <v>685947.09</v>
      </c>
      <c r="D11794" s="18">
        <v>2745183.3</v>
      </c>
      <c r="E11794" s="18">
        <v>255.09</v>
      </c>
      <c r="F11794" s="18">
        <v>41954.37</v>
      </c>
      <c r="G11794" s="18">
        <v>144024</v>
      </c>
      <c r="H11794" s="18">
        <f t="shared" si="266"/>
        <v>41910.370000000003</v>
      </c>
    </row>
    <row r="11795" spans="1:8" s="10" customFormat="1" ht="19.5" customHeight="1" x14ac:dyDescent="0.55000000000000004">
      <c r="A11795" s="18">
        <v>24.810188199999999</v>
      </c>
      <c r="B11795" s="18">
        <v>34.8396829</v>
      </c>
      <c r="C11795" s="18">
        <v>685946.89</v>
      </c>
      <c r="D11795" s="18">
        <v>2745183.37</v>
      </c>
      <c r="E11795" s="18">
        <v>254.99</v>
      </c>
      <c r="F11795" s="18">
        <v>41955.85</v>
      </c>
      <c r="G11795" s="18">
        <v>144026</v>
      </c>
      <c r="H11795" s="18">
        <f t="shared" si="266"/>
        <v>41911.85</v>
      </c>
    </row>
    <row r="11796" spans="1:8" s="10" customFormat="1" ht="19.5" customHeight="1" x14ac:dyDescent="0.55000000000000004">
      <c r="A11796" s="18">
        <v>24.810184499999998</v>
      </c>
      <c r="B11796" s="18">
        <v>34.8396799</v>
      </c>
      <c r="C11796" s="18">
        <v>685946.6</v>
      </c>
      <c r="D11796" s="18">
        <v>2745182.95</v>
      </c>
      <c r="E11796" s="18">
        <v>254.84</v>
      </c>
      <c r="F11796" s="18">
        <v>41958.54</v>
      </c>
      <c r="G11796" s="18">
        <v>144028</v>
      </c>
      <c r="H11796" s="18">
        <f t="shared" si="266"/>
        <v>41914.54</v>
      </c>
    </row>
    <row r="11797" spans="1:8" s="10" customFormat="1" ht="19.5" customHeight="1" x14ac:dyDescent="0.55000000000000004">
      <c r="A11797" s="18">
        <v>24.810178000000001</v>
      </c>
      <c r="B11797" s="18">
        <v>34.839671099999997</v>
      </c>
      <c r="C11797" s="18">
        <v>685945.72</v>
      </c>
      <c r="D11797" s="18">
        <v>2745182.22</v>
      </c>
      <c r="E11797" s="18">
        <v>254.48</v>
      </c>
      <c r="F11797" s="18">
        <v>41959.76</v>
      </c>
      <c r="G11797" s="18">
        <v>144030</v>
      </c>
      <c r="H11797" s="18">
        <f t="shared" si="266"/>
        <v>41915.760000000002</v>
      </c>
    </row>
    <row r="11798" spans="1:8" s="10" customFormat="1" ht="19.5" customHeight="1" x14ac:dyDescent="0.55000000000000004">
      <c r="A11798" s="18">
        <v>24.810172600000001</v>
      </c>
      <c r="B11798" s="18">
        <v>34.839661800000002</v>
      </c>
      <c r="C11798" s="18">
        <v>685944.79</v>
      </c>
      <c r="D11798" s="18">
        <v>2745181.6</v>
      </c>
      <c r="E11798" s="18">
        <v>254.33</v>
      </c>
      <c r="F11798" s="18">
        <v>41959.78</v>
      </c>
      <c r="G11798" s="18">
        <v>144032</v>
      </c>
      <c r="H11798" s="18">
        <f t="shared" si="266"/>
        <v>41915.78</v>
      </c>
    </row>
    <row r="11799" spans="1:8" s="10" customFormat="1" ht="19.5" customHeight="1" x14ac:dyDescent="0.55000000000000004">
      <c r="A11799" s="18">
        <v>24.8101789</v>
      </c>
      <c r="B11799" s="18">
        <v>34.839652899999997</v>
      </c>
      <c r="C11799" s="18">
        <v>685943.88</v>
      </c>
      <c r="D11799" s="18">
        <v>2745182.29</v>
      </c>
      <c r="E11799" s="18">
        <v>253.92</v>
      </c>
      <c r="F11799" s="18">
        <v>41960.09</v>
      </c>
      <c r="G11799" s="18">
        <v>144034</v>
      </c>
      <c r="H11799" s="18">
        <f t="shared" si="266"/>
        <v>41916.089999999997</v>
      </c>
    </row>
    <row r="11800" spans="1:8" s="10" customFormat="1" ht="19.5" customHeight="1" x14ac:dyDescent="0.55000000000000004">
      <c r="A11800" s="18">
        <v>24.810183599999998</v>
      </c>
      <c r="B11800" s="18">
        <v>34.8396458</v>
      </c>
      <c r="C11800" s="18">
        <v>685943.15</v>
      </c>
      <c r="D11800" s="18">
        <v>2745182.8</v>
      </c>
      <c r="E11800" s="18">
        <v>253.23</v>
      </c>
      <c r="F11800" s="18">
        <v>41959.05</v>
      </c>
      <c r="G11800" s="18">
        <v>144036</v>
      </c>
      <c r="H11800" s="18">
        <f t="shared" si="266"/>
        <v>41915.050000000003</v>
      </c>
    </row>
    <row r="11801" spans="1:8" s="10" customFormat="1" ht="19.5" customHeight="1" x14ac:dyDescent="0.55000000000000004">
      <c r="A11801" s="18">
        <v>24.810183500000001</v>
      </c>
      <c r="B11801" s="18">
        <v>34.839631799999999</v>
      </c>
      <c r="C11801" s="18">
        <v>685941.73</v>
      </c>
      <c r="D11801" s="18">
        <v>2745182.77</v>
      </c>
      <c r="E11801" s="18">
        <v>253.01</v>
      </c>
      <c r="F11801" s="18">
        <v>41964.53</v>
      </c>
      <c r="G11801" s="18">
        <v>144038</v>
      </c>
      <c r="H11801" s="18">
        <f t="shared" si="266"/>
        <v>41920.53</v>
      </c>
    </row>
    <row r="11802" spans="1:8" s="10" customFormat="1" ht="19.5" customHeight="1" x14ac:dyDescent="0.55000000000000004">
      <c r="A11802" s="18">
        <v>24.8101901</v>
      </c>
      <c r="B11802" s="18">
        <v>34.839620400000001</v>
      </c>
      <c r="C11802" s="18">
        <v>685940.57</v>
      </c>
      <c r="D11802" s="18">
        <v>2745183.49</v>
      </c>
      <c r="E11802" s="18">
        <v>252.81</v>
      </c>
      <c r="F11802" s="18">
        <v>41958.82</v>
      </c>
      <c r="G11802" s="18">
        <v>144040</v>
      </c>
      <c r="H11802" s="18">
        <f t="shared" si="266"/>
        <v>41914.82</v>
      </c>
    </row>
    <row r="11803" spans="1:8" s="10" customFormat="1" ht="19.5" customHeight="1" x14ac:dyDescent="0.55000000000000004">
      <c r="A11803" s="18">
        <v>24.810194500000001</v>
      </c>
      <c r="B11803" s="18">
        <v>34.839608400000003</v>
      </c>
      <c r="C11803" s="18">
        <v>685939.36</v>
      </c>
      <c r="D11803" s="18">
        <v>2745183.96</v>
      </c>
      <c r="E11803" s="18">
        <v>252.58</v>
      </c>
      <c r="F11803" s="18">
        <v>41959.02</v>
      </c>
      <c r="G11803" s="18">
        <v>144042</v>
      </c>
      <c r="H11803" s="18">
        <f t="shared" si="266"/>
        <v>41915.019999999997</v>
      </c>
    </row>
    <row r="11804" spans="1:8" s="10" customFormat="1" ht="19.5" customHeight="1" x14ac:dyDescent="0.55000000000000004">
      <c r="A11804" s="18">
        <v>24.810203099999999</v>
      </c>
      <c r="B11804" s="18">
        <v>34.839592799999998</v>
      </c>
      <c r="C11804" s="18">
        <v>685937.77</v>
      </c>
      <c r="D11804" s="18">
        <v>2745184.89</v>
      </c>
      <c r="E11804" s="18">
        <v>252.01</v>
      </c>
      <c r="F11804" s="18">
        <v>41958.42</v>
      </c>
      <c r="G11804" s="18">
        <v>144044</v>
      </c>
      <c r="H11804" s="18">
        <f t="shared" si="266"/>
        <v>41914.42</v>
      </c>
    </row>
    <row r="11805" spans="1:8" s="10" customFormat="1" ht="19.5" customHeight="1" x14ac:dyDescent="0.55000000000000004">
      <c r="A11805" s="18">
        <v>24.810205199999999</v>
      </c>
      <c r="B11805" s="18">
        <v>34.839578899999999</v>
      </c>
      <c r="C11805" s="18">
        <v>685936.36</v>
      </c>
      <c r="D11805" s="18">
        <v>2745185.1</v>
      </c>
      <c r="E11805" s="18">
        <v>251.74</v>
      </c>
      <c r="F11805" s="18">
        <v>41958.14</v>
      </c>
      <c r="G11805" s="18">
        <v>144046</v>
      </c>
      <c r="H11805" s="18">
        <f t="shared" si="266"/>
        <v>41914.14</v>
      </c>
    </row>
    <row r="11806" spans="1:8" s="10" customFormat="1" ht="19.5" customHeight="1" x14ac:dyDescent="0.55000000000000004">
      <c r="A11806" s="18">
        <v>24.810207599999998</v>
      </c>
      <c r="B11806" s="18">
        <v>34.839567799999998</v>
      </c>
      <c r="C11806" s="18">
        <v>685935.24</v>
      </c>
      <c r="D11806" s="18">
        <v>2745185.35</v>
      </c>
      <c r="E11806" s="18">
        <v>251.51</v>
      </c>
      <c r="F11806" s="18">
        <v>41958.73</v>
      </c>
      <c r="G11806" s="18">
        <v>144048</v>
      </c>
      <c r="H11806" s="18">
        <f t="shared" si="266"/>
        <v>41914.730000000003</v>
      </c>
    </row>
    <row r="11807" spans="1:8" s="10" customFormat="1" ht="19.5" customHeight="1" x14ac:dyDescent="0.55000000000000004">
      <c r="A11807" s="18">
        <v>24.810208800000002</v>
      </c>
      <c r="B11807" s="18">
        <v>34.8395492</v>
      </c>
      <c r="C11807" s="18">
        <v>685933.35</v>
      </c>
      <c r="D11807" s="18">
        <v>2745185.46</v>
      </c>
      <c r="E11807" s="18">
        <v>250.96</v>
      </c>
      <c r="F11807" s="18">
        <v>41958.89</v>
      </c>
      <c r="G11807" s="18">
        <v>144050</v>
      </c>
      <c r="H11807" s="18">
        <f t="shared" si="266"/>
        <v>41914.89</v>
      </c>
    </row>
    <row r="11808" spans="1:8" s="10" customFormat="1" ht="19.5" customHeight="1" x14ac:dyDescent="0.55000000000000004">
      <c r="A11808" s="18">
        <v>24.810203000000001</v>
      </c>
      <c r="B11808" s="18">
        <v>34.839530000000003</v>
      </c>
      <c r="C11808" s="18">
        <v>685931.42</v>
      </c>
      <c r="D11808" s="18">
        <v>2745184.8</v>
      </c>
      <c r="E11808" s="18">
        <v>251.03</v>
      </c>
      <c r="F11808" s="18">
        <v>41959.9</v>
      </c>
      <c r="G11808" s="18">
        <v>144052</v>
      </c>
      <c r="H11808" s="18">
        <f t="shared" si="266"/>
        <v>41915.9</v>
      </c>
    </row>
    <row r="11809" spans="1:8" s="10" customFormat="1" ht="19.5" customHeight="1" x14ac:dyDescent="0.55000000000000004">
      <c r="A11809" s="18">
        <v>24.8101995</v>
      </c>
      <c r="B11809" s="18">
        <v>34.8395145</v>
      </c>
      <c r="C11809" s="18">
        <v>685929.85</v>
      </c>
      <c r="D11809" s="18">
        <v>2745184.39</v>
      </c>
      <c r="E11809" s="18">
        <v>250.83</v>
      </c>
      <c r="F11809" s="18">
        <v>41956.59</v>
      </c>
      <c r="G11809" s="18">
        <v>144054</v>
      </c>
      <c r="H11809" s="18">
        <f t="shared" si="266"/>
        <v>41912.589999999997</v>
      </c>
    </row>
    <row r="11810" spans="1:8" s="10" customFormat="1" ht="19.5" customHeight="1" x14ac:dyDescent="0.55000000000000004">
      <c r="A11810" s="18">
        <v>24.810195700000001</v>
      </c>
      <c r="B11810" s="18">
        <v>34.839501499999997</v>
      </c>
      <c r="C11810" s="18">
        <v>685928.55</v>
      </c>
      <c r="D11810" s="18">
        <v>2745183.95</v>
      </c>
      <c r="E11810" s="18">
        <v>250.67</v>
      </c>
      <c r="F11810" s="18">
        <v>41958.34</v>
      </c>
      <c r="G11810" s="18">
        <v>144056</v>
      </c>
      <c r="H11810" s="18">
        <f t="shared" si="266"/>
        <v>41914.339999999997</v>
      </c>
    </row>
    <row r="11811" spans="1:8" s="10" customFormat="1" ht="19.5" customHeight="1" x14ac:dyDescent="0.55000000000000004">
      <c r="A11811" s="18">
        <v>24.810192399999998</v>
      </c>
      <c r="B11811" s="18">
        <v>34.839486100000002</v>
      </c>
      <c r="C11811" s="18">
        <v>685927</v>
      </c>
      <c r="D11811" s="18">
        <v>2745183.56</v>
      </c>
      <c r="E11811" s="18">
        <v>250.42</v>
      </c>
      <c r="F11811" s="18">
        <v>41957.46</v>
      </c>
      <c r="G11811" s="18">
        <v>144058</v>
      </c>
      <c r="H11811" s="18">
        <f t="shared" si="266"/>
        <v>41913.46</v>
      </c>
    </row>
    <row r="11812" spans="1:8" s="10" customFormat="1" ht="19.5" customHeight="1" x14ac:dyDescent="0.55000000000000004">
      <c r="A11812" s="18">
        <v>24.810191199999998</v>
      </c>
      <c r="B11812" s="18">
        <v>34.839475499999999</v>
      </c>
      <c r="C11812" s="18">
        <v>685925.92</v>
      </c>
      <c r="D11812" s="18">
        <v>2745183.41</v>
      </c>
      <c r="E11812" s="18">
        <v>249.94</v>
      </c>
      <c r="F11812" s="18">
        <v>41954.73</v>
      </c>
      <c r="G11812" s="18">
        <v>144100</v>
      </c>
      <c r="H11812" s="18">
        <f t="shared" si="266"/>
        <v>41910.730000000003</v>
      </c>
    </row>
    <row r="11813" spans="1:8" s="10" customFormat="1" ht="19.5" customHeight="1" x14ac:dyDescent="0.55000000000000004">
      <c r="A11813" s="18">
        <v>24.810189000000001</v>
      </c>
      <c r="B11813" s="18">
        <v>34.839468699999998</v>
      </c>
      <c r="C11813" s="18">
        <v>685925.24</v>
      </c>
      <c r="D11813" s="18">
        <v>2745183.15</v>
      </c>
      <c r="E11813" s="18">
        <v>250.04</v>
      </c>
      <c r="F11813" s="18">
        <v>41957.17</v>
      </c>
      <c r="G11813" s="18">
        <v>144102</v>
      </c>
      <c r="H11813" s="18">
        <f t="shared" si="266"/>
        <v>41913.17</v>
      </c>
    </row>
    <row r="11814" spans="1:8" s="10" customFormat="1" ht="19.5" customHeight="1" x14ac:dyDescent="0.55000000000000004">
      <c r="A11814" s="18">
        <v>24.810193099999999</v>
      </c>
      <c r="B11814" s="18">
        <v>34.839465599999997</v>
      </c>
      <c r="C11814" s="18">
        <v>685924.92</v>
      </c>
      <c r="D11814" s="18">
        <v>2745183.61</v>
      </c>
      <c r="E11814" s="18">
        <v>249.98</v>
      </c>
      <c r="F11814" s="18">
        <v>41956.87</v>
      </c>
      <c r="G11814" s="18">
        <v>144104</v>
      </c>
      <c r="H11814" s="18">
        <f t="shared" si="266"/>
        <v>41912.870000000003</v>
      </c>
    </row>
    <row r="11815" spans="1:8" s="10" customFormat="1" ht="19.5" customHeight="1" x14ac:dyDescent="0.55000000000000004">
      <c r="A11815" s="18">
        <v>24.810198100000001</v>
      </c>
      <c r="B11815" s="18">
        <v>34.839454799999999</v>
      </c>
      <c r="C11815" s="18">
        <v>685923.82</v>
      </c>
      <c r="D11815" s="18">
        <v>2745184.15</v>
      </c>
      <c r="E11815" s="18">
        <v>249.58</v>
      </c>
      <c r="F11815" s="18">
        <v>41955.67</v>
      </c>
      <c r="G11815" s="18">
        <v>144106</v>
      </c>
      <c r="H11815" s="18">
        <f t="shared" si="266"/>
        <v>41911.67</v>
      </c>
    </row>
    <row r="11816" spans="1:8" s="10" customFormat="1" ht="19.5" customHeight="1" x14ac:dyDescent="0.55000000000000004">
      <c r="A11816" s="18">
        <v>24.810198</v>
      </c>
      <c r="B11816" s="18">
        <v>34.839444399999998</v>
      </c>
      <c r="C11816" s="18">
        <v>685922.77</v>
      </c>
      <c r="D11816" s="18">
        <v>2745184.12</v>
      </c>
      <c r="E11816" s="18">
        <v>249.12</v>
      </c>
      <c r="F11816" s="18">
        <v>41956.78</v>
      </c>
      <c r="G11816" s="18">
        <v>144108</v>
      </c>
      <c r="H11816" s="18">
        <f t="shared" si="266"/>
        <v>41912.78</v>
      </c>
    </row>
    <row r="11817" spans="1:8" s="10" customFormat="1" ht="19.5" customHeight="1" x14ac:dyDescent="0.55000000000000004">
      <c r="A11817" s="18">
        <v>24.810194299999999</v>
      </c>
      <c r="B11817" s="18">
        <v>34.839427800000003</v>
      </c>
      <c r="C11817" s="18">
        <v>685921.1</v>
      </c>
      <c r="D11817" s="18">
        <v>2745183.69</v>
      </c>
      <c r="E11817" s="18">
        <v>248.89</v>
      </c>
      <c r="F11817" s="18">
        <v>41959.09</v>
      </c>
      <c r="G11817" s="18">
        <v>144110</v>
      </c>
      <c r="H11817" s="18">
        <f t="shared" si="266"/>
        <v>41915.089999999997</v>
      </c>
    </row>
    <row r="11818" spans="1:8" s="10" customFormat="1" ht="19.5" customHeight="1" x14ac:dyDescent="0.55000000000000004">
      <c r="A11818" s="18">
        <v>24.810195499999999</v>
      </c>
      <c r="B11818" s="18">
        <v>34.8394099</v>
      </c>
      <c r="C11818" s="18">
        <v>685919.29</v>
      </c>
      <c r="D11818" s="18">
        <v>2745183.8</v>
      </c>
      <c r="E11818" s="18">
        <v>248.96</v>
      </c>
      <c r="F11818" s="18">
        <v>41955.55</v>
      </c>
      <c r="G11818" s="18">
        <v>144112</v>
      </c>
      <c r="H11818" s="18">
        <f t="shared" si="266"/>
        <v>41911.550000000003</v>
      </c>
    </row>
    <row r="11819" spans="1:8" s="10" customFormat="1" ht="19.5" customHeight="1" x14ac:dyDescent="0.55000000000000004">
      <c r="A11819" s="18">
        <v>24.8101886</v>
      </c>
      <c r="B11819" s="18">
        <v>34.839393299999998</v>
      </c>
      <c r="C11819" s="18">
        <v>685917.62</v>
      </c>
      <c r="D11819" s="18">
        <v>2745183.01</v>
      </c>
      <c r="E11819" s="18">
        <v>248.82</v>
      </c>
      <c r="F11819" s="18">
        <v>41960.28</v>
      </c>
      <c r="G11819" s="18">
        <v>144114</v>
      </c>
      <c r="H11819" s="18">
        <f t="shared" si="266"/>
        <v>41916.28</v>
      </c>
    </row>
    <row r="11820" spans="1:8" s="10" customFormat="1" ht="19.5" customHeight="1" x14ac:dyDescent="0.55000000000000004">
      <c r="A11820" s="18">
        <v>24.810182000000001</v>
      </c>
      <c r="B11820" s="18">
        <v>34.839374999999997</v>
      </c>
      <c r="C11820" s="18">
        <v>685915.78</v>
      </c>
      <c r="D11820" s="18">
        <v>2745182.26</v>
      </c>
      <c r="E11820" s="18">
        <v>248.78</v>
      </c>
      <c r="F11820" s="18">
        <v>41962.13</v>
      </c>
      <c r="G11820" s="18">
        <v>144116</v>
      </c>
      <c r="H11820" s="18">
        <f t="shared" si="266"/>
        <v>41918.129999999997</v>
      </c>
    </row>
    <row r="11821" spans="1:8" s="10" customFormat="1" ht="19.5" customHeight="1" x14ac:dyDescent="0.55000000000000004">
      <c r="A11821" s="18">
        <v>24.810175600000001</v>
      </c>
      <c r="B11821" s="18">
        <v>34.839360300000003</v>
      </c>
      <c r="C11821" s="18">
        <v>685914.31</v>
      </c>
      <c r="D11821" s="18">
        <v>2745181.52</v>
      </c>
      <c r="E11821" s="18">
        <v>248.71</v>
      </c>
      <c r="F11821" s="18">
        <v>41958.6</v>
      </c>
      <c r="G11821" s="18">
        <v>144118</v>
      </c>
      <c r="H11821" s="18">
        <f t="shared" si="266"/>
        <v>41914.6</v>
      </c>
    </row>
    <row r="11822" spans="1:8" s="10" customFormat="1" ht="19.5" customHeight="1" x14ac:dyDescent="0.55000000000000004">
      <c r="A11822" s="18">
        <v>24.8101664</v>
      </c>
      <c r="B11822" s="18">
        <v>34.8393461</v>
      </c>
      <c r="C11822" s="18">
        <v>685912.88</v>
      </c>
      <c r="D11822" s="18">
        <v>2745180.49</v>
      </c>
      <c r="E11822" s="18">
        <v>248.46</v>
      </c>
      <c r="F11822" s="18">
        <v>41958.89</v>
      </c>
      <c r="G11822" s="18">
        <v>144120</v>
      </c>
      <c r="H11822" s="18">
        <f t="shared" si="266"/>
        <v>41914.89</v>
      </c>
    </row>
    <row r="11823" spans="1:8" s="10" customFormat="1" ht="19.5" customHeight="1" x14ac:dyDescent="0.55000000000000004">
      <c r="A11823" s="18">
        <v>24.810161600000001</v>
      </c>
      <c r="B11823" s="18">
        <v>34.8393394</v>
      </c>
      <c r="C11823" s="18">
        <v>685912.2</v>
      </c>
      <c r="D11823" s="18">
        <v>2745179.95</v>
      </c>
      <c r="E11823" s="18">
        <v>248.45</v>
      </c>
      <c r="F11823" s="18">
        <v>41956.58</v>
      </c>
      <c r="G11823" s="18">
        <v>144122</v>
      </c>
      <c r="H11823" s="18">
        <f t="shared" si="266"/>
        <v>41912.58</v>
      </c>
    </row>
    <row r="11824" spans="1:8" s="10" customFormat="1" ht="19.5" customHeight="1" x14ac:dyDescent="0.55000000000000004">
      <c r="A11824" s="18">
        <v>24.8101594</v>
      </c>
      <c r="B11824" s="18">
        <v>34.839338300000001</v>
      </c>
      <c r="C11824" s="18">
        <v>685912.1</v>
      </c>
      <c r="D11824" s="18">
        <v>2745179.7</v>
      </c>
      <c r="E11824" s="18">
        <v>248.37</v>
      </c>
      <c r="F11824" s="18">
        <v>41962.64</v>
      </c>
      <c r="G11824" s="18">
        <v>144124</v>
      </c>
      <c r="H11824" s="18">
        <f t="shared" si="266"/>
        <v>41918.639999999999</v>
      </c>
    </row>
    <row r="11825" spans="1:8" s="10" customFormat="1" ht="19.5" customHeight="1" x14ac:dyDescent="0.55000000000000004">
      <c r="A11825" s="18">
        <v>24.810155900000002</v>
      </c>
      <c r="B11825" s="18">
        <v>34.839330599999997</v>
      </c>
      <c r="C11825" s="18">
        <v>685911.32</v>
      </c>
      <c r="D11825" s="18">
        <v>2745179.3</v>
      </c>
      <c r="E11825" s="18">
        <v>248.21</v>
      </c>
      <c r="F11825" s="18">
        <v>41959.06</v>
      </c>
      <c r="G11825" s="18">
        <v>144126</v>
      </c>
      <c r="H11825" s="18">
        <f t="shared" si="266"/>
        <v>41915.06</v>
      </c>
    </row>
    <row r="11826" spans="1:8" s="10" customFormat="1" ht="19.5" customHeight="1" x14ac:dyDescent="0.55000000000000004">
      <c r="A11826" s="18">
        <v>24.810147700000002</v>
      </c>
      <c r="B11826" s="18">
        <v>34.839320299999997</v>
      </c>
      <c r="C11826" s="18">
        <v>685910.3</v>
      </c>
      <c r="D11826" s="18">
        <v>2745178.38</v>
      </c>
      <c r="E11826" s="18">
        <v>247.74</v>
      </c>
      <c r="F11826" s="18">
        <v>41957.760000000002</v>
      </c>
      <c r="G11826" s="18">
        <v>144128</v>
      </c>
      <c r="H11826" s="18">
        <f t="shared" si="266"/>
        <v>41913.760000000002</v>
      </c>
    </row>
    <row r="11827" spans="1:8" s="10" customFormat="1" ht="19.5" customHeight="1" x14ac:dyDescent="0.55000000000000004">
      <c r="A11827" s="18">
        <v>24.810131500000001</v>
      </c>
      <c r="B11827" s="18">
        <v>34.839323100000001</v>
      </c>
      <c r="C11827" s="18">
        <v>685910.61</v>
      </c>
      <c r="D11827" s="18">
        <v>2745176.59</v>
      </c>
      <c r="E11827" s="18">
        <v>246.93</v>
      </c>
      <c r="F11827" s="18">
        <v>41958.16</v>
      </c>
      <c r="G11827" s="18">
        <v>144130</v>
      </c>
      <c r="H11827" s="18">
        <f t="shared" si="266"/>
        <v>41914.160000000003</v>
      </c>
    </row>
    <row r="11828" spans="1:8" s="10" customFormat="1" ht="19.5" customHeight="1" x14ac:dyDescent="0.55000000000000004">
      <c r="A11828" s="18">
        <v>24.810116699999998</v>
      </c>
      <c r="B11828" s="18">
        <v>34.839331399999999</v>
      </c>
      <c r="C11828" s="18">
        <v>685911.47</v>
      </c>
      <c r="D11828" s="18">
        <v>2745174.96</v>
      </c>
      <c r="E11828" s="18">
        <v>246.73</v>
      </c>
      <c r="F11828" s="18">
        <v>41956</v>
      </c>
      <c r="G11828" s="18">
        <v>144132</v>
      </c>
      <c r="H11828" s="18">
        <f t="shared" si="266"/>
        <v>41912</v>
      </c>
    </row>
    <row r="11829" spans="1:8" s="10" customFormat="1" ht="19.5" customHeight="1" x14ac:dyDescent="0.55000000000000004">
      <c r="A11829" s="18">
        <v>24.810105</v>
      </c>
      <c r="B11829" s="18">
        <v>34.8393461</v>
      </c>
      <c r="C11829" s="18">
        <v>685912.97</v>
      </c>
      <c r="D11829" s="18">
        <v>2745173.69</v>
      </c>
      <c r="E11829" s="18">
        <v>246.51</v>
      </c>
      <c r="F11829" s="18">
        <v>41955.47</v>
      </c>
      <c r="G11829" s="18">
        <v>144134</v>
      </c>
      <c r="H11829" s="18">
        <f t="shared" si="266"/>
        <v>41911.47</v>
      </c>
    </row>
    <row r="11830" spans="1:8" s="10" customFormat="1" ht="19.5" customHeight="1" x14ac:dyDescent="0.55000000000000004">
      <c r="A11830" s="18">
        <v>24.810098</v>
      </c>
      <c r="B11830" s="18">
        <v>34.839359999999999</v>
      </c>
      <c r="C11830" s="18">
        <v>685914.39</v>
      </c>
      <c r="D11830" s="18">
        <v>2745172.93</v>
      </c>
      <c r="E11830" s="18">
        <v>246.16</v>
      </c>
      <c r="F11830" s="18">
        <v>41958.31</v>
      </c>
      <c r="G11830" s="18">
        <v>144136</v>
      </c>
      <c r="H11830" s="18">
        <f t="shared" si="266"/>
        <v>41914.31</v>
      </c>
    </row>
    <row r="11831" spans="1:8" s="10" customFormat="1" ht="19.5" customHeight="1" x14ac:dyDescent="0.55000000000000004">
      <c r="A11831" s="18">
        <v>24.810081100000001</v>
      </c>
      <c r="B11831" s="18">
        <v>34.839368700000001</v>
      </c>
      <c r="C11831" s="18">
        <v>685915.29</v>
      </c>
      <c r="D11831" s="18">
        <v>2745171.07</v>
      </c>
      <c r="E11831" s="18">
        <v>246.13</v>
      </c>
      <c r="F11831" s="18">
        <v>41956.41</v>
      </c>
      <c r="G11831" s="18">
        <v>144138</v>
      </c>
      <c r="H11831" s="18">
        <f t="shared" si="266"/>
        <v>41912.410000000003</v>
      </c>
    </row>
    <row r="11832" spans="1:8" s="10" customFormat="1" ht="19.5" customHeight="1" x14ac:dyDescent="0.55000000000000004">
      <c r="A11832" s="18">
        <v>24.8100615</v>
      </c>
      <c r="B11832" s="18">
        <v>34.839366900000002</v>
      </c>
      <c r="C11832" s="18">
        <v>685915.14</v>
      </c>
      <c r="D11832" s="18">
        <v>2745168.9</v>
      </c>
      <c r="E11832" s="18">
        <v>245.95</v>
      </c>
      <c r="F11832" s="18">
        <v>41954.46</v>
      </c>
      <c r="G11832" s="18">
        <v>144140</v>
      </c>
      <c r="H11832" s="18">
        <f t="shared" si="266"/>
        <v>41910.46</v>
      </c>
    </row>
    <row r="11833" spans="1:8" s="10" customFormat="1" ht="19.5" customHeight="1" x14ac:dyDescent="0.55000000000000004">
      <c r="A11833" s="18">
        <v>24.8100506</v>
      </c>
      <c r="B11833" s="18">
        <v>34.839354299999997</v>
      </c>
      <c r="C11833" s="18">
        <v>685913.88</v>
      </c>
      <c r="D11833" s="18">
        <v>2745167.67</v>
      </c>
      <c r="E11833" s="18">
        <v>245.97</v>
      </c>
      <c r="F11833" s="18">
        <v>41954.94</v>
      </c>
      <c r="G11833" s="18">
        <v>144142</v>
      </c>
      <c r="H11833" s="18">
        <f t="shared" ref="H11833:H11877" si="267">SUM(F11833-44)</f>
        <v>41910.94</v>
      </c>
    </row>
    <row r="11834" spans="1:8" s="10" customFormat="1" ht="19.5" customHeight="1" x14ac:dyDescent="0.55000000000000004">
      <c r="A11834" s="18">
        <v>24.810040300000001</v>
      </c>
      <c r="B11834" s="18">
        <v>34.839342799999997</v>
      </c>
      <c r="C11834" s="18">
        <v>685912.73</v>
      </c>
      <c r="D11834" s="18">
        <v>2745166.52</v>
      </c>
      <c r="E11834" s="18">
        <v>245.79</v>
      </c>
      <c r="F11834" s="18">
        <v>41950.62</v>
      </c>
      <c r="G11834" s="18">
        <v>144144</v>
      </c>
      <c r="H11834" s="18">
        <f t="shared" si="267"/>
        <v>41906.620000000003</v>
      </c>
    </row>
    <row r="11835" spans="1:8" s="10" customFormat="1" ht="19.5" customHeight="1" x14ac:dyDescent="0.55000000000000004">
      <c r="A11835" s="18">
        <v>24.8100241</v>
      </c>
      <c r="B11835" s="18">
        <v>34.839339299999999</v>
      </c>
      <c r="C11835" s="18">
        <v>685912.4</v>
      </c>
      <c r="D11835" s="18">
        <v>2745164.72</v>
      </c>
      <c r="E11835" s="18">
        <v>245.65</v>
      </c>
      <c r="F11835" s="18">
        <v>41955.14</v>
      </c>
      <c r="G11835" s="18">
        <v>144146</v>
      </c>
      <c r="H11835" s="18">
        <f t="shared" si="267"/>
        <v>41911.14</v>
      </c>
    </row>
    <row r="11836" spans="1:8" s="10" customFormat="1" ht="19.5" customHeight="1" x14ac:dyDescent="0.55000000000000004">
      <c r="A11836" s="18">
        <v>24.810006699999999</v>
      </c>
      <c r="B11836" s="18">
        <v>34.839333500000002</v>
      </c>
      <c r="C11836" s="18">
        <v>685911.85</v>
      </c>
      <c r="D11836" s="18">
        <v>2745162.78</v>
      </c>
      <c r="E11836" s="18">
        <v>245.38</v>
      </c>
      <c r="F11836" s="18">
        <v>41955.76</v>
      </c>
      <c r="G11836" s="18">
        <v>144148</v>
      </c>
      <c r="H11836" s="18">
        <f t="shared" si="267"/>
        <v>41911.760000000002</v>
      </c>
    </row>
    <row r="11837" spans="1:8" s="10" customFormat="1" ht="19.5" customHeight="1" x14ac:dyDescent="0.55000000000000004">
      <c r="A11837" s="18">
        <v>24.809993200000001</v>
      </c>
      <c r="B11837" s="18">
        <v>34.8393278</v>
      </c>
      <c r="C11837" s="18">
        <v>685911.29</v>
      </c>
      <c r="D11837" s="18">
        <v>2745161.28</v>
      </c>
      <c r="E11837" s="18">
        <v>245.39</v>
      </c>
      <c r="F11837" s="18">
        <v>41953.66</v>
      </c>
      <c r="G11837" s="18">
        <v>144150</v>
      </c>
      <c r="H11837" s="18">
        <f t="shared" si="267"/>
        <v>41909.660000000003</v>
      </c>
    </row>
    <row r="11838" spans="1:8" s="10" customFormat="1" ht="19.5" customHeight="1" x14ac:dyDescent="0.55000000000000004">
      <c r="A11838" s="18">
        <v>24.8099797</v>
      </c>
      <c r="B11838" s="18">
        <v>34.839321699999999</v>
      </c>
      <c r="C11838" s="18">
        <v>685910.69</v>
      </c>
      <c r="D11838" s="18">
        <v>2745159.77</v>
      </c>
      <c r="E11838" s="18">
        <v>245.27</v>
      </c>
      <c r="F11838" s="18">
        <v>41955.3</v>
      </c>
      <c r="G11838" s="18">
        <v>144152</v>
      </c>
      <c r="H11838" s="18">
        <f t="shared" si="267"/>
        <v>41911.300000000003</v>
      </c>
    </row>
    <row r="11839" spans="1:8" s="10" customFormat="1" ht="19.5" customHeight="1" x14ac:dyDescent="0.55000000000000004">
      <c r="A11839" s="18">
        <v>24.809965600000002</v>
      </c>
      <c r="B11839" s="18">
        <v>34.839311000000002</v>
      </c>
      <c r="C11839" s="18">
        <v>685909.63</v>
      </c>
      <c r="D11839" s="18">
        <v>2745158.2</v>
      </c>
      <c r="E11839" s="18">
        <v>245.24</v>
      </c>
      <c r="F11839" s="18">
        <v>41954.17</v>
      </c>
      <c r="G11839" s="18">
        <v>144154</v>
      </c>
      <c r="H11839" s="18">
        <f t="shared" si="267"/>
        <v>41910.17</v>
      </c>
    </row>
    <row r="11840" spans="1:8" s="10" customFormat="1" ht="19.5" customHeight="1" x14ac:dyDescent="0.55000000000000004">
      <c r="A11840" s="18">
        <v>24.809951600000002</v>
      </c>
      <c r="B11840" s="18">
        <v>34.839300999999999</v>
      </c>
      <c r="C11840" s="18">
        <v>685908.64</v>
      </c>
      <c r="D11840" s="18">
        <v>2745156.64</v>
      </c>
      <c r="E11840" s="18">
        <v>245.12</v>
      </c>
      <c r="F11840" s="18">
        <v>41954.38</v>
      </c>
      <c r="G11840" s="18">
        <v>144156</v>
      </c>
      <c r="H11840" s="18">
        <f t="shared" si="267"/>
        <v>41910.379999999997</v>
      </c>
    </row>
    <row r="11841" spans="1:8" s="10" customFormat="1" ht="19.5" customHeight="1" x14ac:dyDescent="0.55000000000000004">
      <c r="A11841" s="18">
        <v>24.8099384</v>
      </c>
      <c r="B11841" s="18">
        <v>34.839293900000001</v>
      </c>
      <c r="C11841" s="18">
        <v>685907.95</v>
      </c>
      <c r="D11841" s="18">
        <v>2745155.16</v>
      </c>
      <c r="E11841" s="18">
        <v>245.14</v>
      </c>
      <c r="F11841" s="18">
        <v>41953.74</v>
      </c>
      <c r="G11841" s="18">
        <v>144158</v>
      </c>
      <c r="H11841" s="18">
        <f t="shared" si="267"/>
        <v>41909.74</v>
      </c>
    </row>
    <row r="11842" spans="1:8" s="10" customFormat="1" ht="19.5" customHeight="1" x14ac:dyDescent="0.55000000000000004">
      <c r="A11842" s="18">
        <v>24.8099265</v>
      </c>
      <c r="B11842" s="18">
        <v>34.8392914</v>
      </c>
      <c r="C11842" s="18">
        <v>685907.7</v>
      </c>
      <c r="D11842" s="18">
        <v>2745153.84</v>
      </c>
      <c r="E11842" s="18">
        <v>245.06</v>
      </c>
      <c r="F11842" s="18">
        <v>41954.52</v>
      </c>
      <c r="G11842" s="18">
        <v>144200</v>
      </c>
      <c r="H11842" s="18">
        <f t="shared" si="267"/>
        <v>41910.519999999997</v>
      </c>
    </row>
    <row r="11843" spans="1:8" s="10" customFormat="1" ht="19.5" customHeight="1" x14ac:dyDescent="0.55000000000000004">
      <c r="A11843" s="18">
        <v>24.8099104</v>
      </c>
      <c r="B11843" s="18">
        <v>34.839290499999997</v>
      </c>
      <c r="C11843" s="18">
        <v>685907.64</v>
      </c>
      <c r="D11843" s="18">
        <v>2745152.06</v>
      </c>
      <c r="E11843" s="18">
        <v>244.97</v>
      </c>
      <c r="F11843" s="18">
        <v>41952.78</v>
      </c>
      <c r="G11843" s="18">
        <v>144202</v>
      </c>
      <c r="H11843" s="18">
        <f t="shared" si="267"/>
        <v>41908.78</v>
      </c>
    </row>
    <row r="11844" spans="1:8" s="10" customFormat="1" ht="19.5" customHeight="1" x14ac:dyDescent="0.55000000000000004">
      <c r="A11844" s="18">
        <v>24.809894</v>
      </c>
      <c r="B11844" s="18">
        <v>34.839294000000002</v>
      </c>
      <c r="C11844" s="18">
        <v>685908.02</v>
      </c>
      <c r="D11844" s="18">
        <v>2745150.25</v>
      </c>
      <c r="E11844" s="18">
        <v>244.9</v>
      </c>
      <c r="F11844" s="18">
        <v>41954.29</v>
      </c>
      <c r="G11844" s="18">
        <v>144204</v>
      </c>
      <c r="H11844" s="18">
        <f t="shared" si="267"/>
        <v>41910.29</v>
      </c>
    </row>
    <row r="11845" spans="1:8" s="10" customFormat="1" ht="19.5" customHeight="1" x14ac:dyDescent="0.55000000000000004">
      <c r="A11845" s="18">
        <v>24.809877400000001</v>
      </c>
      <c r="B11845" s="18">
        <v>34.839291099999997</v>
      </c>
      <c r="C11845" s="18">
        <v>685907.75</v>
      </c>
      <c r="D11845" s="18">
        <v>2745148.4</v>
      </c>
      <c r="E11845" s="18">
        <v>244.69</v>
      </c>
      <c r="F11845" s="18">
        <v>41951.08</v>
      </c>
      <c r="G11845" s="18">
        <v>144206</v>
      </c>
      <c r="H11845" s="18">
        <f t="shared" si="267"/>
        <v>41907.08</v>
      </c>
    </row>
    <row r="11846" spans="1:8" s="10" customFormat="1" ht="19.5" customHeight="1" x14ac:dyDescent="0.55000000000000004">
      <c r="A11846" s="18">
        <v>24.809861000000001</v>
      </c>
      <c r="B11846" s="18">
        <v>34.839288500000002</v>
      </c>
      <c r="C11846" s="18">
        <v>685907.51</v>
      </c>
      <c r="D11846" s="18">
        <v>2745146.59</v>
      </c>
      <c r="E11846" s="18">
        <v>244.62</v>
      </c>
      <c r="F11846" s="18">
        <v>41954.44</v>
      </c>
      <c r="G11846" s="18">
        <v>144208</v>
      </c>
      <c r="H11846" s="18">
        <f t="shared" si="267"/>
        <v>41910.44</v>
      </c>
    </row>
    <row r="11847" spans="1:8" s="10" customFormat="1" ht="19.5" customHeight="1" x14ac:dyDescent="0.55000000000000004">
      <c r="A11847" s="18">
        <v>24.809845899999999</v>
      </c>
      <c r="B11847" s="18">
        <v>34.839278299999997</v>
      </c>
      <c r="C11847" s="18">
        <v>685906.5</v>
      </c>
      <c r="D11847" s="18">
        <v>2745144.9</v>
      </c>
      <c r="E11847" s="18">
        <v>244.52</v>
      </c>
      <c r="F11847" s="18">
        <v>41954.34</v>
      </c>
      <c r="G11847" s="18">
        <v>144210</v>
      </c>
      <c r="H11847" s="18">
        <f t="shared" si="267"/>
        <v>41910.339999999997</v>
      </c>
    </row>
    <row r="11848" spans="1:8" s="10" customFormat="1" ht="19.5" customHeight="1" x14ac:dyDescent="0.55000000000000004">
      <c r="A11848" s="18">
        <v>24.8098326</v>
      </c>
      <c r="B11848" s="18">
        <v>34.839269000000002</v>
      </c>
      <c r="C11848" s="18">
        <v>685905.59</v>
      </c>
      <c r="D11848" s="18">
        <v>2745143.41</v>
      </c>
      <c r="E11848" s="18">
        <v>244.43</v>
      </c>
      <c r="F11848" s="18">
        <v>41953.98</v>
      </c>
      <c r="G11848" s="18">
        <v>144212</v>
      </c>
      <c r="H11848" s="18">
        <f t="shared" si="267"/>
        <v>41909.980000000003</v>
      </c>
    </row>
    <row r="11849" spans="1:8" s="10" customFormat="1" ht="19.5" customHeight="1" x14ac:dyDescent="0.55000000000000004">
      <c r="A11849" s="18">
        <v>24.8098144</v>
      </c>
      <c r="B11849" s="18">
        <v>34.839262699999999</v>
      </c>
      <c r="C11849" s="18">
        <v>685904.97</v>
      </c>
      <c r="D11849" s="18">
        <v>2745141.39</v>
      </c>
      <c r="E11849" s="18">
        <v>244.32</v>
      </c>
      <c r="F11849" s="18">
        <v>41955.54</v>
      </c>
      <c r="G11849" s="18">
        <v>144214</v>
      </c>
      <c r="H11849" s="18">
        <f t="shared" si="267"/>
        <v>41911.54</v>
      </c>
    </row>
    <row r="11850" spans="1:8" s="10" customFormat="1" ht="19.5" customHeight="1" x14ac:dyDescent="0.55000000000000004">
      <c r="A11850" s="18">
        <v>24.809802699999999</v>
      </c>
      <c r="B11850" s="18">
        <v>34.839249199999998</v>
      </c>
      <c r="C11850" s="18">
        <v>685903.63</v>
      </c>
      <c r="D11850" s="18">
        <v>2745140.07</v>
      </c>
      <c r="E11850" s="18">
        <v>244.38</v>
      </c>
      <c r="F11850" s="18">
        <v>41958.97</v>
      </c>
      <c r="G11850" s="18">
        <v>144216</v>
      </c>
      <c r="H11850" s="18">
        <f t="shared" si="267"/>
        <v>41914.97</v>
      </c>
    </row>
    <row r="11851" spans="1:8" s="10" customFormat="1" ht="19.5" customHeight="1" x14ac:dyDescent="0.55000000000000004">
      <c r="A11851" s="18">
        <v>24.809802600000001</v>
      </c>
      <c r="B11851" s="18">
        <v>34.8392324</v>
      </c>
      <c r="C11851" s="18">
        <v>685901.93</v>
      </c>
      <c r="D11851" s="18">
        <v>2745140.04</v>
      </c>
      <c r="E11851" s="18">
        <v>244.22</v>
      </c>
      <c r="F11851" s="18">
        <v>41959.06</v>
      </c>
      <c r="G11851" s="18">
        <v>144218</v>
      </c>
      <c r="H11851" s="18">
        <f t="shared" si="267"/>
        <v>41915.06</v>
      </c>
    </row>
    <row r="11852" spans="1:8" s="10" customFormat="1" ht="19.5" customHeight="1" x14ac:dyDescent="0.55000000000000004">
      <c r="A11852" s="18">
        <v>24.809803299999999</v>
      </c>
      <c r="B11852" s="18">
        <v>34.839220900000001</v>
      </c>
      <c r="C11852" s="18">
        <v>685900.76</v>
      </c>
      <c r="D11852" s="18">
        <v>2745140.1</v>
      </c>
      <c r="E11852" s="18">
        <v>244.04</v>
      </c>
      <c r="F11852" s="18">
        <v>41957.51</v>
      </c>
      <c r="G11852" s="18">
        <v>144220</v>
      </c>
      <c r="H11852" s="18">
        <f t="shared" si="267"/>
        <v>41913.51</v>
      </c>
    </row>
    <row r="11853" spans="1:8" s="10" customFormat="1" ht="19.5" customHeight="1" x14ac:dyDescent="0.55000000000000004">
      <c r="A11853" s="18">
        <v>24.809801400000001</v>
      </c>
      <c r="B11853" s="18">
        <v>34.839206900000001</v>
      </c>
      <c r="C11853" s="18">
        <v>685899.35</v>
      </c>
      <c r="D11853" s="18">
        <v>2745139.87</v>
      </c>
      <c r="E11853" s="18">
        <v>243.77</v>
      </c>
      <c r="F11853" s="18">
        <v>41959.3</v>
      </c>
      <c r="G11853" s="18">
        <v>144222</v>
      </c>
      <c r="H11853" s="18">
        <f t="shared" si="267"/>
        <v>41915.300000000003</v>
      </c>
    </row>
    <row r="11854" spans="1:8" s="10" customFormat="1" ht="19.5" customHeight="1" x14ac:dyDescent="0.55000000000000004">
      <c r="A11854" s="18">
        <v>24.809803500000001</v>
      </c>
      <c r="B11854" s="18">
        <v>34.8391868</v>
      </c>
      <c r="C11854" s="18">
        <v>685897.32</v>
      </c>
      <c r="D11854" s="18">
        <v>2745140.08</v>
      </c>
      <c r="E11854" s="18">
        <v>243.66</v>
      </c>
      <c r="F11854" s="18">
        <v>41957.99</v>
      </c>
      <c r="G11854" s="18">
        <v>144224</v>
      </c>
      <c r="H11854" s="18">
        <f t="shared" si="267"/>
        <v>41913.99</v>
      </c>
    </row>
    <row r="11855" spans="1:8" s="10" customFormat="1" ht="19.5" customHeight="1" x14ac:dyDescent="0.55000000000000004">
      <c r="A11855" s="18">
        <v>24.809808199999999</v>
      </c>
      <c r="B11855" s="18">
        <v>34.839169499999997</v>
      </c>
      <c r="C11855" s="18">
        <v>685895.56</v>
      </c>
      <c r="D11855" s="18">
        <v>2745140.58</v>
      </c>
      <c r="E11855" s="18">
        <v>243.44</v>
      </c>
      <c r="F11855" s="18">
        <v>41959.68</v>
      </c>
      <c r="G11855" s="18">
        <v>144226</v>
      </c>
      <c r="H11855" s="18">
        <f t="shared" si="267"/>
        <v>41915.68</v>
      </c>
    </row>
    <row r="11856" spans="1:8" s="10" customFormat="1" ht="19.5" customHeight="1" x14ac:dyDescent="0.55000000000000004">
      <c r="A11856" s="18">
        <v>24.809814800000002</v>
      </c>
      <c r="B11856" s="18">
        <v>34.839151000000001</v>
      </c>
      <c r="C11856" s="18">
        <v>685893.68</v>
      </c>
      <c r="D11856" s="18">
        <v>2745141.28</v>
      </c>
      <c r="E11856" s="18">
        <v>243.33</v>
      </c>
      <c r="F11856" s="18">
        <v>41956.36</v>
      </c>
      <c r="G11856" s="18">
        <v>144228</v>
      </c>
      <c r="H11856" s="18">
        <f t="shared" si="267"/>
        <v>41912.36</v>
      </c>
    </row>
    <row r="11857" spans="1:8" s="10" customFormat="1" ht="19.5" customHeight="1" x14ac:dyDescent="0.55000000000000004">
      <c r="A11857" s="18">
        <v>24.8098159</v>
      </c>
      <c r="B11857" s="18">
        <v>34.839132599999999</v>
      </c>
      <c r="C11857" s="18">
        <v>685891.81</v>
      </c>
      <c r="D11857" s="18">
        <v>2745141.37</v>
      </c>
      <c r="E11857" s="18">
        <v>243.14</v>
      </c>
      <c r="F11857" s="18">
        <v>41957.79</v>
      </c>
      <c r="G11857" s="18">
        <v>144230</v>
      </c>
      <c r="H11857" s="18">
        <f t="shared" si="267"/>
        <v>41913.79</v>
      </c>
    </row>
    <row r="11858" spans="1:8" s="10" customFormat="1" ht="19.5" customHeight="1" x14ac:dyDescent="0.55000000000000004">
      <c r="A11858" s="18">
        <v>24.8098113</v>
      </c>
      <c r="B11858" s="18">
        <v>34.8391138</v>
      </c>
      <c r="C11858" s="18">
        <v>685889.92</v>
      </c>
      <c r="D11858" s="18">
        <v>2745140.83</v>
      </c>
      <c r="E11858" s="18">
        <v>242.99</v>
      </c>
      <c r="F11858" s="18">
        <v>41958.33</v>
      </c>
      <c r="G11858" s="18">
        <v>144232</v>
      </c>
      <c r="H11858" s="18">
        <f t="shared" si="267"/>
        <v>41914.33</v>
      </c>
    </row>
    <row r="11859" spans="1:8" s="10" customFormat="1" ht="19.5" customHeight="1" x14ac:dyDescent="0.55000000000000004">
      <c r="A11859" s="18">
        <v>24.8098074</v>
      </c>
      <c r="B11859" s="18">
        <v>34.839095999999998</v>
      </c>
      <c r="C11859" s="18">
        <v>685888.13</v>
      </c>
      <c r="D11859" s="18">
        <v>2745140.38</v>
      </c>
      <c r="E11859" s="18">
        <v>242.72</v>
      </c>
      <c r="F11859" s="18">
        <v>41960.23</v>
      </c>
      <c r="G11859" s="18">
        <v>144234</v>
      </c>
      <c r="H11859" s="18">
        <f t="shared" si="267"/>
        <v>41916.230000000003</v>
      </c>
    </row>
    <row r="11860" spans="1:8" s="10" customFormat="1" ht="19.5" customHeight="1" x14ac:dyDescent="0.55000000000000004">
      <c r="A11860" s="18">
        <v>24.809814800000002</v>
      </c>
      <c r="B11860" s="18">
        <v>34.839074500000002</v>
      </c>
      <c r="C11860" s="18">
        <v>685885.95</v>
      </c>
      <c r="D11860" s="18">
        <v>2745141.18</v>
      </c>
      <c r="E11860" s="18">
        <v>242.45</v>
      </c>
      <c r="F11860" s="18">
        <v>41953.97</v>
      </c>
      <c r="G11860" s="18">
        <v>144236</v>
      </c>
      <c r="H11860" s="18">
        <f t="shared" si="267"/>
        <v>41909.97</v>
      </c>
    </row>
    <row r="11861" spans="1:8" s="10" customFormat="1" ht="19.5" customHeight="1" x14ac:dyDescent="0.55000000000000004">
      <c r="A11861" s="18">
        <v>24.809814200000002</v>
      </c>
      <c r="B11861" s="18">
        <v>34.839060799999999</v>
      </c>
      <c r="C11861" s="18">
        <v>685884.56</v>
      </c>
      <c r="D11861" s="18">
        <v>2745141.09</v>
      </c>
      <c r="E11861" s="18">
        <v>242.44</v>
      </c>
      <c r="F11861" s="18">
        <v>41954.31</v>
      </c>
      <c r="G11861" s="18">
        <v>144238</v>
      </c>
      <c r="H11861" s="18">
        <f t="shared" si="267"/>
        <v>41910.31</v>
      </c>
    </row>
    <row r="11862" spans="1:8" s="10" customFormat="1" ht="19.5" customHeight="1" x14ac:dyDescent="0.55000000000000004">
      <c r="A11862" s="18">
        <v>24.809810899999999</v>
      </c>
      <c r="B11862" s="18">
        <v>34.839047700000002</v>
      </c>
      <c r="C11862" s="18">
        <v>685883.25</v>
      </c>
      <c r="D11862" s="18">
        <v>2745140.7</v>
      </c>
      <c r="E11862" s="18">
        <v>242.27</v>
      </c>
      <c r="F11862" s="18">
        <v>41954.94</v>
      </c>
      <c r="G11862" s="18">
        <v>144240</v>
      </c>
      <c r="H11862" s="18">
        <f t="shared" si="267"/>
        <v>41910.94</v>
      </c>
    </row>
    <row r="11863" spans="1:8" s="10" customFormat="1" ht="19.5" customHeight="1" x14ac:dyDescent="0.55000000000000004">
      <c r="A11863" s="18">
        <v>24.809808400000001</v>
      </c>
      <c r="B11863" s="18">
        <v>34.8390305</v>
      </c>
      <c r="C11863" s="18">
        <v>685881.5</v>
      </c>
      <c r="D11863" s="18">
        <v>2745140.41</v>
      </c>
      <c r="E11863" s="18">
        <v>242.24</v>
      </c>
      <c r="F11863" s="18">
        <v>41951.32</v>
      </c>
      <c r="G11863" s="18">
        <v>144242</v>
      </c>
      <c r="H11863" s="18">
        <f t="shared" si="267"/>
        <v>41907.32</v>
      </c>
    </row>
    <row r="11864" spans="1:8" s="10" customFormat="1" ht="19.5" customHeight="1" x14ac:dyDescent="0.55000000000000004">
      <c r="A11864" s="18">
        <v>24.809800200000002</v>
      </c>
      <c r="B11864" s="18">
        <v>34.839019299999997</v>
      </c>
      <c r="C11864" s="18">
        <v>685880.39</v>
      </c>
      <c r="D11864" s="18">
        <v>2745139.48</v>
      </c>
      <c r="E11864" s="18">
        <v>242.17</v>
      </c>
      <c r="F11864" s="18">
        <v>41952.94</v>
      </c>
      <c r="G11864" s="18">
        <v>144244</v>
      </c>
      <c r="H11864" s="18">
        <f t="shared" si="267"/>
        <v>41908.94</v>
      </c>
    </row>
    <row r="11865" spans="1:8" s="10" customFormat="1" ht="19.5" customHeight="1" x14ac:dyDescent="0.55000000000000004">
      <c r="A11865" s="18">
        <v>24.809791000000001</v>
      </c>
      <c r="B11865" s="18">
        <v>34.839009400000002</v>
      </c>
      <c r="C11865" s="18">
        <v>685879.4</v>
      </c>
      <c r="D11865" s="18">
        <v>2745138.44</v>
      </c>
      <c r="E11865" s="18">
        <v>242.16</v>
      </c>
      <c r="F11865" s="18">
        <v>41954.73</v>
      </c>
      <c r="G11865" s="18">
        <v>144246</v>
      </c>
      <c r="H11865" s="18">
        <f t="shared" si="267"/>
        <v>41910.730000000003</v>
      </c>
    </row>
    <row r="11866" spans="1:8" s="10" customFormat="1" ht="19.5" customHeight="1" x14ac:dyDescent="0.55000000000000004">
      <c r="A11866" s="18">
        <v>24.809783500000002</v>
      </c>
      <c r="B11866" s="18">
        <v>34.839001699999997</v>
      </c>
      <c r="C11866" s="18">
        <v>685878.64</v>
      </c>
      <c r="D11866" s="18">
        <v>2745137.61</v>
      </c>
      <c r="E11866" s="18">
        <v>241.84</v>
      </c>
      <c r="F11866" s="18">
        <v>41951.4</v>
      </c>
      <c r="G11866" s="18">
        <v>144248</v>
      </c>
      <c r="H11866" s="18">
        <f t="shared" si="267"/>
        <v>41907.4</v>
      </c>
    </row>
    <row r="11867" spans="1:8" s="10" customFormat="1" ht="19.5" customHeight="1" x14ac:dyDescent="0.55000000000000004">
      <c r="A11867" s="18">
        <v>24.809780799999999</v>
      </c>
      <c r="B11867" s="18">
        <v>34.839004199999998</v>
      </c>
      <c r="C11867" s="18">
        <v>685878.89</v>
      </c>
      <c r="D11867" s="18">
        <v>2745137.32</v>
      </c>
      <c r="E11867" s="18">
        <v>241.93</v>
      </c>
      <c r="F11867" s="18">
        <v>41955.69</v>
      </c>
      <c r="G11867" s="18">
        <v>144250</v>
      </c>
      <c r="H11867" s="18">
        <f t="shared" si="267"/>
        <v>41911.69</v>
      </c>
    </row>
    <row r="11868" spans="1:8" s="10" customFormat="1" ht="19.5" customHeight="1" x14ac:dyDescent="0.55000000000000004">
      <c r="A11868" s="18">
        <v>24.809780499999999</v>
      </c>
      <c r="B11868" s="18">
        <v>34.839009799999999</v>
      </c>
      <c r="C11868" s="18">
        <v>685879.45</v>
      </c>
      <c r="D11868" s="18">
        <v>2745137.29</v>
      </c>
      <c r="E11868" s="18">
        <v>241.74</v>
      </c>
      <c r="F11868" s="18">
        <v>41958.75</v>
      </c>
      <c r="G11868" s="18">
        <v>144252</v>
      </c>
      <c r="H11868" s="18">
        <f t="shared" si="267"/>
        <v>41914.75</v>
      </c>
    </row>
    <row r="11869" spans="1:8" s="10" customFormat="1" ht="19.5" customHeight="1" x14ac:dyDescent="0.55000000000000004">
      <c r="A11869" s="18">
        <v>24.809775699999999</v>
      </c>
      <c r="B11869" s="18">
        <v>34.8390141</v>
      </c>
      <c r="C11869" s="18">
        <v>685879.9</v>
      </c>
      <c r="D11869" s="18">
        <v>2745136.76</v>
      </c>
      <c r="E11869" s="18">
        <v>241.55</v>
      </c>
      <c r="F11869" s="18">
        <v>41966.14</v>
      </c>
      <c r="G11869" s="18">
        <v>144254</v>
      </c>
      <c r="H11869" s="18">
        <f t="shared" si="267"/>
        <v>41922.14</v>
      </c>
    </row>
    <row r="11870" spans="1:8" s="10" customFormat="1" ht="19.5" customHeight="1" x14ac:dyDescent="0.55000000000000004">
      <c r="A11870" s="18">
        <v>24.8097739</v>
      </c>
      <c r="B11870" s="18">
        <v>34.839011599999999</v>
      </c>
      <c r="C11870" s="18">
        <v>685879.65</v>
      </c>
      <c r="D11870" s="18">
        <v>2745136.56</v>
      </c>
      <c r="E11870" s="18">
        <v>241.36</v>
      </c>
      <c r="F11870" s="18">
        <v>41951.21</v>
      </c>
      <c r="G11870" s="18">
        <v>144256</v>
      </c>
      <c r="H11870" s="18">
        <f t="shared" si="267"/>
        <v>41907.21</v>
      </c>
    </row>
    <row r="11871" spans="1:8" s="10" customFormat="1" ht="19.5" customHeight="1" x14ac:dyDescent="0.55000000000000004">
      <c r="A11871" s="18">
        <v>24.809762899999999</v>
      </c>
      <c r="B11871" s="18">
        <v>34.839012500000003</v>
      </c>
      <c r="C11871" s="18">
        <v>685879.76</v>
      </c>
      <c r="D11871" s="18">
        <v>2745135.34</v>
      </c>
      <c r="E11871" s="18">
        <v>241.22</v>
      </c>
      <c r="F11871" s="18">
        <v>41950.89</v>
      </c>
      <c r="G11871" s="18">
        <v>144258</v>
      </c>
      <c r="H11871" s="18">
        <f t="shared" si="267"/>
        <v>41906.89</v>
      </c>
    </row>
    <row r="11872" spans="1:8" s="10" customFormat="1" ht="19.5" customHeight="1" x14ac:dyDescent="0.55000000000000004">
      <c r="A11872" s="18">
        <v>24.8097447</v>
      </c>
      <c r="B11872" s="18">
        <v>34.8390129</v>
      </c>
      <c r="C11872" s="18">
        <v>685879.82</v>
      </c>
      <c r="D11872" s="18">
        <v>2745133.33</v>
      </c>
      <c r="E11872" s="18">
        <v>241.01</v>
      </c>
      <c r="F11872" s="18">
        <v>41949.37</v>
      </c>
      <c r="G11872" s="18">
        <v>144300</v>
      </c>
      <c r="H11872" s="18">
        <f t="shared" si="267"/>
        <v>41905.370000000003</v>
      </c>
    </row>
    <row r="11873" spans="1:9" s="10" customFormat="1" ht="19.5" customHeight="1" x14ac:dyDescent="0.55000000000000004">
      <c r="A11873" s="18">
        <v>24.809726399999999</v>
      </c>
      <c r="B11873" s="18">
        <v>34.839018600000003</v>
      </c>
      <c r="C11873" s="18">
        <v>685880.43</v>
      </c>
      <c r="D11873" s="18">
        <v>2745131.3</v>
      </c>
      <c r="E11873" s="18">
        <v>240.89</v>
      </c>
      <c r="F11873" s="18">
        <v>41953.34</v>
      </c>
      <c r="G11873" s="18">
        <v>144302</v>
      </c>
      <c r="H11873" s="18">
        <f t="shared" si="267"/>
        <v>41909.339999999997</v>
      </c>
    </row>
    <row r="11874" spans="1:9" s="10" customFormat="1" ht="19.5" customHeight="1" x14ac:dyDescent="0.55000000000000004">
      <c r="A11874" s="18">
        <v>24.809707700000001</v>
      </c>
      <c r="B11874" s="18">
        <v>34.839027700000003</v>
      </c>
      <c r="C11874" s="18">
        <v>685881.38</v>
      </c>
      <c r="D11874" s="18">
        <v>2745129.25</v>
      </c>
      <c r="E11874" s="18">
        <v>240.95</v>
      </c>
      <c r="F11874" s="18">
        <v>41952.78</v>
      </c>
      <c r="G11874" s="18">
        <v>144304</v>
      </c>
      <c r="H11874" s="18">
        <f t="shared" si="267"/>
        <v>41908.78</v>
      </c>
    </row>
    <row r="11875" spans="1:9" s="10" customFormat="1" ht="19.5" customHeight="1" x14ac:dyDescent="0.55000000000000004">
      <c r="A11875" s="18">
        <v>24.8096882</v>
      </c>
      <c r="B11875" s="18">
        <v>34.839033700000002</v>
      </c>
      <c r="C11875" s="18">
        <v>685882.01</v>
      </c>
      <c r="D11875" s="18">
        <v>2745127.09</v>
      </c>
      <c r="E11875" s="18">
        <v>240.94</v>
      </c>
      <c r="F11875" s="18">
        <v>41951.65</v>
      </c>
      <c r="G11875" s="18">
        <v>144306</v>
      </c>
      <c r="H11875" s="18">
        <f t="shared" si="267"/>
        <v>41907.65</v>
      </c>
    </row>
    <row r="11876" spans="1:9" s="10" customFormat="1" ht="19.5" customHeight="1" x14ac:dyDescent="0.55000000000000004">
      <c r="A11876" s="18">
        <v>24.8096706</v>
      </c>
      <c r="B11876" s="18">
        <v>34.839039</v>
      </c>
      <c r="C11876" s="18">
        <v>685882.57</v>
      </c>
      <c r="D11876" s="18">
        <v>2745125.15</v>
      </c>
      <c r="E11876" s="18">
        <v>240.94</v>
      </c>
      <c r="F11876" s="18">
        <v>41953.96</v>
      </c>
      <c r="G11876" s="18">
        <v>144308</v>
      </c>
      <c r="H11876" s="18">
        <f t="shared" si="267"/>
        <v>41909.96</v>
      </c>
    </row>
    <row r="11877" spans="1:9" s="10" customFormat="1" ht="19.5" customHeight="1" x14ac:dyDescent="0.55000000000000004">
      <c r="A11877" s="18">
        <v>24.809654399999999</v>
      </c>
      <c r="B11877" s="18">
        <v>34.839044999999999</v>
      </c>
      <c r="C11877" s="18">
        <v>685883.21</v>
      </c>
      <c r="D11877" s="18">
        <v>2745123.36</v>
      </c>
      <c r="E11877" s="18">
        <v>240.95</v>
      </c>
      <c r="F11877" s="18">
        <v>41955.97</v>
      </c>
      <c r="G11877" s="18">
        <v>144310</v>
      </c>
      <c r="H11877" s="18">
        <f t="shared" si="267"/>
        <v>41911.97</v>
      </c>
    </row>
    <row r="11878" spans="1:9" s="4" customFormat="1" ht="18.75" customHeight="1" x14ac:dyDescent="0.55000000000000004">
      <c r="A11878" s="18">
        <v>24.693929300000001</v>
      </c>
      <c r="B11878" s="18">
        <v>34.886243</v>
      </c>
      <c r="C11878" s="18">
        <v>690831.64</v>
      </c>
      <c r="D11878" s="18">
        <v>2732370.29</v>
      </c>
      <c r="E11878" s="18">
        <v>242.55</v>
      </c>
      <c r="F11878" s="18">
        <v>41799.99</v>
      </c>
      <c r="G11878" s="18">
        <v>75825</v>
      </c>
      <c r="H11878" s="18">
        <f>SUM(F11878-12)</f>
        <v>41787.99</v>
      </c>
      <c r="I11878" s="3"/>
    </row>
    <row r="11879" spans="1:9" s="4" customFormat="1" ht="18.75" customHeight="1" x14ac:dyDescent="0.55000000000000004">
      <c r="A11879" s="18">
        <v>24.693930699999999</v>
      </c>
      <c r="B11879" s="18">
        <v>34.886242299999999</v>
      </c>
      <c r="C11879" s="18">
        <v>690831.57</v>
      </c>
      <c r="D11879" s="18">
        <v>2732370.44</v>
      </c>
      <c r="E11879" s="18">
        <v>242.66</v>
      </c>
      <c r="F11879" s="18">
        <v>41799.68</v>
      </c>
      <c r="G11879" s="18">
        <v>75837</v>
      </c>
      <c r="H11879" s="18">
        <f t="shared" ref="H11879:H11901" si="268">SUM(F11879-12)</f>
        <v>41787.68</v>
      </c>
      <c r="I11879" s="3"/>
    </row>
    <row r="11880" spans="1:9" s="4" customFormat="1" ht="18.75" customHeight="1" x14ac:dyDescent="0.55000000000000004">
      <c r="A11880" s="18">
        <v>24.692770100000001</v>
      </c>
      <c r="B11880" s="18">
        <v>34.888141500000003</v>
      </c>
      <c r="C11880" s="18">
        <v>691025.53</v>
      </c>
      <c r="D11880" s="18">
        <v>2732244.54</v>
      </c>
      <c r="E11880" s="18">
        <v>241.54</v>
      </c>
      <c r="F11880" s="18">
        <v>41817.35</v>
      </c>
      <c r="G11880" s="18">
        <v>80001</v>
      </c>
      <c r="H11880" s="18">
        <f t="shared" si="268"/>
        <v>41805.35</v>
      </c>
      <c r="I11880" s="3"/>
    </row>
    <row r="11881" spans="1:9" s="4" customFormat="1" ht="18.75" customHeight="1" x14ac:dyDescent="0.55000000000000004">
      <c r="A11881" s="18">
        <v>24.6927694</v>
      </c>
      <c r="B11881" s="18">
        <v>34.88814</v>
      </c>
      <c r="C11881" s="18">
        <v>691025.38</v>
      </c>
      <c r="D11881" s="18">
        <v>2732244.46</v>
      </c>
      <c r="E11881" s="18">
        <v>241.43</v>
      </c>
      <c r="F11881" s="18">
        <v>41818.82</v>
      </c>
      <c r="G11881" s="18">
        <v>80010</v>
      </c>
      <c r="H11881" s="18">
        <f t="shared" si="268"/>
        <v>41806.82</v>
      </c>
      <c r="I11881" s="3"/>
    </row>
    <row r="11882" spans="1:9" s="4" customFormat="1" ht="18.75" customHeight="1" x14ac:dyDescent="0.55000000000000004">
      <c r="A11882" s="18">
        <v>24.691569099999999</v>
      </c>
      <c r="B11882" s="18">
        <v>34.889670899999999</v>
      </c>
      <c r="C11882" s="18">
        <v>691182.12</v>
      </c>
      <c r="D11882" s="18">
        <v>2732113.64</v>
      </c>
      <c r="E11882" s="18">
        <v>239.26</v>
      </c>
      <c r="F11882" s="18">
        <v>41815.61</v>
      </c>
      <c r="G11882" s="18">
        <v>80137</v>
      </c>
      <c r="H11882" s="18">
        <f t="shared" si="268"/>
        <v>41803.61</v>
      </c>
      <c r="I11882" s="3"/>
    </row>
    <row r="11883" spans="1:9" s="4" customFormat="1" ht="18.75" customHeight="1" x14ac:dyDescent="0.55000000000000004">
      <c r="A11883" s="18">
        <v>24.691569399999999</v>
      </c>
      <c r="B11883" s="18">
        <v>34.889671700000001</v>
      </c>
      <c r="C11883" s="18">
        <v>691182.21</v>
      </c>
      <c r="D11883" s="18">
        <v>2732113.68</v>
      </c>
      <c r="E11883" s="18">
        <v>239.17</v>
      </c>
      <c r="F11883" s="18">
        <v>41817.26</v>
      </c>
      <c r="G11883" s="18">
        <v>80146</v>
      </c>
      <c r="H11883" s="18">
        <f t="shared" si="268"/>
        <v>41805.26</v>
      </c>
      <c r="I11883" s="3"/>
    </row>
    <row r="11884" spans="1:9" s="4" customFormat="1" ht="18.75" customHeight="1" x14ac:dyDescent="0.55000000000000004">
      <c r="A11884" s="18">
        <v>24.6902233</v>
      </c>
      <c r="B11884" s="18">
        <v>34.891371499999998</v>
      </c>
      <c r="C11884" s="18">
        <v>691356.28</v>
      </c>
      <c r="D11884" s="18">
        <v>2731966.95</v>
      </c>
      <c r="E11884" s="18">
        <v>237.16</v>
      </c>
      <c r="F11884" s="18">
        <v>41803.17</v>
      </c>
      <c r="G11884" s="18">
        <v>80252</v>
      </c>
      <c r="H11884" s="18">
        <f t="shared" si="268"/>
        <v>41791.17</v>
      </c>
      <c r="I11884" s="3"/>
    </row>
    <row r="11885" spans="1:9" s="4" customFormat="1" ht="18.75" customHeight="1" x14ac:dyDescent="0.55000000000000004">
      <c r="A11885" s="18">
        <v>24.6902218</v>
      </c>
      <c r="B11885" s="18">
        <v>34.891372199999999</v>
      </c>
      <c r="C11885" s="18">
        <v>691356.35</v>
      </c>
      <c r="D11885" s="18">
        <v>2731966.78</v>
      </c>
      <c r="E11885" s="18">
        <v>236.98</v>
      </c>
      <c r="F11885" s="18">
        <v>41803.730000000003</v>
      </c>
      <c r="G11885" s="18">
        <v>80301</v>
      </c>
      <c r="H11885" s="18">
        <f t="shared" si="268"/>
        <v>41791.730000000003</v>
      </c>
      <c r="I11885" s="3"/>
    </row>
    <row r="11886" spans="1:9" s="4" customFormat="1" ht="18.75" customHeight="1" x14ac:dyDescent="0.55000000000000004">
      <c r="A11886" s="18">
        <v>24.6902209</v>
      </c>
      <c r="B11886" s="18">
        <v>34.891373000000002</v>
      </c>
      <c r="C11886" s="18">
        <v>691356.44</v>
      </c>
      <c r="D11886" s="18">
        <v>2731966.68</v>
      </c>
      <c r="E11886" s="18">
        <v>236.78</v>
      </c>
      <c r="F11886" s="18">
        <v>41799.57</v>
      </c>
      <c r="G11886" s="18">
        <v>80310</v>
      </c>
      <c r="H11886" s="18">
        <f t="shared" si="268"/>
        <v>41787.57</v>
      </c>
      <c r="I11886" s="3"/>
    </row>
    <row r="11887" spans="1:9" s="4" customFormat="1" ht="18.75" customHeight="1" x14ac:dyDescent="0.55000000000000004">
      <c r="A11887" s="18">
        <v>24.689225799999999</v>
      </c>
      <c r="B11887" s="18">
        <v>34.893509100000003</v>
      </c>
      <c r="C11887" s="18">
        <v>691574.12</v>
      </c>
      <c r="D11887" s="18">
        <v>2731859.45</v>
      </c>
      <c r="E11887" s="18">
        <v>233.77</v>
      </c>
      <c r="F11887" s="18">
        <v>41783.47</v>
      </c>
      <c r="G11887" s="18">
        <v>80425</v>
      </c>
      <c r="H11887" s="18">
        <f t="shared" si="268"/>
        <v>41771.47</v>
      </c>
      <c r="I11887" s="3"/>
    </row>
    <row r="11888" spans="1:9" s="4" customFormat="1" ht="18.75" customHeight="1" x14ac:dyDescent="0.55000000000000004">
      <c r="A11888" s="18">
        <v>24.689147299999998</v>
      </c>
      <c r="B11888" s="18">
        <v>34.8939466</v>
      </c>
      <c r="C11888" s="18">
        <v>691618.52</v>
      </c>
      <c r="D11888" s="18">
        <v>2731851.37</v>
      </c>
      <c r="E11888" s="18">
        <v>232.97</v>
      </c>
      <c r="F11888" s="18">
        <v>41801.22</v>
      </c>
      <c r="G11888" s="18">
        <v>80504</v>
      </c>
      <c r="H11888" s="18">
        <f t="shared" si="268"/>
        <v>41789.22</v>
      </c>
      <c r="I11888" s="3"/>
    </row>
    <row r="11889" spans="1:9" s="4" customFormat="1" ht="18.75" customHeight="1" x14ac:dyDescent="0.55000000000000004">
      <c r="A11889" s="18">
        <v>24.689145799999999</v>
      </c>
      <c r="B11889" s="18">
        <v>34.893947199999999</v>
      </c>
      <c r="C11889" s="18">
        <v>691618.58</v>
      </c>
      <c r="D11889" s="18">
        <v>2731851.2</v>
      </c>
      <c r="E11889" s="18">
        <v>233.07</v>
      </c>
      <c r="F11889" s="18">
        <v>41796.18</v>
      </c>
      <c r="G11889" s="18">
        <v>80513</v>
      </c>
      <c r="H11889" s="18">
        <f t="shared" si="268"/>
        <v>41784.18</v>
      </c>
      <c r="I11889" s="3"/>
    </row>
    <row r="11890" spans="1:9" s="4" customFormat="1" ht="18.75" customHeight="1" x14ac:dyDescent="0.55000000000000004">
      <c r="A11890" s="18">
        <v>24.688132</v>
      </c>
      <c r="B11890" s="18">
        <v>34.892587599999999</v>
      </c>
      <c r="C11890" s="18">
        <v>691482.55</v>
      </c>
      <c r="D11890" s="18">
        <v>2731737.01</v>
      </c>
      <c r="E11890" s="18">
        <v>234.87</v>
      </c>
      <c r="F11890" s="18">
        <v>41839.5</v>
      </c>
      <c r="G11890" s="18">
        <v>80652</v>
      </c>
      <c r="H11890" s="18">
        <f t="shared" si="268"/>
        <v>41827.5</v>
      </c>
      <c r="I11890" s="3"/>
    </row>
    <row r="11891" spans="1:9" s="4" customFormat="1" ht="18.75" customHeight="1" x14ac:dyDescent="0.55000000000000004">
      <c r="A11891" s="18">
        <v>24.688132700000001</v>
      </c>
      <c r="B11891" s="18">
        <v>34.892588000000003</v>
      </c>
      <c r="C11891" s="18">
        <v>691482.59</v>
      </c>
      <c r="D11891" s="18">
        <v>2731737.08</v>
      </c>
      <c r="E11891" s="18">
        <v>234.96</v>
      </c>
      <c r="F11891" s="18">
        <v>41839.480000000003</v>
      </c>
      <c r="G11891" s="18">
        <v>80658</v>
      </c>
      <c r="H11891" s="18">
        <f t="shared" si="268"/>
        <v>41827.480000000003</v>
      </c>
      <c r="I11891" s="3"/>
    </row>
    <row r="11892" spans="1:9" s="4" customFormat="1" ht="18.75" customHeight="1" x14ac:dyDescent="0.55000000000000004">
      <c r="A11892" s="18">
        <v>24.687648299999999</v>
      </c>
      <c r="B11892" s="18">
        <v>34.8901811</v>
      </c>
      <c r="C11892" s="18">
        <v>691239.74</v>
      </c>
      <c r="D11892" s="18">
        <v>2731680.07</v>
      </c>
      <c r="E11892" s="18">
        <v>239.96</v>
      </c>
      <c r="F11892" s="18">
        <v>41785.47</v>
      </c>
      <c r="G11892" s="18">
        <v>81004</v>
      </c>
      <c r="H11892" s="18">
        <f t="shared" si="268"/>
        <v>41773.47</v>
      </c>
      <c r="I11892" s="3"/>
    </row>
    <row r="11893" spans="1:9" s="4" customFormat="1" ht="18.75" customHeight="1" x14ac:dyDescent="0.55000000000000004">
      <c r="A11893" s="18">
        <v>24.687649</v>
      </c>
      <c r="B11893" s="18">
        <v>34.890181400000003</v>
      </c>
      <c r="C11893" s="18">
        <v>691239.78</v>
      </c>
      <c r="D11893" s="18">
        <v>2731680.15</v>
      </c>
      <c r="E11893" s="18">
        <v>240</v>
      </c>
      <c r="F11893" s="18">
        <v>41786.769999999997</v>
      </c>
      <c r="G11893" s="18">
        <v>81013</v>
      </c>
      <c r="H11893" s="18">
        <f t="shared" si="268"/>
        <v>41774.769999999997</v>
      </c>
      <c r="I11893" s="3"/>
    </row>
    <row r="11894" spans="1:9" s="4" customFormat="1" ht="18.75" customHeight="1" x14ac:dyDescent="0.55000000000000004">
      <c r="A11894" s="18">
        <v>24.687743600000001</v>
      </c>
      <c r="B11894" s="18">
        <v>34.889538600000002</v>
      </c>
      <c r="C11894" s="18">
        <v>691174.58</v>
      </c>
      <c r="D11894" s="18">
        <v>2731689.73</v>
      </c>
      <c r="E11894" s="18">
        <v>240.03</v>
      </c>
      <c r="F11894" s="18">
        <v>41794.14</v>
      </c>
      <c r="G11894" s="18">
        <v>81107</v>
      </c>
      <c r="H11894" s="18">
        <f t="shared" si="268"/>
        <v>41782.14</v>
      </c>
      <c r="I11894" s="3"/>
    </row>
    <row r="11895" spans="1:9" s="4" customFormat="1" ht="18.75" customHeight="1" x14ac:dyDescent="0.55000000000000004">
      <c r="A11895" s="18">
        <v>24.687744200000001</v>
      </c>
      <c r="B11895" s="18">
        <v>34.889529000000003</v>
      </c>
      <c r="C11895" s="18">
        <v>691173.6</v>
      </c>
      <c r="D11895" s="18">
        <v>2731689.78</v>
      </c>
      <c r="E11895" s="18">
        <v>239.88</v>
      </c>
      <c r="F11895" s="18">
        <v>41793.199999999997</v>
      </c>
      <c r="G11895" s="18">
        <v>81116</v>
      </c>
      <c r="H11895" s="18">
        <f t="shared" si="268"/>
        <v>41781.199999999997</v>
      </c>
      <c r="I11895" s="3"/>
    </row>
    <row r="11896" spans="1:9" s="4" customFormat="1" ht="18.75" customHeight="1" x14ac:dyDescent="0.55000000000000004">
      <c r="A11896" s="18">
        <v>24.687911499999998</v>
      </c>
      <c r="B11896" s="18">
        <v>34.887369499999998</v>
      </c>
      <c r="C11896" s="18">
        <v>690954.81</v>
      </c>
      <c r="D11896" s="18">
        <v>2731705.31</v>
      </c>
      <c r="E11896" s="18">
        <v>241.15</v>
      </c>
      <c r="F11896" s="18">
        <v>41789.4</v>
      </c>
      <c r="G11896" s="18">
        <v>81240</v>
      </c>
      <c r="H11896" s="18">
        <f t="shared" si="268"/>
        <v>41777.4</v>
      </c>
      <c r="I11896" s="3"/>
    </row>
    <row r="11897" spans="1:9" s="4" customFormat="1" ht="18.75" customHeight="1" x14ac:dyDescent="0.55000000000000004">
      <c r="A11897" s="18">
        <v>24.687910800000001</v>
      </c>
      <c r="B11897" s="18">
        <v>34.887369300000003</v>
      </c>
      <c r="C11897" s="18">
        <v>690954.8</v>
      </c>
      <c r="D11897" s="18">
        <v>2731705.23</v>
      </c>
      <c r="E11897" s="18">
        <v>241.04</v>
      </c>
      <c r="F11897" s="18">
        <v>41789.21</v>
      </c>
      <c r="G11897" s="18">
        <v>81249</v>
      </c>
      <c r="H11897" s="18">
        <f t="shared" si="268"/>
        <v>41777.21</v>
      </c>
      <c r="I11897" s="3"/>
    </row>
    <row r="11898" spans="1:9" s="4" customFormat="1" ht="18.75" customHeight="1" x14ac:dyDescent="0.55000000000000004">
      <c r="A11898" s="18">
        <v>24.6877645</v>
      </c>
      <c r="B11898" s="18">
        <v>34.885701300000001</v>
      </c>
      <c r="C11898" s="18">
        <v>690786.22</v>
      </c>
      <c r="D11898" s="18">
        <v>2731686.7</v>
      </c>
      <c r="E11898" s="18">
        <v>241.99</v>
      </c>
      <c r="F11898" s="18">
        <v>41789.56</v>
      </c>
      <c r="G11898" s="18">
        <v>81419</v>
      </c>
      <c r="H11898" s="18">
        <f t="shared" si="268"/>
        <v>41777.56</v>
      </c>
      <c r="I11898" s="3"/>
    </row>
    <row r="11899" spans="1:9" s="4" customFormat="1" ht="18.75" customHeight="1" x14ac:dyDescent="0.55000000000000004">
      <c r="A11899" s="18">
        <v>24.687763199999999</v>
      </c>
      <c r="B11899" s="18">
        <v>34.885701599999997</v>
      </c>
      <c r="C11899" s="18">
        <v>690786.25</v>
      </c>
      <c r="D11899" s="18">
        <v>2731686.56</v>
      </c>
      <c r="E11899" s="18">
        <v>241.83</v>
      </c>
      <c r="F11899" s="18">
        <v>41791.040000000001</v>
      </c>
      <c r="G11899" s="18">
        <v>81428</v>
      </c>
      <c r="H11899" s="18">
        <f t="shared" si="268"/>
        <v>41779.040000000001</v>
      </c>
      <c r="I11899" s="3"/>
    </row>
    <row r="11900" spans="1:9" s="4" customFormat="1" ht="18.75" customHeight="1" x14ac:dyDescent="0.55000000000000004">
      <c r="A11900" s="18">
        <v>24.6878539</v>
      </c>
      <c r="B11900" s="18">
        <v>34.883373599999999</v>
      </c>
      <c r="C11900" s="18">
        <v>690550.52</v>
      </c>
      <c r="D11900" s="18">
        <v>2731693.36</v>
      </c>
      <c r="E11900" s="18">
        <v>245.67</v>
      </c>
      <c r="F11900" s="18">
        <v>41806.42</v>
      </c>
      <c r="G11900" s="18">
        <v>81546</v>
      </c>
      <c r="H11900" s="18">
        <f t="shared" si="268"/>
        <v>41794.42</v>
      </c>
      <c r="I11900" s="3"/>
    </row>
    <row r="11901" spans="1:9" s="4" customFormat="1" ht="18.75" customHeight="1" x14ac:dyDescent="0.55000000000000004">
      <c r="A11901" s="18">
        <v>24.6878542</v>
      </c>
      <c r="B11901" s="18">
        <v>34.883374500000002</v>
      </c>
      <c r="C11901" s="18">
        <v>690550.61</v>
      </c>
      <c r="D11901" s="18">
        <v>2731693.4</v>
      </c>
      <c r="E11901" s="18">
        <v>245.74</v>
      </c>
      <c r="F11901" s="18">
        <v>41804.78</v>
      </c>
      <c r="G11901" s="18">
        <v>81555</v>
      </c>
      <c r="H11901" s="18">
        <f t="shared" si="268"/>
        <v>41792.78</v>
      </c>
      <c r="I11901" s="3"/>
    </row>
    <row r="11902" spans="1:9" s="4" customFormat="1" ht="18.75" customHeight="1" x14ac:dyDescent="0.55000000000000004">
      <c r="A11902" s="18">
        <v>24.6868099</v>
      </c>
      <c r="B11902" s="18">
        <v>34.881664200000003</v>
      </c>
      <c r="C11902" s="18">
        <v>690379.12</v>
      </c>
      <c r="D11902" s="18">
        <v>2731575.36</v>
      </c>
      <c r="E11902" s="18">
        <v>246.84</v>
      </c>
      <c r="F11902" s="18">
        <v>41812.730000000003</v>
      </c>
      <c r="G11902" s="18">
        <v>81710</v>
      </c>
      <c r="H11902" s="18">
        <f>SUM(F11902-15)</f>
        <v>41797.730000000003</v>
      </c>
      <c r="I11902" s="3"/>
    </row>
    <row r="11903" spans="1:9" s="4" customFormat="1" ht="18.75" customHeight="1" x14ac:dyDescent="0.55000000000000004">
      <c r="A11903" s="18">
        <v>24.686809100000001</v>
      </c>
      <c r="B11903" s="18">
        <v>34.881663600000003</v>
      </c>
      <c r="C11903" s="18">
        <v>690379.05</v>
      </c>
      <c r="D11903" s="18">
        <v>2731575.27</v>
      </c>
      <c r="E11903" s="18">
        <v>246.51</v>
      </c>
      <c r="F11903" s="18">
        <v>41814.230000000003</v>
      </c>
      <c r="G11903" s="18">
        <v>81719</v>
      </c>
      <c r="H11903" s="18">
        <f t="shared" ref="H11903:H11924" si="269">SUM(F11903-15)</f>
        <v>41799.230000000003</v>
      </c>
      <c r="I11903" s="3"/>
    </row>
    <row r="11904" spans="1:9" s="4" customFormat="1" ht="18.75" customHeight="1" x14ac:dyDescent="0.55000000000000004">
      <c r="A11904" s="18">
        <v>24.685960399999999</v>
      </c>
      <c r="B11904" s="18">
        <v>34.880226399999998</v>
      </c>
      <c r="C11904" s="18">
        <v>690234.9</v>
      </c>
      <c r="D11904" s="18">
        <v>2731479.27</v>
      </c>
      <c r="E11904" s="18">
        <v>246.9</v>
      </c>
      <c r="F11904" s="18">
        <v>41827.07</v>
      </c>
      <c r="G11904" s="18">
        <v>81846</v>
      </c>
      <c r="H11904" s="18">
        <f t="shared" si="269"/>
        <v>41812.07</v>
      </c>
      <c r="I11904" s="3"/>
    </row>
    <row r="11905" spans="1:9" s="4" customFormat="1" ht="18.75" customHeight="1" x14ac:dyDescent="0.55000000000000004">
      <c r="A11905" s="18">
        <v>24.685966799999999</v>
      </c>
      <c r="B11905" s="18">
        <v>34.880225600000003</v>
      </c>
      <c r="C11905" s="18">
        <v>690234.81</v>
      </c>
      <c r="D11905" s="18">
        <v>2731479.98</v>
      </c>
      <c r="E11905" s="18">
        <v>247.38</v>
      </c>
      <c r="F11905" s="18">
        <v>41828.54</v>
      </c>
      <c r="G11905" s="18">
        <v>81855</v>
      </c>
      <c r="H11905" s="18">
        <f t="shared" si="269"/>
        <v>41813.54</v>
      </c>
      <c r="I11905" s="3"/>
    </row>
    <row r="11906" spans="1:9" s="4" customFormat="1" ht="18.75" customHeight="1" x14ac:dyDescent="0.55000000000000004">
      <c r="A11906" s="18">
        <v>24.687474999999999</v>
      </c>
      <c r="B11906" s="18">
        <v>34.877963000000001</v>
      </c>
      <c r="C11906" s="18">
        <v>690003.55</v>
      </c>
      <c r="D11906" s="18">
        <v>2731643.89</v>
      </c>
      <c r="E11906" s="18">
        <v>254.34</v>
      </c>
      <c r="F11906" s="18">
        <v>41832.620000000003</v>
      </c>
      <c r="G11906" s="18">
        <v>82019</v>
      </c>
      <c r="H11906" s="18">
        <f t="shared" si="269"/>
        <v>41817.620000000003</v>
      </c>
      <c r="I11906" s="3"/>
    </row>
    <row r="11907" spans="1:9" s="4" customFormat="1" ht="18.75" customHeight="1" x14ac:dyDescent="0.55000000000000004">
      <c r="A11907" s="18">
        <v>24.6874751</v>
      </c>
      <c r="B11907" s="18">
        <v>34.877963000000001</v>
      </c>
      <c r="C11907" s="18">
        <v>690003.55</v>
      </c>
      <c r="D11907" s="18">
        <v>2731643.9</v>
      </c>
      <c r="E11907" s="18">
        <v>254.68</v>
      </c>
      <c r="F11907" s="18">
        <v>41833.089999999997</v>
      </c>
      <c r="G11907" s="18">
        <v>82025</v>
      </c>
      <c r="H11907" s="18">
        <f t="shared" si="269"/>
        <v>41818.089999999997</v>
      </c>
      <c r="I11907" s="3"/>
    </row>
    <row r="11908" spans="1:9" s="4" customFormat="1" ht="18.75" customHeight="1" x14ac:dyDescent="0.55000000000000004">
      <c r="A11908" s="18">
        <v>24.6869373</v>
      </c>
      <c r="B11908" s="18">
        <v>34.875905799999998</v>
      </c>
      <c r="C11908" s="18">
        <v>689796.17</v>
      </c>
      <c r="D11908" s="18">
        <v>2731581.49</v>
      </c>
      <c r="E11908" s="18">
        <v>256.83</v>
      </c>
      <c r="F11908" s="18">
        <v>41821.870000000003</v>
      </c>
      <c r="G11908" s="18">
        <v>82152</v>
      </c>
      <c r="H11908" s="18">
        <f t="shared" si="269"/>
        <v>41806.870000000003</v>
      </c>
      <c r="I11908" s="3"/>
    </row>
    <row r="11909" spans="1:9" s="4" customFormat="1" ht="18.75" customHeight="1" x14ac:dyDescent="0.55000000000000004">
      <c r="A11909" s="18">
        <v>24.6869388</v>
      </c>
      <c r="B11909" s="18">
        <v>34.875905799999998</v>
      </c>
      <c r="C11909" s="18">
        <v>689796.17</v>
      </c>
      <c r="D11909" s="18">
        <v>2731581.65</v>
      </c>
      <c r="E11909" s="18">
        <v>256.94</v>
      </c>
      <c r="F11909" s="18">
        <v>41824.18</v>
      </c>
      <c r="G11909" s="18">
        <v>82201</v>
      </c>
      <c r="H11909" s="18">
        <f t="shared" si="269"/>
        <v>41809.18</v>
      </c>
      <c r="I11909" s="3"/>
    </row>
    <row r="11910" spans="1:9" s="4" customFormat="1" ht="18.75" customHeight="1" x14ac:dyDescent="0.55000000000000004">
      <c r="A11910" s="18">
        <v>24.685742099999999</v>
      </c>
      <c r="B11910" s="18">
        <v>34.874308499999998</v>
      </c>
      <c r="C11910" s="18">
        <v>689636.34</v>
      </c>
      <c r="D11910" s="18">
        <v>2731446.88</v>
      </c>
      <c r="E11910" s="18">
        <v>258.79000000000002</v>
      </c>
      <c r="F11910" s="18">
        <v>41800.68</v>
      </c>
      <c r="G11910" s="18">
        <v>82322</v>
      </c>
      <c r="H11910" s="18">
        <f t="shared" si="269"/>
        <v>41785.68</v>
      </c>
      <c r="I11910" s="3"/>
    </row>
    <row r="11911" spans="1:9" s="4" customFormat="1" ht="18.75" customHeight="1" x14ac:dyDescent="0.55000000000000004">
      <c r="A11911" s="18">
        <v>24.685743299999999</v>
      </c>
      <c r="B11911" s="18">
        <v>34.874308200000002</v>
      </c>
      <c r="C11911" s="18">
        <v>689636.31</v>
      </c>
      <c r="D11911" s="18">
        <v>2731447.02</v>
      </c>
      <c r="E11911" s="18">
        <v>259.02</v>
      </c>
      <c r="F11911" s="18">
        <v>41800.44</v>
      </c>
      <c r="G11911" s="18">
        <v>82331</v>
      </c>
      <c r="H11911" s="18">
        <f t="shared" si="269"/>
        <v>41785.440000000002</v>
      </c>
      <c r="I11911" s="3"/>
    </row>
    <row r="11912" spans="1:9" s="4" customFormat="1" ht="18.75" customHeight="1" x14ac:dyDescent="0.55000000000000004">
      <c r="A11912" s="18">
        <v>24.685744</v>
      </c>
      <c r="B11912" s="18">
        <v>34.874307199999997</v>
      </c>
      <c r="C11912" s="18">
        <v>689636.2</v>
      </c>
      <c r="D11912" s="18">
        <v>2731447.1</v>
      </c>
      <c r="E11912" s="18">
        <v>259.08999999999997</v>
      </c>
      <c r="F11912" s="18">
        <v>41800.080000000002</v>
      </c>
      <c r="G11912" s="18">
        <v>82340</v>
      </c>
      <c r="H11912" s="18">
        <f t="shared" si="269"/>
        <v>41785.08</v>
      </c>
      <c r="I11912" s="3"/>
    </row>
    <row r="11913" spans="1:9" s="4" customFormat="1" ht="18.75" customHeight="1" x14ac:dyDescent="0.55000000000000004">
      <c r="A11913" s="18">
        <v>24.686892400000001</v>
      </c>
      <c r="B11913" s="18">
        <v>34.8722548</v>
      </c>
      <c r="C11913" s="18">
        <v>689426.76</v>
      </c>
      <c r="D11913" s="18">
        <v>2731571.46</v>
      </c>
      <c r="E11913" s="18">
        <v>262.7</v>
      </c>
      <c r="F11913" s="18">
        <v>41828.93</v>
      </c>
      <c r="G11913" s="18">
        <v>82504</v>
      </c>
      <c r="H11913" s="18">
        <f t="shared" si="269"/>
        <v>41813.93</v>
      </c>
      <c r="I11913" s="3"/>
    </row>
    <row r="11914" spans="1:9" s="4" customFormat="1" ht="18.75" customHeight="1" x14ac:dyDescent="0.55000000000000004">
      <c r="A11914" s="18">
        <v>24.6868926</v>
      </c>
      <c r="B11914" s="18">
        <v>34.872254499999997</v>
      </c>
      <c r="C11914" s="18">
        <v>689426.73</v>
      </c>
      <c r="D11914" s="18">
        <v>2731571.48</v>
      </c>
      <c r="E11914" s="18">
        <v>262.72000000000003</v>
      </c>
      <c r="F11914" s="18">
        <v>41829.08</v>
      </c>
      <c r="G11914" s="18">
        <v>82513</v>
      </c>
      <c r="H11914" s="18">
        <f t="shared" si="269"/>
        <v>41814.080000000002</v>
      </c>
      <c r="I11914" s="3"/>
    </row>
    <row r="11915" spans="1:9" s="4" customFormat="1" ht="18.75" customHeight="1" x14ac:dyDescent="0.55000000000000004">
      <c r="A11915" s="18">
        <v>24.6878046</v>
      </c>
      <c r="B11915" s="18">
        <v>34.8698184</v>
      </c>
      <c r="C11915" s="18">
        <v>689178.82</v>
      </c>
      <c r="D11915" s="18">
        <v>2731669.14</v>
      </c>
      <c r="E11915" s="18">
        <v>267.20999999999998</v>
      </c>
      <c r="F11915" s="18">
        <v>41806.019999999997</v>
      </c>
      <c r="G11915" s="18">
        <v>82649</v>
      </c>
      <c r="H11915" s="18">
        <f t="shared" si="269"/>
        <v>41791.019999999997</v>
      </c>
      <c r="I11915" s="3"/>
    </row>
    <row r="11916" spans="1:9" s="4" customFormat="1" ht="18.75" customHeight="1" x14ac:dyDescent="0.55000000000000004">
      <c r="A11916" s="18">
        <v>24.687804499999999</v>
      </c>
      <c r="B11916" s="18">
        <v>34.869818100000003</v>
      </c>
      <c r="C11916" s="18">
        <v>689178.8</v>
      </c>
      <c r="D11916" s="18">
        <v>2731669.12</v>
      </c>
      <c r="E11916" s="18">
        <v>267.19</v>
      </c>
      <c r="F11916" s="18">
        <v>41806.43</v>
      </c>
      <c r="G11916" s="18">
        <v>82658</v>
      </c>
      <c r="H11916" s="18">
        <f t="shared" si="269"/>
        <v>41791.43</v>
      </c>
      <c r="I11916" s="3"/>
    </row>
    <row r="11917" spans="1:9" s="4" customFormat="1" ht="18.75" customHeight="1" x14ac:dyDescent="0.55000000000000004">
      <c r="A11917" s="18">
        <v>24.685565</v>
      </c>
      <c r="B11917" s="18">
        <v>34.869314099999997</v>
      </c>
      <c r="C11917" s="18">
        <v>689131.17</v>
      </c>
      <c r="D11917" s="18">
        <v>2731420.37</v>
      </c>
      <c r="E11917" s="18">
        <v>270.38</v>
      </c>
      <c r="F11917" s="18">
        <v>41803.65</v>
      </c>
      <c r="G11917" s="18">
        <v>82822</v>
      </c>
      <c r="H11917" s="18">
        <f t="shared" si="269"/>
        <v>41788.65</v>
      </c>
      <c r="I11917" s="3"/>
    </row>
    <row r="11918" spans="1:9" s="4" customFormat="1" ht="18.75" customHeight="1" x14ac:dyDescent="0.55000000000000004">
      <c r="A11918" s="18">
        <v>24.685568100000001</v>
      </c>
      <c r="B11918" s="18">
        <v>34.869313900000002</v>
      </c>
      <c r="C11918" s="18">
        <v>689131.14</v>
      </c>
      <c r="D11918" s="18">
        <v>2731420.71</v>
      </c>
      <c r="E11918" s="18">
        <v>270.77</v>
      </c>
      <c r="F11918" s="18">
        <v>41803.660000000003</v>
      </c>
      <c r="G11918" s="18">
        <v>82834</v>
      </c>
      <c r="H11918" s="18">
        <f t="shared" si="269"/>
        <v>41788.660000000003</v>
      </c>
      <c r="I11918" s="3"/>
    </row>
    <row r="11919" spans="1:9" s="4" customFormat="1" ht="18.75" customHeight="1" x14ac:dyDescent="0.55000000000000004">
      <c r="A11919" s="18">
        <v>24.685259899999998</v>
      </c>
      <c r="B11919" s="18">
        <v>34.8672507</v>
      </c>
      <c r="C11919" s="18">
        <v>688922.82</v>
      </c>
      <c r="D11919" s="18">
        <v>2731383.74</v>
      </c>
      <c r="E11919" s="18">
        <v>274.70999999999998</v>
      </c>
      <c r="F11919" s="18">
        <v>41812.25</v>
      </c>
      <c r="G11919" s="18">
        <v>82958</v>
      </c>
      <c r="H11919" s="18">
        <f t="shared" si="269"/>
        <v>41797.25</v>
      </c>
      <c r="I11919" s="3"/>
    </row>
    <row r="11920" spans="1:9" s="4" customFormat="1" ht="18.75" customHeight="1" x14ac:dyDescent="0.55000000000000004">
      <c r="A11920" s="18">
        <v>24.685259200000001</v>
      </c>
      <c r="B11920" s="18">
        <v>34.867250499999997</v>
      </c>
      <c r="C11920" s="18">
        <v>688922.79</v>
      </c>
      <c r="D11920" s="18">
        <v>2731383.66</v>
      </c>
      <c r="E11920" s="18">
        <v>274.61</v>
      </c>
      <c r="F11920" s="18">
        <v>41811.56</v>
      </c>
      <c r="G11920" s="18">
        <v>83007</v>
      </c>
      <c r="H11920" s="18">
        <f t="shared" si="269"/>
        <v>41796.559999999998</v>
      </c>
      <c r="I11920" s="3"/>
    </row>
    <row r="11921" spans="1:9" s="4" customFormat="1" ht="18.75" customHeight="1" x14ac:dyDescent="0.55000000000000004">
      <c r="A11921" s="18">
        <v>24.685812299999998</v>
      </c>
      <c r="B11921" s="18">
        <v>34.865386600000001</v>
      </c>
      <c r="C11921" s="18">
        <v>688733.33</v>
      </c>
      <c r="D11921" s="18">
        <v>2731442.35</v>
      </c>
      <c r="E11921" s="18">
        <v>277.61</v>
      </c>
      <c r="F11921" s="18">
        <v>41807.279999999999</v>
      </c>
      <c r="G11921" s="18">
        <v>83125</v>
      </c>
      <c r="H11921" s="18">
        <f t="shared" si="269"/>
        <v>41792.28</v>
      </c>
      <c r="I11921" s="3"/>
    </row>
    <row r="11922" spans="1:9" s="4" customFormat="1" ht="18.75" customHeight="1" x14ac:dyDescent="0.55000000000000004">
      <c r="A11922" s="18">
        <v>24.6858124</v>
      </c>
      <c r="B11922" s="18">
        <v>34.865384200000001</v>
      </c>
      <c r="C11922" s="18">
        <v>688733.1</v>
      </c>
      <c r="D11922" s="18">
        <v>2731442.36</v>
      </c>
      <c r="E11922" s="18">
        <v>277.64</v>
      </c>
      <c r="F11922" s="18">
        <v>41807.29</v>
      </c>
      <c r="G11922" s="18">
        <v>83134</v>
      </c>
      <c r="H11922" s="18">
        <f t="shared" si="269"/>
        <v>41792.29</v>
      </c>
      <c r="I11922" s="3"/>
    </row>
    <row r="11923" spans="1:9" s="4" customFormat="1" ht="18.75" customHeight="1" x14ac:dyDescent="0.55000000000000004">
      <c r="A11923" s="18">
        <v>24.684924800000001</v>
      </c>
      <c r="B11923" s="18">
        <v>34.863325099999997</v>
      </c>
      <c r="C11923" s="18">
        <v>688526.05</v>
      </c>
      <c r="D11923" s="18">
        <v>2731341.21</v>
      </c>
      <c r="E11923" s="18">
        <v>279.24</v>
      </c>
      <c r="F11923" s="18">
        <v>41796.230000000003</v>
      </c>
      <c r="G11923" s="18">
        <v>83252</v>
      </c>
      <c r="H11923" s="18">
        <f t="shared" si="269"/>
        <v>41781.230000000003</v>
      </c>
      <c r="I11923" s="3"/>
    </row>
    <row r="11924" spans="1:9" s="4" customFormat="1" ht="18.75" customHeight="1" x14ac:dyDescent="0.55000000000000004">
      <c r="A11924" s="18">
        <v>24.6849226</v>
      </c>
      <c r="B11924" s="18">
        <v>34.863325500000002</v>
      </c>
      <c r="C11924" s="18">
        <v>688526.09</v>
      </c>
      <c r="D11924" s="18">
        <v>2731340.98</v>
      </c>
      <c r="E11924" s="18">
        <v>279.02999999999997</v>
      </c>
      <c r="F11924" s="18">
        <v>41796.080000000002</v>
      </c>
      <c r="G11924" s="18">
        <v>83301</v>
      </c>
      <c r="H11924" s="18">
        <f t="shared" si="269"/>
        <v>41781.08</v>
      </c>
      <c r="I11924" s="3"/>
    </row>
    <row r="11925" spans="1:9" s="4" customFormat="1" ht="18.75" customHeight="1" x14ac:dyDescent="0.55000000000000004">
      <c r="A11925" s="18">
        <v>24.685134999999999</v>
      </c>
      <c r="B11925" s="18">
        <v>34.861841800000001</v>
      </c>
      <c r="C11925" s="18">
        <v>688375.62</v>
      </c>
      <c r="D11925" s="18">
        <v>2731362.46</v>
      </c>
      <c r="E11925" s="18">
        <v>280.77999999999997</v>
      </c>
      <c r="F11925" s="18">
        <v>41801.82</v>
      </c>
      <c r="G11925" s="18">
        <v>83731</v>
      </c>
      <c r="H11925" s="18">
        <f>SUM(F11925-17)</f>
        <v>41784.82</v>
      </c>
      <c r="I11925" s="3"/>
    </row>
    <row r="11926" spans="1:9" s="4" customFormat="1" ht="18.75" customHeight="1" x14ac:dyDescent="0.55000000000000004">
      <c r="A11926" s="18">
        <v>24.685136199999999</v>
      </c>
      <c r="B11926" s="18">
        <v>34.861843899999997</v>
      </c>
      <c r="C11926" s="18">
        <v>688375.83</v>
      </c>
      <c r="D11926" s="18">
        <v>2731362.6</v>
      </c>
      <c r="E11926" s="18">
        <v>281.2</v>
      </c>
      <c r="F11926" s="18">
        <v>41802.839999999997</v>
      </c>
      <c r="G11926" s="18">
        <v>83740</v>
      </c>
      <c r="H11926" s="18">
        <f t="shared" ref="H11926:H11952" si="270">SUM(F11926-17)</f>
        <v>41785.839999999997</v>
      </c>
      <c r="I11926" s="3"/>
    </row>
    <row r="11927" spans="1:9" s="4" customFormat="1" ht="18.75" customHeight="1" x14ac:dyDescent="0.55000000000000004">
      <c r="A11927" s="18">
        <v>24.687077800000001</v>
      </c>
      <c r="B11927" s="18">
        <v>34.861901500000002</v>
      </c>
      <c r="C11927" s="18">
        <v>688378.74</v>
      </c>
      <c r="D11927" s="18">
        <v>2731577.73</v>
      </c>
      <c r="E11927" s="18">
        <v>285.83999999999997</v>
      </c>
      <c r="F11927" s="18">
        <v>41798.839999999997</v>
      </c>
      <c r="G11927" s="18">
        <v>84028</v>
      </c>
      <c r="H11927" s="18">
        <f t="shared" si="270"/>
        <v>41781.839999999997</v>
      </c>
      <c r="I11927" s="3"/>
    </row>
    <row r="11928" spans="1:9" s="4" customFormat="1" ht="18.75" customHeight="1" x14ac:dyDescent="0.55000000000000004">
      <c r="A11928" s="18">
        <v>24.687079499999999</v>
      </c>
      <c r="B11928" s="18">
        <v>34.861896600000001</v>
      </c>
      <c r="C11928" s="18">
        <v>688378.24</v>
      </c>
      <c r="D11928" s="18">
        <v>2731577.91</v>
      </c>
      <c r="E11928" s="18">
        <v>285.35000000000002</v>
      </c>
      <c r="F11928" s="18">
        <v>41799.160000000003</v>
      </c>
      <c r="G11928" s="18">
        <v>84152</v>
      </c>
      <c r="H11928" s="18">
        <f t="shared" si="270"/>
        <v>41782.160000000003</v>
      </c>
      <c r="I11928" s="3"/>
    </row>
    <row r="11929" spans="1:9" s="4" customFormat="1" ht="18.75" customHeight="1" x14ac:dyDescent="0.55000000000000004">
      <c r="A11929" s="18">
        <v>24.687081899999999</v>
      </c>
      <c r="B11929" s="18">
        <v>34.861895599999997</v>
      </c>
      <c r="C11929" s="18">
        <v>688378.14</v>
      </c>
      <c r="D11929" s="18">
        <v>2731578.18</v>
      </c>
      <c r="E11929" s="18">
        <v>285.33</v>
      </c>
      <c r="F11929" s="18">
        <v>41800.19</v>
      </c>
      <c r="G11929" s="18">
        <v>84201</v>
      </c>
      <c r="H11929" s="18">
        <f t="shared" si="270"/>
        <v>41783.19</v>
      </c>
      <c r="I11929" s="3"/>
    </row>
    <row r="11930" spans="1:9" s="4" customFormat="1" ht="18.75" customHeight="1" x14ac:dyDescent="0.55000000000000004">
      <c r="A11930" s="18">
        <v>24.689085599999999</v>
      </c>
      <c r="B11930" s="18">
        <v>34.862987699999998</v>
      </c>
      <c r="C11930" s="18">
        <v>688485.64</v>
      </c>
      <c r="D11930" s="18">
        <v>2731801.61</v>
      </c>
      <c r="E11930" s="18">
        <v>289.94</v>
      </c>
      <c r="F11930" s="18">
        <v>41783.440000000002</v>
      </c>
      <c r="G11930" s="18">
        <v>84340</v>
      </c>
      <c r="H11930" s="18">
        <f t="shared" si="270"/>
        <v>41766.44</v>
      </c>
      <c r="I11930" s="3"/>
    </row>
    <row r="11931" spans="1:9" s="4" customFormat="1" ht="18.75" customHeight="1" x14ac:dyDescent="0.55000000000000004">
      <c r="A11931" s="18">
        <v>24.6890845</v>
      </c>
      <c r="B11931" s="18">
        <v>34.862988600000001</v>
      </c>
      <c r="C11931" s="18">
        <v>688485.73</v>
      </c>
      <c r="D11931" s="18">
        <v>2731801.49</v>
      </c>
      <c r="E11931" s="18">
        <v>289.67</v>
      </c>
      <c r="F11931" s="18">
        <v>41784.769999999997</v>
      </c>
      <c r="G11931" s="18">
        <v>84349</v>
      </c>
      <c r="H11931" s="18">
        <f t="shared" si="270"/>
        <v>41767.769999999997</v>
      </c>
      <c r="I11931" s="3"/>
    </row>
    <row r="11932" spans="1:9" s="4" customFormat="1" ht="18.75" customHeight="1" x14ac:dyDescent="0.55000000000000004">
      <c r="A11932" s="18">
        <v>24.690003099999998</v>
      </c>
      <c r="B11932" s="18">
        <v>34.861340400000003</v>
      </c>
      <c r="C11932" s="18">
        <v>688317.56</v>
      </c>
      <c r="D11932" s="18">
        <v>2731900.97</v>
      </c>
      <c r="E11932" s="18">
        <v>293.2</v>
      </c>
      <c r="F11932" s="18">
        <v>41793.14</v>
      </c>
      <c r="G11932" s="18">
        <v>84504</v>
      </c>
      <c r="H11932" s="18">
        <f t="shared" si="270"/>
        <v>41776.14</v>
      </c>
      <c r="I11932" s="3"/>
    </row>
    <row r="11933" spans="1:9" s="4" customFormat="1" ht="18.75" customHeight="1" x14ac:dyDescent="0.55000000000000004">
      <c r="A11933" s="18">
        <v>24.690003699999998</v>
      </c>
      <c r="B11933" s="18">
        <v>34.8613407</v>
      </c>
      <c r="C11933" s="18">
        <v>688317.59</v>
      </c>
      <c r="D11933" s="18">
        <v>2731901.04</v>
      </c>
      <c r="E11933" s="18">
        <v>293.16000000000003</v>
      </c>
      <c r="F11933" s="18">
        <v>41795.81</v>
      </c>
      <c r="G11933" s="18">
        <v>84513</v>
      </c>
      <c r="H11933" s="18">
        <f t="shared" si="270"/>
        <v>41778.81</v>
      </c>
      <c r="I11933" s="3"/>
    </row>
    <row r="11934" spans="1:9" s="4" customFormat="1" ht="18.75" customHeight="1" x14ac:dyDescent="0.55000000000000004">
      <c r="A11934" s="18">
        <v>24.6915774</v>
      </c>
      <c r="B11934" s="18">
        <v>34.860377399999997</v>
      </c>
      <c r="C11934" s="18">
        <v>688217.74</v>
      </c>
      <c r="D11934" s="18">
        <v>2732074.02</v>
      </c>
      <c r="E11934" s="18">
        <v>295.26</v>
      </c>
      <c r="F11934" s="18">
        <v>41798.78</v>
      </c>
      <c r="G11934" s="18">
        <v>84646</v>
      </c>
      <c r="H11934" s="18">
        <f t="shared" si="270"/>
        <v>41781.78</v>
      </c>
      <c r="I11934" s="3"/>
    </row>
    <row r="11935" spans="1:9" s="4" customFormat="1" ht="18.75" customHeight="1" x14ac:dyDescent="0.55000000000000004">
      <c r="A11935" s="18">
        <v>24.691577200000001</v>
      </c>
      <c r="B11935" s="18">
        <v>34.860378300000001</v>
      </c>
      <c r="C11935" s="18">
        <v>688217.83</v>
      </c>
      <c r="D11935" s="18">
        <v>2732074</v>
      </c>
      <c r="E11935" s="18">
        <v>295.25</v>
      </c>
      <c r="F11935" s="18">
        <v>41798.94</v>
      </c>
      <c r="G11935" s="18">
        <v>84655</v>
      </c>
      <c r="H11935" s="18">
        <f t="shared" si="270"/>
        <v>41781.94</v>
      </c>
      <c r="I11935" s="3"/>
    </row>
    <row r="11936" spans="1:9" s="4" customFormat="1" ht="18.75" customHeight="1" x14ac:dyDescent="0.55000000000000004">
      <c r="A11936" s="18">
        <v>24.691578799999998</v>
      </c>
      <c r="B11936" s="18">
        <v>34.860380900000003</v>
      </c>
      <c r="C11936" s="18">
        <v>688218.09</v>
      </c>
      <c r="D11936" s="18">
        <v>2732074.18</v>
      </c>
      <c r="E11936" s="18">
        <v>295.23</v>
      </c>
      <c r="F11936" s="18">
        <v>41803.870000000003</v>
      </c>
      <c r="G11936" s="18">
        <v>84704</v>
      </c>
      <c r="H11936" s="18">
        <f t="shared" si="270"/>
        <v>41786.870000000003</v>
      </c>
      <c r="I11936" s="3"/>
    </row>
    <row r="11937" spans="1:9" s="4" customFormat="1" ht="18.75" customHeight="1" x14ac:dyDescent="0.55000000000000004">
      <c r="A11937" s="18">
        <v>24.693380300000001</v>
      </c>
      <c r="B11937" s="18">
        <v>34.859349799999997</v>
      </c>
      <c r="C11937" s="18">
        <v>688111.04</v>
      </c>
      <c r="D11937" s="18">
        <v>2732272.3</v>
      </c>
      <c r="E11937" s="18">
        <v>297.48</v>
      </c>
      <c r="F11937" s="18">
        <v>41800.61</v>
      </c>
      <c r="G11937" s="18">
        <v>84834</v>
      </c>
      <c r="H11937" s="18">
        <f t="shared" si="270"/>
        <v>41783.61</v>
      </c>
      <c r="I11937" s="3"/>
    </row>
    <row r="11938" spans="1:9" s="4" customFormat="1" ht="18.75" customHeight="1" x14ac:dyDescent="0.55000000000000004">
      <c r="A11938" s="18">
        <v>24.6933808</v>
      </c>
      <c r="B11938" s="18">
        <v>34.859348599999997</v>
      </c>
      <c r="C11938" s="18">
        <v>688110.93</v>
      </c>
      <c r="D11938" s="18">
        <v>2732272.36</v>
      </c>
      <c r="E11938" s="18">
        <v>297.49</v>
      </c>
      <c r="F11938" s="18">
        <v>41801.86</v>
      </c>
      <c r="G11938" s="18">
        <v>84843</v>
      </c>
      <c r="H11938" s="18">
        <f t="shared" si="270"/>
        <v>41784.86</v>
      </c>
      <c r="I11938" s="3"/>
    </row>
    <row r="11939" spans="1:9" s="4" customFormat="1" ht="18.75" customHeight="1" x14ac:dyDescent="0.55000000000000004">
      <c r="A11939" s="18">
        <v>24.694715899999998</v>
      </c>
      <c r="B11939" s="18">
        <v>34.857680199999997</v>
      </c>
      <c r="C11939" s="18">
        <v>687940.09</v>
      </c>
      <c r="D11939" s="18">
        <v>2732417.94</v>
      </c>
      <c r="E11939" s="18">
        <v>300.88</v>
      </c>
      <c r="F11939" s="18">
        <v>41795.4</v>
      </c>
      <c r="G11939" s="18">
        <v>85010</v>
      </c>
      <c r="H11939" s="18">
        <f t="shared" si="270"/>
        <v>41778.400000000001</v>
      </c>
      <c r="I11939" s="3"/>
    </row>
    <row r="11940" spans="1:9" s="4" customFormat="1" ht="18.75" customHeight="1" x14ac:dyDescent="0.55000000000000004">
      <c r="A11940" s="18">
        <v>24.694715899999998</v>
      </c>
      <c r="B11940" s="18">
        <v>34.857680899999998</v>
      </c>
      <c r="C11940" s="18">
        <v>687940.15</v>
      </c>
      <c r="D11940" s="18">
        <v>2732417.95</v>
      </c>
      <c r="E11940" s="18">
        <v>300.89</v>
      </c>
      <c r="F11940" s="18">
        <v>41796.879999999997</v>
      </c>
      <c r="G11940" s="18">
        <v>85019</v>
      </c>
      <c r="H11940" s="18">
        <f t="shared" si="270"/>
        <v>41779.879999999997</v>
      </c>
      <c r="I11940" s="3"/>
    </row>
    <row r="11941" spans="1:9" s="4" customFormat="1" ht="18.75" customHeight="1" x14ac:dyDescent="0.55000000000000004">
      <c r="A11941" s="18">
        <v>24.6954718</v>
      </c>
      <c r="B11941" s="18">
        <v>34.855646999999998</v>
      </c>
      <c r="C11941" s="18">
        <v>687733.21</v>
      </c>
      <c r="D11941" s="18">
        <v>2732498.88</v>
      </c>
      <c r="E11941" s="18">
        <v>304.02</v>
      </c>
      <c r="F11941" s="18">
        <v>41804.559999999998</v>
      </c>
      <c r="G11941" s="18">
        <v>85152</v>
      </c>
      <c r="H11941" s="18">
        <f t="shared" si="270"/>
        <v>41787.56</v>
      </c>
      <c r="I11941" s="3"/>
    </row>
    <row r="11942" spans="1:9" s="4" customFormat="1" ht="18.75" customHeight="1" x14ac:dyDescent="0.55000000000000004">
      <c r="A11942" s="18">
        <v>24.6954776</v>
      </c>
      <c r="B11942" s="18">
        <v>34.855644099999999</v>
      </c>
      <c r="C11942" s="18">
        <v>687732.91</v>
      </c>
      <c r="D11942" s="18">
        <v>2732499.53</v>
      </c>
      <c r="E11942" s="18">
        <v>303.77999999999997</v>
      </c>
      <c r="F11942" s="18">
        <v>41804.480000000003</v>
      </c>
      <c r="G11942" s="18">
        <v>85201</v>
      </c>
      <c r="H11942" s="18">
        <f t="shared" si="270"/>
        <v>41787.480000000003</v>
      </c>
      <c r="I11942" s="3"/>
    </row>
    <row r="11943" spans="1:9" s="4" customFormat="1" ht="18.75" customHeight="1" x14ac:dyDescent="0.55000000000000004">
      <c r="A11943" s="18">
        <v>24.696041300000001</v>
      </c>
      <c r="B11943" s="18">
        <v>34.853473899999997</v>
      </c>
      <c r="C11943" s="18">
        <v>687512.46</v>
      </c>
      <c r="D11943" s="18">
        <v>2732558.99</v>
      </c>
      <c r="E11943" s="18">
        <v>305.8</v>
      </c>
      <c r="F11943" s="18">
        <v>41800.03</v>
      </c>
      <c r="G11943" s="18">
        <v>85337</v>
      </c>
      <c r="H11943" s="18">
        <f t="shared" si="270"/>
        <v>41783.03</v>
      </c>
      <c r="I11943" s="3"/>
    </row>
    <row r="11944" spans="1:9" s="4" customFormat="1" ht="18.75" customHeight="1" x14ac:dyDescent="0.55000000000000004">
      <c r="A11944" s="18">
        <v>24.696040799999999</v>
      </c>
      <c r="B11944" s="18">
        <v>34.853473999999999</v>
      </c>
      <c r="C11944" s="18">
        <v>687512.47</v>
      </c>
      <c r="D11944" s="18">
        <v>2732558.94</v>
      </c>
      <c r="E11944" s="18">
        <v>305.70999999999998</v>
      </c>
      <c r="F11944" s="18">
        <v>41800.94</v>
      </c>
      <c r="G11944" s="18">
        <v>85346</v>
      </c>
      <c r="H11944" s="18">
        <f t="shared" si="270"/>
        <v>41783.94</v>
      </c>
      <c r="I11944" s="3"/>
    </row>
    <row r="11945" spans="1:9" s="4" customFormat="1" ht="18.75" customHeight="1" x14ac:dyDescent="0.55000000000000004">
      <c r="A11945" s="18">
        <v>24.696982899999998</v>
      </c>
      <c r="B11945" s="18">
        <v>34.851733600000003</v>
      </c>
      <c r="C11945" s="18">
        <v>687334.94</v>
      </c>
      <c r="D11945" s="18">
        <v>2732660.9</v>
      </c>
      <c r="E11945" s="18">
        <v>308.27</v>
      </c>
      <c r="F11945" s="18">
        <v>41804.129999999997</v>
      </c>
      <c r="G11945" s="18">
        <v>85455</v>
      </c>
      <c r="H11945" s="18">
        <f t="shared" si="270"/>
        <v>41787.129999999997</v>
      </c>
      <c r="I11945" s="3"/>
    </row>
    <row r="11946" spans="1:9" s="4" customFormat="1" ht="18.75" customHeight="1" x14ac:dyDescent="0.55000000000000004">
      <c r="A11946" s="18">
        <v>24.6969675</v>
      </c>
      <c r="B11946" s="18">
        <v>34.851757300000003</v>
      </c>
      <c r="C11946" s="18">
        <v>687337.36</v>
      </c>
      <c r="D11946" s="18">
        <v>2732659.23</v>
      </c>
      <c r="E11946" s="18">
        <v>308.26</v>
      </c>
      <c r="F11946" s="18">
        <v>41805.47</v>
      </c>
      <c r="G11946" s="18">
        <v>85504</v>
      </c>
      <c r="H11946" s="18">
        <f t="shared" si="270"/>
        <v>41788.47</v>
      </c>
      <c r="I11946" s="3"/>
    </row>
    <row r="11947" spans="1:9" s="4" customFormat="1" ht="18.75" customHeight="1" x14ac:dyDescent="0.55000000000000004">
      <c r="A11947" s="18">
        <v>24.698980899999999</v>
      </c>
      <c r="B11947" s="18">
        <v>34.850162099999999</v>
      </c>
      <c r="C11947" s="18">
        <v>687172.94</v>
      </c>
      <c r="D11947" s="18">
        <v>2732880.06</v>
      </c>
      <c r="E11947" s="18">
        <v>311.16000000000003</v>
      </c>
      <c r="F11947" s="18">
        <v>41809.089999999997</v>
      </c>
      <c r="G11947" s="18">
        <v>85640</v>
      </c>
      <c r="H11947" s="18">
        <f t="shared" si="270"/>
        <v>41792.089999999997</v>
      </c>
      <c r="I11947" s="3"/>
    </row>
    <row r="11948" spans="1:9" s="4" customFormat="1" ht="18.75" customHeight="1" x14ac:dyDescent="0.55000000000000004">
      <c r="A11948" s="18">
        <v>24.6989807</v>
      </c>
      <c r="B11948" s="18">
        <v>34.850162699999998</v>
      </c>
      <c r="C11948" s="18">
        <v>687173</v>
      </c>
      <c r="D11948" s="18">
        <v>2732880.03</v>
      </c>
      <c r="E11948" s="18">
        <v>310.98</v>
      </c>
      <c r="F11948" s="18">
        <v>41810.97</v>
      </c>
      <c r="G11948" s="18">
        <v>85652</v>
      </c>
      <c r="H11948" s="18">
        <f t="shared" si="270"/>
        <v>41793.97</v>
      </c>
      <c r="I11948" s="3"/>
    </row>
    <row r="11949" spans="1:9" s="4" customFormat="1" ht="18.75" customHeight="1" x14ac:dyDescent="0.55000000000000004">
      <c r="A11949" s="18">
        <v>24.7003007</v>
      </c>
      <c r="B11949" s="18">
        <v>34.848902600000002</v>
      </c>
      <c r="C11949" s="18">
        <v>687043.52</v>
      </c>
      <c r="D11949" s="18">
        <v>2733024.53</v>
      </c>
      <c r="E11949" s="18">
        <v>315.26</v>
      </c>
      <c r="F11949" s="18">
        <v>41809.199999999997</v>
      </c>
      <c r="G11949" s="18">
        <v>85810</v>
      </c>
      <c r="H11949" s="18">
        <f t="shared" si="270"/>
        <v>41792.199999999997</v>
      </c>
      <c r="I11949" s="3"/>
    </row>
    <row r="11950" spans="1:9" s="4" customFormat="1" ht="18.75" customHeight="1" x14ac:dyDescent="0.55000000000000004">
      <c r="A11950" s="18">
        <v>24.7003013</v>
      </c>
      <c r="B11950" s="18">
        <v>34.848902199999998</v>
      </c>
      <c r="C11950" s="18">
        <v>687043.48</v>
      </c>
      <c r="D11950" s="18">
        <v>2733024.59</v>
      </c>
      <c r="E11950" s="18">
        <v>315.33999999999997</v>
      </c>
      <c r="F11950" s="18">
        <v>41810.58</v>
      </c>
      <c r="G11950" s="18">
        <v>85819</v>
      </c>
      <c r="H11950" s="18">
        <f t="shared" si="270"/>
        <v>41793.58</v>
      </c>
      <c r="I11950" s="3"/>
    </row>
    <row r="11951" spans="1:9" s="4" customFormat="1" ht="18.75" customHeight="1" x14ac:dyDescent="0.55000000000000004">
      <c r="A11951" s="18">
        <v>24.701294300000001</v>
      </c>
      <c r="B11951" s="18">
        <v>34.847538800000002</v>
      </c>
      <c r="C11951" s="18">
        <v>686904.03</v>
      </c>
      <c r="D11951" s="18">
        <v>2733132.71</v>
      </c>
      <c r="E11951" s="18">
        <v>315.11</v>
      </c>
      <c r="F11951" s="18">
        <v>41812.199999999997</v>
      </c>
      <c r="G11951" s="18">
        <v>85931</v>
      </c>
      <c r="H11951" s="18">
        <f t="shared" si="270"/>
        <v>41795.199999999997</v>
      </c>
      <c r="I11951" s="3"/>
    </row>
    <row r="11952" spans="1:9" s="4" customFormat="1" ht="18.75" customHeight="1" x14ac:dyDescent="0.55000000000000004">
      <c r="A11952" s="18">
        <v>24.701294600000001</v>
      </c>
      <c r="B11952" s="18">
        <v>34.847538499999999</v>
      </c>
      <c r="C11952" s="18">
        <v>686904</v>
      </c>
      <c r="D11952" s="18">
        <v>2733132.75</v>
      </c>
      <c r="E11952" s="18">
        <v>314.79000000000002</v>
      </c>
      <c r="F11952" s="18">
        <v>41812.65</v>
      </c>
      <c r="G11952" s="18">
        <v>85940</v>
      </c>
      <c r="H11952" s="18">
        <f t="shared" si="270"/>
        <v>41795.65</v>
      </c>
      <c r="I11952" s="3"/>
    </row>
    <row r="11953" spans="1:9" s="4" customFormat="1" ht="18.75" customHeight="1" x14ac:dyDescent="0.55000000000000004">
      <c r="A11953" s="18">
        <v>24.703375699999999</v>
      </c>
      <c r="B11953" s="18">
        <v>34.846407300000003</v>
      </c>
      <c r="C11953" s="18">
        <v>686786.44</v>
      </c>
      <c r="D11953" s="18">
        <v>2733361.71</v>
      </c>
      <c r="E11953" s="18">
        <v>317.91000000000003</v>
      </c>
      <c r="F11953" s="18">
        <v>41818.269999999997</v>
      </c>
      <c r="G11953" s="18">
        <v>90110</v>
      </c>
      <c r="H11953" s="18">
        <f>SUM(F11953-20)</f>
        <v>41798.269999999997</v>
      </c>
      <c r="I11953" s="3"/>
    </row>
    <row r="11954" spans="1:9" s="4" customFormat="1" ht="18.75" customHeight="1" x14ac:dyDescent="0.55000000000000004">
      <c r="A11954" s="18">
        <v>24.703375900000001</v>
      </c>
      <c r="B11954" s="18">
        <v>34.846408199999999</v>
      </c>
      <c r="C11954" s="18">
        <v>686786.53</v>
      </c>
      <c r="D11954" s="18">
        <v>2733361.74</v>
      </c>
      <c r="E11954" s="18">
        <v>317.77</v>
      </c>
      <c r="F11954" s="18">
        <v>41820.29</v>
      </c>
      <c r="G11954" s="18">
        <v>90116</v>
      </c>
      <c r="H11954" s="18">
        <f t="shared" ref="H11954:H11955" si="271">SUM(F11954-20)</f>
        <v>41800.29</v>
      </c>
      <c r="I11954" s="3"/>
    </row>
    <row r="11955" spans="1:9" s="4" customFormat="1" ht="18.75" customHeight="1" x14ac:dyDescent="0.55000000000000004">
      <c r="A11955" s="18">
        <v>24.703375399999999</v>
      </c>
      <c r="B11955" s="18">
        <v>34.846407800000001</v>
      </c>
      <c r="C11955" s="18">
        <v>686786.49</v>
      </c>
      <c r="D11955" s="18">
        <v>2733361.68</v>
      </c>
      <c r="E11955" s="18">
        <v>317.75</v>
      </c>
      <c r="F11955" s="18">
        <v>41819.64</v>
      </c>
      <c r="G11955" s="18">
        <v>90131</v>
      </c>
      <c r="H11955" s="18">
        <f t="shared" si="271"/>
        <v>41799.64</v>
      </c>
      <c r="I11955" s="3"/>
    </row>
    <row r="11956" spans="1:9" s="4" customFormat="1" ht="18.75" customHeight="1" x14ac:dyDescent="0.55000000000000004">
      <c r="A11956" s="18">
        <v>24.704629199999999</v>
      </c>
      <c r="B11956" s="18">
        <v>34.844180299999998</v>
      </c>
      <c r="C11956" s="18">
        <v>686559.22</v>
      </c>
      <c r="D11956" s="18">
        <v>2733497.52</v>
      </c>
      <c r="E11956" s="18">
        <v>320.31</v>
      </c>
      <c r="F11956" s="18">
        <v>41819.78</v>
      </c>
      <c r="G11956" s="18">
        <v>90258</v>
      </c>
      <c r="H11956" s="18">
        <f>SUM(F11956-21)</f>
        <v>41798.78</v>
      </c>
      <c r="I11956" s="3"/>
    </row>
    <row r="11957" spans="1:9" s="4" customFormat="1" ht="18.75" customHeight="1" x14ac:dyDescent="0.55000000000000004">
      <c r="A11957" s="18">
        <v>24.704628599999999</v>
      </c>
      <c r="B11957" s="18">
        <v>34.844180199999997</v>
      </c>
      <c r="C11957" s="18">
        <v>686559.22</v>
      </c>
      <c r="D11957" s="18">
        <v>2733497.45</v>
      </c>
      <c r="E11957" s="18">
        <v>320.38</v>
      </c>
      <c r="F11957" s="18">
        <v>41823.360000000001</v>
      </c>
      <c r="G11957" s="18">
        <v>90307</v>
      </c>
      <c r="H11957" s="18">
        <f t="shared" ref="H11957:H11971" si="272">SUM(F11957-21)</f>
        <v>41802.36</v>
      </c>
      <c r="I11957" s="3"/>
    </row>
    <row r="11958" spans="1:9" s="4" customFormat="1" ht="18.75" customHeight="1" x14ac:dyDescent="0.55000000000000004">
      <c r="A11958" s="18">
        <v>24.705979299999999</v>
      </c>
      <c r="B11958" s="18">
        <v>34.842447100000001</v>
      </c>
      <c r="C11958" s="18">
        <v>686381.84</v>
      </c>
      <c r="D11958" s="18">
        <v>2733644.7</v>
      </c>
      <c r="E11958" s="18">
        <v>324.87</v>
      </c>
      <c r="F11958" s="18">
        <v>41820.769999999997</v>
      </c>
      <c r="G11958" s="18">
        <v>90446</v>
      </c>
      <c r="H11958" s="18">
        <f t="shared" si="272"/>
        <v>41799.769999999997</v>
      </c>
      <c r="I11958" s="3"/>
    </row>
    <row r="11959" spans="1:9" s="4" customFormat="1" ht="18.75" customHeight="1" x14ac:dyDescent="0.55000000000000004">
      <c r="A11959" s="18">
        <v>24.7059806</v>
      </c>
      <c r="B11959" s="18">
        <v>34.8424464</v>
      </c>
      <c r="C11959" s="18">
        <v>686381.78</v>
      </c>
      <c r="D11959" s="18">
        <v>2733644.84</v>
      </c>
      <c r="E11959" s="18">
        <v>324.62</v>
      </c>
      <c r="F11959" s="18">
        <v>41821.129999999997</v>
      </c>
      <c r="G11959" s="18">
        <v>90455</v>
      </c>
      <c r="H11959" s="18">
        <f t="shared" si="272"/>
        <v>41800.129999999997</v>
      </c>
      <c r="I11959" s="3"/>
    </row>
    <row r="11960" spans="1:9" s="4" customFormat="1" ht="18.75" customHeight="1" x14ac:dyDescent="0.55000000000000004">
      <c r="A11960" s="18">
        <v>24.707312200000001</v>
      </c>
      <c r="B11960" s="18">
        <v>34.8406691</v>
      </c>
      <c r="C11960" s="18">
        <v>686199.96</v>
      </c>
      <c r="D11960" s="18">
        <v>2733789.92</v>
      </c>
      <c r="E11960" s="18">
        <v>325.95</v>
      </c>
      <c r="F11960" s="18">
        <v>41820.29</v>
      </c>
      <c r="G11960" s="18">
        <v>90625</v>
      </c>
      <c r="H11960" s="18">
        <f t="shared" si="272"/>
        <v>41799.29</v>
      </c>
      <c r="I11960" s="3"/>
    </row>
    <row r="11961" spans="1:9" s="4" customFormat="1" ht="18.75" customHeight="1" x14ac:dyDescent="0.55000000000000004">
      <c r="A11961" s="18">
        <v>24.708668800000002</v>
      </c>
      <c r="B11961" s="18">
        <v>34.838085100000001</v>
      </c>
      <c r="C11961" s="18">
        <v>685936.49</v>
      </c>
      <c r="D11961" s="18">
        <v>2733936.67</v>
      </c>
      <c r="E11961" s="18">
        <v>328.9</v>
      </c>
      <c r="F11961" s="18">
        <v>41822.910000000003</v>
      </c>
      <c r="G11961" s="18">
        <v>90813</v>
      </c>
      <c r="H11961" s="18">
        <f t="shared" si="272"/>
        <v>41801.910000000003</v>
      </c>
      <c r="I11961" s="3"/>
    </row>
    <row r="11962" spans="1:9" s="4" customFormat="1" ht="18.75" customHeight="1" x14ac:dyDescent="0.55000000000000004">
      <c r="A11962" s="18">
        <v>24.708668800000002</v>
      </c>
      <c r="B11962" s="18">
        <v>34.838085499999998</v>
      </c>
      <c r="C11962" s="18">
        <v>685936.54</v>
      </c>
      <c r="D11962" s="18">
        <v>2733936.67</v>
      </c>
      <c r="E11962" s="18">
        <v>328.98</v>
      </c>
      <c r="F11962" s="18">
        <v>41822.620000000003</v>
      </c>
      <c r="G11962" s="18">
        <v>90822</v>
      </c>
      <c r="H11962" s="18">
        <f t="shared" si="272"/>
        <v>41801.620000000003</v>
      </c>
      <c r="I11962" s="3"/>
    </row>
    <row r="11963" spans="1:9" s="4" customFormat="1" ht="18.75" customHeight="1" x14ac:dyDescent="0.55000000000000004">
      <c r="A11963" s="18">
        <v>24.709375399999999</v>
      </c>
      <c r="B11963" s="18">
        <v>34.835633199999997</v>
      </c>
      <c r="C11963" s="18">
        <v>685687.36</v>
      </c>
      <c r="D11963" s="18">
        <v>2734011.61</v>
      </c>
      <c r="E11963" s="18">
        <v>330.07</v>
      </c>
      <c r="F11963" s="18">
        <v>41819.760000000002</v>
      </c>
      <c r="G11963" s="18">
        <v>90955</v>
      </c>
      <c r="H11963" s="18">
        <f t="shared" si="272"/>
        <v>41798.76</v>
      </c>
      <c r="I11963" s="3"/>
    </row>
    <row r="11964" spans="1:9" s="4" customFormat="1" ht="18.75" customHeight="1" x14ac:dyDescent="0.55000000000000004">
      <c r="A11964" s="18">
        <v>24.709374199999999</v>
      </c>
      <c r="B11964" s="18">
        <v>34.835650899999997</v>
      </c>
      <c r="C11964" s="18">
        <v>685689.15</v>
      </c>
      <c r="D11964" s="18">
        <v>2734011.5</v>
      </c>
      <c r="E11964" s="18">
        <v>329.46</v>
      </c>
      <c r="F11964" s="18">
        <v>41818.39</v>
      </c>
      <c r="G11964" s="18">
        <v>91004</v>
      </c>
      <c r="H11964" s="18">
        <f t="shared" si="272"/>
        <v>41797.39</v>
      </c>
      <c r="I11964" s="3"/>
    </row>
    <row r="11965" spans="1:9" s="4" customFormat="1" ht="18.75" customHeight="1" x14ac:dyDescent="0.55000000000000004">
      <c r="A11965" s="18">
        <v>24.7093837</v>
      </c>
      <c r="B11965" s="18">
        <v>34.832738800000001</v>
      </c>
      <c r="C11965" s="18">
        <v>685394.49</v>
      </c>
      <c r="D11965" s="18">
        <v>2734008.6</v>
      </c>
      <c r="E11965" s="18">
        <v>330.96</v>
      </c>
      <c r="F11965" s="18">
        <v>41817.449999999997</v>
      </c>
      <c r="G11965" s="18">
        <v>91134</v>
      </c>
      <c r="H11965" s="18">
        <f t="shared" si="272"/>
        <v>41796.449999999997</v>
      </c>
      <c r="I11965" s="3"/>
    </row>
    <row r="11966" spans="1:9" s="4" customFormat="1" ht="18.75" customHeight="1" x14ac:dyDescent="0.55000000000000004">
      <c r="A11966" s="18">
        <v>24.709384100000001</v>
      </c>
      <c r="B11966" s="18">
        <v>34.832737600000002</v>
      </c>
      <c r="C11966" s="18">
        <v>685394.38</v>
      </c>
      <c r="D11966" s="18">
        <v>2734008.64</v>
      </c>
      <c r="E11966" s="18">
        <v>331.03</v>
      </c>
      <c r="F11966" s="18">
        <v>41817.83</v>
      </c>
      <c r="G11966" s="18">
        <v>91143</v>
      </c>
      <c r="H11966" s="18">
        <f t="shared" si="272"/>
        <v>41796.83</v>
      </c>
      <c r="I11966" s="3"/>
    </row>
    <row r="11967" spans="1:9" s="4" customFormat="1" ht="18.75" customHeight="1" x14ac:dyDescent="0.55000000000000004">
      <c r="A11967" s="18">
        <v>24.7105253</v>
      </c>
      <c r="B11967" s="18">
        <v>34.830747299999999</v>
      </c>
      <c r="C11967" s="18">
        <v>685191.31</v>
      </c>
      <c r="D11967" s="18">
        <v>2734132.36</v>
      </c>
      <c r="E11967" s="18">
        <v>334.73</v>
      </c>
      <c r="F11967" s="18">
        <v>41823.519999999997</v>
      </c>
      <c r="G11967" s="18">
        <v>91307</v>
      </c>
      <c r="H11967" s="18">
        <f t="shared" si="272"/>
        <v>41802.519999999997</v>
      </c>
      <c r="I11967" s="3"/>
    </row>
    <row r="11968" spans="1:9" s="4" customFormat="1" ht="18.75" customHeight="1" x14ac:dyDescent="0.55000000000000004">
      <c r="A11968" s="18">
        <v>24.710525100000002</v>
      </c>
      <c r="B11968" s="18">
        <v>34.830747500000001</v>
      </c>
      <c r="C11968" s="18">
        <v>685191.32</v>
      </c>
      <c r="D11968" s="18">
        <v>2734132.33</v>
      </c>
      <c r="E11968" s="18">
        <v>334.96</v>
      </c>
      <c r="F11968" s="18">
        <v>41822.949999999997</v>
      </c>
      <c r="G11968" s="18">
        <v>91316</v>
      </c>
      <c r="H11968" s="18">
        <f t="shared" si="272"/>
        <v>41801.949999999997</v>
      </c>
      <c r="I11968" s="3"/>
    </row>
    <row r="11969" spans="1:9" s="4" customFormat="1" ht="18.75" customHeight="1" x14ac:dyDescent="0.55000000000000004">
      <c r="A11969" s="18">
        <v>24.711467299999999</v>
      </c>
      <c r="B11969" s="18">
        <v>34.828568199999999</v>
      </c>
      <c r="C11969" s="18">
        <v>684969.44</v>
      </c>
      <c r="D11969" s="18">
        <v>2734233.75</v>
      </c>
      <c r="E11969" s="18">
        <v>338.9</v>
      </c>
      <c r="F11969" s="18">
        <v>41820.69</v>
      </c>
      <c r="G11969" s="18">
        <v>91446</v>
      </c>
      <c r="H11969" s="18">
        <f t="shared" si="272"/>
        <v>41799.69</v>
      </c>
      <c r="I11969" s="3"/>
    </row>
    <row r="11970" spans="1:9" s="4" customFormat="1" ht="18.75" customHeight="1" x14ac:dyDescent="0.55000000000000004">
      <c r="A11970" s="18">
        <v>24.711467200000001</v>
      </c>
      <c r="B11970" s="18">
        <v>34.828568199999999</v>
      </c>
      <c r="C11970" s="18">
        <v>684969.43</v>
      </c>
      <c r="D11970" s="18">
        <v>2734233.74</v>
      </c>
      <c r="E11970" s="18">
        <v>338.9</v>
      </c>
      <c r="F11970" s="18">
        <v>41820.46</v>
      </c>
      <c r="G11970" s="18">
        <v>91452</v>
      </c>
      <c r="H11970" s="18">
        <f t="shared" si="272"/>
        <v>41799.46</v>
      </c>
      <c r="I11970" s="3"/>
    </row>
    <row r="11971" spans="1:9" s="4" customFormat="1" ht="18.75" customHeight="1" x14ac:dyDescent="0.55000000000000004">
      <c r="A11971" s="18">
        <v>24.711467299999999</v>
      </c>
      <c r="B11971" s="18">
        <v>34.828566199999997</v>
      </c>
      <c r="C11971" s="18">
        <v>684969.23</v>
      </c>
      <c r="D11971" s="18">
        <v>2734233.75</v>
      </c>
      <c r="E11971" s="18">
        <v>338.83</v>
      </c>
      <c r="F11971" s="18">
        <v>41819.61</v>
      </c>
      <c r="G11971" s="18">
        <v>91501</v>
      </c>
      <c r="H11971" s="18">
        <f t="shared" si="272"/>
        <v>41798.61</v>
      </c>
      <c r="I11971" s="3"/>
    </row>
    <row r="11972" spans="1:9" s="4" customFormat="1" ht="18.75" customHeight="1" x14ac:dyDescent="0.55000000000000004">
      <c r="A11972" s="18">
        <v>24.7117425</v>
      </c>
      <c r="B11972" s="18">
        <v>34.826480199999999</v>
      </c>
      <c r="C11972" s="18">
        <v>684757.77</v>
      </c>
      <c r="D11972" s="18">
        <v>2734261.41</v>
      </c>
      <c r="E11972" s="18">
        <v>341.68</v>
      </c>
      <c r="F11972" s="18">
        <v>41829.699999999997</v>
      </c>
      <c r="G11972" s="18">
        <v>94434</v>
      </c>
      <c r="H11972" s="18">
        <f>SUM(F11972-17)</f>
        <v>41812.699999999997</v>
      </c>
      <c r="I11972" s="3"/>
    </row>
    <row r="11973" spans="1:9" s="4" customFormat="1" ht="18.75" customHeight="1" x14ac:dyDescent="0.55000000000000004">
      <c r="A11973" s="18">
        <v>24.711742699999999</v>
      </c>
      <c r="B11973" s="18">
        <v>34.826480699999998</v>
      </c>
      <c r="C11973" s="18">
        <v>684757.82</v>
      </c>
      <c r="D11973" s="18">
        <v>2734261.43</v>
      </c>
      <c r="E11973" s="18">
        <v>341.69</v>
      </c>
      <c r="F11973" s="18">
        <v>41829.61</v>
      </c>
      <c r="G11973" s="18">
        <v>94443</v>
      </c>
      <c r="H11973" s="18">
        <f t="shared" ref="H11973:H11988" si="273">SUM(F11973-17)</f>
        <v>41812.61</v>
      </c>
      <c r="I11973" s="3"/>
    </row>
    <row r="11974" spans="1:9" s="4" customFormat="1" ht="18.75" customHeight="1" x14ac:dyDescent="0.55000000000000004">
      <c r="A11974" s="18">
        <v>24.711744199999998</v>
      </c>
      <c r="B11974" s="18">
        <v>34.826478600000002</v>
      </c>
      <c r="C11974" s="18">
        <v>684757.6</v>
      </c>
      <c r="D11974" s="18">
        <v>2734261.6</v>
      </c>
      <c r="E11974" s="18">
        <v>341.73</v>
      </c>
      <c r="F11974" s="18">
        <v>41833.120000000003</v>
      </c>
      <c r="G11974" s="18">
        <v>94458</v>
      </c>
      <c r="H11974" s="18">
        <f t="shared" si="273"/>
        <v>41816.120000000003</v>
      </c>
      <c r="I11974" s="3"/>
    </row>
    <row r="11975" spans="1:9" s="4" customFormat="1" ht="18.75" customHeight="1" x14ac:dyDescent="0.55000000000000004">
      <c r="A11975" s="18">
        <v>24.713269400000001</v>
      </c>
      <c r="B11975" s="18">
        <v>34.824891100000002</v>
      </c>
      <c r="C11975" s="18">
        <v>684594.73</v>
      </c>
      <c r="D11975" s="18">
        <v>2734428.39</v>
      </c>
      <c r="E11975" s="18">
        <v>346.99</v>
      </c>
      <c r="F11975" s="18">
        <v>41820.43</v>
      </c>
      <c r="G11975" s="18">
        <v>94643</v>
      </c>
      <c r="H11975" s="18">
        <f t="shared" si="273"/>
        <v>41803.43</v>
      </c>
      <c r="I11975" s="3"/>
    </row>
    <row r="11976" spans="1:9" s="4" customFormat="1" ht="18.75" customHeight="1" x14ac:dyDescent="0.55000000000000004">
      <c r="A11976" s="18">
        <v>24.713270699999999</v>
      </c>
      <c r="B11976" s="18">
        <v>34.824892499999997</v>
      </c>
      <c r="C11976" s="18">
        <v>684594.87</v>
      </c>
      <c r="D11976" s="18">
        <v>2734428.54</v>
      </c>
      <c r="E11976" s="18">
        <v>347.19</v>
      </c>
      <c r="F11976" s="18">
        <v>41821.379999999997</v>
      </c>
      <c r="G11976" s="18">
        <v>94652</v>
      </c>
      <c r="H11976" s="18">
        <f t="shared" si="273"/>
        <v>41804.379999999997</v>
      </c>
      <c r="I11976" s="3"/>
    </row>
    <row r="11977" spans="1:9" s="4" customFormat="1" ht="18.75" customHeight="1" x14ac:dyDescent="0.55000000000000004">
      <c r="A11977" s="18">
        <v>24.713274899999998</v>
      </c>
      <c r="B11977" s="18">
        <v>34.822910100000001</v>
      </c>
      <c r="C11977" s="18">
        <v>684394.3</v>
      </c>
      <c r="D11977" s="18">
        <v>2734426.33</v>
      </c>
      <c r="E11977" s="18">
        <v>350.68</v>
      </c>
      <c r="F11977" s="18">
        <v>41812.050000000003</v>
      </c>
      <c r="G11977" s="18">
        <v>94843</v>
      </c>
      <c r="H11977" s="18">
        <f t="shared" si="273"/>
        <v>41795.050000000003</v>
      </c>
      <c r="I11977" s="3"/>
    </row>
    <row r="11978" spans="1:9" s="4" customFormat="1" ht="18.75" customHeight="1" x14ac:dyDescent="0.55000000000000004">
      <c r="A11978" s="18">
        <v>24.713276199999999</v>
      </c>
      <c r="B11978" s="18">
        <v>34.822909899999999</v>
      </c>
      <c r="C11978" s="18">
        <v>684394.27</v>
      </c>
      <c r="D11978" s="18">
        <v>2734426.48</v>
      </c>
      <c r="E11978" s="18">
        <v>350.65</v>
      </c>
      <c r="F11978" s="18">
        <v>41808.949999999997</v>
      </c>
      <c r="G11978" s="18">
        <v>94852</v>
      </c>
      <c r="H11978" s="18">
        <f t="shared" si="273"/>
        <v>41791.949999999997</v>
      </c>
      <c r="I11978" s="3"/>
    </row>
    <row r="11979" spans="1:9" s="4" customFormat="1" ht="18.75" customHeight="1" x14ac:dyDescent="0.55000000000000004">
      <c r="A11979" s="18">
        <v>24.714217699999999</v>
      </c>
      <c r="B11979" s="18">
        <v>34.8203149</v>
      </c>
      <c r="C11979" s="18">
        <v>684130.34</v>
      </c>
      <c r="D11979" s="18">
        <v>2734527.26</v>
      </c>
      <c r="E11979" s="18">
        <v>355.2</v>
      </c>
      <c r="F11979" s="18">
        <v>41825.449999999997</v>
      </c>
      <c r="G11979" s="18">
        <v>95110</v>
      </c>
      <c r="H11979" s="18">
        <f t="shared" si="273"/>
        <v>41808.449999999997</v>
      </c>
      <c r="I11979" s="3"/>
    </row>
    <row r="11980" spans="1:9" s="4" customFormat="1" ht="18.75" customHeight="1" x14ac:dyDescent="0.55000000000000004">
      <c r="A11980" s="18">
        <v>24.714217900000001</v>
      </c>
      <c r="B11980" s="18">
        <v>34.820315700000002</v>
      </c>
      <c r="C11980" s="18">
        <v>684130.41</v>
      </c>
      <c r="D11980" s="18">
        <v>2734527.29</v>
      </c>
      <c r="E11980" s="18">
        <v>355.28</v>
      </c>
      <c r="F11980" s="18">
        <v>41825.269999999997</v>
      </c>
      <c r="G11980" s="18">
        <v>95116</v>
      </c>
      <c r="H11980" s="18">
        <f t="shared" si="273"/>
        <v>41808.269999999997</v>
      </c>
      <c r="I11980" s="3"/>
    </row>
    <row r="11981" spans="1:9" s="4" customFormat="1" ht="18.75" customHeight="1" x14ac:dyDescent="0.55000000000000004">
      <c r="A11981" s="18">
        <v>24.7147167</v>
      </c>
      <c r="B11981" s="18">
        <v>34.818274899999999</v>
      </c>
      <c r="C11981" s="18">
        <v>683923.2</v>
      </c>
      <c r="D11981" s="18">
        <v>2734579.79</v>
      </c>
      <c r="E11981" s="18">
        <v>359.4</v>
      </c>
      <c r="F11981" s="18">
        <v>41822.94</v>
      </c>
      <c r="G11981" s="18">
        <v>95249</v>
      </c>
      <c r="H11981" s="18">
        <f t="shared" si="273"/>
        <v>41805.94</v>
      </c>
      <c r="I11981" s="3"/>
    </row>
    <row r="11982" spans="1:9" s="4" customFormat="1" ht="18.75" customHeight="1" x14ac:dyDescent="0.55000000000000004">
      <c r="A11982" s="18">
        <v>24.714718600000001</v>
      </c>
      <c r="B11982" s="18">
        <v>34.818275</v>
      </c>
      <c r="C11982" s="18">
        <v>683923.21</v>
      </c>
      <c r="D11982" s="18">
        <v>2734580.01</v>
      </c>
      <c r="E11982" s="18">
        <v>359.38</v>
      </c>
      <c r="F11982" s="18">
        <v>41823.160000000003</v>
      </c>
      <c r="G11982" s="18">
        <v>95258</v>
      </c>
      <c r="H11982" s="18">
        <f t="shared" si="273"/>
        <v>41806.160000000003</v>
      </c>
      <c r="I11982" s="3"/>
    </row>
    <row r="11983" spans="1:9" s="4" customFormat="1" ht="18.75" customHeight="1" x14ac:dyDescent="0.55000000000000004">
      <c r="A11983" s="18">
        <v>24.7147288</v>
      </c>
      <c r="B11983" s="18">
        <v>34.815834099999996</v>
      </c>
      <c r="C11983" s="18">
        <v>683676.24</v>
      </c>
      <c r="D11983" s="18">
        <v>2734577.86</v>
      </c>
      <c r="E11983" s="18">
        <v>364.77</v>
      </c>
      <c r="F11983" s="18">
        <v>41822.699999999997</v>
      </c>
      <c r="G11983" s="18">
        <v>95446</v>
      </c>
      <c r="H11983" s="18">
        <f t="shared" si="273"/>
        <v>41805.699999999997</v>
      </c>
      <c r="I11983" s="3"/>
    </row>
    <row r="11984" spans="1:9" s="4" customFormat="1" ht="18.75" customHeight="1" x14ac:dyDescent="0.55000000000000004">
      <c r="A11984" s="18">
        <v>24.714730400000001</v>
      </c>
      <c r="B11984" s="18">
        <v>34.815836300000001</v>
      </c>
      <c r="C11984" s="18">
        <v>683676.46</v>
      </c>
      <c r="D11984" s="18">
        <v>2734578.03</v>
      </c>
      <c r="E11984" s="18">
        <v>365.24</v>
      </c>
      <c r="F11984" s="18">
        <v>41823.19</v>
      </c>
      <c r="G11984" s="18">
        <v>95455</v>
      </c>
      <c r="H11984" s="18">
        <f t="shared" si="273"/>
        <v>41806.19</v>
      </c>
      <c r="I11984" s="3"/>
    </row>
    <row r="11985" spans="1:9" s="4" customFormat="1" ht="18.75" customHeight="1" x14ac:dyDescent="0.55000000000000004">
      <c r="A11985" s="18">
        <v>24.7138545</v>
      </c>
      <c r="B11985" s="18">
        <v>34.813634899999997</v>
      </c>
      <c r="C11985" s="18">
        <v>683455.02</v>
      </c>
      <c r="D11985" s="18">
        <v>2734478.07</v>
      </c>
      <c r="E11985" s="18">
        <v>369.73</v>
      </c>
      <c r="F11985" s="18">
        <v>41822.480000000003</v>
      </c>
      <c r="G11985" s="18">
        <v>95643</v>
      </c>
      <c r="H11985" s="18">
        <f t="shared" si="273"/>
        <v>41805.480000000003</v>
      </c>
      <c r="I11985" s="3"/>
    </row>
    <row r="11986" spans="1:9" s="4" customFormat="1" ht="18.75" customHeight="1" x14ac:dyDescent="0.55000000000000004">
      <c r="A11986" s="18">
        <v>24.713854900000001</v>
      </c>
      <c r="B11986" s="18">
        <v>34.813636000000002</v>
      </c>
      <c r="C11986" s="18">
        <v>683455.13</v>
      </c>
      <c r="D11986" s="18">
        <v>2734478.12</v>
      </c>
      <c r="E11986" s="18">
        <v>369.98</v>
      </c>
      <c r="F11986" s="18">
        <v>41822.68</v>
      </c>
      <c r="G11986" s="18">
        <v>95649</v>
      </c>
      <c r="H11986" s="18">
        <f t="shared" si="273"/>
        <v>41805.68</v>
      </c>
      <c r="I11986" s="3"/>
    </row>
    <row r="11987" spans="1:9" s="4" customFormat="1" ht="18.75" customHeight="1" x14ac:dyDescent="0.55000000000000004">
      <c r="A11987" s="18">
        <v>24.7146373</v>
      </c>
      <c r="B11987" s="18">
        <v>34.810565199999999</v>
      </c>
      <c r="C11987" s="18">
        <v>683143.3</v>
      </c>
      <c r="D11987" s="18">
        <v>2734560.66</v>
      </c>
      <c r="E11987" s="18">
        <v>378.83</v>
      </c>
      <c r="F11987" s="18">
        <v>41843.25</v>
      </c>
      <c r="G11987" s="18">
        <v>95852</v>
      </c>
      <c r="H11987" s="18">
        <f t="shared" si="273"/>
        <v>41826.25</v>
      </c>
      <c r="I11987" s="3"/>
    </row>
    <row r="11988" spans="1:9" s="4" customFormat="1" ht="18.75" customHeight="1" x14ac:dyDescent="0.55000000000000004">
      <c r="A11988" s="18">
        <v>24.7146379</v>
      </c>
      <c r="B11988" s="18">
        <v>34.810563999999999</v>
      </c>
      <c r="C11988" s="18">
        <v>683143.17</v>
      </c>
      <c r="D11988" s="18">
        <v>2734560.73</v>
      </c>
      <c r="E11988" s="18">
        <v>378.89</v>
      </c>
      <c r="F11988" s="18">
        <v>41841.589999999997</v>
      </c>
      <c r="G11988" s="18">
        <v>95904</v>
      </c>
      <c r="H11988" s="18">
        <f t="shared" si="273"/>
        <v>41824.589999999997</v>
      </c>
      <c r="I11988" s="3"/>
    </row>
    <row r="11989" spans="1:9" s="4" customFormat="1" ht="18.75" customHeight="1" x14ac:dyDescent="0.55000000000000004">
      <c r="A11989" s="18">
        <v>24.715727099999999</v>
      </c>
      <c r="B11989" s="18">
        <v>34.808575300000001</v>
      </c>
      <c r="C11989" s="18">
        <v>682940.38</v>
      </c>
      <c r="D11989" s="18">
        <v>2734678.72</v>
      </c>
      <c r="E11989" s="18">
        <v>384.29</v>
      </c>
      <c r="F11989" s="18">
        <v>41804.21</v>
      </c>
      <c r="G11989" s="18">
        <v>100034</v>
      </c>
      <c r="H11989" s="18">
        <f>SUM(F11989-15)</f>
        <v>41789.21</v>
      </c>
      <c r="I11989" s="3"/>
    </row>
    <row r="11990" spans="1:9" s="4" customFormat="1" ht="18.75" customHeight="1" x14ac:dyDescent="0.55000000000000004">
      <c r="A11990" s="18">
        <v>24.7157269</v>
      </c>
      <c r="B11990" s="18">
        <v>34.808574800000002</v>
      </c>
      <c r="C11990" s="18">
        <v>682940.32</v>
      </c>
      <c r="D11990" s="18">
        <v>2734678.69</v>
      </c>
      <c r="E11990" s="18">
        <v>384.48</v>
      </c>
      <c r="F11990" s="18">
        <v>41800.769999999997</v>
      </c>
      <c r="G11990" s="18">
        <v>100043</v>
      </c>
      <c r="H11990" s="18">
        <f t="shared" ref="H11990:H12007" si="274">SUM(F11990-15)</f>
        <v>41785.769999999997</v>
      </c>
      <c r="I11990" s="3"/>
    </row>
    <row r="11991" spans="1:9" s="4" customFormat="1" ht="18.75" customHeight="1" x14ac:dyDescent="0.55000000000000004">
      <c r="A11991" s="18">
        <v>24.7172965</v>
      </c>
      <c r="B11991" s="18">
        <v>34.807268999999998</v>
      </c>
      <c r="C11991" s="18">
        <v>682805.91</v>
      </c>
      <c r="D11991" s="18">
        <v>2734850.8</v>
      </c>
      <c r="E11991" s="18">
        <v>391.62</v>
      </c>
      <c r="F11991" s="18">
        <v>41494.35</v>
      </c>
      <c r="G11991" s="18">
        <v>100213</v>
      </c>
      <c r="H11991" s="18">
        <f t="shared" si="274"/>
        <v>41479.35</v>
      </c>
      <c r="I11991" s="3"/>
    </row>
    <row r="11992" spans="1:9" s="4" customFormat="1" ht="18.75" customHeight="1" x14ac:dyDescent="0.55000000000000004">
      <c r="A11992" s="18">
        <v>24.7172974</v>
      </c>
      <c r="B11992" s="18">
        <v>34.807268700000002</v>
      </c>
      <c r="C11992" s="18">
        <v>682805.88</v>
      </c>
      <c r="D11992" s="18">
        <v>2734850.89</v>
      </c>
      <c r="E11992" s="18">
        <v>391.6</v>
      </c>
      <c r="F11992" s="18">
        <v>41494.79</v>
      </c>
      <c r="G11992" s="18">
        <v>100222</v>
      </c>
      <c r="H11992" s="18">
        <f t="shared" si="274"/>
        <v>41479.79</v>
      </c>
      <c r="I11992" s="3"/>
    </row>
    <row r="11993" spans="1:9" s="4" customFormat="1" ht="18.75" customHeight="1" x14ac:dyDescent="0.55000000000000004">
      <c r="A11993" s="18">
        <v>24.717299799999999</v>
      </c>
      <c r="B11993" s="18">
        <v>34.807268299999997</v>
      </c>
      <c r="C11993" s="18">
        <v>682805.84</v>
      </c>
      <c r="D11993" s="18">
        <v>2734851.16</v>
      </c>
      <c r="E11993" s="18">
        <v>391.53</v>
      </c>
      <c r="F11993" s="18">
        <v>41495.629999999997</v>
      </c>
      <c r="G11993" s="18">
        <v>100231</v>
      </c>
      <c r="H11993" s="18">
        <f t="shared" si="274"/>
        <v>41480.629999999997</v>
      </c>
      <c r="I11993" s="3"/>
    </row>
    <row r="11994" spans="1:9" s="4" customFormat="1" ht="18.75" customHeight="1" x14ac:dyDescent="0.55000000000000004">
      <c r="A11994" s="18">
        <v>24.7186132</v>
      </c>
      <c r="B11994" s="18">
        <v>34.804676999999998</v>
      </c>
      <c r="C11994" s="18">
        <v>682541.76</v>
      </c>
      <c r="D11994" s="18">
        <v>2734993.18</v>
      </c>
      <c r="E11994" s="18">
        <v>396.36</v>
      </c>
      <c r="F11994" s="18">
        <v>41724.76</v>
      </c>
      <c r="G11994" s="18">
        <v>100416</v>
      </c>
      <c r="H11994" s="18">
        <f t="shared" si="274"/>
        <v>41709.760000000002</v>
      </c>
      <c r="I11994" s="3"/>
    </row>
    <row r="11995" spans="1:9" s="4" customFormat="1" ht="18.75" customHeight="1" x14ac:dyDescent="0.55000000000000004">
      <c r="A11995" s="18">
        <v>24.718613699999999</v>
      </c>
      <c r="B11995" s="18">
        <v>34.804677599999998</v>
      </c>
      <c r="C11995" s="18">
        <v>682541.82</v>
      </c>
      <c r="D11995" s="18">
        <v>2734993.24</v>
      </c>
      <c r="E11995" s="18">
        <v>396.25</v>
      </c>
      <c r="F11995" s="18">
        <v>41724.480000000003</v>
      </c>
      <c r="G11995" s="18">
        <v>100425</v>
      </c>
      <c r="H11995" s="18">
        <f t="shared" si="274"/>
        <v>41709.480000000003</v>
      </c>
      <c r="I11995" s="3"/>
    </row>
    <row r="11996" spans="1:9" s="4" customFormat="1" ht="18.75" customHeight="1" x14ac:dyDescent="0.55000000000000004">
      <c r="A11996" s="18">
        <v>24.7189628</v>
      </c>
      <c r="B11996" s="18">
        <v>34.802542299999999</v>
      </c>
      <c r="C11996" s="18">
        <v>682325.27</v>
      </c>
      <c r="D11996" s="18">
        <v>2735029.06</v>
      </c>
      <c r="E11996" s="18">
        <v>400.72</v>
      </c>
      <c r="F11996" s="18">
        <v>41693.86</v>
      </c>
      <c r="G11996" s="18">
        <v>100613</v>
      </c>
      <c r="H11996" s="18">
        <f t="shared" si="274"/>
        <v>41678.86</v>
      </c>
      <c r="I11996" s="3"/>
    </row>
    <row r="11997" spans="1:9" s="4" customFormat="1" ht="18.75" customHeight="1" x14ac:dyDescent="0.55000000000000004">
      <c r="A11997" s="18">
        <v>24.718969999999999</v>
      </c>
      <c r="B11997" s="18">
        <v>34.802538900000002</v>
      </c>
      <c r="C11997" s="18">
        <v>682324.92</v>
      </c>
      <c r="D11997" s="18">
        <v>2735029.85</v>
      </c>
      <c r="E11997" s="18">
        <v>400.88</v>
      </c>
      <c r="F11997" s="18">
        <v>41714.379999999997</v>
      </c>
      <c r="G11997" s="18">
        <v>100622</v>
      </c>
      <c r="H11997" s="18">
        <f t="shared" si="274"/>
        <v>41699.379999999997</v>
      </c>
      <c r="I11997" s="3"/>
    </row>
    <row r="11998" spans="1:9" s="4" customFormat="1" ht="18.75" customHeight="1" x14ac:dyDescent="0.55000000000000004">
      <c r="A11998" s="18">
        <v>24.720436800000002</v>
      </c>
      <c r="B11998" s="18">
        <v>34.8009603</v>
      </c>
      <c r="C11998" s="18">
        <v>682163.07</v>
      </c>
      <c r="D11998" s="18">
        <v>2735190.22</v>
      </c>
      <c r="E11998" s="18">
        <v>410.89</v>
      </c>
      <c r="F11998" s="18">
        <v>41888.61</v>
      </c>
      <c r="G11998" s="18">
        <v>100749</v>
      </c>
      <c r="H11998" s="18">
        <f t="shared" si="274"/>
        <v>41873.61</v>
      </c>
      <c r="I11998" s="3"/>
    </row>
    <row r="11999" spans="1:9" s="4" customFormat="1" ht="18.75" customHeight="1" x14ac:dyDescent="0.55000000000000004">
      <c r="A11999" s="18">
        <v>24.720436500000002</v>
      </c>
      <c r="B11999" s="18">
        <v>34.800955600000002</v>
      </c>
      <c r="C11999" s="18">
        <v>682162.61</v>
      </c>
      <c r="D11999" s="18">
        <v>2735190.17</v>
      </c>
      <c r="E11999" s="18">
        <v>410.64</v>
      </c>
      <c r="F11999" s="18">
        <v>41889.69</v>
      </c>
      <c r="G11999" s="18">
        <v>100801</v>
      </c>
      <c r="H11999" s="18">
        <f t="shared" si="274"/>
        <v>41874.69</v>
      </c>
      <c r="I11999" s="3"/>
    </row>
    <row r="12000" spans="1:9" s="4" customFormat="1" ht="18.75" customHeight="1" x14ac:dyDescent="0.55000000000000004">
      <c r="A12000" s="18">
        <v>24.721537099999999</v>
      </c>
      <c r="B12000" s="18">
        <v>34.799714199999997</v>
      </c>
      <c r="C12000" s="18">
        <v>682035.4</v>
      </c>
      <c r="D12000" s="18">
        <v>2735310.42</v>
      </c>
      <c r="E12000" s="18">
        <v>413.21</v>
      </c>
      <c r="F12000" s="18">
        <v>41785.589999999997</v>
      </c>
      <c r="G12000" s="18">
        <v>100952</v>
      </c>
      <c r="H12000" s="18">
        <f t="shared" si="274"/>
        <v>41770.589999999997</v>
      </c>
      <c r="I12000" s="3"/>
    </row>
    <row r="12001" spans="1:9" s="4" customFormat="1" ht="18.75" customHeight="1" x14ac:dyDescent="0.55000000000000004">
      <c r="A12001" s="18">
        <v>24.721537999999999</v>
      </c>
      <c r="B12001" s="18">
        <v>34.7997145</v>
      </c>
      <c r="C12001" s="18">
        <v>682035.44</v>
      </c>
      <c r="D12001" s="18">
        <v>2735310.53</v>
      </c>
      <c r="E12001" s="18">
        <v>413.31</v>
      </c>
      <c r="F12001" s="18">
        <v>41785.519999999997</v>
      </c>
      <c r="G12001" s="18">
        <v>101001</v>
      </c>
      <c r="H12001" s="18">
        <f t="shared" si="274"/>
        <v>41770.519999999997</v>
      </c>
      <c r="I12001" s="3"/>
    </row>
    <row r="12002" spans="1:9" s="4" customFormat="1" ht="18.75" customHeight="1" x14ac:dyDescent="0.55000000000000004">
      <c r="A12002" s="18">
        <v>24.722812699999999</v>
      </c>
      <c r="B12002" s="18">
        <v>34.797823700000002</v>
      </c>
      <c r="C12002" s="18">
        <v>681842.29</v>
      </c>
      <c r="D12002" s="18">
        <v>2735449.2</v>
      </c>
      <c r="E12002" s="18">
        <v>406.05</v>
      </c>
      <c r="F12002" s="18">
        <v>41868.14</v>
      </c>
      <c r="G12002" s="18">
        <v>101134</v>
      </c>
      <c r="H12002" s="18">
        <f t="shared" si="274"/>
        <v>41853.14</v>
      </c>
      <c r="I12002" s="3"/>
    </row>
    <row r="12003" spans="1:9" s="4" customFormat="1" ht="18.75" customHeight="1" x14ac:dyDescent="0.55000000000000004">
      <c r="A12003" s="18">
        <v>24.722812099999999</v>
      </c>
      <c r="B12003" s="18">
        <v>34.797824599999998</v>
      </c>
      <c r="C12003" s="18">
        <v>681842.39</v>
      </c>
      <c r="D12003" s="18">
        <v>2735449.14</v>
      </c>
      <c r="E12003" s="18">
        <v>406</v>
      </c>
      <c r="F12003" s="18">
        <v>41870.370000000003</v>
      </c>
      <c r="G12003" s="18">
        <v>101143</v>
      </c>
      <c r="H12003" s="18">
        <f t="shared" si="274"/>
        <v>41855.370000000003</v>
      </c>
      <c r="I12003" s="3"/>
    </row>
    <row r="12004" spans="1:9" s="4" customFormat="1" ht="18.75" customHeight="1" x14ac:dyDescent="0.55000000000000004">
      <c r="A12004" s="18">
        <v>24.722811799999999</v>
      </c>
      <c r="B12004" s="18">
        <v>34.797825899999999</v>
      </c>
      <c r="C12004" s="18">
        <v>681842.52</v>
      </c>
      <c r="D12004" s="18">
        <v>2735449.11</v>
      </c>
      <c r="E12004" s="18">
        <v>405.95</v>
      </c>
      <c r="F12004" s="18">
        <v>41867.370000000003</v>
      </c>
      <c r="G12004" s="18">
        <v>101155</v>
      </c>
      <c r="H12004" s="18">
        <f t="shared" si="274"/>
        <v>41852.370000000003</v>
      </c>
      <c r="I12004" s="3"/>
    </row>
    <row r="12005" spans="1:9" s="4" customFormat="1" ht="18.75" customHeight="1" x14ac:dyDescent="0.55000000000000004">
      <c r="A12005" s="18">
        <v>24.724527299999998</v>
      </c>
      <c r="B12005" s="18">
        <v>34.795032900000002</v>
      </c>
      <c r="C12005" s="18">
        <v>681557.47</v>
      </c>
      <c r="D12005" s="18">
        <v>2735635.4</v>
      </c>
      <c r="E12005" s="18">
        <v>397.75</v>
      </c>
      <c r="F12005" s="18">
        <v>41751.300000000003</v>
      </c>
      <c r="G12005" s="18">
        <v>101410</v>
      </c>
      <c r="H12005" s="18">
        <f t="shared" si="274"/>
        <v>41736.300000000003</v>
      </c>
      <c r="I12005" s="3"/>
    </row>
    <row r="12006" spans="1:9" s="4" customFormat="1" ht="18.75" customHeight="1" x14ac:dyDescent="0.55000000000000004">
      <c r="A12006" s="18">
        <v>24.724526900000001</v>
      </c>
      <c r="B12006" s="18">
        <v>34.7950321</v>
      </c>
      <c r="C12006" s="18">
        <v>681557.39</v>
      </c>
      <c r="D12006" s="18">
        <v>2735635.36</v>
      </c>
      <c r="E12006" s="18">
        <v>397.74</v>
      </c>
      <c r="F12006" s="18">
        <v>41755.629999999997</v>
      </c>
      <c r="G12006" s="18">
        <v>101419</v>
      </c>
      <c r="H12006" s="18">
        <f t="shared" si="274"/>
        <v>41740.629999999997</v>
      </c>
      <c r="I12006" s="3"/>
    </row>
    <row r="12007" spans="1:9" s="4" customFormat="1" ht="18.75" customHeight="1" x14ac:dyDescent="0.55000000000000004">
      <c r="A12007" s="18">
        <v>24.7260989</v>
      </c>
      <c r="B12007" s="18">
        <v>34.794043799999997</v>
      </c>
      <c r="C12007" s="18">
        <v>681455.12</v>
      </c>
      <c r="D12007" s="18">
        <v>2735808.16</v>
      </c>
      <c r="E12007" s="18">
        <v>392.68</v>
      </c>
      <c r="F12007" s="18">
        <v>41942.879999999997</v>
      </c>
      <c r="G12007" s="18">
        <v>101540</v>
      </c>
      <c r="H12007" s="18">
        <f t="shared" si="274"/>
        <v>41927.879999999997</v>
      </c>
      <c r="I12007" s="3"/>
    </row>
    <row r="12008" spans="1:9" s="4" customFormat="1" ht="18.75" customHeight="1" x14ac:dyDescent="0.55000000000000004">
      <c r="A12008" s="18">
        <v>24.727576899999999</v>
      </c>
      <c r="B12008" s="18">
        <v>34.792842800000003</v>
      </c>
      <c r="C12008" s="18">
        <v>681331.49</v>
      </c>
      <c r="D12008" s="18">
        <v>2735970.28</v>
      </c>
      <c r="E12008" s="18">
        <v>386.67</v>
      </c>
      <c r="F12008" s="18">
        <v>41854.35</v>
      </c>
      <c r="G12008" s="18">
        <v>101704</v>
      </c>
      <c r="H12008" s="18">
        <f>SUM(F12008-12)</f>
        <v>41842.35</v>
      </c>
      <c r="I12008" s="3"/>
    </row>
    <row r="12009" spans="1:9" s="4" customFormat="1" ht="18.75" customHeight="1" x14ac:dyDescent="0.55000000000000004">
      <c r="A12009" s="18">
        <v>24.727577400000001</v>
      </c>
      <c r="B12009" s="18">
        <v>34.7928438</v>
      </c>
      <c r="C12009" s="18">
        <v>681331.58</v>
      </c>
      <c r="D12009" s="18">
        <v>2735970.33</v>
      </c>
      <c r="E12009" s="18">
        <v>386.6</v>
      </c>
      <c r="F12009" s="18">
        <v>41855.68</v>
      </c>
      <c r="G12009" s="18">
        <v>101713</v>
      </c>
      <c r="H12009" s="18">
        <f t="shared" ref="H12009:H12040" si="275">SUM(F12009-12)</f>
        <v>41843.68</v>
      </c>
      <c r="I12009" s="3"/>
    </row>
    <row r="12010" spans="1:9" s="4" customFormat="1" ht="18.75" customHeight="1" x14ac:dyDescent="0.55000000000000004">
      <c r="A12010" s="18">
        <v>24.728503499999999</v>
      </c>
      <c r="B12010" s="18">
        <v>34.791402499999997</v>
      </c>
      <c r="C12010" s="18">
        <v>681184.43</v>
      </c>
      <c r="D12010" s="18">
        <v>2736071</v>
      </c>
      <c r="E12010" s="18">
        <v>381.63</v>
      </c>
      <c r="F12010" s="18">
        <v>41850.21</v>
      </c>
      <c r="G12010" s="18">
        <v>101834</v>
      </c>
      <c r="H12010" s="18">
        <f t="shared" si="275"/>
        <v>41838.21</v>
      </c>
      <c r="I12010" s="3"/>
    </row>
    <row r="12011" spans="1:9" s="4" customFormat="1" ht="18.75" customHeight="1" x14ac:dyDescent="0.55000000000000004">
      <c r="A12011" s="18">
        <v>24.729813199999999</v>
      </c>
      <c r="B12011" s="18">
        <v>34.790490699999999</v>
      </c>
      <c r="C12011" s="18">
        <v>681090.3</v>
      </c>
      <c r="D12011" s="18">
        <v>2736214.85</v>
      </c>
      <c r="E12011" s="18">
        <v>378.63</v>
      </c>
      <c r="F12011" s="18">
        <v>41824.99</v>
      </c>
      <c r="G12011" s="18">
        <v>101952</v>
      </c>
      <c r="H12011" s="18">
        <f t="shared" si="275"/>
        <v>41812.99</v>
      </c>
      <c r="I12011" s="3"/>
    </row>
    <row r="12012" spans="1:9" s="4" customFormat="1" ht="18.75" customHeight="1" x14ac:dyDescent="0.55000000000000004">
      <c r="A12012" s="18">
        <v>24.729813199999999</v>
      </c>
      <c r="B12012" s="18">
        <v>34.790490599999998</v>
      </c>
      <c r="C12012" s="18">
        <v>681090.29</v>
      </c>
      <c r="D12012" s="18">
        <v>2736214.85</v>
      </c>
      <c r="E12012" s="18">
        <v>378.66</v>
      </c>
      <c r="F12012" s="18">
        <v>41825.1</v>
      </c>
      <c r="G12012" s="18">
        <v>102001</v>
      </c>
      <c r="H12012" s="18">
        <f t="shared" si="275"/>
        <v>41813.1</v>
      </c>
      <c r="I12012" s="3"/>
    </row>
    <row r="12013" spans="1:9" s="4" customFormat="1" ht="18.75" customHeight="1" x14ac:dyDescent="0.55000000000000004">
      <c r="A12013" s="18">
        <v>24.802270100000001</v>
      </c>
      <c r="B12013" s="18">
        <v>34.952529599999998</v>
      </c>
      <c r="C12013" s="18">
        <v>697368.27</v>
      </c>
      <c r="D12013" s="18">
        <v>2744464.77</v>
      </c>
      <c r="E12013" s="18">
        <v>61.67</v>
      </c>
      <c r="F12013" s="18">
        <v>41977.81</v>
      </c>
      <c r="G12013" s="18">
        <v>120840</v>
      </c>
      <c r="H12013" s="18">
        <f t="shared" si="275"/>
        <v>41965.81</v>
      </c>
      <c r="I12013" s="3"/>
    </row>
    <row r="12014" spans="1:9" s="4" customFormat="1" ht="18.75" customHeight="1" x14ac:dyDescent="0.55000000000000004">
      <c r="A12014" s="18">
        <v>24.8022709</v>
      </c>
      <c r="B12014" s="18">
        <v>34.952530600000003</v>
      </c>
      <c r="C12014" s="18">
        <v>697368.38</v>
      </c>
      <c r="D12014" s="18">
        <v>2744464.87</v>
      </c>
      <c r="E12014" s="18">
        <v>61.58</v>
      </c>
      <c r="F12014" s="18">
        <v>41959.17</v>
      </c>
      <c r="G12014" s="18">
        <v>120901</v>
      </c>
      <c r="H12014" s="18">
        <f t="shared" si="275"/>
        <v>41947.17</v>
      </c>
      <c r="I12014" s="3"/>
    </row>
    <row r="12015" spans="1:9" s="4" customFormat="1" ht="18.75" customHeight="1" x14ac:dyDescent="0.55000000000000004">
      <c r="A12015" s="18">
        <v>24.802274100000002</v>
      </c>
      <c r="B12015" s="18">
        <v>34.952532499999997</v>
      </c>
      <c r="C12015" s="18">
        <v>697368.56</v>
      </c>
      <c r="D12015" s="18">
        <v>2744465.22</v>
      </c>
      <c r="E12015" s="18">
        <v>61.88</v>
      </c>
      <c r="F12015" s="18">
        <v>41958.26</v>
      </c>
      <c r="G12015" s="18">
        <v>120916</v>
      </c>
      <c r="H12015" s="18">
        <f t="shared" si="275"/>
        <v>41946.26</v>
      </c>
      <c r="I12015" s="3"/>
    </row>
    <row r="12016" spans="1:9" s="4" customFormat="1" ht="18.75" customHeight="1" x14ac:dyDescent="0.55000000000000004">
      <c r="A12016" s="18">
        <v>24.803978499999999</v>
      </c>
      <c r="B12016" s="18">
        <v>34.951116200000001</v>
      </c>
      <c r="C12016" s="18">
        <v>697222.67</v>
      </c>
      <c r="D12016" s="18">
        <v>2744651.97</v>
      </c>
      <c r="E12016" s="18">
        <v>68.36</v>
      </c>
      <c r="F12016" s="18">
        <v>41870.86</v>
      </c>
      <c r="G12016" s="18">
        <v>121116</v>
      </c>
      <c r="H12016" s="18">
        <f t="shared" si="275"/>
        <v>41858.86</v>
      </c>
      <c r="I12016" s="3"/>
    </row>
    <row r="12017" spans="1:9" s="4" customFormat="1" ht="18.75" customHeight="1" x14ac:dyDescent="0.55000000000000004">
      <c r="A12017" s="18">
        <v>24.803978300000001</v>
      </c>
      <c r="B12017" s="18">
        <v>34.951115000000001</v>
      </c>
      <c r="C12017" s="18">
        <v>697222.54</v>
      </c>
      <c r="D12017" s="18">
        <v>2744651.95</v>
      </c>
      <c r="E12017" s="18">
        <v>68.28</v>
      </c>
      <c r="F12017" s="18">
        <v>41876.47</v>
      </c>
      <c r="G12017" s="18">
        <v>121128</v>
      </c>
      <c r="H12017" s="18">
        <f t="shared" si="275"/>
        <v>41864.47</v>
      </c>
      <c r="I12017" s="3"/>
    </row>
    <row r="12018" spans="1:9" s="4" customFormat="1" ht="18.75" customHeight="1" x14ac:dyDescent="0.55000000000000004">
      <c r="A12018" s="18">
        <v>24.8055512</v>
      </c>
      <c r="B12018" s="18">
        <v>34.949476400000002</v>
      </c>
      <c r="C12018" s="18">
        <v>697054.38</v>
      </c>
      <c r="D12018" s="18">
        <v>2744823.81</v>
      </c>
      <c r="E12018" s="18">
        <v>75.03</v>
      </c>
      <c r="F12018" s="18">
        <v>41927.49</v>
      </c>
      <c r="G12018" s="18">
        <v>121255</v>
      </c>
      <c r="H12018" s="18">
        <f t="shared" si="275"/>
        <v>41915.49</v>
      </c>
      <c r="I12018" s="3"/>
    </row>
    <row r="12019" spans="1:9" s="4" customFormat="1" ht="18.75" customHeight="1" x14ac:dyDescent="0.55000000000000004">
      <c r="A12019" s="18">
        <v>24.8055542</v>
      </c>
      <c r="B12019" s="18">
        <v>34.949474700000003</v>
      </c>
      <c r="C12019" s="18">
        <v>697054.21</v>
      </c>
      <c r="D12019" s="18">
        <v>2744824.14</v>
      </c>
      <c r="E12019" s="18">
        <v>74.709999999999994</v>
      </c>
      <c r="F12019" s="18">
        <v>41927.17</v>
      </c>
      <c r="G12019" s="18">
        <v>121304</v>
      </c>
      <c r="H12019" s="18">
        <f t="shared" si="275"/>
        <v>41915.17</v>
      </c>
      <c r="I12019" s="3"/>
    </row>
    <row r="12020" spans="1:9" s="4" customFormat="1" ht="18.75" customHeight="1" x14ac:dyDescent="0.55000000000000004">
      <c r="A12020" s="18">
        <v>24.807060700000001</v>
      </c>
      <c r="B12020" s="18">
        <v>34.948998199999998</v>
      </c>
      <c r="C12020" s="18">
        <v>697003.65</v>
      </c>
      <c r="D12020" s="18">
        <v>2744990.32</v>
      </c>
      <c r="E12020" s="18">
        <v>79.010000000000005</v>
      </c>
      <c r="F12020" s="18">
        <v>41926.61</v>
      </c>
      <c r="G12020" s="18">
        <v>121419</v>
      </c>
      <c r="H12020" s="18">
        <f t="shared" si="275"/>
        <v>41914.61</v>
      </c>
      <c r="I12020" s="3"/>
    </row>
    <row r="12021" spans="1:9" s="4" customFormat="1" ht="18.75" customHeight="1" x14ac:dyDescent="0.55000000000000004">
      <c r="A12021" s="18">
        <v>24.80706</v>
      </c>
      <c r="B12021" s="18">
        <v>34.948997599999998</v>
      </c>
      <c r="C12021" s="18">
        <v>697003.58</v>
      </c>
      <c r="D12021" s="18">
        <v>2744990.25</v>
      </c>
      <c r="E12021" s="18">
        <v>78.77</v>
      </c>
      <c r="F12021" s="18">
        <v>41928.11</v>
      </c>
      <c r="G12021" s="18">
        <v>121428</v>
      </c>
      <c r="H12021" s="18">
        <f t="shared" si="275"/>
        <v>41916.11</v>
      </c>
      <c r="I12021" s="3"/>
    </row>
    <row r="12022" spans="1:9" s="4" customFormat="1" ht="18.75" customHeight="1" x14ac:dyDescent="0.55000000000000004">
      <c r="A12022" s="18">
        <v>24.8083618</v>
      </c>
      <c r="B12022" s="18">
        <v>34.947455499999997</v>
      </c>
      <c r="C12022" s="18">
        <v>696845.62</v>
      </c>
      <c r="D12022" s="18">
        <v>2745132.22</v>
      </c>
      <c r="E12022" s="18">
        <v>85.65</v>
      </c>
      <c r="F12022" s="18">
        <v>41915.64</v>
      </c>
      <c r="G12022" s="18">
        <v>121540</v>
      </c>
      <c r="H12022" s="18">
        <f t="shared" si="275"/>
        <v>41903.64</v>
      </c>
      <c r="I12022" s="3"/>
    </row>
    <row r="12023" spans="1:9" s="4" customFormat="1" ht="18.75" customHeight="1" x14ac:dyDescent="0.55000000000000004">
      <c r="A12023" s="18">
        <v>24.808363400000001</v>
      </c>
      <c r="B12023" s="18">
        <v>34.947456199999998</v>
      </c>
      <c r="C12023" s="18">
        <v>696845.69</v>
      </c>
      <c r="D12023" s="18">
        <v>2745132.39</v>
      </c>
      <c r="E12023" s="18">
        <v>85.74</v>
      </c>
      <c r="F12023" s="18">
        <v>41916.74</v>
      </c>
      <c r="G12023" s="18">
        <v>121549</v>
      </c>
      <c r="H12023" s="18">
        <f t="shared" si="275"/>
        <v>41904.74</v>
      </c>
      <c r="I12023" s="3"/>
    </row>
    <row r="12024" spans="1:9" s="4" customFormat="1" ht="18.75" customHeight="1" x14ac:dyDescent="0.55000000000000004">
      <c r="A12024" s="18">
        <v>24.809944099999999</v>
      </c>
      <c r="B12024" s="18">
        <v>34.944943100000003</v>
      </c>
      <c r="C12024" s="18">
        <v>696589.1</v>
      </c>
      <c r="D12024" s="18">
        <v>2745303.86</v>
      </c>
      <c r="E12024" s="18">
        <v>96.08</v>
      </c>
      <c r="F12024" s="18">
        <v>41956.56</v>
      </c>
      <c r="G12024" s="18">
        <v>121719</v>
      </c>
      <c r="H12024" s="18">
        <f t="shared" si="275"/>
        <v>41944.56</v>
      </c>
      <c r="I12024" s="3"/>
    </row>
    <row r="12025" spans="1:9" s="4" customFormat="1" ht="18.75" customHeight="1" x14ac:dyDescent="0.55000000000000004">
      <c r="A12025" s="18">
        <v>24.809944699999999</v>
      </c>
      <c r="B12025" s="18">
        <v>34.944941399999998</v>
      </c>
      <c r="C12025" s="18">
        <v>696588.93</v>
      </c>
      <c r="D12025" s="18">
        <v>2745303.92</v>
      </c>
      <c r="E12025" s="18">
        <v>95.57</v>
      </c>
      <c r="F12025" s="18">
        <v>41959.09</v>
      </c>
      <c r="G12025" s="18">
        <v>121728</v>
      </c>
      <c r="H12025" s="18">
        <f t="shared" si="275"/>
        <v>41947.09</v>
      </c>
      <c r="I12025" s="3"/>
    </row>
    <row r="12026" spans="1:9" s="4" customFormat="1" ht="18.75" customHeight="1" x14ac:dyDescent="0.55000000000000004">
      <c r="A12026" s="18">
        <v>24.8120479</v>
      </c>
      <c r="B12026" s="18">
        <v>34.943418600000001</v>
      </c>
      <c r="C12026" s="18">
        <v>696431.66</v>
      </c>
      <c r="D12026" s="18">
        <v>2745534.69</v>
      </c>
      <c r="E12026" s="18">
        <v>103.84</v>
      </c>
      <c r="F12026" s="18">
        <v>41947.45</v>
      </c>
      <c r="G12026" s="18">
        <v>121901</v>
      </c>
      <c r="H12026" s="18">
        <f t="shared" si="275"/>
        <v>41935.449999999997</v>
      </c>
      <c r="I12026" s="3"/>
    </row>
    <row r="12027" spans="1:9" s="4" customFormat="1" ht="18.75" customHeight="1" x14ac:dyDescent="0.55000000000000004">
      <c r="A12027" s="18">
        <v>24.812049099999999</v>
      </c>
      <c r="B12027" s="18">
        <v>34.943418899999998</v>
      </c>
      <c r="C12027" s="18">
        <v>696431.69</v>
      </c>
      <c r="D12027" s="18">
        <v>2745534.83</v>
      </c>
      <c r="E12027" s="18">
        <v>103.8</v>
      </c>
      <c r="F12027" s="18">
        <v>41948.97</v>
      </c>
      <c r="G12027" s="18">
        <v>121907</v>
      </c>
      <c r="H12027" s="18">
        <f t="shared" si="275"/>
        <v>41936.97</v>
      </c>
      <c r="I12027" s="3"/>
    </row>
    <row r="12028" spans="1:9" s="4" customFormat="1" ht="18.75" customHeight="1" x14ac:dyDescent="0.55000000000000004">
      <c r="A12028" s="18">
        <v>24.813614699999999</v>
      </c>
      <c r="B12028" s="18">
        <v>34.941854499999998</v>
      </c>
      <c r="C12028" s="18">
        <v>696271.06</v>
      </c>
      <c r="D12028" s="18">
        <v>2745705.99</v>
      </c>
      <c r="E12028" s="18">
        <v>110.69</v>
      </c>
      <c r="F12028" s="18">
        <v>41908.51</v>
      </c>
      <c r="G12028" s="18">
        <v>122046</v>
      </c>
      <c r="H12028" s="18">
        <f t="shared" si="275"/>
        <v>41896.51</v>
      </c>
      <c r="I12028" s="3"/>
    </row>
    <row r="12029" spans="1:9" s="4" customFormat="1" ht="18.75" customHeight="1" x14ac:dyDescent="0.55000000000000004">
      <c r="A12029" s="18">
        <v>24.813614600000001</v>
      </c>
      <c r="B12029" s="18">
        <v>34.941854300000003</v>
      </c>
      <c r="C12029" s="18">
        <v>696271.04</v>
      </c>
      <c r="D12029" s="18">
        <v>2745705.98</v>
      </c>
      <c r="E12029" s="18">
        <v>110.55</v>
      </c>
      <c r="F12029" s="18">
        <v>41909.47</v>
      </c>
      <c r="G12029" s="18">
        <v>122055</v>
      </c>
      <c r="H12029" s="18">
        <f t="shared" si="275"/>
        <v>41897.47</v>
      </c>
      <c r="I12029" s="3"/>
    </row>
    <row r="12030" spans="1:9" s="4" customFormat="1" ht="18.75" customHeight="1" x14ac:dyDescent="0.55000000000000004">
      <c r="A12030" s="18">
        <v>24.815686800000002</v>
      </c>
      <c r="B12030" s="18">
        <v>34.939523700000002</v>
      </c>
      <c r="C12030" s="18">
        <v>696032.15</v>
      </c>
      <c r="D12030" s="18">
        <v>2745932.17</v>
      </c>
      <c r="E12030" s="18">
        <v>120.05</v>
      </c>
      <c r="F12030" s="18">
        <v>41908.86</v>
      </c>
      <c r="G12030" s="18">
        <v>122234</v>
      </c>
      <c r="H12030" s="18">
        <f t="shared" si="275"/>
        <v>41896.86</v>
      </c>
      <c r="I12030" s="3"/>
    </row>
    <row r="12031" spans="1:9" s="4" customFormat="1" ht="18.75" customHeight="1" x14ac:dyDescent="0.55000000000000004">
      <c r="A12031" s="18">
        <v>24.815686700000001</v>
      </c>
      <c r="B12031" s="18">
        <v>34.939523800000003</v>
      </c>
      <c r="C12031" s="18">
        <v>696032.17</v>
      </c>
      <c r="D12031" s="18">
        <v>2745932.15</v>
      </c>
      <c r="E12031" s="18">
        <v>119.91</v>
      </c>
      <c r="F12031" s="18">
        <v>41909.83</v>
      </c>
      <c r="G12031" s="18">
        <v>122243</v>
      </c>
      <c r="H12031" s="18">
        <f t="shared" si="275"/>
        <v>41897.83</v>
      </c>
      <c r="I12031" s="3"/>
    </row>
    <row r="12032" spans="1:9" s="4" customFormat="1" ht="18.75" customHeight="1" x14ac:dyDescent="0.55000000000000004">
      <c r="A12032" s="18">
        <v>24.815687100000002</v>
      </c>
      <c r="B12032" s="18">
        <v>34.939524599999999</v>
      </c>
      <c r="C12032" s="18">
        <v>696032.24</v>
      </c>
      <c r="D12032" s="18">
        <v>2745932.2</v>
      </c>
      <c r="E12032" s="18">
        <v>119.66</v>
      </c>
      <c r="F12032" s="18">
        <v>41909.56</v>
      </c>
      <c r="G12032" s="18">
        <v>122252</v>
      </c>
      <c r="H12032" s="18">
        <f t="shared" si="275"/>
        <v>41897.56</v>
      </c>
      <c r="I12032" s="3"/>
    </row>
    <row r="12033" spans="1:9" s="4" customFormat="1" ht="18.75" customHeight="1" x14ac:dyDescent="0.55000000000000004">
      <c r="A12033" s="18">
        <v>24.817372599999999</v>
      </c>
      <c r="B12033" s="18">
        <v>34.9373462</v>
      </c>
      <c r="C12033" s="18">
        <v>695809.36</v>
      </c>
      <c r="D12033" s="18">
        <v>2746115.76</v>
      </c>
      <c r="E12033" s="18">
        <v>127.29</v>
      </c>
      <c r="F12033" s="18">
        <v>41897.589999999997</v>
      </c>
      <c r="G12033" s="18">
        <v>122419</v>
      </c>
      <c r="H12033" s="18">
        <f t="shared" si="275"/>
        <v>41885.589999999997</v>
      </c>
      <c r="I12033" s="3"/>
    </row>
    <row r="12034" spans="1:9" s="4" customFormat="1" ht="18.75" customHeight="1" x14ac:dyDescent="0.55000000000000004">
      <c r="A12034" s="18">
        <v>24.8173718</v>
      </c>
      <c r="B12034" s="18">
        <v>34.937345800000003</v>
      </c>
      <c r="C12034" s="18">
        <v>695809.32</v>
      </c>
      <c r="D12034" s="18">
        <v>2746115.68</v>
      </c>
      <c r="E12034" s="18">
        <v>127.2</v>
      </c>
      <c r="F12034" s="18">
        <v>41896.449999999997</v>
      </c>
      <c r="G12034" s="18">
        <v>122431</v>
      </c>
      <c r="H12034" s="18">
        <f t="shared" si="275"/>
        <v>41884.449999999997</v>
      </c>
      <c r="I12034" s="3"/>
    </row>
    <row r="12035" spans="1:9" s="4" customFormat="1" ht="18.75" customHeight="1" x14ac:dyDescent="0.55000000000000004">
      <c r="A12035" s="18">
        <v>24.818574600000002</v>
      </c>
      <c r="B12035" s="18">
        <v>34.934423799999998</v>
      </c>
      <c r="C12035" s="18">
        <v>695512.03</v>
      </c>
      <c r="D12035" s="18">
        <v>2746244.72</v>
      </c>
      <c r="E12035" s="18">
        <v>137.69999999999999</v>
      </c>
      <c r="F12035" s="18">
        <v>41930.33</v>
      </c>
      <c r="G12035" s="18">
        <v>122652</v>
      </c>
      <c r="H12035" s="18">
        <f t="shared" si="275"/>
        <v>41918.33</v>
      </c>
      <c r="I12035" s="3"/>
    </row>
    <row r="12036" spans="1:9" s="4" customFormat="1" ht="18.75" customHeight="1" x14ac:dyDescent="0.55000000000000004">
      <c r="A12036" s="18">
        <v>24.8185705</v>
      </c>
      <c r="B12036" s="18">
        <v>34.934428500000003</v>
      </c>
      <c r="C12036" s="18">
        <v>695512.51</v>
      </c>
      <c r="D12036" s="18">
        <v>2746244.27</v>
      </c>
      <c r="E12036" s="18">
        <v>137.54</v>
      </c>
      <c r="F12036" s="18">
        <v>41929.440000000002</v>
      </c>
      <c r="G12036" s="18">
        <v>122704</v>
      </c>
      <c r="H12036" s="18">
        <f t="shared" si="275"/>
        <v>41917.440000000002</v>
      </c>
      <c r="I12036" s="3"/>
    </row>
    <row r="12037" spans="1:9" s="4" customFormat="1" ht="18.75" customHeight="1" x14ac:dyDescent="0.55000000000000004">
      <c r="A12037" s="18">
        <v>24.8185699</v>
      </c>
      <c r="B12037" s="18">
        <v>34.9344289</v>
      </c>
      <c r="C12037" s="18">
        <v>695512.55</v>
      </c>
      <c r="D12037" s="18">
        <v>2746244.21</v>
      </c>
      <c r="E12037" s="18">
        <v>137.25</v>
      </c>
      <c r="F12037" s="18">
        <v>41929.589999999997</v>
      </c>
      <c r="G12037" s="18">
        <v>122713</v>
      </c>
      <c r="H12037" s="18">
        <f t="shared" si="275"/>
        <v>41917.589999999997</v>
      </c>
      <c r="I12037" s="3"/>
    </row>
    <row r="12038" spans="1:9" s="4" customFormat="1" ht="18.75" customHeight="1" x14ac:dyDescent="0.55000000000000004">
      <c r="A12038" s="18">
        <v>24.8186082</v>
      </c>
      <c r="B12038" s="18">
        <v>34.931071899999999</v>
      </c>
      <c r="C12038" s="18">
        <v>695173.12</v>
      </c>
      <c r="D12038" s="18">
        <v>2746243.64</v>
      </c>
      <c r="E12038" s="18">
        <v>148.62</v>
      </c>
      <c r="F12038" s="18">
        <v>42050.879999999997</v>
      </c>
      <c r="G12038" s="18">
        <v>122916</v>
      </c>
      <c r="H12038" s="18">
        <f t="shared" si="275"/>
        <v>42038.879999999997</v>
      </c>
      <c r="I12038" s="3"/>
    </row>
    <row r="12039" spans="1:9" s="4" customFormat="1" ht="18.75" customHeight="1" x14ac:dyDescent="0.55000000000000004">
      <c r="A12039" s="18">
        <v>24.818608099999999</v>
      </c>
      <c r="B12039" s="18">
        <v>34.931071799999998</v>
      </c>
      <c r="C12039" s="18">
        <v>695173.11</v>
      </c>
      <c r="D12039" s="18">
        <v>2746243.63</v>
      </c>
      <c r="E12039" s="18">
        <v>148.47</v>
      </c>
      <c r="F12039" s="18">
        <v>42051.89</v>
      </c>
      <c r="G12039" s="18">
        <v>122925</v>
      </c>
      <c r="H12039" s="18">
        <f t="shared" si="275"/>
        <v>42039.89</v>
      </c>
      <c r="I12039" s="3"/>
    </row>
    <row r="12040" spans="1:9" s="4" customFormat="1" ht="18.75" customHeight="1" x14ac:dyDescent="0.55000000000000004">
      <c r="A12040" s="18">
        <v>24.818608699999999</v>
      </c>
      <c r="B12040" s="18">
        <v>34.931072399999998</v>
      </c>
      <c r="C12040" s="18">
        <v>695173.17</v>
      </c>
      <c r="D12040" s="18">
        <v>2746243.7</v>
      </c>
      <c r="E12040" s="18">
        <v>148.27000000000001</v>
      </c>
      <c r="F12040" s="18">
        <v>42052.27</v>
      </c>
      <c r="G12040" s="18">
        <v>122937</v>
      </c>
      <c r="H12040" s="18">
        <f t="shared" si="275"/>
        <v>42040.27</v>
      </c>
      <c r="I12040" s="3"/>
    </row>
    <row r="12041" spans="1:9" s="4" customFormat="1" ht="18.75" customHeight="1" x14ac:dyDescent="0.55000000000000004">
      <c r="A12041" s="18">
        <v>24.821844299999999</v>
      </c>
      <c r="B12041" s="18">
        <v>34.929027300000001</v>
      </c>
      <c r="C12041" s="18">
        <v>694961.35</v>
      </c>
      <c r="D12041" s="18">
        <v>2746599.17</v>
      </c>
      <c r="E12041" s="18">
        <v>160.69</v>
      </c>
      <c r="F12041" s="18">
        <v>41959.28</v>
      </c>
      <c r="G12041" s="18">
        <v>123116</v>
      </c>
      <c r="H12041" s="18">
        <f>SUM(F12041-11)</f>
        <v>41948.28</v>
      </c>
      <c r="I12041" s="3"/>
    </row>
    <row r="12042" spans="1:9" s="4" customFormat="1" ht="18.75" customHeight="1" x14ac:dyDescent="0.55000000000000004">
      <c r="A12042" s="18">
        <v>24.8218432</v>
      </c>
      <c r="B12042" s="18">
        <v>34.929028099999996</v>
      </c>
      <c r="C12042" s="18">
        <v>694961.43</v>
      </c>
      <c r="D12042" s="18">
        <v>2746599.05</v>
      </c>
      <c r="E12042" s="18">
        <v>160.62</v>
      </c>
      <c r="F12042" s="18">
        <v>41959.28</v>
      </c>
      <c r="G12042" s="18">
        <v>123125</v>
      </c>
      <c r="H12042" s="18">
        <f t="shared" ref="H12042:H12055" si="276">SUM(F12042-11)</f>
        <v>41948.28</v>
      </c>
      <c r="I12042" s="3"/>
    </row>
    <row r="12043" spans="1:9" s="4" customFormat="1" ht="18.75" customHeight="1" x14ac:dyDescent="0.55000000000000004">
      <c r="A12043" s="18">
        <v>24.823915700000001</v>
      </c>
      <c r="B12043" s="18">
        <v>34.9268067</v>
      </c>
      <c r="C12043" s="18">
        <v>694733.63</v>
      </c>
      <c r="D12043" s="18">
        <v>2746825.44</v>
      </c>
      <c r="E12043" s="18">
        <v>169.24</v>
      </c>
      <c r="F12043" s="18">
        <v>41890.46</v>
      </c>
      <c r="G12043" s="18">
        <v>123249</v>
      </c>
      <c r="H12043" s="18">
        <f t="shared" si="276"/>
        <v>41879.46</v>
      </c>
      <c r="I12043" s="3"/>
    </row>
    <row r="12044" spans="1:9" s="4" customFormat="1" ht="18.75" customHeight="1" x14ac:dyDescent="0.55000000000000004">
      <c r="A12044" s="18">
        <v>24.823914500000001</v>
      </c>
      <c r="B12044" s="18">
        <v>34.926805799999997</v>
      </c>
      <c r="C12044" s="18">
        <v>694733.54</v>
      </c>
      <c r="D12044" s="18">
        <v>2746825.3</v>
      </c>
      <c r="E12044" s="18">
        <v>169.23</v>
      </c>
      <c r="F12044" s="18">
        <v>41890.550000000003</v>
      </c>
      <c r="G12044" s="18">
        <v>123304</v>
      </c>
      <c r="H12044" s="18">
        <f t="shared" si="276"/>
        <v>41879.550000000003</v>
      </c>
      <c r="I12044" s="3"/>
    </row>
    <row r="12045" spans="1:9" s="4" customFormat="1" ht="18.75" customHeight="1" x14ac:dyDescent="0.55000000000000004">
      <c r="A12045" s="18">
        <v>24.824729000000001</v>
      </c>
      <c r="B12045" s="18">
        <v>34.924051300000002</v>
      </c>
      <c r="C12045" s="18">
        <v>694453.82</v>
      </c>
      <c r="D12045" s="18">
        <v>2746911.6</v>
      </c>
      <c r="E12045" s="18">
        <v>178.86</v>
      </c>
      <c r="F12045" s="18">
        <v>41933.4</v>
      </c>
      <c r="G12045" s="18">
        <v>123446</v>
      </c>
      <c r="H12045" s="18">
        <f t="shared" si="276"/>
        <v>41922.400000000001</v>
      </c>
      <c r="I12045" s="3"/>
    </row>
    <row r="12046" spans="1:9" s="4" customFormat="1" ht="18.75" customHeight="1" x14ac:dyDescent="0.55000000000000004">
      <c r="A12046" s="18">
        <v>24.8247058</v>
      </c>
      <c r="B12046" s="18">
        <v>34.924022600000001</v>
      </c>
      <c r="C12046" s="18">
        <v>694450.94</v>
      </c>
      <c r="D12046" s="18">
        <v>2746908.99</v>
      </c>
      <c r="E12046" s="18">
        <v>178.76</v>
      </c>
      <c r="F12046" s="18">
        <v>41928.49</v>
      </c>
      <c r="G12046" s="18">
        <v>123455</v>
      </c>
      <c r="H12046" s="18">
        <f t="shared" si="276"/>
        <v>41917.49</v>
      </c>
      <c r="I12046" s="3"/>
    </row>
    <row r="12047" spans="1:9" s="4" customFormat="1" ht="18.75" customHeight="1" x14ac:dyDescent="0.55000000000000004">
      <c r="A12047" s="18">
        <v>24.826367600000001</v>
      </c>
      <c r="B12047" s="18">
        <v>34.921793299999997</v>
      </c>
      <c r="C12047" s="18">
        <v>694223</v>
      </c>
      <c r="D12047" s="18">
        <v>2747089.88</v>
      </c>
      <c r="E12047" s="18">
        <v>187.66</v>
      </c>
      <c r="F12047" s="18">
        <v>42015.360000000001</v>
      </c>
      <c r="G12047" s="18">
        <v>123619</v>
      </c>
      <c r="H12047" s="18">
        <f t="shared" si="276"/>
        <v>42004.36</v>
      </c>
      <c r="I12047" s="3"/>
    </row>
    <row r="12048" spans="1:9" s="4" customFormat="1" ht="18.75" customHeight="1" x14ac:dyDescent="0.55000000000000004">
      <c r="A12048" s="18">
        <v>24.826367099999999</v>
      </c>
      <c r="B12048" s="18">
        <v>34.921793899999997</v>
      </c>
      <c r="C12048" s="18">
        <v>694223.06</v>
      </c>
      <c r="D12048" s="18">
        <v>2747089.83</v>
      </c>
      <c r="E12048" s="18">
        <v>187.77</v>
      </c>
      <c r="F12048" s="18">
        <v>42015.47</v>
      </c>
      <c r="G12048" s="18">
        <v>123628</v>
      </c>
      <c r="H12048" s="18">
        <f t="shared" si="276"/>
        <v>42004.47</v>
      </c>
      <c r="I12048" s="3"/>
    </row>
    <row r="12049" spans="1:9" s="4" customFormat="1" ht="18.75" customHeight="1" x14ac:dyDescent="0.55000000000000004">
      <c r="A12049" s="18">
        <v>24.827227499999999</v>
      </c>
      <c r="B12049" s="18">
        <v>34.919887500000002</v>
      </c>
      <c r="C12049" s="18">
        <v>694029</v>
      </c>
      <c r="D12049" s="18">
        <v>2747182.41</v>
      </c>
      <c r="E12049" s="18">
        <v>194.02</v>
      </c>
      <c r="F12049" s="18">
        <v>41966.78</v>
      </c>
      <c r="G12049" s="18">
        <v>123746</v>
      </c>
      <c r="H12049" s="18">
        <f t="shared" si="276"/>
        <v>41955.78</v>
      </c>
      <c r="I12049" s="3"/>
    </row>
    <row r="12050" spans="1:9" s="4" customFormat="1" ht="18.75" customHeight="1" x14ac:dyDescent="0.55000000000000004">
      <c r="A12050" s="18">
        <v>24.827227400000002</v>
      </c>
      <c r="B12050" s="18">
        <v>34.919887600000003</v>
      </c>
      <c r="C12050" s="18">
        <v>694029.01</v>
      </c>
      <c r="D12050" s="18">
        <v>2747182.4</v>
      </c>
      <c r="E12050" s="18">
        <v>193.98</v>
      </c>
      <c r="F12050" s="18">
        <v>41967.35</v>
      </c>
      <c r="G12050" s="18">
        <v>123755</v>
      </c>
      <c r="H12050" s="18">
        <f t="shared" si="276"/>
        <v>41956.35</v>
      </c>
      <c r="I12050" s="3"/>
    </row>
    <row r="12051" spans="1:9" s="4" customFormat="1" ht="18.75" customHeight="1" x14ac:dyDescent="0.55000000000000004">
      <c r="A12051" s="18">
        <v>24.828319700000002</v>
      </c>
      <c r="B12051" s="18">
        <v>34.918014599999999</v>
      </c>
      <c r="C12051" s="18">
        <v>693837.97</v>
      </c>
      <c r="D12051" s="18">
        <v>2747300.73</v>
      </c>
      <c r="E12051" s="18">
        <v>200.06</v>
      </c>
      <c r="F12051" s="18">
        <v>41885.199999999997</v>
      </c>
      <c r="G12051" s="18">
        <v>123940</v>
      </c>
      <c r="H12051" s="18">
        <f t="shared" si="276"/>
        <v>41874.199999999997</v>
      </c>
      <c r="I12051" s="3"/>
    </row>
    <row r="12052" spans="1:9" s="4" customFormat="1" ht="18.75" customHeight="1" x14ac:dyDescent="0.55000000000000004">
      <c r="A12052" s="18">
        <v>24.828320000000001</v>
      </c>
      <c r="B12052" s="18">
        <v>34.918015199999999</v>
      </c>
      <c r="C12052" s="18">
        <v>693838.03</v>
      </c>
      <c r="D12052" s="18">
        <v>2747300.77</v>
      </c>
      <c r="E12052" s="18">
        <v>200.01</v>
      </c>
      <c r="F12052" s="18">
        <v>41885.629999999997</v>
      </c>
      <c r="G12052" s="18">
        <v>123949</v>
      </c>
      <c r="H12052" s="18">
        <f t="shared" si="276"/>
        <v>41874.629999999997</v>
      </c>
      <c r="I12052" s="3"/>
    </row>
    <row r="12053" spans="1:9" s="4" customFormat="1" ht="18.75" customHeight="1" x14ac:dyDescent="0.55000000000000004">
      <c r="A12053" s="18">
        <v>24.828321599999999</v>
      </c>
      <c r="B12053" s="18">
        <v>34.918016700000003</v>
      </c>
      <c r="C12053" s="18">
        <v>693838.18</v>
      </c>
      <c r="D12053" s="18">
        <v>2747300.95</v>
      </c>
      <c r="E12053" s="18">
        <v>199.66</v>
      </c>
      <c r="F12053" s="18">
        <v>41887.68</v>
      </c>
      <c r="G12053" s="18">
        <v>124028</v>
      </c>
      <c r="H12053" s="18">
        <f t="shared" si="276"/>
        <v>41876.68</v>
      </c>
      <c r="I12053" s="3"/>
    </row>
    <row r="12054" spans="1:9" s="4" customFormat="1" ht="18.75" customHeight="1" x14ac:dyDescent="0.55000000000000004">
      <c r="A12054" s="18">
        <v>24.8017222</v>
      </c>
      <c r="B12054" s="18">
        <v>34.959214099999997</v>
      </c>
      <c r="C12054" s="18">
        <v>698045.01</v>
      </c>
      <c r="D12054" s="18">
        <v>2744413.77</v>
      </c>
      <c r="E12054" s="18">
        <v>51.13</v>
      </c>
      <c r="F12054" s="18">
        <v>41923.31</v>
      </c>
      <c r="G12054" s="18">
        <v>125755</v>
      </c>
      <c r="H12054" s="18">
        <f t="shared" si="276"/>
        <v>41912.31</v>
      </c>
      <c r="I12054" s="3"/>
    </row>
    <row r="12055" spans="1:9" s="4" customFormat="1" ht="18.75" customHeight="1" x14ac:dyDescent="0.55000000000000004">
      <c r="A12055" s="18">
        <v>24.801721799999999</v>
      </c>
      <c r="B12055" s="18">
        <v>34.959213499999997</v>
      </c>
      <c r="C12055" s="18">
        <v>698044.95</v>
      </c>
      <c r="D12055" s="18">
        <v>2744413.73</v>
      </c>
      <c r="E12055" s="18">
        <v>51.22</v>
      </c>
      <c r="F12055" s="18">
        <v>41923.49</v>
      </c>
      <c r="G12055" s="18">
        <v>125807</v>
      </c>
      <c r="H12055" s="18">
        <f t="shared" si="276"/>
        <v>41912.49</v>
      </c>
      <c r="I12055" s="3"/>
    </row>
    <row r="12056" spans="1:9" s="4" customFormat="1" ht="18.75" customHeight="1" x14ac:dyDescent="0.55000000000000004">
      <c r="A12056" s="18">
        <v>24.8006314</v>
      </c>
      <c r="B12056" s="18">
        <v>34.959565900000001</v>
      </c>
      <c r="C12056" s="18">
        <v>698082.31</v>
      </c>
      <c r="D12056" s="18">
        <v>2744293.45</v>
      </c>
      <c r="E12056" s="18">
        <v>51.2</v>
      </c>
      <c r="F12056" s="18">
        <v>41937.72</v>
      </c>
      <c r="G12056" s="18">
        <v>130004</v>
      </c>
      <c r="H12056" s="18">
        <f>SUM(F12056-12)</f>
        <v>41925.72</v>
      </c>
      <c r="I12056" s="3"/>
    </row>
    <row r="12057" spans="1:9" s="4" customFormat="1" ht="18.75" customHeight="1" x14ac:dyDescent="0.55000000000000004">
      <c r="A12057" s="18">
        <v>24.800630399999999</v>
      </c>
      <c r="B12057" s="18">
        <v>34.959564700000001</v>
      </c>
      <c r="C12057" s="18">
        <v>698082.2</v>
      </c>
      <c r="D12057" s="18">
        <v>2744293.34</v>
      </c>
      <c r="E12057" s="18">
        <v>51.02</v>
      </c>
      <c r="F12057" s="18">
        <v>41936.35</v>
      </c>
      <c r="G12057" s="18">
        <v>130013</v>
      </c>
      <c r="H12057" s="18">
        <f t="shared" ref="H12057:H12076" si="277">SUM(F12057-12)</f>
        <v>41924.35</v>
      </c>
      <c r="I12057" s="3"/>
    </row>
    <row r="12058" spans="1:9" s="4" customFormat="1" ht="18.75" customHeight="1" x14ac:dyDescent="0.55000000000000004">
      <c r="A12058" s="18">
        <v>24.7987693</v>
      </c>
      <c r="B12058" s="18">
        <v>34.960814999999997</v>
      </c>
      <c r="C12058" s="18">
        <v>698211.57</v>
      </c>
      <c r="D12058" s="18">
        <v>2744089.01</v>
      </c>
      <c r="E12058" s="18">
        <v>55.12</v>
      </c>
      <c r="F12058" s="18">
        <v>41923.39</v>
      </c>
      <c r="G12058" s="18">
        <v>130140</v>
      </c>
      <c r="H12058" s="18">
        <f t="shared" si="277"/>
        <v>41911.39</v>
      </c>
      <c r="I12058" s="3"/>
    </row>
    <row r="12059" spans="1:9" s="4" customFormat="1" ht="18.75" customHeight="1" x14ac:dyDescent="0.55000000000000004">
      <c r="A12059" s="18">
        <v>24.798770600000001</v>
      </c>
      <c r="B12059" s="18">
        <v>34.960813199999997</v>
      </c>
      <c r="C12059" s="18">
        <v>698211.39</v>
      </c>
      <c r="D12059" s="18">
        <v>2744089.14</v>
      </c>
      <c r="E12059" s="18">
        <v>55.15</v>
      </c>
      <c r="F12059" s="18">
        <v>41923.879999999997</v>
      </c>
      <c r="G12059" s="18">
        <v>130149</v>
      </c>
      <c r="H12059" s="18">
        <f t="shared" si="277"/>
        <v>41911.879999999997</v>
      </c>
      <c r="I12059" s="3"/>
    </row>
    <row r="12060" spans="1:9" s="4" customFormat="1" ht="18.75" customHeight="1" x14ac:dyDescent="0.55000000000000004">
      <c r="A12060" s="18">
        <v>24.796392699999998</v>
      </c>
      <c r="B12060" s="18">
        <v>34.961430999999997</v>
      </c>
      <c r="C12060" s="18">
        <v>698277.64</v>
      </c>
      <c r="D12060" s="18">
        <v>2743826.65</v>
      </c>
      <c r="E12060" s="18">
        <v>60.55</v>
      </c>
      <c r="F12060" s="18">
        <v>41917.31</v>
      </c>
      <c r="G12060" s="18">
        <v>130337</v>
      </c>
      <c r="H12060" s="18">
        <f t="shared" si="277"/>
        <v>41905.31</v>
      </c>
      <c r="I12060" s="3"/>
    </row>
    <row r="12061" spans="1:9" s="4" customFormat="1" ht="18.75" customHeight="1" x14ac:dyDescent="0.55000000000000004">
      <c r="A12061" s="18">
        <v>24.796391400000001</v>
      </c>
      <c r="B12061" s="18">
        <v>34.961430100000001</v>
      </c>
      <c r="C12061" s="18">
        <v>698277.56</v>
      </c>
      <c r="D12061" s="18">
        <v>2743826.51</v>
      </c>
      <c r="E12061" s="18">
        <v>60.59</v>
      </c>
      <c r="F12061" s="18">
        <v>41917.019999999997</v>
      </c>
      <c r="G12061" s="18">
        <v>130346</v>
      </c>
      <c r="H12061" s="18">
        <f t="shared" si="277"/>
        <v>41905.019999999997</v>
      </c>
      <c r="I12061" s="3"/>
    </row>
    <row r="12062" spans="1:9" s="4" customFormat="1" ht="18.75" customHeight="1" x14ac:dyDescent="0.55000000000000004">
      <c r="A12062" s="18">
        <v>24.7941781</v>
      </c>
      <c r="B12062" s="18">
        <v>34.962046600000001</v>
      </c>
      <c r="C12062" s="18">
        <v>698343.42</v>
      </c>
      <c r="D12062" s="18">
        <v>2743582.24</v>
      </c>
      <c r="E12062" s="18">
        <v>66.08</v>
      </c>
      <c r="F12062" s="18">
        <v>41960.04</v>
      </c>
      <c r="G12062" s="18">
        <v>130516</v>
      </c>
      <c r="H12062" s="18">
        <f t="shared" si="277"/>
        <v>41948.04</v>
      </c>
      <c r="I12062" s="3"/>
    </row>
    <row r="12063" spans="1:9" s="4" customFormat="1" ht="18.75" customHeight="1" x14ac:dyDescent="0.55000000000000004">
      <c r="A12063" s="18">
        <v>24.794179199999999</v>
      </c>
      <c r="B12063" s="18">
        <v>34.9620459</v>
      </c>
      <c r="C12063" s="18">
        <v>698343.34</v>
      </c>
      <c r="D12063" s="18">
        <v>2743582.35</v>
      </c>
      <c r="E12063" s="18">
        <v>65.959999999999994</v>
      </c>
      <c r="F12063" s="18">
        <v>41956.54</v>
      </c>
      <c r="G12063" s="18">
        <v>130525</v>
      </c>
      <c r="H12063" s="18">
        <f t="shared" si="277"/>
        <v>41944.54</v>
      </c>
      <c r="I12063" s="3"/>
    </row>
    <row r="12064" spans="1:9" s="4" customFormat="1" ht="18.75" customHeight="1" x14ac:dyDescent="0.55000000000000004">
      <c r="A12064" s="18">
        <v>24.792457500000001</v>
      </c>
      <c r="B12064" s="18">
        <v>34.9630005</v>
      </c>
      <c r="C12064" s="18">
        <v>698442.6</v>
      </c>
      <c r="D12064" s="18">
        <v>2743393.03</v>
      </c>
      <c r="E12064" s="18">
        <v>70.84</v>
      </c>
      <c r="F12064" s="18">
        <v>41749.06</v>
      </c>
      <c r="G12064" s="18">
        <v>130713</v>
      </c>
      <c r="H12064" s="18">
        <f t="shared" si="277"/>
        <v>41737.06</v>
      </c>
      <c r="I12064" s="3"/>
    </row>
    <row r="12065" spans="1:9" s="4" customFormat="1" ht="18.75" customHeight="1" x14ac:dyDescent="0.55000000000000004">
      <c r="A12065" s="18">
        <v>24.792457500000001</v>
      </c>
      <c r="B12065" s="18">
        <v>34.9630005</v>
      </c>
      <c r="C12065" s="18">
        <v>698442.6</v>
      </c>
      <c r="D12065" s="18">
        <v>2743393.04</v>
      </c>
      <c r="E12065" s="18">
        <v>70.819999999999993</v>
      </c>
      <c r="F12065" s="18">
        <v>41748.35</v>
      </c>
      <c r="G12065" s="18">
        <v>130722</v>
      </c>
      <c r="H12065" s="18">
        <f t="shared" si="277"/>
        <v>41736.35</v>
      </c>
      <c r="I12065" s="3"/>
    </row>
    <row r="12066" spans="1:9" s="4" customFormat="1" ht="18.75" customHeight="1" x14ac:dyDescent="0.55000000000000004">
      <c r="A12066" s="18">
        <v>24.792442099999999</v>
      </c>
      <c r="B12066" s="18">
        <v>34.963013599999996</v>
      </c>
      <c r="C12066" s="18">
        <v>698443.95</v>
      </c>
      <c r="D12066" s="18">
        <v>2743391.36</v>
      </c>
      <c r="E12066" s="18">
        <v>70.75</v>
      </c>
      <c r="F12066" s="18">
        <v>41748.629999999997</v>
      </c>
      <c r="G12066" s="18">
        <v>130740</v>
      </c>
      <c r="H12066" s="18">
        <f t="shared" si="277"/>
        <v>41736.629999999997</v>
      </c>
      <c r="I12066" s="3"/>
    </row>
    <row r="12067" spans="1:9" s="4" customFormat="1" ht="18.75" customHeight="1" x14ac:dyDescent="0.55000000000000004">
      <c r="A12067" s="18">
        <v>24.790051800000001</v>
      </c>
      <c r="B12067" s="18">
        <v>34.9645838</v>
      </c>
      <c r="C12067" s="18">
        <v>698606.54</v>
      </c>
      <c r="D12067" s="18">
        <v>2743128.86</v>
      </c>
      <c r="E12067" s="18">
        <v>76.709999999999994</v>
      </c>
      <c r="F12067" s="18">
        <v>41910.449999999997</v>
      </c>
      <c r="G12067" s="18">
        <v>131816</v>
      </c>
      <c r="H12067" s="18">
        <f t="shared" si="277"/>
        <v>41898.449999999997</v>
      </c>
      <c r="I12067" s="3"/>
    </row>
    <row r="12068" spans="1:9" s="4" customFormat="1" ht="18.75" customHeight="1" x14ac:dyDescent="0.55000000000000004">
      <c r="A12068" s="18">
        <v>24.790052899999999</v>
      </c>
      <c r="B12068" s="18">
        <v>34.964582999999998</v>
      </c>
      <c r="C12068" s="18">
        <v>698606.45</v>
      </c>
      <c r="D12068" s="18">
        <v>2743128.98</v>
      </c>
      <c r="E12068" s="18">
        <v>77.040000000000006</v>
      </c>
      <c r="F12068" s="18">
        <v>41910.04</v>
      </c>
      <c r="G12068" s="18">
        <v>131837</v>
      </c>
      <c r="H12068" s="18">
        <f t="shared" si="277"/>
        <v>41898.04</v>
      </c>
      <c r="I12068" s="3"/>
    </row>
    <row r="12069" spans="1:9" s="4" customFormat="1" ht="18.75" customHeight="1" x14ac:dyDescent="0.55000000000000004">
      <c r="A12069" s="18">
        <v>24.788442100000001</v>
      </c>
      <c r="B12069" s="18">
        <v>34.965653099999997</v>
      </c>
      <c r="C12069" s="18">
        <v>698717.23</v>
      </c>
      <c r="D12069" s="18">
        <v>2742952.11</v>
      </c>
      <c r="E12069" s="18">
        <v>83.77</v>
      </c>
      <c r="F12069" s="18">
        <v>41921.699999999997</v>
      </c>
      <c r="G12069" s="18">
        <v>132034</v>
      </c>
      <c r="H12069" s="18">
        <f t="shared" si="277"/>
        <v>41909.699999999997</v>
      </c>
      <c r="I12069" s="3"/>
    </row>
    <row r="12070" spans="1:9" s="4" customFormat="1" ht="18.75" customHeight="1" x14ac:dyDescent="0.55000000000000004">
      <c r="A12070" s="18">
        <v>24.788440900000001</v>
      </c>
      <c r="B12070" s="18">
        <v>34.965653400000001</v>
      </c>
      <c r="C12070" s="18">
        <v>698717.26</v>
      </c>
      <c r="D12070" s="18">
        <v>2742951.99</v>
      </c>
      <c r="E12070" s="18">
        <v>83.13</v>
      </c>
      <c r="F12070" s="18">
        <v>41921.96</v>
      </c>
      <c r="G12070" s="18">
        <v>132055</v>
      </c>
      <c r="H12070" s="18">
        <f t="shared" si="277"/>
        <v>41909.96</v>
      </c>
      <c r="I12070" s="3"/>
    </row>
    <row r="12071" spans="1:9" s="4" customFormat="1" ht="18.75" customHeight="1" x14ac:dyDescent="0.55000000000000004">
      <c r="A12071" s="18">
        <v>24.786042500000001</v>
      </c>
      <c r="B12071" s="18">
        <v>34.966696900000002</v>
      </c>
      <c r="C12071" s="18">
        <v>698826.61</v>
      </c>
      <c r="D12071" s="18">
        <v>2742687.83</v>
      </c>
      <c r="E12071" s="18">
        <v>90.86</v>
      </c>
      <c r="F12071" s="18">
        <v>41886.18</v>
      </c>
      <c r="G12071" s="18">
        <v>132328</v>
      </c>
      <c r="H12071" s="18">
        <f t="shared" si="277"/>
        <v>41874.18</v>
      </c>
      <c r="I12071" s="3"/>
    </row>
    <row r="12072" spans="1:9" s="4" customFormat="1" ht="18.75" customHeight="1" x14ac:dyDescent="0.55000000000000004">
      <c r="A12072" s="18">
        <v>24.7860437</v>
      </c>
      <c r="B12072" s="18">
        <v>34.966700099999997</v>
      </c>
      <c r="C12072" s="18">
        <v>698826.92</v>
      </c>
      <c r="D12072" s="18">
        <v>2742687.97</v>
      </c>
      <c r="E12072" s="18">
        <v>91.29</v>
      </c>
      <c r="F12072" s="18">
        <v>41885.870000000003</v>
      </c>
      <c r="G12072" s="18">
        <v>132358</v>
      </c>
      <c r="H12072" s="18">
        <f t="shared" si="277"/>
        <v>41873.870000000003</v>
      </c>
      <c r="I12072" s="3"/>
    </row>
    <row r="12073" spans="1:9" s="4" customFormat="1" ht="18.75" customHeight="1" x14ac:dyDescent="0.55000000000000004">
      <c r="A12073" s="18">
        <v>24.783730899999998</v>
      </c>
      <c r="B12073" s="18">
        <v>34.968133799999997</v>
      </c>
      <c r="C12073" s="18">
        <v>698975.6</v>
      </c>
      <c r="D12073" s="18">
        <v>2742433.88</v>
      </c>
      <c r="E12073" s="18">
        <v>96.75</v>
      </c>
      <c r="F12073" s="18">
        <v>41922.300000000003</v>
      </c>
      <c r="G12073" s="18">
        <v>132622</v>
      </c>
      <c r="H12073" s="18">
        <f t="shared" si="277"/>
        <v>41910.300000000003</v>
      </c>
      <c r="I12073" s="3"/>
    </row>
    <row r="12074" spans="1:9" s="4" customFormat="1" ht="18.75" customHeight="1" x14ac:dyDescent="0.55000000000000004">
      <c r="A12074" s="18">
        <v>24.783732199999999</v>
      </c>
      <c r="B12074" s="18">
        <v>34.968134300000003</v>
      </c>
      <c r="C12074" s="18">
        <v>698975.64</v>
      </c>
      <c r="D12074" s="18">
        <v>2742434.02</v>
      </c>
      <c r="E12074" s="18">
        <v>96.79</v>
      </c>
      <c r="F12074" s="18">
        <v>41922.17</v>
      </c>
      <c r="G12074" s="18">
        <v>132640</v>
      </c>
      <c r="H12074" s="18">
        <f t="shared" si="277"/>
        <v>41910.17</v>
      </c>
      <c r="I12074" s="3"/>
    </row>
    <row r="12075" spans="1:9" s="4" customFormat="1" ht="18.75" customHeight="1" x14ac:dyDescent="0.55000000000000004">
      <c r="A12075" s="18">
        <v>24.7804781</v>
      </c>
      <c r="B12075" s="18">
        <v>34.969883899999999</v>
      </c>
      <c r="C12075" s="18">
        <v>699157.77</v>
      </c>
      <c r="D12075" s="18">
        <v>2742076.12</v>
      </c>
      <c r="E12075" s="18">
        <v>102.05</v>
      </c>
      <c r="F12075" s="18">
        <v>41940.660000000003</v>
      </c>
      <c r="G12075" s="18">
        <v>132904</v>
      </c>
      <c r="H12075" s="18">
        <f t="shared" si="277"/>
        <v>41928.660000000003</v>
      </c>
      <c r="I12075" s="3"/>
    </row>
    <row r="12076" spans="1:9" s="4" customFormat="1" ht="18.75" customHeight="1" x14ac:dyDescent="0.55000000000000004">
      <c r="A12076" s="18">
        <v>24.780475899999999</v>
      </c>
      <c r="B12076" s="18">
        <v>34.969882900000002</v>
      </c>
      <c r="C12076" s="18">
        <v>699157.67</v>
      </c>
      <c r="D12076" s="18">
        <v>2742075.88</v>
      </c>
      <c r="E12076" s="18">
        <v>101.68</v>
      </c>
      <c r="F12076" s="18">
        <v>41940.660000000003</v>
      </c>
      <c r="G12076" s="18">
        <v>132919</v>
      </c>
      <c r="H12076" s="18">
        <f t="shared" si="277"/>
        <v>41928.660000000003</v>
      </c>
      <c r="I12076" s="3"/>
    </row>
    <row r="12077" spans="1:9" s="4" customFormat="1" ht="18.75" customHeight="1" x14ac:dyDescent="0.55000000000000004">
      <c r="A12077" s="18">
        <v>24.777897500000002</v>
      </c>
      <c r="B12077" s="18">
        <v>34.971044200000001</v>
      </c>
      <c r="C12077" s="18">
        <v>699279.23</v>
      </c>
      <c r="D12077" s="18">
        <v>2741791.97</v>
      </c>
      <c r="E12077" s="18">
        <v>109.95</v>
      </c>
      <c r="F12077" s="18">
        <v>41962.71</v>
      </c>
      <c r="G12077" s="18">
        <v>133143</v>
      </c>
      <c r="H12077" s="18">
        <f>SUM(F12077-14)</f>
        <v>41948.71</v>
      </c>
      <c r="I12077" s="3"/>
    </row>
    <row r="12078" spans="1:9" s="4" customFormat="1" ht="18.75" customHeight="1" x14ac:dyDescent="0.55000000000000004">
      <c r="A12078" s="18">
        <v>24.777896899999998</v>
      </c>
      <c r="B12078" s="18">
        <v>34.9710453</v>
      </c>
      <c r="C12078" s="18">
        <v>699279.35</v>
      </c>
      <c r="D12078" s="18">
        <v>2741791.9</v>
      </c>
      <c r="E12078" s="18">
        <v>109.63</v>
      </c>
      <c r="F12078" s="18">
        <v>41962.47</v>
      </c>
      <c r="G12078" s="18">
        <v>133158</v>
      </c>
      <c r="H12078" s="18">
        <f t="shared" ref="H12078:H12090" si="278">SUM(F12078-14)</f>
        <v>41948.47</v>
      </c>
      <c r="I12078" s="3"/>
    </row>
    <row r="12079" spans="1:9" s="4" customFormat="1" ht="18.75" customHeight="1" x14ac:dyDescent="0.55000000000000004">
      <c r="A12079" s="18">
        <v>24.775073599999999</v>
      </c>
      <c r="B12079" s="18">
        <v>34.971840499999999</v>
      </c>
      <c r="C12079" s="18">
        <v>699364.27</v>
      </c>
      <c r="D12079" s="18">
        <v>2741480.33</v>
      </c>
      <c r="E12079" s="18">
        <v>116.63</v>
      </c>
      <c r="F12079" s="18">
        <v>41950.52</v>
      </c>
      <c r="G12079" s="18">
        <v>133428</v>
      </c>
      <c r="H12079" s="18">
        <f t="shared" si="278"/>
        <v>41936.519999999997</v>
      </c>
      <c r="I12079" s="3"/>
    </row>
    <row r="12080" spans="1:9" s="4" customFormat="1" ht="18.75" customHeight="1" x14ac:dyDescent="0.55000000000000004">
      <c r="A12080" s="18">
        <v>24.775072000000002</v>
      </c>
      <c r="B12080" s="18">
        <v>34.971841099999999</v>
      </c>
      <c r="C12080" s="18">
        <v>699364.33</v>
      </c>
      <c r="D12080" s="18">
        <v>2741480.15</v>
      </c>
      <c r="E12080" s="18">
        <v>116.53</v>
      </c>
      <c r="F12080" s="18">
        <v>41950.39</v>
      </c>
      <c r="G12080" s="18">
        <v>133443</v>
      </c>
      <c r="H12080" s="18">
        <f t="shared" si="278"/>
        <v>41936.39</v>
      </c>
      <c r="I12080" s="3"/>
    </row>
    <row r="12081" spans="1:9" s="4" customFormat="1" ht="18.75" customHeight="1" x14ac:dyDescent="0.55000000000000004">
      <c r="A12081" s="18">
        <v>24.772977600000001</v>
      </c>
      <c r="B12081" s="18">
        <v>34.972132000000002</v>
      </c>
      <c r="C12081" s="18">
        <v>699397.11</v>
      </c>
      <c r="D12081" s="18">
        <v>2741248.59</v>
      </c>
      <c r="E12081" s="18">
        <v>120.78</v>
      </c>
      <c r="F12081" s="18">
        <v>41931.019999999997</v>
      </c>
      <c r="G12081" s="18">
        <v>133625</v>
      </c>
      <c r="H12081" s="18">
        <f t="shared" si="278"/>
        <v>41917.019999999997</v>
      </c>
      <c r="I12081" s="3"/>
    </row>
    <row r="12082" spans="1:9" s="4" customFormat="1" ht="18.75" customHeight="1" x14ac:dyDescent="0.55000000000000004">
      <c r="A12082" s="18">
        <v>24.772978299999998</v>
      </c>
      <c r="B12082" s="18">
        <v>34.9721324</v>
      </c>
      <c r="C12082" s="18">
        <v>699397.14</v>
      </c>
      <c r="D12082" s="18">
        <v>2741248.67</v>
      </c>
      <c r="E12082" s="18">
        <v>120.82</v>
      </c>
      <c r="F12082" s="18">
        <v>41930.68</v>
      </c>
      <c r="G12082" s="18">
        <v>133646</v>
      </c>
      <c r="H12082" s="18">
        <f t="shared" si="278"/>
        <v>41916.68</v>
      </c>
      <c r="I12082" s="3"/>
    </row>
    <row r="12083" spans="1:9" s="4" customFormat="1" ht="18.75" customHeight="1" x14ac:dyDescent="0.55000000000000004">
      <c r="A12083" s="18">
        <v>24.7704597</v>
      </c>
      <c r="B12083" s="18">
        <v>34.972335899999997</v>
      </c>
      <c r="C12083" s="18">
        <v>699421.75</v>
      </c>
      <c r="D12083" s="18">
        <v>2740969.98</v>
      </c>
      <c r="E12083" s="18">
        <v>126.82</v>
      </c>
      <c r="F12083" s="18">
        <v>41937.449999999997</v>
      </c>
      <c r="G12083" s="18">
        <v>133855</v>
      </c>
      <c r="H12083" s="18">
        <f t="shared" si="278"/>
        <v>41923.449999999997</v>
      </c>
      <c r="I12083" s="3"/>
    </row>
    <row r="12084" spans="1:9" s="4" customFormat="1" ht="18.75" customHeight="1" x14ac:dyDescent="0.55000000000000004">
      <c r="A12084" s="18">
        <v>24.770460700000001</v>
      </c>
      <c r="B12084" s="18">
        <v>34.972336300000002</v>
      </c>
      <c r="C12084" s="18">
        <v>699421.78</v>
      </c>
      <c r="D12084" s="18">
        <v>2740970.09</v>
      </c>
      <c r="E12084" s="18">
        <v>126.84</v>
      </c>
      <c r="F12084" s="18">
        <v>41937.49</v>
      </c>
      <c r="G12084" s="18">
        <v>133910</v>
      </c>
      <c r="H12084" s="18">
        <f t="shared" si="278"/>
        <v>41923.49</v>
      </c>
      <c r="I12084" s="3"/>
    </row>
    <row r="12085" spans="1:9" s="4" customFormat="1" ht="18.75" customHeight="1" x14ac:dyDescent="0.55000000000000004">
      <c r="A12085" s="18">
        <v>24.7686408</v>
      </c>
      <c r="B12085" s="18">
        <v>34.973335300000002</v>
      </c>
      <c r="C12085" s="18">
        <v>699525.74</v>
      </c>
      <c r="D12085" s="18">
        <v>2740769.97</v>
      </c>
      <c r="E12085" s="18">
        <v>131.91999999999999</v>
      </c>
      <c r="F12085" s="18">
        <v>41925</v>
      </c>
      <c r="G12085" s="18">
        <v>134158</v>
      </c>
      <c r="H12085" s="18">
        <f t="shared" si="278"/>
        <v>41911</v>
      </c>
      <c r="I12085" s="3"/>
    </row>
    <row r="12086" spans="1:9" s="4" customFormat="1" ht="18.75" customHeight="1" x14ac:dyDescent="0.55000000000000004">
      <c r="A12086" s="18">
        <v>24.768641299999999</v>
      </c>
      <c r="B12086" s="18">
        <v>34.973334800000003</v>
      </c>
      <c r="C12086" s="18">
        <v>699525.68</v>
      </c>
      <c r="D12086" s="18">
        <v>2740770.02</v>
      </c>
      <c r="E12086" s="18">
        <v>131.86000000000001</v>
      </c>
      <c r="F12086" s="18">
        <v>41924.910000000003</v>
      </c>
      <c r="G12086" s="18">
        <v>134210</v>
      </c>
      <c r="H12086" s="18">
        <f t="shared" si="278"/>
        <v>41910.910000000003</v>
      </c>
      <c r="I12086" s="3"/>
    </row>
    <row r="12087" spans="1:9" s="4" customFormat="1" ht="18.75" customHeight="1" x14ac:dyDescent="0.55000000000000004">
      <c r="A12087" s="18">
        <v>24.766406</v>
      </c>
      <c r="B12087" s="18">
        <v>34.974609600000001</v>
      </c>
      <c r="C12087" s="18">
        <v>699658.18</v>
      </c>
      <c r="D12087" s="18">
        <v>2740524.28</v>
      </c>
      <c r="E12087" s="18">
        <v>137.32</v>
      </c>
      <c r="F12087" s="18">
        <v>41943.74</v>
      </c>
      <c r="G12087" s="18">
        <v>134425</v>
      </c>
      <c r="H12087" s="18">
        <f t="shared" si="278"/>
        <v>41929.74</v>
      </c>
      <c r="I12087" s="3"/>
    </row>
    <row r="12088" spans="1:9" s="4" customFormat="1" ht="18.75" customHeight="1" x14ac:dyDescent="0.55000000000000004">
      <c r="A12088" s="18">
        <v>24.766406799999999</v>
      </c>
      <c r="B12088" s="18">
        <v>34.974609000000001</v>
      </c>
      <c r="C12088" s="18">
        <v>699658.12</v>
      </c>
      <c r="D12088" s="18">
        <v>2740524.37</v>
      </c>
      <c r="E12088" s="18">
        <v>137.55000000000001</v>
      </c>
      <c r="F12088" s="18">
        <v>41943.7</v>
      </c>
      <c r="G12088" s="18">
        <v>134440</v>
      </c>
      <c r="H12088" s="18">
        <f t="shared" si="278"/>
        <v>41929.699999999997</v>
      </c>
      <c r="I12088" s="3"/>
    </row>
    <row r="12089" spans="1:9" s="4" customFormat="1" ht="18.75" customHeight="1" x14ac:dyDescent="0.55000000000000004">
      <c r="A12089" s="18">
        <v>24.764569999999999</v>
      </c>
      <c r="B12089" s="18">
        <v>34.975414499999999</v>
      </c>
      <c r="C12089" s="18">
        <v>699742.53</v>
      </c>
      <c r="D12089" s="18">
        <v>2740322.08</v>
      </c>
      <c r="E12089" s="18">
        <v>142.78</v>
      </c>
      <c r="F12089" s="18">
        <v>41931.93</v>
      </c>
      <c r="G12089" s="18">
        <v>134622</v>
      </c>
      <c r="H12089" s="18">
        <f t="shared" si="278"/>
        <v>41917.93</v>
      </c>
      <c r="I12089" s="3"/>
    </row>
    <row r="12090" spans="1:9" s="4" customFormat="1" ht="18.75" customHeight="1" x14ac:dyDescent="0.55000000000000004">
      <c r="A12090" s="18">
        <v>24.764568400000002</v>
      </c>
      <c r="B12090" s="18">
        <v>34.975412400000003</v>
      </c>
      <c r="C12090" s="18">
        <v>699742.32</v>
      </c>
      <c r="D12090" s="18">
        <v>2740321.9</v>
      </c>
      <c r="E12090" s="18">
        <v>142.71</v>
      </c>
      <c r="F12090" s="18">
        <v>41932.050000000003</v>
      </c>
      <c r="G12090" s="18">
        <v>134637</v>
      </c>
      <c r="H12090" s="18">
        <f t="shared" si="278"/>
        <v>41918.050000000003</v>
      </c>
      <c r="I12090" s="3"/>
    </row>
    <row r="12091" spans="1:9" s="4" customFormat="1" ht="18.75" customHeight="1" x14ac:dyDescent="0.55000000000000004">
      <c r="A12091" s="18">
        <v>24.808571700000002</v>
      </c>
      <c r="B12091" s="18">
        <v>34.973144400000002</v>
      </c>
      <c r="C12091" s="18">
        <v>699442.53</v>
      </c>
      <c r="D12091" s="18">
        <v>2745192.76</v>
      </c>
      <c r="E12091" s="18">
        <v>36.57</v>
      </c>
      <c r="F12091" s="18">
        <v>41910.31</v>
      </c>
      <c r="G12091" s="18">
        <v>141137</v>
      </c>
      <c r="H12091" s="18">
        <f>SUM(F12091-12)</f>
        <v>41898.31</v>
      </c>
      <c r="I12091" s="3"/>
    </row>
    <row r="12092" spans="1:9" s="4" customFormat="1" ht="18.75" customHeight="1" x14ac:dyDescent="0.55000000000000004">
      <c r="A12092" s="18">
        <v>24.808569299999998</v>
      </c>
      <c r="B12092" s="18">
        <v>34.973142799999998</v>
      </c>
      <c r="C12092" s="18">
        <v>699442.38</v>
      </c>
      <c r="D12092" s="18">
        <v>2745192.5</v>
      </c>
      <c r="E12092" s="18">
        <v>37.99</v>
      </c>
      <c r="F12092" s="18">
        <v>41909.68</v>
      </c>
      <c r="G12092" s="18">
        <v>141152</v>
      </c>
      <c r="H12092" s="18">
        <f t="shared" ref="H12092:H12104" si="279">SUM(F12092-12)</f>
        <v>41897.68</v>
      </c>
      <c r="I12092" s="3"/>
    </row>
    <row r="12093" spans="1:9" s="4" customFormat="1" ht="18.75" customHeight="1" x14ac:dyDescent="0.55000000000000004">
      <c r="A12093" s="18">
        <v>24.805809400000001</v>
      </c>
      <c r="B12093" s="18">
        <v>34.973255700000003</v>
      </c>
      <c r="C12093" s="18">
        <v>699458.21</v>
      </c>
      <c r="D12093" s="18">
        <v>2744886.95</v>
      </c>
      <c r="E12093" s="18">
        <v>47.81</v>
      </c>
      <c r="F12093" s="18">
        <v>41919.379999999997</v>
      </c>
      <c r="G12093" s="18">
        <v>141425</v>
      </c>
      <c r="H12093" s="18">
        <f t="shared" si="279"/>
        <v>41907.379999999997</v>
      </c>
      <c r="I12093" s="3"/>
    </row>
    <row r="12094" spans="1:9" s="4" customFormat="1" ht="18.75" customHeight="1" x14ac:dyDescent="0.55000000000000004">
      <c r="A12094" s="18">
        <v>24.805810399999999</v>
      </c>
      <c r="B12094" s="18">
        <v>34.973252500000001</v>
      </c>
      <c r="C12094" s="18">
        <v>699457.89</v>
      </c>
      <c r="D12094" s="18">
        <v>2744887.06</v>
      </c>
      <c r="E12094" s="18">
        <v>47.99</v>
      </c>
      <c r="F12094" s="18">
        <v>41919.699999999997</v>
      </c>
      <c r="G12094" s="18">
        <v>141437</v>
      </c>
      <c r="H12094" s="18">
        <f t="shared" si="279"/>
        <v>41907.699999999997</v>
      </c>
      <c r="I12094" s="3"/>
    </row>
    <row r="12095" spans="1:9" s="4" customFormat="1" ht="18.75" customHeight="1" x14ac:dyDescent="0.55000000000000004">
      <c r="A12095" s="18">
        <v>24.8042877</v>
      </c>
      <c r="B12095" s="18">
        <v>34.974247900000002</v>
      </c>
      <c r="C12095" s="18">
        <v>699560.97</v>
      </c>
      <c r="D12095" s="18">
        <v>2744719.84</v>
      </c>
      <c r="E12095" s="18">
        <v>55.54</v>
      </c>
      <c r="F12095" s="18">
        <v>41908.28</v>
      </c>
      <c r="G12095" s="18">
        <v>141634</v>
      </c>
      <c r="H12095" s="18">
        <f t="shared" si="279"/>
        <v>41896.28</v>
      </c>
      <c r="I12095" s="3"/>
    </row>
    <row r="12096" spans="1:9" s="4" customFormat="1" ht="18.75" customHeight="1" x14ac:dyDescent="0.55000000000000004">
      <c r="A12096" s="18">
        <v>24.804195700000001</v>
      </c>
      <c r="B12096" s="18">
        <v>34.974152500000002</v>
      </c>
      <c r="C12096" s="18">
        <v>699551.47</v>
      </c>
      <c r="D12096" s="18">
        <v>2744709.52</v>
      </c>
      <c r="E12096" s="18">
        <v>55.21</v>
      </c>
      <c r="F12096" s="18">
        <v>41911.21</v>
      </c>
      <c r="G12096" s="18">
        <v>141704</v>
      </c>
      <c r="H12096" s="18">
        <f t="shared" si="279"/>
        <v>41899.21</v>
      </c>
      <c r="I12096" s="3"/>
    </row>
    <row r="12097" spans="1:9" s="4" customFormat="1" ht="18.75" customHeight="1" x14ac:dyDescent="0.55000000000000004">
      <c r="A12097" s="18">
        <v>24.802705799999998</v>
      </c>
      <c r="B12097" s="18">
        <v>34.975020700000002</v>
      </c>
      <c r="C12097" s="18">
        <v>699641.64</v>
      </c>
      <c r="D12097" s="18">
        <v>2744545.74</v>
      </c>
      <c r="E12097" s="18">
        <v>62.63</v>
      </c>
      <c r="F12097" s="18">
        <v>41892.89</v>
      </c>
      <c r="G12097" s="18">
        <v>141907</v>
      </c>
      <c r="H12097" s="18">
        <f t="shared" si="279"/>
        <v>41880.89</v>
      </c>
      <c r="I12097" s="3"/>
    </row>
    <row r="12098" spans="1:9" s="4" customFormat="1" ht="18.75" customHeight="1" x14ac:dyDescent="0.55000000000000004">
      <c r="A12098" s="18">
        <v>24.802707099999999</v>
      </c>
      <c r="B12098" s="18">
        <v>34.975020700000002</v>
      </c>
      <c r="C12098" s="18">
        <v>699641.63</v>
      </c>
      <c r="D12098" s="18">
        <v>2744545.89</v>
      </c>
      <c r="E12098" s="18">
        <v>62.7</v>
      </c>
      <c r="F12098" s="18">
        <v>41892.89</v>
      </c>
      <c r="G12098" s="18">
        <v>141919</v>
      </c>
      <c r="H12098" s="18">
        <f t="shared" si="279"/>
        <v>41880.89</v>
      </c>
      <c r="I12098" s="3"/>
    </row>
    <row r="12099" spans="1:9" s="4" customFormat="1" ht="18.75" customHeight="1" x14ac:dyDescent="0.55000000000000004">
      <c r="A12099" s="18">
        <v>24.801251600000001</v>
      </c>
      <c r="B12099" s="18">
        <v>34.975999899999998</v>
      </c>
      <c r="C12099" s="18">
        <v>699742.98</v>
      </c>
      <c r="D12099" s="18">
        <v>2744386.1</v>
      </c>
      <c r="E12099" s="18">
        <v>68.86</v>
      </c>
      <c r="F12099" s="18">
        <v>41890.1</v>
      </c>
      <c r="G12099" s="18">
        <v>142101</v>
      </c>
      <c r="H12099" s="18">
        <f t="shared" si="279"/>
        <v>41878.1</v>
      </c>
      <c r="I12099" s="3"/>
    </row>
    <row r="12100" spans="1:9" s="4" customFormat="1" ht="18.75" customHeight="1" x14ac:dyDescent="0.55000000000000004">
      <c r="A12100" s="18">
        <v>24.8012528</v>
      </c>
      <c r="B12100" s="18">
        <v>34.976000200000001</v>
      </c>
      <c r="C12100" s="18">
        <v>699743</v>
      </c>
      <c r="D12100" s="18">
        <v>2744386.23</v>
      </c>
      <c r="E12100" s="18">
        <v>68.89</v>
      </c>
      <c r="F12100" s="18">
        <v>41889.279999999999</v>
      </c>
      <c r="G12100" s="18">
        <v>142113</v>
      </c>
      <c r="H12100" s="18">
        <f t="shared" si="279"/>
        <v>41877.279999999999</v>
      </c>
      <c r="I12100" s="3"/>
    </row>
    <row r="12101" spans="1:9" s="4" customFormat="1" ht="18.75" customHeight="1" x14ac:dyDescent="0.55000000000000004">
      <c r="A12101" s="18">
        <v>24.7995564</v>
      </c>
      <c r="B12101" s="18">
        <v>34.977039300000001</v>
      </c>
      <c r="C12101" s="18">
        <v>699850.79</v>
      </c>
      <c r="D12101" s="18">
        <v>2744199.85</v>
      </c>
      <c r="E12101" s="18">
        <v>75.900000000000006</v>
      </c>
      <c r="F12101" s="18">
        <v>41885.019999999997</v>
      </c>
      <c r="G12101" s="18">
        <v>142304</v>
      </c>
      <c r="H12101" s="18">
        <f t="shared" si="279"/>
        <v>41873.019999999997</v>
      </c>
      <c r="I12101" s="3"/>
    </row>
    <row r="12102" spans="1:9" s="4" customFormat="1" ht="18.75" customHeight="1" x14ac:dyDescent="0.55000000000000004">
      <c r="A12102" s="18">
        <v>24.7995552</v>
      </c>
      <c r="B12102" s="18">
        <v>34.977039900000001</v>
      </c>
      <c r="C12102" s="18">
        <v>699850.85</v>
      </c>
      <c r="D12102" s="18">
        <v>2744199.72</v>
      </c>
      <c r="E12102" s="18">
        <v>75.87</v>
      </c>
      <c r="F12102" s="18">
        <v>41884.85</v>
      </c>
      <c r="G12102" s="18">
        <v>142316</v>
      </c>
      <c r="H12102" s="18">
        <f t="shared" si="279"/>
        <v>41872.85</v>
      </c>
      <c r="I12102" s="3"/>
    </row>
    <row r="12103" spans="1:9" s="4" customFormat="1" ht="18.75" customHeight="1" x14ac:dyDescent="0.55000000000000004">
      <c r="A12103" s="18">
        <v>24.7979147</v>
      </c>
      <c r="B12103" s="18">
        <v>34.977879899999998</v>
      </c>
      <c r="C12103" s="18">
        <v>699938.42</v>
      </c>
      <c r="D12103" s="18">
        <v>2744019.23</v>
      </c>
      <c r="E12103" s="18">
        <v>80.25</v>
      </c>
      <c r="F12103" s="18">
        <v>41882.089999999997</v>
      </c>
      <c r="G12103" s="18">
        <v>142504</v>
      </c>
      <c r="H12103" s="18">
        <f t="shared" si="279"/>
        <v>41870.089999999997</v>
      </c>
      <c r="I12103" s="3"/>
    </row>
    <row r="12104" spans="1:9" s="4" customFormat="1" ht="18.75" customHeight="1" x14ac:dyDescent="0.55000000000000004">
      <c r="A12104" s="18">
        <v>24.7979156</v>
      </c>
      <c r="B12104" s="18">
        <v>34.977876700000003</v>
      </c>
      <c r="C12104" s="18">
        <v>699938.1</v>
      </c>
      <c r="D12104" s="18">
        <v>2744019.33</v>
      </c>
      <c r="E12104" s="18">
        <v>79.989999999999995</v>
      </c>
      <c r="F12104" s="18">
        <v>41881.94</v>
      </c>
      <c r="G12104" s="18">
        <v>142516</v>
      </c>
      <c r="H12104" s="18">
        <f t="shared" si="279"/>
        <v>41869.94</v>
      </c>
      <c r="I12104" s="3"/>
    </row>
    <row r="12105" spans="1:9" s="4" customFormat="1" ht="18.75" customHeight="1" x14ac:dyDescent="0.55000000000000004">
      <c r="A12105" s="18">
        <v>24.7970711</v>
      </c>
      <c r="B12105" s="18">
        <v>34.979059200000002</v>
      </c>
      <c r="C12105" s="18">
        <v>700059.02</v>
      </c>
      <c r="D12105" s="18">
        <v>2743927.52</v>
      </c>
      <c r="E12105" s="18">
        <v>88.22</v>
      </c>
      <c r="F12105" s="18">
        <v>41893.870000000003</v>
      </c>
      <c r="G12105" s="18">
        <v>143719</v>
      </c>
      <c r="H12105" s="18">
        <f>SUM(F12105-10)</f>
        <v>41883.870000000003</v>
      </c>
      <c r="I12105" s="3"/>
    </row>
    <row r="12106" spans="1:9" s="4" customFormat="1" ht="18.75" customHeight="1" x14ac:dyDescent="0.55000000000000004">
      <c r="A12106" s="18">
        <v>24.797072</v>
      </c>
      <c r="B12106" s="18">
        <v>34.9790603</v>
      </c>
      <c r="C12106" s="18">
        <v>700059.12</v>
      </c>
      <c r="D12106" s="18">
        <v>2743927.61</v>
      </c>
      <c r="E12106" s="18">
        <v>87.94</v>
      </c>
      <c r="F12106" s="18">
        <v>41893.35</v>
      </c>
      <c r="G12106" s="18">
        <v>143731</v>
      </c>
      <c r="H12106" s="18">
        <f t="shared" ref="H12106:H12118" si="280">SUM(F12106-10)</f>
        <v>41883.35</v>
      </c>
      <c r="I12106" s="3"/>
    </row>
    <row r="12107" spans="1:9" s="4" customFormat="1" ht="18.75" customHeight="1" x14ac:dyDescent="0.55000000000000004">
      <c r="A12107" s="18">
        <v>24.795854500000001</v>
      </c>
      <c r="B12107" s="18">
        <v>34.980567000000001</v>
      </c>
      <c r="C12107" s="18">
        <v>700213.44</v>
      </c>
      <c r="D12107" s="18">
        <v>2743794.96</v>
      </c>
      <c r="E12107" s="18">
        <v>96.38</v>
      </c>
      <c r="F12107" s="18">
        <v>41885.42</v>
      </c>
      <c r="G12107" s="18">
        <v>143928</v>
      </c>
      <c r="H12107" s="18">
        <f t="shared" si="280"/>
        <v>41875.42</v>
      </c>
      <c r="I12107" s="3"/>
    </row>
    <row r="12108" spans="1:9" s="4" customFormat="1" ht="18.75" customHeight="1" x14ac:dyDescent="0.55000000000000004">
      <c r="A12108" s="18">
        <v>24.795853999999999</v>
      </c>
      <c r="B12108" s="18">
        <v>34.980568400000003</v>
      </c>
      <c r="C12108" s="18">
        <v>700213.57</v>
      </c>
      <c r="D12108" s="18">
        <v>2743794.91</v>
      </c>
      <c r="E12108" s="18">
        <v>96.55</v>
      </c>
      <c r="F12108" s="18">
        <v>41886.32</v>
      </c>
      <c r="G12108" s="18">
        <v>143946</v>
      </c>
      <c r="H12108" s="18">
        <f t="shared" si="280"/>
        <v>41876.32</v>
      </c>
      <c r="I12108" s="3"/>
    </row>
    <row r="12109" spans="1:9" s="4" customFormat="1" ht="18.75" customHeight="1" x14ac:dyDescent="0.55000000000000004">
      <c r="A12109" s="18">
        <v>24.794183400000001</v>
      </c>
      <c r="B12109" s="18">
        <v>34.980803999999999</v>
      </c>
      <c r="C12109" s="18">
        <v>700240.08</v>
      </c>
      <c r="D12109" s="18">
        <v>2743610.2</v>
      </c>
      <c r="E12109" s="18">
        <v>101.79</v>
      </c>
      <c r="F12109" s="18">
        <v>41863.07</v>
      </c>
      <c r="G12109" s="18">
        <v>144143</v>
      </c>
      <c r="H12109" s="18">
        <f t="shared" si="280"/>
        <v>41853.07</v>
      </c>
      <c r="I12109" s="3"/>
    </row>
    <row r="12110" spans="1:9" s="4" customFormat="1" ht="18.75" customHeight="1" x14ac:dyDescent="0.55000000000000004">
      <c r="A12110" s="18">
        <v>24.794184000000001</v>
      </c>
      <c r="B12110" s="18">
        <v>34.980803999999999</v>
      </c>
      <c r="C12110" s="18">
        <v>700240.08</v>
      </c>
      <c r="D12110" s="18">
        <v>2743610.27</v>
      </c>
      <c r="E12110" s="18">
        <v>101.5</v>
      </c>
      <c r="F12110" s="18">
        <v>41863.21</v>
      </c>
      <c r="G12110" s="18">
        <v>144155</v>
      </c>
      <c r="H12110" s="18">
        <f t="shared" si="280"/>
        <v>41853.21</v>
      </c>
      <c r="I12110" s="3"/>
    </row>
    <row r="12111" spans="1:9" s="4" customFormat="1" ht="18.75" customHeight="1" x14ac:dyDescent="0.55000000000000004">
      <c r="A12111" s="18">
        <v>24.7924039</v>
      </c>
      <c r="B12111" s="18">
        <v>34.980552099999997</v>
      </c>
      <c r="C12111" s="18">
        <v>700217.47</v>
      </c>
      <c r="D12111" s="18">
        <v>2743412.72</v>
      </c>
      <c r="E12111" s="18">
        <v>106.76</v>
      </c>
      <c r="F12111" s="18">
        <v>41863.07</v>
      </c>
      <c r="G12111" s="18">
        <v>144404</v>
      </c>
      <c r="H12111" s="18">
        <f t="shared" si="280"/>
        <v>41853.07</v>
      </c>
      <c r="I12111" s="3"/>
    </row>
    <row r="12112" spans="1:9" s="4" customFormat="1" ht="18.75" customHeight="1" x14ac:dyDescent="0.55000000000000004">
      <c r="A12112" s="18">
        <v>24.7924051</v>
      </c>
      <c r="B12112" s="18">
        <v>34.980552799999998</v>
      </c>
      <c r="C12112" s="18">
        <v>700217.54</v>
      </c>
      <c r="D12112" s="18">
        <v>2743412.85</v>
      </c>
      <c r="E12112" s="18">
        <v>106.93</v>
      </c>
      <c r="F12112" s="18">
        <v>41862.83</v>
      </c>
      <c r="G12112" s="18">
        <v>144419</v>
      </c>
      <c r="H12112" s="18">
        <f t="shared" si="280"/>
        <v>41852.83</v>
      </c>
      <c r="I12112" s="3"/>
    </row>
    <row r="12113" spans="1:9" s="4" customFormat="1" ht="18.75" customHeight="1" x14ac:dyDescent="0.55000000000000004">
      <c r="A12113" s="18">
        <v>24.7909845</v>
      </c>
      <c r="B12113" s="18">
        <v>34.979343900000003</v>
      </c>
      <c r="C12113" s="18">
        <v>700097.57</v>
      </c>
      <c r="D12113" s="18">
        <v>2743253.72</v>
      </c>
      <c r="E12113" s="18">
        <v>114.08</v>
      </c>
      <c r="F12113" s="18">
        <v>41881.01</v>
      </c>
      <c r="G12113" s="18">
        <v>144628</v>
      </c>
      <c r="H12113" s="18">
        <f t="shared" si="280"/>
        <v>41871.01</v>
      </c>
      <c r="I12113" s="3"/>
    </row>
    <row r="12114" spans="1:9" s="4" customFormat="1" ht="18.75" customHeight="1" x14ac:dyDescent="0.55000000000000004">
      <c r="A12114" s="18">
        <v>24.790984699999999</v>
      </c>
      <c r="B12114" s="18">
        <v>34.979344699999999</v>
      </c>
      <c r="C12114" s="18">
        <v>700097.66</v>
      </c>
      <c r="D12114" s="18">
        <v>2743253.75</v>
      </c>
      <c r="E12114" s="18">
        <v>113.97</v>
      </c>
      <c r="F12114" s="18">
        <v>41881.15</v>
      </c>
      <c r="G12114" s="18">
        <v>144643</v>
      </c>
      <c r="H12114" s="18">
        <f t="shared" si="280"/>
        <v>41871.15</v>
      </c>
      <c r="I12114" s="3"/>
    </row>
    <row r="12115" spans="1:9" s="4" customFormat="1" ht="18.75" customHeight="1" x14ac:dyDescent="0.55000000000000004">
      <c r="A12115" s="18">
        <v>24.7894398</v>
      </c>
      <c r="B12115" s="18">
        <v>34.9787508</v>
      </c>
      <c r="C12115" s="18">
        <v>700040.08</v>
      </c>
      <c r="D12115" s="18">
        <v>2743081.75</v>
      </c>
      <c r="E12115" s="18">
        <v>119.58</v>
      </c>
      <c r="F12115" s="18">
        <v>41912.32</v>
      </c>
      <c r="G12115" s="18">
        <v>144834</v>
      </c>
      <c r="H12115" s="18">
        <f t="shared" si="280"/>
        <v>41902.32</v>
      </c>
      <c r="I12115" s="3"/>
    </row>
    <row r="12116" spans="1:9" s="4" customFormat="1" ht="18.75" customHeight="1" x14ac:dyDescent="0.55000000000000004">
      <c r="A12116" s="18">
        <v>24.7894398</v>
      </c>
      <c r="B12116" s="18">
        <v>34.9787514</v>
      </c>
      <c r="C12116" s="18">
        <v>700040.14</v>
      </c>
      <c r="D12116" s="18">
        <v>2743081.76</v>
      </c>
      <c r="E12116" s="18">
        <v>119.67</v>
      </c>
      <c r="F12116" s="18">
        <v>41912.870000000003</v>
      </c>
      <c r="G12116" s="18">
        <v>144846</v>
      </c>
      <c r="H12116" s="18">
        <f t="shared" si="280"/>
        <v>41902.870000000003</v>
      </c>
      <c r="I12116" s="3"/>
    </row>
    <row r="12117" spans="1:9" s="4" customFormat="1" ht="18.75" customHeight="1" x14ac:dyDescent="0.55000000000000004">
      <c r="A12117" s="18">
        <v>24.786721499999999</v>
      </c>
      <c r="B12117" s="18">
        <v>34.979046400000001</v>
      </c>
      <c r="C12117" s="18">
        <v>700074.34</v>
      </c>
      <c r="D12117" s="18">
        <v>2742781.09</v>
      </c>
      <c r="E12117" s="18">
        <v>130.21</v>
      </c>
      <c r="F12117" s="18">
        <v>41896.32</v>
      </c>
      <c r="G12117" s="18">
        <v>145110</v>
      </c>
      <c r="H12117" s="18">
        <f t="shared" si="280"/>
        <v>41886.32</v>
      </c>
      <c r="I12117" s="3"/>
    </row>
    <row r="12118" spans="1:9" s="4" customFormat="1" ht="18.75" customHeight="1" x14ac:dyDescent="0.55000000000000004">
      <c r="A12118" s="18">
        <v>24.7867213</v>
      </c>
      <c r="B12118" s="18">
        <v>34.9790469</v>
      </c>
      <c r="C12118" s="18">
        <v>700074.39</v>
      </c>
      <c r="D12118" s="18">
        <v>2742781.07</v>
      </c>
      <c r="E12118" s="18">
        <v>130.1</v>
      </c>
      <c r="F12118" s="18">
        <v>41896.58</v>
      </c>
      <c r="G12118" s="18">
        <v>145122</v>
      </c>
      <c r="H12118" s="18">
        <f t="shared" si="280"/>
        <v>41886.58</v>
      </c>
      <c r="I12118" s="3"/>
    </row>
    <row r="12119" spans="1:9" x14ac:dyDescent="0.55000000000000004">
      <c r="A12119" s="2">
        <v>24.784889799999998</v>
      </c>
      <c r="B12119" s="2">
        <v>34.934774500000003</v>
      </c>
      <c r="F12119" s="2">
        <v>41816.81</v>
      </c>
      <c r="G12119" s="2">
        <v>72302</v>
      </c>
      <c r="H12119" s="2">
        <v>41816.31</v>
      </c>
    </row>
    <row r="12120" spans="1:9" x14ac:dyDescent="0.55000000000000004">
      <c r="A12120" s="2">
        <v>24.782788199999999</v>
      </c>
      <c r="B12120" s="2">
        <v>34.933969400000002</v>
      </c>
      <c r="F12120" s="2">
        <v>41678.58</v>
      </c>
      <c r="G12120" s="2">
        <v>72802</v>
      </c>
      <c r="H12120" s="2">
        <v>41678.080000000002</v>
      </c>
    </row>
    <row r="12121" spans="1:9" x14ac:dyDescent="0.55000000000000004">
      <c r="A12121" s="2">
        <v>24.783279400000001</v>
      </c>
      <c r="B12121" s="2">
        <v>34.932468999999998</v>
      </c>
      <c r="F12121" s="2">
        <v>41756.720000000001</v>
      </c>
      <c r="G12121" s="2">
        <v>73201</v>
      </c>
      <c r="H12121" s="2">
        <v>41756.22</v>
      </c>
    </row>
    <row r="12122" spans="1:9" x14ac:dyDescent="0.55000000000000004">
      <c r="A12122" s="2">
        <v>24.783279400000001</v>
      </c>
      <c r="B12122" s="2">
        <v>34.932468999999998</v>
      </c>
      <c r="F12122" s="2">
        <v>41756.720000000001</v>
      </c>
      <c r="G12122" s="2">
        <v>73201</v>
      </c>
      <c r="H12122" s="2">
        <v>41756.22</v>
      </c>
    </row>
    <row r="12123" spans="1:9" x14ac:dyDescent="0.55000000000000004">
      <c r="A12123" s="2">
        <v>24.7835632</v>
      </c>
      <c r="B12123" s="2">
        <v>34.930655899999998</v>
      </c>
      <c r="F12123" s="2">
        <v>41762.78</v>
      </c>
      <c r="G12123" s="2">
        <v>73502</v>
      </c>
      <c r="H12123" s="2">
        <v>41762.080000000002</v>
      </c>
    </row>
    <row r="12124" spans="1:9" x14ac:dyDescent="0.55000000000000004">
      <c r="A12124" s="2">
        <v>24.782680899999999</v>
      </c>
      <c r="B12124" s="2">
        <v>34.929028000000002</v>
      </c>
      <c r="F12124" s="2">
        <v>41724.769999999997</v>
      </c>
      <c r="G12124" s="2">
        <v>74002</v>
      </c>
      <c r="H12124" s="2">
        <v>41724.07</v>
      </c>
    </row>
    <row r="12125" spans="1:9" x14ac:dyDescent="0.55000000000000004">
      <c r="A12125" s="2">
        <v>24.782175299999999</v>
      </c>
      <c r="B12125" s="2">
        <v>34.927181300000001</v>
      </c>
      <c r="F12125" s="2">
        <v>41519.269999999997</v>
      </c>
      <c r="G12125" s="2">
        <v>74332</v>
      </c>
      <c r="H12125" s="2">
        <v>41518.269999999997</v>
      </c>
    </row>
    <row r="12126" spans="1:9" x14ac:dyDescent="0.55000000000000004">
      <c r="A12126" s="2">
        <v>24.782419900000001</v>
      </c>
      <c r="B12126" s="2">
        <v>34.925394500000003</v>
      </c>
      <c r="F12126" s="2">
        <v>41439.199999999997</v>
      </c>
      <c r="G12126" s="2">
        <v>74602</v>
      </c>
      <c r="H12126" s="2">
        <v>41436.199999999997</v>
      </c>
    </row>
    <row r="12127" spans="1:9" x14ac:dyDescent="0.55000000000000004">
      <c r="A12127" s="2">
        <v>24.782293299999999</v>
      </c>
      <c r="B12127" s="2">
        <v>34.9235373</v>
      </c>
      <c r="F12127" s="2">
        <v>42017.41</v>
      </c>
      <c r="G12127" s="2">
        <v>74832</v>
      </c>
      <c r="H12127" s="2">
        <v>42014.41</v>
      </c>
    </row>
    <row r="12128" spans="1:9" x14ac:dyDescent="0.55000000000000004">
      <c r="A12128" s="2">
        <v>24.780756400000001</v>
      </c>
      <c r="B12128" s="2">
        <v>34.922189199999998</v>
      </c>
      <c r="F12128" s="2">
        <v>42011.57</v>
      </c>
      <c r="G12128" s="2">
        <v>75132</v>
      </c>
      <c r="H12128" s="2">
        <v>42008.57</v>
      </c>
    </row>
    <row r="12129" spans="1:8" x14ac:dyDescent="0.55000000000000004">
      <c r="A12129" s="2">
        <v>24.780930000000001</v>
      </c>
      <c r="B12129" s="2">
        <v>34.920189200000003</v>
      </c>
      <c r="F12129" s="2">
        <v>41959.55</v>
      </c>
      <c r="G12129" s="2">
        <v>75432</v>
      </c>
      <c r="H12129" s="2">
        <v>41957.55</v>
      </c>
    </row>
    <row r="12130" spans="1:8" x14ac:dyDescent="0.55000000000000004">
      <c r="A12130" s="2">
        <v>24.780321000000001</v>
      </c>
      <c r="B12130" s="2">
        <v>34.918452100000003</v>
      </c>
      <c r="F12130" s="2">
        <v>41918.94</v>
      </c>
      <c r="G12130" s="2">
        <v>75732</v>
      </c>
      <c r="H12130" s="2">
        <v>41917.93</v>
      </c>
    </row>
    <row r="12131" spans="1:8" x14ac:dyDescent="0.55000000000000004">
      <c r="A12131" s="2">
        <v>24.781466699999999</v>
      </c>
      <c r="B12131" s="2">
        <v>34.916529199999999</v>
      </c>
      <c r="F12131" s="2">
        <v>42127.31</v>
      </c>
      <c r="G12131" s="2">
        <v>80102</v>
      </c>
      <c r="H12131" s="2">
        <v>42127.01</v>
      </c>
    </row>
    <row r="12132" spans="1:8" x14ac:dyDescent="0.55000000000000004">
      <c r="A12132" s="2">
        <v>24.780342699999999</v>
      </c>
      <c r="B12132" s="2">
        <v>34.9148748</v>
      </c>
      <c r="F12132" s="2">
        <v>41802.74</v>
      </c>
      <c r="G12132" s="2">
        <v>80332</v>
      </c>
      <c r="H12132" s="2">
        <v>41802.54</v>
      </c>
    </row>
    <row r="12133" spans="1:8" x14ac:dyDescent="0.55000000000000004">
      <c r="A12133" s="2">
        <v>24.780342699999999</v>
      </c>
      <c r="B12133" s="2">
        <v>34.9148748</v>
      </c>
      <c r="F12133" s="2">
        <v>41802.74</v>
      </c>
      <c r="G12133" s="2">
        <v>80332</v>
      </c>
      <c r="H12133" s="2">
        <v>41802.54</v>
      </c>
    </row>
    <row r="12134" spans="1:8" x14ac:dyDescent="0.55000000000000004">
      <c r="A12134" s="2">
        <v>24.778884300000001</v>
      </c>
      <c r="B12134" s="2">
        <v>34.913822699999997</v>
      </c>
      <c r="F12134" s="2">
        <v>41846.18</v>
      </c>
      <c r="G12134" s="2">
        <v>80632</v>
      </c>
      <c r="H12134" s="2">
        <v>41845.18</v>
      </c>
    </row>
    <row r="12135" spans="1:8" x14ac:dyDescent="0.55000000000000004">
      <c r="A12135" s="2">
        <v>24.778172300000001</v>
      </c>
      <c r="B12135" s="2">
        <v>34.911985199999997</v>
      </c>
      <c r="F12135" s="2">
        <v>41970.59</v>
      </c>
      <c r="G12135" s="2">
        <v>81002</v>
      </c>
      <c r="H12135" s="2">
        <v>41969.09</v>
      </c>
    </row>
    <row r="12136" spans="1:8" x14ac:dyDescent="0.55000000000000004">
      <c r="A12136" s="2">
        <v>24.7773276</v>
      </c>
      <c r="B12136" s="2">
        <v>34.910581100000002</v>
      </c>
      <c r="F12136" s="2">
        <v>41901.53</v>
      </c>
      <c r="G12136" s="2">
        <v>81302</v>
      </c>
      <c r="H12136" s="2">
        <v>41900.03</v>
      </c>
    </row>
    <row r="12137" spans="1:8" x14ac:dyDescent="0.55000000000000004">
      <c r="A12137" s="2">
        <v>24.776124800000002</v>
      </c>
      <c r="B12137" s="2">
        <v>34.9091618</v>
      </c>
      <c r="F12137" s="2">
        <v>41857.31</v>
      </c>
      <c r="G12137" s="2">
        <v>81632</v>
      </c>
      <c r="H12137" s="2">
        <v>41855.31</v>
      </c>
    </row>
    <row r="12138" spans="1:8" x14ac:dyDescent="0.55000000000000004">
      <c r="A12138" s="2">
        <v>24.774790299999999</v>
      </c>
      <c r="B12138" s="2">
        <v>34.908081199999998</v>
      </c>
      <c r="F12138" s="2">
        <v>42122.66</v>
      </c>
      <c r="G12138" s="2">
        <v>82102</v>
      </c>
      <c r="H12138" s="2">
        <v>42117.66</v>
      </c>
    </row>
    <row r="12139" spans="1:8" x14ac:dyDescent="0.55000000000000004">
      <c r="A12139" s="2">
        <v>24.7738117</v>
      </c>
      <c r="B12139" s="2">
        <v>34.906478499999999</v>
      </c>
      <c r="F12139" s="2">
        <v>41913.800000000003</v>
      </c>
      <c r="G12139" s="2">
        <v>82532</v>
      </c>
      <c r="H12139" s="2">
        <v>41907.800000000003</v>
      </c>
    </row>
    <row r="12140" spans="1:8" x14ac:dyDescent="0.55000000000000004">
      <c r="A12140" s="2">
        <v>24.772217000000001</v>
      </c>
      <c r="B12140" s="2">
        <v>34.905888400000002</v>
      </c>
      <c r="F12140" s="2">
        <v>42111.79</v>
      </c>
      <c r="G12140" s="2">
        <v>83032</v>
      </c>
      <c r="H12140" s="2">
        <v>42105.79</v>
      </c>
    </row>
    <row r="12141" spans="1:8" x14ac:dyDescent="0.55000000000000004">
      <c r="A12141" s="2">
        <v>24.7709917</v>
      </c>
      <c r="B12141" s="2">
        <v>34.904545400000003</v>
      </c>
      <c r="F12141" s="2">
        <v>42162.6</v>
      </c>
      <c r="G12141" s="2">
        <v>83402</v>
      </c>
      <c r="H12141" s="2">
        <v>42155.6</v>
      </c>
    </row>
    <row r="12142" spans="1:8" x14ac:dyDescent="0.55000000000000004">
      <c r="A12142" s="2">
        <v>24.769535000000001</v>
      </c>
      <c r="B12142" s="2">
        <v>34.903482699999998</v>
      </c>
      <c r="F12142" s="2">
        <v>42257.94</v>
      </c>
      <c r="G12142" s="2">
        <v>83732</v>
      </c>
      <c r="H12142" s="2">
        <v>42250.94</v>
      </c>
    </row>
    <row r="12143" spans="1:8" x14ac:dyDescent="0.55000000000000004">
      <c r="A12143" s="2">
        <v>24.770165599999999</v>
      </c>
      <c r="B12143" s="2">
        <v>34.901522900000003</v>
      </c>
      <c r="F12143" s="2">
        <v>42237.98</v>
      </c>
      <c r="G12143" s="2">
        <v>84102</v>
      </c>
      <c r="H12143" s="2">
        <v>42230.98</v>
      </c>
    </row>
    <row r="12144" spans="1:8" x14ac:dyDescent="0.55000000000000004">
      <c r="A12144" s="2">
        <v>24.770860599999999</v>
      </c>
      <c r="B12144" s="2">
        <v>34.899946399999997</v>
      </c>
      <c r="F12144" s="2">
        <v>42288.57</v>
      </c>
      <c r="G12144" s="2">
        <v>84402</v>
      </c>
      <c r="H12144" s="2">
        <v>42281.57</v>
      </c>
    </row>
    <row r="12145" spans="1:8" x14ac:dyDescent="0.55000000000000004">
      <c r="A12145" s="2">
        <v>24.771560300000001</v>
      </c>
      <c r="B12145" s="2">
        <v>34.8969947</v>
      </c>
      <c r="F12145" s="2">
        <v>42341.89</v>
      </c>
      <c r="G12145" s="2">
        <v>84802</v>
      </c>
      <c r="H12145" s="2">
        <v>42330.89</v>
      </c>
    </row>
    <row r="12146" spans="1:8" x14ac:dyDescent="0.55000000000000004">
      <c r="A12146" s="2">
        <v>24.771842100000001</v>
      </c>
      <c r="B12146" s="2">
        <v>34.895379699999999</v>
      </c>
      <c r="F12146" s="2">
        <v>42654.29</v>
      </c>
      <c r="G12146" s="2">
        <v>85032</v>
      </c>
      <c r="H12146" s="2">
        <v>42643.29</v>
      </c>
    </row>
    <row r="12147" spans="1:8" x14ac:dyDescent="0.55000000000000004">
      <c r="A12147" s="2">
        <v>24.771526399999999</v>
      </c>
      <c r="B12147" s="2">
        <v>34.8935502</v>
      </c>
      <c r="F12147" s="2">
        <v>42597.65</v>
      </c>
      <c r="G12147" s="2">
        <v>85402</v>
      </c>
      <c r="H12147" s="2">
        <v>42588.65</v>
      </c>
    </row>
    <row r="12148" spans="1:8" x14ac:dyDescent="0.55000000000000004">
      <c r="A12148" s="2">
        <v>24.7715158</v>
      </c>
      <c r="B12148" s="2">
        <v>34.891440500000002</v>
      </c>
      <c r="F12148" s="2">
        <v>42443.99</v>
      </c>
      <c r="G12148" s="2">
        <v>85732</v>
      </c>
      <c r="H12148" s="2">
        <v>42437.99</v>
      </c>
    </row>
    <row r="12149" spans="1:8" x14ac:dyDescent="0.55000000000000004">
      <c r="A12149" s="2">
        <v>24.7716624</v>
      </c>
      <c r="B12149" s="2">
        <v>34.889590200000001</v>
      </c>
      <c r="F12149" s="2">
        <v>42413.43</v>
      </c>
      <c r="G12149" s="2">
        <v>90132</v>
      </c>
      <c r="H12149" s="2">
        <v>42408.43</v>
      </c>
    </row>
    <row r="12150" spans="1:8" x14ac:dyDescent="0.55000000000000004">
      <c r="A12150" s="2">
        <v>24.771582899999999</v>
      </c>
      <c r="B12150" s="2">
        <v>34.887737299999998</v>
      </c>
      <c r="F12150" s="2">
        <v>42698</v>
      </c>
      <c r="G12150" s="2">
        <v>90532</v>
      </c>
      <c r="H12150" s="2">
        <v>42695</v>
      </c>
    </row>
    <row r="12151" spans="1:8" x14ac:dyDescent="0.55000000000000004">
      <c r="A12151" s="2">
        <v>24.771888400000002</v>
      </c>
      <c r="B12151" s="2">
        <v>34.885785200000001</v>
      </c>
      <c r="F12151" s="2">
        <v>42454.43</v>
      </c>
      <c r="G12151" s="2">
        <v>90834</v>
      </c>
      <c r="H12151" s="2">
        <v>42452.03</v>
      </c>
    </row>
    <row r="12152" spans="1:8" x14ac:dyDescent="0.55000000000000004">
      <c r="A12152" s="2">
        <v>24.772437499999999</v>
      </c>
      <c r="B12152" s="2">
        <v>34.883910399999998</v>
      </c>
      <c r="F12152" s="2">
        <v>42458.5</v>
      </c>
      <c r="G12152" s="2">
        <v>91132</v>
      </c>
      <c r="H12152" s="2">
        <v>42456</v>
      </c>
    </row>
    <row r="12153" spans="1:8" x14ac:dyDescent="0.55000000000000004">
      <c r="A12153" s="2">
        <v>24.7730806</v>
      </c>
      <c r="B12153" s="2">
        <v>34.881988300000003</v>
      </c>
      <c r="F12153" s="2">
        <v>42405</v>
      </c>
      <c r="G12153" s="2">
        <v>91432</v>
      </c>
      <c r="H12153" s="2">
        <v>42396</v>
      </c>
    </row>
    <row r="12154" spans="1:8" x14ac:dyDescent="0.55000000000000004">
      <c r="A12154" s="2">
        <v>24.7736284</v>
      </c>
      <c r="B12154" s="2">
        <v>34.879801700000002</v>
      </c>
      <c r="F12154" s="2">
        <v>42192.2</v>
      </c>
      <c r="G12154" s="2">
        <v>91802</v>
      </c>
      <c r="H12154" s="2">
        <v>42184.2</v>
      </c>
    </row>
    <row r="12155" spans="1:8" x14ac:dyDescent="0.55000000000000004">
      <c r="A12155" s="2">
        <v>24.774317400000001</v>
      </c>
      <c r="B12155" s="2">
        <v>34.878102400000003</v>
      </c>
      <c r="F12155" s="2">
        <v>42160.6</v>
      </c>
      <c r="G12155" s="2">
        <v>92302</v>
      </c>
      <c r="H12155" s="2">
        <v>42151.5</v>
      </c>
    </row>
    <row r="12156" spans="1:8" x14ac:dyDescent="0.55000000000000004">
      <c r="A12156" s="2">
        <v>24.774972699999999</v>
      </c>
      <c r="B12156" s="2">
        <v>34.8756469</v>
      </c>
      <c r="F12156" s="2">
        <v>42155.92</v>
      </c>
      <c r="G12156" s="2">
        <v>92634</v>
      </c>
      <c r="H12156" s="2">
        <v>42143.92</v>
      </c>
    </row>
    <row r="12157" spans="1:8" x14ac:dyDescent="0.55000000000000004">
      <c r="A12157" s="2">
        <v>24.775431900000001</v>
      </c>
      <c r="B12157" s="2">
        <v>34.873764399999999</v>
      </c>
      <c r="F12157" s="2">
        <v>42147.88</v>
      </c>
      <c r="G12157" s="2">
        <v>93502</v>
      </c>
      <c r="H12157" s="2">
        <v>42134.879999999997</v>
      </c>
    </row>
    <row r="12158" spans="1:8" x14ac:dyDescent="0.55000000000000004">
      <c r="A12158" s="2">
        <v>24.776014499999999</v>
      </c>
      <c r="B12158" s="2">
        <v>34.871921399999998</v>
      </c>
      <c r="F12158" s="2">
        <v>42141.279999999999</v>
      </c>
      <c r="G12158" s="2">
        <v>93732</v>
      </c>
      <c r="H12158" s="2">
        <v>42128.28</v>
      </c>
    </row>
    <row r="12159" spans="1:8" x14ac:dyDescent="0.55000000000000004">
      <c r="A12159" s="2">
        <v>24.776441599999998</v>
      </c>
      <c r="B12159" s="2">
        <v>34.869812500000002</v>
      </c>
      <c r="F12159" s="2">
        <v>42132.639999999999</v>
      </c>
      <c r="G12159" s="2">
        <v>94002</v>
      </c>
      <c r="H12159" s="2">
        <v>42119.14</v>
      </c>
    </row>
    <row r="12160" spans="1:8" x14ac:dyDescent="0.55000000000000004">
      <c r="A12160" s="2">
        <v>24.776726700000001</v>
      </c>
      <c r="B12160" s="2">
        <v>34.867741799999997</v>
      </c>
      <c r="F12160" s="2">
        <v>42118.080000000002</v>
      </c>
      <c r="G12160" s="2">
        <v>94302</v>
      </c>
      <c r="H12160" s="2">
        <v>42105.08</v>
      </c>
    </row>
    <row r="12161" spans="1:8" x14ac:dyDescent="0.55000000000000004">
      <c r="A12161" s="2">
        <v>24.777289199999998</v>
      </c>
      <c r="B12161" s="2">
        <v>34.866340000000001</v>
      </c>
      <c r="F12161" s="2">
        <v>42118.45</v>
      </c>
      <c r="G12161" s="2">
        <v>94532</v>
      </c>
      <c r="H12161" s="2">
        <v>42105.45</v>
      </c>
    </row>
    <row r="12162" spans="1:8" x14ac:dyDescent="0.55000000000000004">
      <c r="A12162" s="2">
        <v>24.777679200000001</v>
      </c>
      <c r="B12162" s="2">
        <v>34.864269800000002</v>
      </c>
      <c r="F12162" s="2">
        <v>42120.41</v>
      </c>
      <c r="G12162" s="2">
        <v>94832</v>
      </c>
      <c r="H12162" s="2">
        <v>42105.41</v>
      </c>
    </row>
    <row r="12163" spans="1:8" x14ac:dyDescent="0.55000000000000004">
      <c r="A12163" s="2">
        <v>24.778537</v>
      </c>
      <c r="B12163" s="2">
        <v>34.861992399999998</v>
      </c>
      <c r="F12163" s="2">
        <v>42101.919999999998</v>
      </c>
      <c r="G12163" s="2">
        <v>95232</v>
      </c>
      <c r="H12163" s="2">
        <v>42085.919999999998</v>
      </c>
    </row>
    <row r="12164" spans="1:8" x14ac:dyDescent="0.55000000000000004">
      <c r="A12164" s="2">
        <v>24.778867099999999</v>
      </c>
      <c r="B12164" s="2">
        <v>34.859054200000003</v>
      </c>
      <c r="F12164" s="2">
        <v>42097.23</v>
      </c>
      <c r="G12164" s="2">
        <v>95604</v>
      </c>
      <c r="H12164" s="2">
        <v>42081.23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Sheet1!complet_Wadi_elbeda</vt:lpstr>
      <vt:lpstr>Sheet1!gabl_2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2026-09-06T18:50:15Z</dcterms:modified>
</cp:coreProperties>
</file>